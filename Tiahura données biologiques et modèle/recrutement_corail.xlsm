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3" codeName="{A63ED3A1-9429-3D75-F2AA-CA7E51A8F3A1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adeline/Desktop/Ma ptite entreprise/IRCP-MAREPOLIS/Dossier en cours/Plaque Recrutement/2022/"/>
    </mc:Choice>
  </mc:AlternateContent>
  <xr:revisionPtr revIDLastSave="0" documentId="13_ncr:1_{D81C6D62-2059-814F-99B2-BD84A6140D65}" xr6:coauthVersionLast="47" xr6:coauthVersionMax="47" xr10:uidLastSave="{00000000-0000-0000-0000-000000000000}"/>
  <bookViews>
    <workbookView xWindow="0" yWindow="0" windowWidth="28800" windowHeight="18000" tabRatio="500" xr2:uid="{00000000-000D-0000-FFFF-FFFF00000000}"/>
  </bookViews>
  <sheets>
    <sheet name="Interface" sheetId="3" r:id="rId1"/>
    <sheet name="Data" sheetId="1" r:id="rId2"/>
    <sheet name="Affichage" sheetId="2" r:id="rId3"/>
    <sheet name="Types" sheetId="4" r:id="rId4"/>
  </sheets>
  <functionGroups builtInGroupCount="19"/>
  <definedNames>
    <definedName name="_xlnm._FilterDatabase" localSheetId="1" hidden="1">Data!$A$1:$I$8171</definedName>
    <definedName name="dataAll">Data!$A$1:$I$1265</definedName>
    <definedName name="dates">Data!$B$2:$B$1265</definedName>
    <definedName name="familles">Types!$A$2:$A$6</definedName>
    <definedName name="numPlaques">Data!$E$2:$E$1265</definedName>
    <definedName name="posFamille">Interface!$C$22</definedName>
    <definedName name="positions">Types!$B$2:$B$4</definedName>
    <definedName name="posNombre">Interface!$C$28</definedName>
    <definedName name="posObservation">Interface!$C$30</definedName>
    <definedName name="posPositionSPlaque">Interface!$C$27</definedName>
    <definedName name="profondeurs">Types!$D$2:$D$4</definedName>
    <definedName name="sites">Types!$C$2:$C$4</definedName>
  </definedNames>
  <calcPr calcId="191029"/>
  <pivotCaches>
    <pivotCache cacheId="4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8171" i="1"/>
  <c r="A8170" i="1"/>
  <c r="A8169" i="1"/>
  <c r="A8168" i="1"/>
  <c r="A8167" i="1"/>
  <c r="A8166" i="1"/>
  <c r="A8165" i="1"/>
  <c r="A8164" i="1"/>
  <c r="A8163" i="1"/>
  <c r="A8162" i="1"/>
  <c r="A8161" i="1"/>
  <c r="A8160" i="1"/>
  <c r="A8159" i="1"/>
  <c r="A8158" i="1"/>
  <c r="A8157" i="1"/>
  <c r="A8156" i="1"/>
  <c r="A8155" i="1"/>
  <c r="A8154" i="1"/>
  <c r="A8153" i="1"/>
  <c r="A8152" i="1"/>
  <c r="A8151" i="1"/>
  <c r="A8150" i="1"/>
  <c r="A8149" i="1"/>
  <c r="A8148" i="1"/>
  <c r="A8147" i="1"/>
  <c r="A8146" i="1"/>
  <c r="A8145" i="1"/>
  <c r="A8144" i="1"/>
  <c r="A8143" i="1"/>
  <c r="A8142" i="1"/>
  <c r="A8141" i="1"/>
  <c r="A8140" i="1"/>
  <c r="A8139" i="1"/>
  <c r="A8138" i="1"/>
  <c r="A8137" i="1"/>
  <c r="A8136" i="1"/>
  <c r="A8135" i="1"/>
  <c r="A8134" i="1"/>
  <c r="A8133" i="1"/>
  <c r="A8132" i="1"/>
  <c r="A8131" i="1"/>
  <c r="A8130" i="1"/>
  <c r="A8129" i="1"/>
  <c r="A8128" i="1"/>
  <c r="A8127" i="1"/>
  <c r="A8126" i="1"/>
  <c r="A8125" i="1"/>
  <c r="A8124" i="1"/>
  <c r="A8123" i="1"/>
  <c r="A8122" i="1"/>
  <c r="A8121" i="1"/>
  <c r="A8120" i="1"/>
  <c r="A8119" i="1"/>
  <c r="A8118" i="1"/>
  <c r="A8117" i="1"/>
  <c r="A8116" i="1"/>
  <c r="A8115" i="1"/>
  <c r="A8114" i="1"/>
  <c r="A8113" i="1"/>
  <c r="A8112" i="1"/>
  <c r="A8111" i="1"/>
  <c r="A8110" i="1"/>
  <c r="A8109" i="1"/>
  <c r="A8108" i="1"/>
  <c r="A8107" i="1"/>
  <c r="A8106" i="1"/>
  <c r="A8105" i="1"/>
  <c r="A8104" i="1"/>
  <c r="A8103" i="1"/>
  <c r="A8102" i="1"/>
  <c r="A8101" i="1"/>
  <c r="A8100" i="1"/>
  <c r="A8099" i="1"/>
  <c r="A8098" i="1"/>
  <c r="A8097" i="1"/>
  <c r="A8096" i="1"/>
  <c r="A8095" i="1"/>
  <c r="A8094" i="1"/>
  <c r="A8093" i="1"/>
  <c r="A8092" i="1"/>
  <c r="A8091" i="1"/>
  <c r="A8090" i="1"/>
  <c r="A8089" i="1"/>
  <c r="A8088" i="1"/>
  <c r="A8087" i="1"/>
  <c r="A8086" i="1"/>
  <c r="A8085" i="1"/>
  <c r="A8084" i="1"/>
  <c r="A8083" i="1"/>
  <c r="A8082" i="1"/>
  <c r="A8081" i="1"/>
  <c r="A8080" i="1"/>
  <c r="A8079" i="1"/>
  <c r="A8078" i="1"/>
  <c r="A8077" i="1"/>
  <c r="A8076" i="1"/>
  <c r="A8075" i="1"/>
  <c r="A8074" i="1"/>
  <c r="A8073" i="1"/>
  <c r="A8072" i="1"/>
  <c r="A8071" i="1"/>
  <c r="A8070" i="1"/>
  <c r="A8069" i="1"/>
  <c r="A8068" i="1"/>
  <c r="A8067" i="1"/>
  <c r="A8066" i="1"/>
  <c r="A8065" i="1"/>
  <c r="A8064" i="1"/>
  <c r="A8063" i="1"/>
  <c r="A8062" i="1"/>
  <c r="A8061" i="1"/>
  <c r="A8060" i="1"/>
  <c r="A8059" i="1"/>
  <c r="A8058" i="1"/>
  <c r="A8057" i="1"/>
  <c r="A8056" i="1"/>
  <c r="A8055" i="1"/>
  <c r="A8054" i="1"/>
  <c r="A8053" i="1"/>
  <c r="A8052" i="1"/>
  <c r="A8051" i="1"/>
  <c r="A8050" i="1"/>
  <c r="A8049" i="1"/>
  <c r="A8048" i="1"/>
  <c r="A8047" i="1"/>
  <c r="A8046" i="1"/>
  <c r="A8045" i="1"/>
  <c r="A8044" i="1"/>
  <c r="A8043" i="1"/>
  <c r="A8042" i="1"/>
  <c r="A8041" i="1"/>
  <c r="A8040" i="1"/>
  <c r="A8039" i="1"/>
  <c r="A8038" i="1"/>
  <c r="A8037" i="1"/>
  <c r="A8036" i="1"/>
  <c r="A8035" i="1"/>
  <c r="A8034" i="1"/>
  <c r="A8033" i="1"/>
  <c r="A8032" i="1"/>
  <c r="A8031" i="1"/>
  <c r="A8030" i="1"/>
  <c r="A8029" i="1"/>
  <c r="A8028" i="1"/>
  <c r="A8027" i="1"/>
  <c r="A8026" i="1"/>
  <c r="A8025" i="1"/>
  <c r="A8024" i="1"/>
  <c r="A8023" i="1"/>
  <c r="A8022" i="1"/>
  <c r="A8021" i="1"/>
  <c r="A8020" i="1"/>
  <c r="A8019" i="1"/>
  <c r="A8018" i="1"/>
  <c r="A8017" i="1"/>
  <c r="A8016" i="1"/>
  <c r="A8015" i="1"/>
  <c r="A8014" i="1"/>
  <c r="A8013" i="1"/>
  <c r="A8012" i="1"/>
  <c r="A8011" i="1"/>
  <c r="A8010" i="1"/>
  <c r="A8009" i="1"/>
  <c r="A8008" i="1"/>
  <c r="A8007" i="1"/>
  <c r="A8006" i="1"/>
  <c r="A8005" i="1"/>
  <c r="A8004" i="1"/>
  <c r="A8003" i="1"/>
  <c r="A8002" i="1"/>
  <c r="A8001" i="1"/>
  <c r="A8000" i="1"/>
  <c r="A7999" i="1"/>
  <c r="A7998" i="1"/>
  <c r="A7997" i="1"/>
  <c r="A7996" i="1"/>
  <c r="A7995" i="1"/>
  <c r="A7994" i="1"/>
  <c r="A7993" i="1"/>
  <c r="A7992" i="1"/>
  <c r="A7991" i="1"/>
  <c r="A7990" i="1"/>
  <c r="A7989" i="1"/>
  <c r="A7988" i="1"/>
  <c r="A7987" i="1"/>
  <c r="A7986" i="1"/>
  <c r="A7985" i="1"/>
  <c r="A7984" i="1"/>
  <c r="A7983" i="1"/>
  <c r="A7982" i="1"/>
  <c r="A7981" i="1"/>
  <c r="A7980" i="1"/>
  <c r="A7979" i="1"/>
  <c r="A7978" i="1"/>
  <c r="A7977" i="1"/>
  <c r="A7976" i="1"/>
  <c r="A7975" i="1"/>
  <c r="A7974" i="1"/>
  <c r="A7973" i="1"/>
  <c r="A7972" i="1"/>
  <c r="A7971" i="1"/>
  <c r="A7970" i="1"/>
  <c r="A7969" i="1"/>
  <c r="A7968" i="1"/>
  <c r="A7967" i="1"/>
  <c r="A7966" i="1"/>
  <c r="A7965" i="1"/>
  <c r="A7964" i="1"/>
  <c r="A7963" i="1"/>
  <c r="A7962" i="1"/>
  <c r="A7961" i="1"/>
  <c r="A7960" i="1"/>
  <c r="A7959" i="1"/>
  <c r="A7958" i="1"/>
  <c r="A7957" i="1"/>
  <c r="A7956" i="1"/>
  <c r="A7955" i="1"/>
  <c r="A7954" i="1"/>
  <c r="A7953" i="1"/>
  <c r="A7952" i="1"/>
  <c r="A7951" i="1"/>
  <c r="A7950" i="1"/>
  <c r="A7949" i="1"/>
  <c r="A7948" i="1"/>
  <c r="A7947" i="1"/>
  <c r="A7946" i="1"/>
  <c r="A7945" i="1"/>
  <c r="A7944" i="1"/>
  <c r="A7943" i="1"/>
  <c r="A7942" i="1"/>
  <c r="A7941" i="1"/>
  <c r="A7940" i="1"/>
  <c r="A7939" i="1"/>
  <c r="A7938" i="1"/>
  <c r="A7937" i="1"/>
  <c r="A7936" i="1"/>
  <c r="A7935" i="1"/>
  <c r="A7934" i="1"/>
  <c r="A7933" i="1"/>
  <c r="A7932" i="1"/>
  <c r="A7931" i="1"/>
  <c r="A7930" i="1"/>
  <c r="A7929" i="1"/>
  <c r="A7928" i="1"/>
  <c r="A7927" i="1"/>
  <c r="A7926" i="1"/>
  <c r="A7925" i="1"/>
  <c r="A7924" i="1"/>
  <c r="A7923" i="1"/>
  <c r="A7922" i="1"/>
  <c r="A7921" i="1"/>
  <c r="A7920" i="1"/>
  <c r="A7919" i="1"/>
  <c r="A7918" i="1"/>
  <c r="A7917" i="1"/>
  <c r="A7916" i="1"/>
  <c r="A7915" i="1"/>
  <c r="A7914" i="1"/>
  <c r="A7913" i="1"/>
  <c r="A7912" i="1"/>
  <c r="A7911" i="1"/>
  <c r="A7910" i="1"/>
  <c r="A7909" i="1"/>
  <c r="A7908" i="1"/>
  <c r="A7907" i="1"/>
  <c r="A7906" i="1"/>
  <c r="A7905" i="1"/>
  <c r="A7904" i="1"/>
  <c r="A7903" i="1"/>
  <c r="A7902" i="1"/>
  <c r="A7901" i="1"/>
  <c r="A7900" i="1"/>
  <c r="A7899" i="1"/>
  <c r="A7898" i="1"/>
  <c r="A7897" i="1"/>
  <c r="A7896" i="1"/>
  <c r="A7895" i="1"/>
  <c r="A7894" i="1"/>
  <c r="A7893" i="1"/>
  <c r="A7892" i="1"/>
  <c r="A7891" i="1"/>
  <c r="A7890" i="1"/>
  <c r="A7889" i="1"/>
  <c r="A7888" i="1"/>
  <c r="A7887" i="1"/>
  <c r="A7886" i="1"/>
  <c r="A7885" i="1"/>
  <c r="A7884" i="1"/>
  <c r="A7883" i="1"/>
  <c r="A7882" i="1"/>
  <c r="A7881" i="1"/>
  <c r="A7880" i="1"/>
  <c r="A7879" i="1"/>
  <c r="A7878" i="1"/>
  <c r="A7877" i="1"/>
  <c r="A7876" i="1"/>
  <c r="A7875" i="1"/>
  <c r="A7874" i="1"/>
  <c r="A7873" i="1"/>
  <c r="A7872" i="1"/>
  <c r="A7871" i="1"/>
  <c r="A7870" i="1"/>
  <c r="A7869" i="1"/>
  <c r="A7868" i="1"/>
  <c r="A7867" i="1"/>
  <c r="A7866" i="1"/>
  <c r="A7865" i="1"/>
  <c r="A7864" i="1"/>
  <c r="A7863" i="1"/>
  <c r="A7862" i="1"/>
  <c r="A7861" i="1"/>
  <c r="A7860" i="1"/>
  <c r="A7859" i="1"/>
  <c r="A7858" i="1"/>
  <c r="A7857" i="1"/>
  <c r="A7856" i="1"/>
  <c r="A7855" i="1"/>
  <c r="A7854" i="1"/>
  <c r="A7853" i="1"/>
  <c r="A7852" i="1"/>
  <c r="A7851" i="1"/>
  <c r="A7850" i="1"/>
  <c r="A7849" i="1"/>
  <c r="A7848" i="1"/>
  <c r="A7847" i="1"/>
  <c r="A7846" i="1"/>
  <c r="A7845" i="1"/>
  <c r="A7844" i="1"/>
  <c r="A7843" i="1"/>
  <c r="A7842" i="1"/>
  <c r="A7841" i="1"/>
  <c r="A7840" i="1"/>
  <c r="A7839" i="1"/>
  <c r="A7838" i="1"/>
  <c r="A7837" i="1"/>
  <c r="A7836" i="1"/>
  <c r="A7835" i="1"/>
  <c r="A7834" i="1"/>
  <c r="A7833" i="1"/>
  <c r="A7832" i="1"/>
  <c r="A7831" i="1"/>
  <c r="A7830" i="1"/>
  <c r="A7829" i="1"/>
  <c r="A7828" i="1"/>
  <c r="A7827" i="1"/>
  <c r="A7826" i="1"/>
  <c r="A7825" i="1"/>
  <c r="A7824" i="1"/>
  <c r="A7823" i="1"/>
  <c r="A7822" i="1"/>
  <c r="A7821" i="1"/>
  <c r="A7820" i="1"/>
  <c r="A7819" i="1"/>
  <c r="A7818" i="1"/>
  <c r="A7817" i="1"/>
  <c r="A7816" i="1"/>
  <c r="A7815" i="1"/>
  <c r="A7814" i="1"/>
  <c r="A7813" i="1"/>
  <c r="A7812" i="1"/>
  <c r="A7811" i="1"/>
  <c r="A7810" i="1"/>
  <c r="A7809" i="1"/>
  <c r="A7808" i="1"/>
  <c r="A7807" i="1"/>
  <c r="A7806" i="1"/>
  <c r="A7805" i="1"/>
  <c r="A7804" i="1"/>
  <c r="A7803" i="1"/>
  <c r="A7802" i="1"/>
  <c r="A7801" i="1"/>
  <c r="A7800" i="1"/>
  <c r="A7799" i="1"/>
  <c r="A7798" i="1"/>
  <c r="A7797" i="1"/>
  <c r="A7796" i="1"/>
  <c r="A7795" i="1"/>
  <c r="A7794" i="1"/>
  <c r="A7793" i="1"/>
  <c r="A7792" i="1"/>
  <c r="A7791" i="1"/>
  <c r="A7790" i="1"/>
  <c r="A7789" i="1"/>
  <c r="A7788" i="1"/>
  <c r="A7787" i="1"/>
  <c r="A7786" i="1"/>
  <c r="A7785" i="1"/>
  <c r="A7784" i="1"/>
  <c r="A7783" i="1"/>
  <c r="A7782" i="1"/>
  <c r="A7781" i="1"/>
  <c r="A7780" i="1"/>
  <c r="A7779" i="1"/>
  <c r="A7778" i="1"/>
  <c r="A7777" i="1"/>
  <c r="A7776" i="1"/>
  <c r="A7775" i="1"/>
  <c r="A7774" i="1"/>
  <c r="A7773" i="1"/>
  <c r="A7772" i="1"/>
  <c r="A7771" i="1"/>
  <c r="A7770" i="1"/>
  <c r="A7769" i="1"/>
  <c r="A7768" i="1"/>
  <c r="A7767" i="1"/>
  <c r="A7766" i="1"/>
  <c r="A7765" i="1"/>
  <c r="A7764" i="1"/>
  <c r="A7763" i="1"/>
  <c r="A7762" i="1"/>
  <c r="A7761" i="1"/>
  <c r="A7760" i="1"/>
  <c r="A7759" i="1"/>
  <c r="A7758" i="1"/>
  <c r="A7757" i="1"/>
  <c r="A7756" i="1"/>
  <c r="A7755" i="1"/>
  <c r="A7754" i="1"/>
  <c r="A7753" i="1"/>
  <c r="A7752" i="1"/>
  <c r="A7751" i="1"/>
  <c r="A7750" i="1"/>
  <c r="A7749" i="1"/>
  <c r="A7748" i="1"/>
  <c r="A7747" i="1"/>
  <c r="A7746" i="1"/>
  <c r="A7745" i="1"/>
  <c r="A7744" i="1"/>
  <c r="A7743" i="1"/>
  <c r="A7742" i="1"/>
  <c r="A7741" i="1"/>
  <c r="A7740" i="1"/>
  <c r="A7739" i="1"/>
  <c r="A7738" i="1"/>
  <c r="A7737" i="1"/>
  <c r="A7736" i="1"/>
  <c r="A7735" i="1"/>
  <c r="A7734" i="1"/>
  <c r="A7733" i="1"/>
  <c r="A7732" i="1"/>
  <c r="A7731" i="1"/>
  <c r="A7730" i="1"/>
  <c r="A7729" i="1"/>
  <c r="A7728" i="1"/>
  <c r="A7727" i="1"/>
  <c r="A7726" i="1"/>
  <c r="A7725" i="1"/>
  <c r="A7724" i="1"/>
  <c r="A7723" i="1"/>
  <c r="A7722" i="1"/>
  <c r="A7721" i="1"/>
  <c r="A7720" i="1"/>
  <c r="A7719" i="1"/>
  <c r="A7718" i="1"/>
  <c r="A7717" i="1"/>
  <c r="A7716" i="1"/>
  <c r="A7715" i="1"/>
  <c r="A7714" i="1"/>
  <c r="A7713" i="1"/>
  <c r="A7712" i="1"/>
  <c r="A7711" i="1"/>
  <c r="A7710" i="1"/>
  <c r="A7709" i="1"/>
  <c r="A7708" i="1"/>
  <c r="A7707" i="1"/>
  <c r="A7706" i="1"/>
  <c r="A7705" i="1"/>
  <c r="A7704" i="1"/>
  <c r="A7703" i="1"/>
  <c r="A7702" i="1"/>
  <c r="A7701" i="1"/>
  <c r="A7700" i="1"/>
  <c r="A7699" i="1"/>
  <c r="A7698" i="1"/>
  <c r="A7697" i="1"/>
  <c r="A7696" i="1"/>
  <c r="A7695" i="1"/>
  <c r="A7694" i="1"/>
  <c r="A7693" i="1"/>
  <c r="A7692" i="1"/>
  <c r="A7691" i="1"/>
  <c r="A7690" i="1"/>
  <c r="A7689" i="1"/>
  <c r="A7688" i="1"/>
  <c r="A7687" i="1"/>
  <c r="A7686" i="1"/>
  <c r="A7685" i="1"/>
  <c r="A7684" i="1"/>
  <c r="A7683" i="1"/>
  <c r="A7682" i="1"/>
  <c r="A7681" i="1"/>
  <c r="A7680" i="1"/>
  <c r="A7679" i="1"/>
  <c r="A7678" i="1"/>
  <c r="A7677" i="1"/>
  <c r="A7676" i="1"/>
  <c r="A7675" i="1"/>
  <c r="A7674" i="1"/>
  <c r="A7673" i="1"/>
  <c r="A7672" i="1"/>
  <c r="A7671" i="1"/>
  <c r="A7670" i="1"/>
  <c r="A7669" i="1"/>
  <c r="A7668" i="1"/>
  <c r="A7667" i="1"/>
  <c r="A7666" i="1"/>
  <c r="A7665" i="1"/>
  <c r="A7664" i="1"/>
  <c r="A7663" i="1"/>
  <c r="A7662" i="1"/>
  <c r="A7661" i="1"/>
  <c r="A7660" i="1"/>
  <c r="A7659" i="1"/>
  <c r="A7658" i="1"/>
  <c r="A7657" i="1"/>
  <c r="A7656" i="1"/>
  <c r="A7655" i="1"/>
  <c r="A7654" i="1"/>
  <c r="A7653" i="1"/>
  <c r="A7652" i="1"/>
  <c r="A7651" i="1"/>
  <c r="A7650" i="1"/>
  <c r="A7649" i="1"/>
  <c r="A7648" i="1"/>
  <c r="A7647" i="1"/>
  <c r="A7646" i="1"/>
  <c r="A7645" i="1"/>
  <c r="A7644" i="1"/>
  <c r="A7643" i="1"/>
  <c r="A7642" i="1"/>
  <c r="A7641" i="1"/>
  <c r="A7640" i="1"/>
  <c r="A7639" i="1"/>
  <c r="A7638" i="1"/>
  <c r="A7637" i="1"/>
  <c r="A7636" i="1"/>
  <c r="A7635" i="1"/>
  <c r="A7634" i="1"/>
  <c r="A7633" i="1"/>
  <c r="A7632" i="1"/>
  <c r="A7631" i="1"/>
  <c r="A7630" i="1"/>
  <c r="A7629" i="1"/>
  <c r="A7628" i="1"/>
  <c r="A7627" i="1"/>
  <c r="A7626" i="1"/>
  <c r="A7625" i="1"/>
  <c r="A7624" i="1"/>
  <c r="A7623" i="1"/>
  <c r="A7622" i="1"/>
  <c r="A7621" i="1"/>
  <c r="A7620" i="1"/>
  <c r="A7619" i="1"/>
  <c r="A7618" i="1"/>
  <c r="A7617" i="1"/>
  <c r="A7616" i="1"/>
  <c r="A7615" i="1"/>
  <c r="A7614" i="1"/>
  <c r="A7613" i="1"/>
  <c r="A7612" i="1"/>
  <c r="A7611" i="1"/>
  <c r="A7610" i="1"/>
  <c r="A7609" i="1"/>
  <c r="A7608" i="1"/>
  <c r="A7607" i="1"/>
  <c r="A7606" i="1"/>
  <c r="A7605" i="1"/>
  <c r="A7604" i="1"/>
  <c r="A7603" i="1"/>
  <c r="A7602" i="1"/>
  <c r="A7601" i="1"/>
  <c r="A7600" i="1"/>
  <c r="A7599" i="1"/>
  <c r="A7598" i="1"/>
  <c r="A7597" i="1"/>
  <c r="A7596" i="1"/>
  <c r="A7595" i="1"/>
  <c r="A7594" i="1"/>
  <c r="A7593" i="1"/>
  <c r="A7592" i="1"/>
  <c r="A7591" i="1"/>
  <c r="A7590" i="1"/>
  <c r="A7589" i="1"/>
  <c r="A7588" i="1"/>
  <c r="A7587" i="1"/>
  <c r="A7586" i="1"/>
  <c r="A7585" i="1"/>
  <c r="A7584" i="1"/>
  <c r="A7583" i="1"/>
  <c r="A7582" i="1"/>
  <c r="A7581" i="1"/>
  <c r="A7580" i="1"/>
  <c r="A7579" i="1"/>
  <c r="A7578" i="1"/>
  <c r="A7577" i="1"/>
  <c r="A7576" i="1"/>
  <c r="A7575" i="1"/>
  <c r="A7574" i="1"/>
  <c r="A7573" i="1"/>
  <c r="A7572" i="1"/>
  <c r="A7571" i="1"/>
  <c r="A7570" i="1"/>
  <c r="A7569" i="1"/>
  <c r="A7568" i="1"/>
  <c r="A7567" i="1"/>
  <c r="A7566" i="1"/>
  <c r="A7565" i="1"/>
  <c r="A7564" i="1"/>
  <c r="A7563" i="1"/>
  <c r="A7562" i="1"/>
  <c r="A7561" i="1"/>
  <c r="A7560" i="1"/>
  <c r="A7559" i="1"/>
  <c r="A7558" i="1"/>
  <c r="A7557" i="1"/>
  <c r="A7556" i="1"/>
  <c r="A7555" i="1"/>
  <c r="A7554" i="1"/>
  <c r="A7553" i="1"/>
  <c r="A7552" i="1"/>
  <c r="A7551" i="1"/>
  <c r="A7550" i="1"/>
  <c r="A7549" i="1"/>
  <c r="A7548" i="1"/>
  <c r="A7547" i="1"/>
  <c r="A7546" i="1"/>
  <c r="A7545" i="1"/>
  <c r="A7544" i="1"/>
  <c r="A7543" i="1"/>
  <c r="A7542" i="1"/>
  <c r="A7541" i="1"/>
  <c r="A7540" i="1"/>
  <c r="A7539" i="1"/>
  <c r="A7538" i="1"/>
  <c r="A7537" i="1"/>
  <c r="A7536" i="1"/>
  <c r="A7535" i="1"/>
  <c r="A7534" i="1"/>
  <c r="A7533" i="1"/>
  <c r="A7532" i="1"/>
  <c r="A7531" i="1"/>
  <c r="A7530" i="1"/>
  <c r="A7529" i="1"/>
  <c r="A7528" i="1"/>
  <c r="A7527" i="1"/>
  <c r="A7526" i="1"/>
  <c r="A7525" i="1"/>
  <c r="A7524" i="1"/>
  <c r="A7523" i="1"/>
  <c r="A7522" i="1"/>
  <c r="A7521" i="1"/>
  <c r="A7520" i="1"/>
  <c r="A7519" i="1"/>
  <c r="A7518" i="1"/>
  <c r="A7517" i="1"/>
  <c r="A7516" i="1"/>
  <c r="A7515" i="1"/>
  <c r="A7514" i="1"/>
  <c r="A7513" i="1"/>
  <c r="A7512" i="1"/>
  <c r="A7511" i="1"/>
  <c r="A7510" i="1"/>
  <c r="A7509" i="1"/>
  <c r="A7508" i="1"/>
  <c r="A7507" i="1"/>
  <c r="A7506" i="1"/>
  <c r="A7505" i="1"/>
  <c r="A7504" i="1"/>
  <c r="A7503" i="1"/>
  <c r="A7502" i="1"/>
  <c r="A7501" i="1"/>
  <c r="A7500" i="1"/>
  <c r="A7499" i="1"/>
  <c r="A7498" i="1"/>
  <c r="A7497" i="1"/>
  <c r="A7496" i="1"/>
  <c r="A7495" i="1"/>
  <c r="A7494" i="1"/>
  <c r="A7493" i="1"/>
  <c r="A7492" i="1"/>
  <c r="A7491" i="1"/>
  <c r="A7490" i="1"/>
  <c r="A7489" i="1"/>
  <c r="A7488" i="1"/>
  <c r="A7487" i="1"/>
  <c r="A7486" i="1"/>
  <c r="A7485" i="1"/>
  <c r="A7484" i="1"/>
  <c r="A7483" i="1"/>
  <c r="A7482" i="1"/>
  <c r="A7481" i="1"/>
  <c r="A7480" i="1"/>
  <c r="A7479" i="1"/>
  <c r="A7478" i="1"/>
  <c r="A7477" i="1"/>
  <c r="A7476" i="1"/>
  <c r="A7475" i="1"/>
  <c r="A7474" i="1"/>
  <c r="A7473" i="1"/>
  <c r="A7472" i="1"/>
  <c r="A7471" i="1"/>
  <c r="A7470" i="1"/>
  <c r="A7469" i="1"/>
  <c r="A7468" i="1"/>
  <c r="A7467" i="1"/>
  <c r="A7466" i="1"/>
  <c r="A7465" i="1"/>
  <c r="A7464" i="1"/>
  <c r="A7463" i="1"/>
  <c r="A7462" i="1"/>
  <c r="A7461" i="1"/>
  <c r="A7460" i="1"/>
  <c r="A7459" i="1"/>
  <c r="A7458" i="1"/>
  <c r="A7457" i="1"/>
  <c r="A7456" i="1"/>
  <c r="A7455" i="1"/>
  <c r="A7454" i="1"/>
  <c r="A7453" i="1"/>
  <c r="A7452" i="1"/>
  <c r="A7451" i="1"/>
  <c r="A7450" i="1"/>
  <c r="A7449" i="1"/>
  <c r="A7448" i="1"/>
  <c r="A7447" i="1"/>
  <c r="A7446" i="1"/>
  <c r="A7445" i="1"/>
  <c r="A7444" i="1"/>
  <c r="A7443" i="1"/>
  <c r="A7442" i="1"/>
  <c r="A7441" i="1"/>
  <c r="A7440" i="1"/>
  <c r="A7439" i="1"/>
  <c r="A7438" i="1"/>
  <c r="A7437" i="1"/>
  <c r="A7436" i="1"/>
  <c r="A7435" i="1"/>
  <c r="A7434" i="1"/>
  <c r="A7433" i="1"/>
  <c r="A7432" i="1"/>
  <c r="A7431" i="1"/>
  <c r="A7430" i="1"/>
  <c r="A7429" i="1"/>
  <c r="A7428" i="1"/>
  <c r="A7427" i="1"/>
  <c r="A7426" i="1"/>
  <c r="A7425" i="1"/>
  <c r="A7424" i="1"/>
  <c r="A7423" i="1"/>
  <c r="A7422" i="1"/>
  <c r="A7421" i="1"/>
  <c r="A7420" i="1"/>
  <c r="A7419" i="1"/>
  <c r="A7418" i="1"/>
  <c r="A7417" i="1"/>
  <c r="A7416" i="1"/>
  <c r="A7415" i="1"/>
  <c r="A7414" i="1"/>
  <c r="A7413" i="1"/>
  <c r="A7412" i="1"/>
  <c r="A7411" i="1"/>
  <c r="A7410" i="1"/>
  <c r="A7409" i="1"/>
  <c r="A7408" i="1"/>
  <c r="A7407" i="1"/>
  <c r="A7406" i="1"/>
  <c r="A7405" i="1"/>
  <c r="A7404" i="1"/>
  <c r="A7403" i="1"/>
  <c r="A7402" i="1"/>
  <c r="A7401" i="1"/>
  <c r="A7400" i="1"/>
  <c r="A7399" i="1"/>
  <c r="A7398" i="1"/>
  <c r="A7397" i="1"/>
  <c r="A7396" i="1"/>
  <c r="A7395" i="1"/>
  <c r="A7394" i="1"/>
  <c r="A7393" i="1"/>
  <c r="A7392" i="1"/>
  <c r="A7391" i="1"/>
  <c r="A7390" i="1"/>
  <c r="A7389" i="1"/>
  <c r="A7388" i="1"/>
  <c r="A7387" i="1"/>
  <c r="A7386" i="1"/>
  <c r="A7385" i="1"/>
  <c r="A7384" i="1"/>
  <c r="A7383" i="1"/>
  <c r="A7382" i="1"/>
  <c r="A7381" i="1"/>
  <c r="A7380" i="1"/>
  <c r="A7379" i="1"/>
  <c r="A7378" i="1"/>
  <c r="A7377" i="1"/>
  <c r="A7376" i="1"/>
  <c r="A7375" i="1"/>
  <c r="A7374" i="1"/>
  <c r="A7373" i="1"/>
  <c r="A7372" i="1"/>
  <c r="A7371" i="1"/>
  <c r="A7370" i="1"/>
  <c r="A7369" i="1"/>
  <c r="A7368" i="1"/>
  <c r="A7367" i="1"/>
  <c r="A7366" i="1"/>
  <c r="A7365" i="1"/>
  <c r="A7364" i="1"/>
  <c r="A7363" i="1"/>
  <c r="A7362" i="1"/>
  <c r="A7361" i="1"/>
  <c r="A7360" i="1"/>
  <c r="A7359" i="1"/>
  <c r="A7358" i="1"/>
  <c r="A7357" i="1"/>
  <c r="A7356" i="1"/>
  <c r="A7355" i="1"/>
  <c r="A7354" i="1"/>
  <c r="A7353" i="1"/>
  <c r="A7352" i="1"/>
  <c r="A7351" i="1"/>
  <c r="A7350" i="1"/>
  <c r="A7349" i="1"/>
  <c r="A7348" i="1"/>
  <c r="A7347" i="1"/>
  <c r="A7346" i="1"/>
  <c r="A7345" i="1"/>
  <c r="A7344" i="1"/>
  <c r="A7343" i="1"/>
  <c r="A7342" i="1"/>
  <c r="A7341" i="1"/>
  <c r="A7340" i="1"/>
  <c r="A7339" i="1"/>
  <c r="A7338" i="1"/>
  <c r="A7337" i="1"/>
  <c r="A7336" i="1"/>
  <c r="A7335" i="1"/>
  <c r="A7334" i="1"/>
  <c r="A7333" i="1"/>
  <c r="A7332" i="1"/>
  <c r="A7331" i="1"/>
  <c r="A7330" i="1"/>
  <c r="A7329" i="1"/>
  <c r="A7328" i="1"/>
  <c r="A7327" i="1"/>
  <c r="A7326" i="1"/>
  <c r="A7325" i="1"/>
  <c r="A7324" i="1"/>
  <c r="A7323" i="1"/>
  <c r="A7322" i="1"/>
  <c r="A7321" i="1"/>
  <c r="A7320" i="1"/>
  <c r="A7319" i="1"/>
  <c r="A7318" i="1"/>
  <c r="A7317" i="1"/>
  <c r="A7316" i="1"/>
  <c r="A7315" i="1"/>
  <c r="A7314" i="1"/>
  <c r="A7313" i="1"/>
  <c r="A7312" i="1"/>
  <c r="A7311" i="1"/>
  <c r="A7310" i="1"/>
  <c r="A7309" i="1"/>
  <c r="A7308" i="1"/>
  <c r="A7307" i="1"/>
  <c r="A7306" i="1"/>
  <c r="A7305" i="1"/>
  <c r="A7304" i="1"/>
  <c r="A7303" i="1"/>
  <c r="A7302" i="1"/>
  <c r="A7301" i="1"/>
  <c r="A7300" i="1"/>
  <c r="A7299" i="1"/>
  <c r="A7298" i="1"/>
  <c r="A7297" i="1"/>
  <c r="A7296" i="1"/>
  <c r="A7295" i="1"/>
  <c r="A7294" i="1"/>
  <c r="A7293" i="1"/>
  <c r="A7292" i="1"/>
  <c r="A7291" i="1"/>
  <c r="A7290" i="1"/>
  <c r="A7289" i="1"/>
  <c r="A7288" i="1"/>
  <c r="A7287" i="1"/>
  <c r="A7286" i="1"/>
  <c r="A7285" i="1"/>
  <c r="A7284" i="1"/>
  <c r="A7283" i="1"/>
  <c r="A7282" i="1"/>
  <c r="A7281" i="1"/>
  <c r="A7280" i="1"/>
  <c r="A7279" i="1"/>
  <c r="A7278" i="1"/>
  <c r="A7277" i="1"/>
  <c r="A7276" i="1"/>
  <c r="A7275" i="1"/>
  <c r="A7274" i="1"/>
  <c r="A7273" i="1"/>
  <c r="A7272" i="1"/>
  <c r="A7271" i="1"/>
  <c r="A7270" i="1"/>
  <c r="A7269" i="1"/>
  <c r="A7268" i="1"/>
  <c r="A7267" i="1"/>
  <c r="A7266" i="1"/>
  <c r="A7265" i="1"/>
  <c r="A7264" i="1"/>
  <c r="A7263" i="1"/>
  <c r="A7262" i="1"/>
  <c r="A7261" i="1"/>
  <c r="A7260" i="1"/>
  <c r="A7259" i="1"/>
  <c r="A7258" i="1"/>
  <c r="A7257" i="1"/>
  <c r="A7256" i="1"/>
  <c r="A7255" i="1"/>
  <c r="A7254" i="1"/>
  <c r="A7253" i="1"/>
  <c r="A7252" i="1"/>
  <c r="A7251" i="1"/>
  <c r="A7250" i="1"/>
  <c r="A7249" i="1"/>
  <c r="A7248" i="1"/>
  <c r="A7247" i="1"/>
  <c r="A7246" i="1"/>
  <c r="A7245" i="1"/>
  <c r="A7244" i="1"/>
  <c r="A7243" i="1"/>
  <c r="A7242" i="1"/>
  <c r="A7241" i="1"/>
  <c r="A7240" i="1"/>
  <c r="A7239" i="1"/>
  <c r="A7238" i="1"/>
  <c r="A7237" i="1"/>
  <c r="A7236" i="1"/>
  <c r="A7235" i="1"/>
  <c r="A7234" i="1"/>
  <c r="A7233" i="1"/>
  <c r="A7232" i="1"/>
  <c r="A7231" i="1"/>
  <c r="A7230" i="1"/>
  <c r="A7229" i="1"/>
  <c r="A7228" i="1"/>
  <c r="A7227" i="1"/>
  <c r="A7226" i="1"/>
  <c r="A7225" i="1"/>
  <c r="A7224" i="1"/>
  <c r="A7223" i="1"/>
  <c r="A7222" i="1"/>
  <c r="A7221" i="1"/>
  <c r="A7220" i="1"/>
  <c r="A7219" i="1"/>
  <c r="A7218" i="1"/>
  <c r="A7217" i="1"/>
  <c r="A7216" i="1"/>
  <c r="A7215" i="1"/>
  <c r="A7214" i="1"/>
  <c r="A7213" i="1"/>
  <c r="A7212" i="1"/>
  <c r="A7211" i="1"/>
  <c r="A7210" i="1"/>
  <c r="A7209" i="1"/>
  <c r="A7208" i="1"/>
  <c r="A7207" i="1"/>
  <c r="A7206" i="1"/>
  <c r="A7205" i="1"/>
  <c r="A7204" i="1"/>
  <c r="A7203" i="1"/>
  <c r="A7202" i="1"/>
  <c r="A7201" i="1"/>
  <c r="A7200" i="1"/>
  <c r="A7199" i="1"/>
  <c r="A7198" i="1"/>
  <c r="A7197" i="1"/>
  <c r="A7196" i="1"/>
  <c r="A7195" i="1"/>
  <c r="A7194" i="1"/>
  <c r="A7193" i="1"/>
  <c r="A7192" i="1"/>
  <c r="A7191" i="1"/>
  <c r="A7190" i="1"/>
  <c r="A7189" i="1"/>
  <c r="A7188" i="1"/>
  <c r="A7187" i="1"/>
  <c r="A7186" i="1"/>
  <c r="A7185" i="1"/>
  <c r="A7184" i="1"/>
  <c r="A7183" i="1"/>
  <c r="A7182" i="1"/>
  <c r="A7181" i="1"/>
  <c r="A7180" i="1"/>
  <c r="A7179" i="1"/>
  <c r="A7178" i="1"/>
  <c r="A7177" i="1"/>
  <c r="A7176" i="1"/>
  <c r="A7175" i="1"/>
  <c r="A7174" i="1"/>
  <c r="A7173" i="1"/>
  <c r="A7172" i="1"/>
  <c r="A7171" i="1"/>
  <c r="A7170" i="1"/>
  <c r="A7169" i="1"/>
  <c r="A7168" i="1"/>
  <c r="A7167" i="1"/>
  <c r="A7166" i="1"/>
  <c r="A7165" i="1"/>
  <c r="A7164" i="1"/>
  <c r="A7163" i="1"/>
  <c r="A7162" i="1"/>
  <c r="A7161" i="1"/>
  <c r="A7160" i="1"/>
  <c r="A7159" i="1"/>
  <c r="A7158" i="1"/>
  <c r="A7157" i="1"/>
  <c r="A7156" i="1"/>
  <c r="A7155" i="1"/>
  <c r="A7154" i="1"/>
  <c r="A7153" i="1"/>
  <c r="A7152" i="1"/>
  <c r="A7151" i="1"/>
  <c r="A7150" i="1"/>
  <c r="A7149" i="1"/>
  <c r="A7148" i="1"/>
  <c r="A7147" i="1"/>
  <c r="A7146" i="1"/>
  <c r="A7145" i="1"/>
  <c r="A7144" i="1"/>
  <c r="A7143" i="1"/>
  <c r="A7142" i="1"/>
  <c r="A7141" i="1"/>
  <c r="A7140" i="1"/>
  <c r="A7139" i="1"/>
  <c r="A7138" i="1"/>
  <c r="A7137" i="1"/>
  <c r="A7136" i="1"/>
  <c r="A7135" i="1"/>
  <c r="A7134" i="1"/>
  <c r="A7133" i="1"/>
  <c r="A7132" i="1"/>
  <c r="A7131" i="1"/>
  <c r="A7130" i="1"/>
  <c r="A7129" i="1"/>
  <c r="A7128" i="1"/>
  <c r="A7127" i="1"/>
  <c r="A7126" i="1"/>
  <c r="A7125" i="1"/>
  <c r="A7124" i="1"/>
  <c r="A7123" i="1"/>
  <c r="A7122" i="1"/>
  <c r="A7121" i="1"/>
  <c r="A7120" i="1"/>
  <c r="A7119" i="1"/>
  <c r="A7118" i="1"/>
  <c r="A7117" i="1"/>
  <c r="A7116" i="1"/>
  <c r="A7115" i="1"/>
  <c r="A7114" i="1"/>
  <c r="A7113" i="1"/>
  <c r="A7112" i="1"/>
  <c r="A7111" i="1"/>
  <c r="A7110" i="1"/>
  <c r="A7109" i="1"/>
  <c r="A7108" i="1"/>
  <c r="A7107" i="1"/>
  <c r="A7106" i="1"/>
  <c r="A7105" i="1"/>
  <c r="A7104" i="1"/>
  <c r="A7103" i="1"/>
  <c r="A7102" i="1"/>
  <c r="A7101" i="1"/>
  <c r="A7100" i="1"/>
  <c r="A7099" i="1"/>
  <c r="A7098" i="1"/>
  <c r="A7097" i="1"/>
  <c r="A7096" i="1"/>
  <c r="A7095" i="1"/>
  <c r="A7094" i="1"/>
  <c r="A7093" i="1"/>
  <c r="A7092" i="1"/>
  <c r="A7091" i="1"/>
  <c r="A7090" i="1"/>
  <c r="A7089" i="1"/>
  <c r="A7088" i="1"/>
  <c r="A7087" i="1"/>
  <c r="A7086" i="1"/>
  <c r="A7085" i="1"/>
  <c r="A7084" i="1"/>
  <c r="A7083" i="1"/>
  <c r="A7082" i="1"/>
  <c r="A7081" i="1"/>
  <c r="A7080" i="1"/>
  <c r="A7079" i="1"/>
  <c r="A7078" i="1"/>
  <c r="A7077" i="1"/>
  <c r="A7076" i="1"/>
  <c r="A7075" i="1"/>
  <c r="A7074" i="1"/>
  <c r="A7073" i="1"/>
  <c r="A7072" i="1"/>
  <c r="A7071" i="1"/>
  <c r="A7070" i="1"/>
  <c r="A7069" i="1"/>
  <c r="A7068" i="1"/>
  <c r="A7067" i="1"/>
  <c r="A7066" i="1"/>
  <c r="A7065" i="1"/>
  <c r="A7064" i="1"/>
  <c r="A7063" i="1"/>
  <c r="A7062" i="1"/>
  <c r="A7061" i="1"/>
  <c r="A7060" i="1"/>
  <c r="A7059" i="1"/>
  <c r="A7058" i="1"/>
  <c r="A7057" i="1"/>
  <c r="A7056" i="1"/>
  <c r="A7055" i="1"/>
  <c r="A7054" i="1"/>
  <c r="A7053" i="1"/>
  <c r="A7052" i="1"/>
  <c r="A7051" i="1"/>
  <c r="A7050" i="1"/>
  <c r="A7049" i="1"/>
  <c r="A7048" i="1"/>
  <c r="A7047" i="1"/>
  <c r="A7046" i="1"/>
  <c r="A7045" i="1"/>
  <c r="A7044" i="1"/>
  <c r="A7043" i="1"/>
  <c r="A7042" i="1"/>
  <c r="A7041" i="1"/>
  <c r="A7040" i="1"/>
  <c r="A7039" i="1"/>
  <c r="A7038" i="1"/>
  <c r="A7037" i="1"/>
  <c r="A7036" i="1"/>
  <c r="A7035" i="1"/>
  <c r="A7034" i="1"/>
  <c r="A7033" i="1"/>
  <c r="A7032" i="1"/>
  <c r="A7031" i="1"/>
  <c r="A7030" i="1"/>
  <c r="A7029" i="1"/>
  <c r="A7028" i="1"/>
  <c r="A7027" i="1"/>
  <c r="A7026" i="1"/>
  <c r="A7025" i="1"/>
  <c r="A7024" i="1"/>
  <c r="A7023" i="1"/>
  <c r="A7022" i="1"/>
  <c r="A7021" i="1"/>
  <c r="A7020" i="1"/>
  <c r="A7019" i="1"/>
  <c r="A7018" i="1"/>
  <c r="A7017" i="1"/>
  <c r="A7016" i="1"/>
  <c r="A7015" i="1"/>
  <c r="A7014" i="1"/>
  <c r="A7013" i="1"/>
  <c r="A7012" i="1"/>
  <c r="A7011" i="1"/>
  <c r="A7010" i="1"/>
  <c r="A7009" i="1"/>
  <c r="A7008" i="1"/>
  <c r="A7007" i="1"/>
  <c r="A7006" i="1"/>
  <c r="A7005" i="1"/>
  <c r="A7004" i="1"/>
  <c r="A7003" i="1"/>
  <c r="A7002" i="1"/>
  <c r="A7001" i="1"/>
  <c r="A7000" i="1"/>
  <c r="A6999" i="1"/>
  <c r="A6998" i="1"/>
  <c r="A6997" i="1"/>
  <c r="A6996" i="1"/>
  <c r="A6995" i="1"/>
  <c r="A6994" i="1"/>
  <c r="A6993" i="1"/>
  <c r="A6992" i="1"/>
  <c r="A6991" i="1"/>
  <c r="A6990" i="1"/>
  <c r="A6989" i="1"/>
  <c r="A6988" i="1"/>
  <c r="A6987" i="1"/>
  <c r="A6986" i="1"/>
  <c r="A6985" i="1"/>
  <c r="A6984" i="1"/>
  <c r="A6983" i="1"/>
  <c r="A6982" i="1"/>
  <c r="A6981" i="1"/>
  <c r="A6980" i="1"/>
  <c r="A6979" i="1"/>
  <c r="A6978" i="1"/>
  <c r="A6977" i="1"/>
  <c r="A6976" i="1"/>
  <c r="A6975" i="1"/>
  <c r="A6974" i="1"/>
  <c r="A6973" i="1"/>
  <c r="A6972" i="1"/>
  <c r="A6971" i="1"/>
  <c r="A6970" i="1"/>
  <c r="A6969" i="1"/>
  <c r="A6968" i="1"/>
  <c r="A6967" i="1"/>
  <c r="A6966" i="1"/>
  <c r="A6965" i="1"/>
  <c r="A6964" i="1"/>
  <c r="A6963" i="1"/>
  <c r="A6962" i="1"/>
  <c r="A6961" i="1"/>
  <c r="A6960" i="1"/>
  <c r="A6959" i="1"/>
  <c r="A6958" i="1"/>
  <c r="A6957" i="1"/>
  <c r="A6956" i="1"/>
  <c r="A6955" i="1"/>
  <c r="A6954" i="1"/>
  <c r="A6953" i="1"/>
  <c r="A6952" i="1"/>
  <c r="A6951" i="1"/>
  <c r="A6950" i="1"/>
  <c r="A6949" i="1"/>
  <c r="A6948" i="1"/>
  <c r="A6947" i="1"/>
  <c r="A6946" i="1"/>
  <c r="A6945" i="1"/>
  <c r="A6944" i="1"/>
  <c r="A6943" i="1"/>
  <c r="A6942" i="1"/>
  <c r="A6941" i="1"/>
  <c r="A6940" i="1"/>
  <c r="A6939" i="1"/>
  <c r="A6938" i="1"/>
  <c r="A6937" i="1"/>
  <c r="A6936" i="1"/>
  <c r="A6935" i="1"/>
  <c r="A6934" i="1"/>
  <c r="A6933" i="1"/>
  <c r="A6932" i="1"/>
  <c r="A6931" i="1"/>
  <c r="A6930" i="1"/>
  <c r="A6929" i="1"/>
  <c r="A6928" i="1"/>
  <c r="A6927" i="1"/>
  <c r="A6926" i="1"/>
  <c r="A6925" i="1"/>
  <c r="A6924" i="1"/>
  <c r="A6923" i="1"/>
  <c r="A6922" i="1"/>
  <c r="A6921" i="1"/>
  <c r="A6920" i="1"/>
  <c r="A6919" i="1"/>
  <c r="A6918" i="1"/>
  <c r="A6917" i="1"/>
  <c r="A6916" i="1"/>
  <c r="A6915" i="1"/>
  <c r="A6914" i="1"/>
  <c r="A6913" i="1"/>
  <c r="A6912" i="1"/>
  <c r="A6911" i="1"/>
  <c r="A6910" i="1"/>
  <c r="A6909" i="1"/>
  <c r="A6908" i="1"/>
  <c r="A6907" i="1"/>
  <c r="A6906" i="1"/>
  <c r="A6905" i="1"/>
  <c r="A6904" i="1"/>
  <c r="A6903" i="1"/>
  <c r="A6902" i="1"/>
  <c r="A6901" i="1"/>
  <c r="A6900" i="1"/>
  <c r="A6899" i="1"/>
  <c r="A6898" i="1"/>
  <c r="A6897" i="1"/>
  <c r="A6896" i="1"/>
  <c r="A6895" i="1"/>
  <c r="A6894" i="1"/>
  <c r="A6893" i="1"/>
  <c r="A6892" i="1"/>
  <c r="A6891" i="1"/>
  <c r="A6890" i="1"/>
  <c r="A6889" i="1"/>
  <c r="A6888" i="1"/>
  <c r="A6887" i="1"/>
  <c r="A6886" i="1"/>
  <c r="A6885" i="1"/>
  <c r="A6884" i="1"/>
  <c r="A6883" i="1"/>
  <c r="A6882" i="1"/>
  <c r="A6881" i="1"/>
  <c r="A6880" i="1"/>
  <c r="A6879" i="1"/>
  <c r="A6878" i="1"/>
  <c r="A6877" i="1"/>
  <c r="A6876" i="1"/>
  <c r="A6875" i="1"/>
  <c r="A6874" i="1"/>
  <c r="A6873" i="1"/>
  <c r="A6872" i="1"/>
  <c r="A6871" i="1"/>
  <c r="A6870" i="1"/>
  <c r="A6869" i="1"/>
  <c r="A6868" i="1"/>
  <c r="A6867" i="1"/>
  <c r="A6866" i="1"/>
  <c r="A6865" i="1"/>
  <c r="A6864" i="1"/>
  <c r="A6863" i="1"/>
  <c r="A6862" i="1"/>
  <c r="A6861" i="1"/>
  <c r="A6860" i="1"/>
  <c r="A6859" i="1"/>
  <c r="A6858" i="1"/>
  <c r="A6857" i="1"/>
  <c r="A6856" i="1"/>
  <c r="A6855" i="1"/>
  <c r="A6854" i="1"/>
  <c r="A6853" i="1"/>
  <c r="A6852" i="1"/>
  <c r="A6851" i="1"/>
  <c r="A6850" i="1"/>
  <c r="A6849" i="1"/>
  <c r="A6848" i="1"/>
  <c r="A6847" i="1"/>
  <c r="A6846" i="1"/>
  <c r="A6845" i="1"/>
  <c r="A6844" i="1"/>
  <c r="A6843" i="1"/>
  <c r="A6842" i="1"/>
  <c r="A6841" i="1"/>
  <c r="A6840" i="1"/>
  <c r="A6839" i="1"/>
  <c r="A6838" i="1"/>
  <c r="A6837" i="1"/>
  <c r="A6836" i="1"/>
  <c r="A6835" i="1"/>
  <c r="A6834" i="1"/>
  <c r="A6833" i="1"/>
  <c r="A6832" i="1"/>
  <c r="A6831" i="1"/>
  <c r="A6830" i="1"/>
  <c r="A6829" i="1"/>
  <c r="A6828" i="1"/>
  <c r="A6827" i="1"/>
  <c r="A6826" i="1"/>
  <c r="A6825" i="1"/>
  <c r="A6824" i="1"/>
  <c r="A6823" i="1"/>
  <c r="A6822" i="1"/>
  <c r="A6821" i="1"/>
  <c r="A6820" i="1"/>
  <c r="A6819" i="1"/>
  <c r="A6818" i="1"/>
  <c r="A6817" i="1"/>
  <c r="A6816" i="1"/>
  <c r="A6815" i="1"/>
  <c r="A6814" i="1"/>
  <c r="A6813" i="1"/>
  <c r="A6812" i="1"/>
  <c r="A6811" i="1"/>
  <c r="A6810" i="1"/>
  <c r="A6809" i="1"/>
  <c r="A6808" i="1"/>
  <c r="A6807" i="1"/>
  <c r="A6806" i="1"/>
  <c r="A6805" i="1"/>
  <c r="A6804" i="1"/>
  <c r="A6803" i="1"/>
  <c r="A6802" i="1"/>
  <c r="A6801" i="1"/>
  <c r="A6800" i="1"/>
  <c r="A6799" i="1"/>
  <c r="A6798" i="1"/>
  <c r="A6797" i="1"/>
  <c r="A6796" i="1"/>
  <c r="A6795" i="1"/>
  <c r="A6794" i="1"/>
  <c r="A6793" i="1"/>
  <c r="A6792" i="1"/>
  <c r="A6791" i="1"/>
  <c r="A6790" i="1"/>
  <c r="A6789" i="1"/>
  <c r="A6788" i="1"/>
  <c r="A6787" i="1"/>
  <c r="A6786" i="1"/>
  <c r="A6785" i="1"/>
  <c r="A6784" i="1"/>
  <c r="A6783" i="1"/>
  <c r="A6782" i="1"/>
  <c r="A6781" i="1"/>
  <c r="A6780" i="1"/>
  <c r="A6779" i="1"/>
  <c r="A6778" i="1"/>
  <c r="A6777" i="1"/>
  <c r="A6776" i="1"/>
  <c r="A6775" i="1"/>
  <c r="A6774" i="1"/>
  <c r="A6773" i="1"/>
  <c r="A6772" i="1"/>
  <c r="A6771" i="1"/>
  <c r="A6770" i="1"/>
  <c r="A6769" i="1"/>
  <c r="A6768" i="1"/>
  <c r="A6767" i="1"/>
  <c r="A6766" i="1"/>
  <c r="A6765" i="1"/>
  <c r="A6764" i="1"/>
  <c r="A6763" i="1"/>
  <c r="A6762" i="1"/>
  <c r="A6761" i="1"/>
  <c r="A6760" i="1"/>
  <c r="A6759" i="1"/>
  <c r="A6758" i="1"/>
  <c r="A6757" i="1"/>
  <c r="A6756" i="1"/>
  <c r="A6755" i="1"/>
  <c r="A6754" i="1"/>
  <c r="A6753" i="1"/>
  <c r="A6752" i="1"/>
  <c r="A6751" i="1"/>
  <c r="A6750" i="1"/>
  <c r="A6749" i="1"/>
  <c r="A6748" i="1"/>
  <c r="A6747" i="1"/>
  <c r="A6746" i="1"/>
  <c r="A6745" i="1"/>
  <c r="A6744" i="1"/>
  <c r="A6743" i="1"/>
  <c r="A6742" i="1"/>
  <c r="A6741" i="1"/>
  <c r="A6740" i="1"/>
  <c r="A6739" i="1"/>
  <c r="A6738" i="1"/>
  <c r="A6737" i="1"/>
  <c r="A6736" i="1"/>
  <c r="A6735" i="1"/>
  <c r="A6734" i="1"/>
  <c r="A6733" i="1"/>
  <c r="A6732" i="1"/>
  <c r="A6731" i="1"/>
  <c r="A6730" i="1"/>
  <c r="A6729" i="1"/>
  <c r="A6728" i="1"/>
  <c r="A6727" i="1"/>
  <c r="A6726" i="1"/>
  <c r="A6725" i="1"/>
  <c r="A6724" i="1"/>
  <c r="A6723" i="1"/>
  <c r="A6722" i="1"/>
  <c r="A6721" i="1"/>
  <c r="A6720" i="1"/>
  <c r="A6719" i="1"/>
  <c r="A6718" i="1"/>
  <c r="A6717" i="1"/>
  <c r="A6716" i="1"/>
  <c r="A6715" i="1"/>
  <c r="A6714" i="1"/>
  <c r="A6713" i="1"/>
  <c r="A6712" i="1"/>
  <c r="A6711" i="1"/>
  <c r="A6710" i="1"/>
  <c r="A6709" i="1"/>
  <c r="A6708" i="1"/>
  <c r="A6707" i="1"/>
  <c r="A6706" i="1"/>
  <c r="A6705" i="1"/>
  <c r="A6704" i="1"/>
  <c r="A6703" i="1"/>
  <c r="A6702" i="1"/>
  <c r="A6701" i="1"/>
  <c r="A6700" i="1"/>
  <c r="A6699" i="1"/>
  <c r="A6698" i="1"/>
  <c r="A6697" i="1"/>
  <c r="A6696" i="1"/>
  <c r="A6695" i="1"/>
  <c r="A6694" i="1"/>
  <c r="A6693" i="1"/>
  <c r="A6692" i="1"/>
  <c r="A6691" i="1"/>
  <c r="A6690" i="1"/>
  <c r="A6689" i="1"/>
  <c r="A6688" i="1"/>
  <c r="A6687" i="1"/>
  <c r="A6686" i="1"/>
  <c r="A6685" i="1"/>
  <c r="A6684" i="1"/>
  <c r="A6683" i="1"/>
  <c r="A6682" i="1"/>
  <c r="A6681" i="1"/>
  <c r="A6680" i="1"/>
  <c r="A6679" i="1"/>
  <c r="A6678" i="1"/>
  <c r="A6677" i="1"/>
  <c r="A6676" i="1"/>
  <c r="A6675" i="1"/>
  <c r="A6674" i="1"/>
  <c r="A6673" i="1"/>
  <c r="A6672" i="1"/>
  <c r="A6671" i="1"/>
  <c r="A6670" i="1"/>
  <c r="A6669" i="1"/>
  <c r="A6668" i="1"/>
  <c r="A6667" i="1"/>
  <c r="A6666" i="1"/>
  <c r="A6665" i="1"/>
  <c r="A6664" i="1"/>
  <c r="A6663" i="1"/>
  <c r="A6662" i="1"/>
  <c r="A6661" i="1"/>
  <c r="A6660" i="1"/>
  <c r="A6659" i="1"/>
  <c r="A6658" i="1"/>
  <c r="A6657" i="1"/>
  <c r="A6656" i="1"/>
  <c r="A6655" i="1"/>
  <c r="A6654" i="1"/>
  <c r="A6653" i="1"/>
  <c r="A6652" i="1"/>
  <c r="A6651" i="1"/>
  <c r="A6650" i="1"/>
  <c r="A6649" i="1"/>
  <c r="A6648" i="1"/>
  <c r="A6647" i="1"/>
  <c r="A6646" i="1"/>
  <c r="A6645" i="1"/>
  <c r="A6644" i="1"/>
  <c r="A6643" i="1"/>
  <c r="A6642" i="1"/>
  <c r="A6641" i="1"/>
  <c r="A6640" i="1"/>
  <c r="A6639" i="1"/>
  <c r="A6638" i="1"/>
  <c r="A6637" i="1"/>
  <c r="A6636" i="1"/>
  <c r="A6635" i="1"/>
  <c r="A6634" i="1"/>
  <c r="A6633" i="1"/>
  <c r="A6632" i="1"/>
  <c r="A6631" i="1"/>
  <c r="A6630" i="1"/>
  <c r="A6629" i="1"/>
  <c r="A6628" i="1"/>
  <c r="A6627" i="1"/>
  <c r="A6626" i="1"/>
  <c r="A6625" i="1"/>
  <c r="A6624" i="1"/>
  <c r="A6623" i="1"/>
  <c r="A6622" i="1"/>
  <c r="A6621" i="1"/>
  <c r="A6620" i="1"/>
  <c r="A6619" i="1"/>
  <c r="A6618" i="1"/>
  <c r="A6617" i="1"/>
  <c r="A6616" i="1"/>
  <c r="A6615" i="1"/>
  <c r="A6614" i="1"/>
  <c r="A6613" i="1"/>
  <c r="A6612" i="1"/>
  <c r="A6611" i="1"/>
  <c r="A6610" i="1"/>
  <c r="A6609" i="1"/>
  <c r="A6608" i="1"/>
  <c r="A6607" i="1"/>
  <c r="A6606" i="1"/>
  <c r="A6605" i="1"/>
  <c r="A6604" i="1"/>
  <c r="A6603" i="1"/>
  <c r="A6602" i="1"/>
  <c r="A6601" i="1"/>
  <c r="A6600" i="1"/>
  <c r="A6599" i="1"/>
  <c r="A6598" i="1"/>
  <c r="A6597" i="1"/>
  <c r="A6596" i="1"/>
  <c r="A6595" i="1"/>
  <c r="A6594" i="1"/>
  <c r="A6593" i="1"/>
  <c r="A6592" i="1"/>
  <c r="A6591" i="1"/>
  <c r="A6590" i="1"/>
  <c r="A6589" i="1"/>
  <c r="A6588" i="1"/>
  <c r="A6587" i="1"/>
  <c r="A6586" i="1"/>
  <c r="A6585" i="1"/>
  <c r="A6584" i="1"/>
  <c r="A6583" i="1"/>
  <c r="A6582" i="1"/>
  <c r="A6581" i="1"/>
  <c r="A6580" i="1"/>
  <c r="A6579" i="1"/>
  <c r="A6578" i="1"/>
  <c r="A6577" i="1"/>
  <c r="A6576" i="1"/>
  <c r="A6575" i="1"/>
  <c r="A6574" i="1"/>
  <c r="A6573" i="1"/>
  <c r="A6572" i="1"/>
  <c r="A6571" i="1"/>
  <c r="A6570" i="1"/>
  <c r="A6569" i="1"/>
  <c r="A6568" i="1"/>
  <c r="A6567" i="1"/>
  <c r="A6566" i="1"/>
  <c r="A6565" i="1"/>
  <c r="A6564" i="1"/>
  <c r="A6563" i="1"/>
  <c r="A6562" i="1"/>
  <c r="A6561" i="1"/>
  <c r="A6560" i="1"/>
  <c r="A6559" i="1"/>
  <c r="A6558" i="1"/>
  <c r="A6557" i="1"/>
  <c r="A6556" i="1"/>
  <c r="A6555" i="1"/>
  <c r="A6554" i="1"/>
  <c r="A6553" i="1"/>
  <c r="A6552" i="1"/>
  <c r="A6551" i="1"/>
  <c r="A6550" i="1"/>
  <c r="A6549" i="1"/>
  <c r="A6548" i="1"/>
  <c r="A6547" i="1"/>
  <c r="A6546" i="1"/>
  <c r="A6545" i="1"/>
  <c r="A6544" i="1"/>
  <c r="A6543" i="1"/>
  <c r="A6542" i="1"/>
  <c r="A6541" i="1"/>
  <c r="A6540" i="1"/>
  <c r="A6539" i="1"/>
  <c r="A6538" i="1"/>
  <c r="A6537" i="1"/>
  <c r="A6536" i="1"/>
  <c r="A6535" i="1"/>
  <c r="A6534" i="1"/>
  <c r="A6533" i="1"/>
  <c r="A6532" i="1"/>
  <c r="A6531" i="1"/>
  <c r="A6530" i="1"/>
  <c r="A6529" i="1"/>
  <c r="A6528" i="1"/>
  <c r="A6527" i="1"/>
  <c r="A6526" i="1"/>
  <c r="A6525" i="1"/>
  <c r="A6524" i="1"/>
  <c r="A6523" i="1"/>
  <c r="A6522" i="1"/>
  <c r="A6521" i="1"/>
  <c r="A6520" i="1"/>
  <c r="A6519" i="1"/>
  <c r="A6518" i="1"/>
  <c r="A6517" i="1"/>
  <c r="A6516" i="1"/>
  <c r="A6515" i="1"/>
  <c r="A6514" i="1"/>
  <c r="A6513" i="1"/>
  <c r="A6512" i="1"/>
  <c r="A6511" i="1"/>
  <c r="A6510" i="1"/>
  <c r="A6509" i="1"/>
  <c r="A6508" i="1"/>
  <c r="A6507" i="1"/>
  <c r="A6506" i="1"/>
  <c r="A6505" i="1"/>
  <c r="A6504" i="1"/>
  <c r="A6503" i="1"/>
  <c r="A6502" i="1"/>
  <c r="A6501" i="1"/>
  <c r="A6500" i="1"/>
  <c r="A6499" i="1"/>
  <c r="A6498" i="1"/>
  <c r="A6497" i="1"/>
  <c r="A6496" i="1"/>
  <c r="A6495" i="1"/>
  <c r="A6494" i="1"/>
  <c r="A6493" i="1"/>
  <c r="A6492" i="1"/>
  <c r="A6491" i="1"/>
  <c r="A6490" i="1"/>
  <c r="A6489" i="1"/>
  <c r="A6488" i="1"/>
  <c r="A6487" i="1"/>
  <c r="A6486" i="1"/>
  <c r="A6485" i="1"/>
  <c r="A6484" i="1"/>
  <c r="A6483" i="1"/>
  <c r="A6482" i="1"/>
  <c r="A6481" i="1"/>
  <c r="A6480" i="1"/>
  <c r="A6479" i="1"/>
  <c r="A6478" i="1"/>
  <c r="A6477" i="1"/>
  <c r="A6476" i="1"/>
  <c r="A6475" i="1"/>
  <c r="A6474" i="1"/>
  <c r="A6473" i="1"/>
  <c r="A6472" i="1"/>
  <c r="A6471" i="1"/>
  <c r="A6470" i="1"/>
  <c r="A6469" i="1"/>
  <c r="A6468" i="1"/>
  <c r="A6467" i="1"/>
  <c r="A6466" i="1"/>
  <c r="A6465" i="1"/>
  <c r="A6464" i="1"/>
  <c r="A6463" i="1"/>
  <c r="A6462" i="1"/>
  <c r="A6461" i="1"/>
  <c r="A6460" i="1"/>
  <c r="A6459" i="1"/>
  <c r="A6458" i="1"/>
  <c r="A6457" i="1"/>
  <c r="A6456" i="1"/>
  <c r="A6455" i="1"/>
  <c r="A6454" i="1"/>
  <c r="A6453" i="1"/>
  <c r="A6452" i="1"/>
  <c r="A6451" i="1"/>
  <c r="A6450" i="1"/>
  <c r="A6449" i="1"/>
  <c r="A6448" i="1"/>
  <c r="A6447" i="1"/>
  <c r="A6446" i="1"/>
  <c r="A6445" i="1"/>
  <c r="A6444" i="1"/>
  <c r="A6443" i="1"/>
  <c r="A6442" i="1"/>
  <c r="A6441" i="1"/>
  <c r="A6440" i="1"/>
  <c r="A6439" i="1"/>
  <c r="A6438" i="1"/>
  <c r="A6437" i="1"/>
  <c r="A6436" i="1"/>
  <c r="A6435" i="1"/>
  <c r="A6434" i="1"/>
  <c r="A6433" i="1"/>
  <c r="A6432" i="1"/>
  <c r="A6431" i="1"/>
  <c r="A6430" i="1"/>
  <c r="A6429" i="1"/>
  <c r="A6428" i="1"/>
  <c r="A6427" i="1"/>
  <c r="A6426" i="1"/>
  <c r="A6425" i="1"/>
  <c r="A6424" i="1"/>
  <c r="A6423" i="1"/>
  <c r="A6422" i="1"/>
  <c r="A6421" i="1"/>
  <c r="A6420" i="1"/>
  <c r="A6419" i="1"/>
  <c r="A6418" i="1"/>
  <c r="A6417" i="1"/>
  <c r="A6416" i="1"/>
  <c r="A6415" i="1"/>
  <c r="A6414" i="1"/>
  <c r="A6413" i="1"/>
  <c r="A6412" i="1"/>
  <c r="A6411" i="1"/>
  <c r="A6410" i="1"/>
  <c r="A6409" i="1"/>
  <c r="A6408" i="1"/>
  <c r="A6407" i="1"/>
  <c r="A6406" i="1"/>
  <c r="A6405" i="1"/>
  <c r="A6404" i="1"/>
  <c r="A6403" i="1"/>
  <c r="A6402" i="1"/>
  <c r="A6401" i="1"/>
  <c r="A6400" i="1"/>
  <c r="A6399" i="1"/>
  <c r="A6398" i="1"/>
  <c r="A6397" i="1"/>
  <c r="A6396" i="1"/>
  <c r="A6395" i="1"/>
  <c r="A6394" i="1"/>
  <c r="A6393" i="1"/>
  <c r="A6392" i="1"/>
  <c r="A6391" i="1"/>
  <c r="A6390" i="1"/>
  <c r="A6389" i="1"/>
  <c r="A6388" i="1"/>
  <c r="A6387" i="1"/>
  <c r="A6386" i="1"/>
  <c r="A6385" i="1"/>
  <c r="A6384" i="1"/>
  <c r="A6383" i="1"/>
  <c r="A6382" i="1"/>
  <c r="A6381" i="1"/>
  <c r="A6380" i="1"/>
  <c r="A6379" i="1"/>
  <c r="A6378" i="1"/>
  <c r="A6377" i="1"/>
  <c r="A6376" i="1"/>
  <c r="A6375" i="1"/>
  <c r="A6374" i="1"/>
  <c r="A6373" i="1"/>
  <c r="A6372" i="1"/>
  <c r="A6371" i="1"/>
  <c r="A6370" i="1"/>
  <c r="A6369" i="1"/>
  <c r="A6368" i="1"/>
  <c r="A6367" i="1"/>
  <c r="A6366" i="1"/>
  <c r="A6365" i="1"/>
  <c r="A6364" i="1"/>
  <c r="A6363" i="1"/>
  <c r="A6362" i="1"/>
  <c r="A6361" i="1"/>
  <c r="A6360" i="1"/>
  <c r="A6359" i="1"/>
  <c r="A6358" i="1"/>
  <c r="A6357" i="1"/>
  <c r="A6356" i="1"/>
  <c r="A6355" i="1"/>
  <c r="A6354" i="1"/>
  <c r="A6353" i="1"/>
  <c r="A6352" i="1"/>
  <c r="A6351" i="1"/>
  <c r="A6350" i="1"/>
  <c r="A6349" i="1"/>
  <c r="A6348" i="1"/>
  <c r="A6347" i="1"/>
  <c r="A6346" i="1"/>
  <c r="A6345" i="1"/>
  <c r="A6344" i="1"/>
  <c r="A6343" i="1"/>
  <c r="A6342" i="1"/>
  <c r="A6341" i="1"/>
  <c r="A6340" i="1"/>
  <c r="A6339" i="1"/>
  <c r="A6338" i="1"/>
  <c r="A6337" i="1"/>
  <c r="A6336" i="1"/>
  <c r="A6335" i="1"/>
  <c r="A6334" i="1"/>
  <c r="A6333" i="1"/>
  <c r="A6332" i="1"/>
  <c r="A6331" i="1"/>
  <c r="A6330" i="1"/>
  <c r="A6329" i="1"/>
  <c r="A6328" i="1"/>
  <c r="A6327" i="1"/>
  <c r="A6326" i="1"/>
  <c r="A6325" i="1"/>
  <c r="A6324" i="1"/>
  <c r="A6323" i="1"/>
  <c r="A6322" i="1"/>
  <c r="A6321" i="1"/>
  <c r="A6320" i="1"/>
  <c r="A6319" i="1"/>
  <c r="A6318" i="1"/>
  <c r="A6317" i="1"/>
  <c r="A6316" i="1"/>
  <c r="A6315" i="1"/>
  <c r="A6314" i="1"/>
  <c r="A6313" i="1"/>
  <c r="A6312" i="1"/>
  <c r="A6311" i="1"/>
  <c r="A6310" i="1"/>
  <c r="A6309" i="1"/>
  <c r="A6308" i="1"/>
  <c r="A6307" i="1"/>
  <c r="A6306" i="1"/>
  <c r="A6305" i="1"/>
  <c r="A6304" i="1"/>
  <c r="A6303" i="1"/>
  <c r="A6302" i="1"/>
  <c r="A6301" i="1"/>
  <c r="A6300" i="1"/>
  <c r="A6299" i="1"/>
  <c r="A6298" i="1"/>
  <c r="A6297" i="1"/>
  <c r="A6296" i="1"/>
  <c r="A6295" i="1"/>
  <c r="A6294" i="1"/>
  <c r="A6293" i="1"/>
  <c r="A6292" i="1"/>
  <c r="A6291" i="1"/>
  <c r="A6290" i="1"/>
  <c r="A6289" i="1"/>
  <c r="A6288" i="1"/>
  <c r="A6287" i="1"/>
  <c r="A6286" i="1"/>
  <c r="A6285" i="1"/>
  <c r="A6284" i="1"/>
  <c r="A6283" i="1"/>
  <c r="A6282" i="1"/>
  <c r="A6281" i="1"/>
  <c r="A6280" i="1"/>
  <c r="A6279" i="1"/>
  <c r="A6278" i="1"/>
  <c r="A6277" i="1"/>
  <c r="A6276" i="1"/>
  <c r="A6275" i="1"/>
  <c r="A6274" i="1"/>
  <c r="A6273" i="1"/>
  <c r="A6272" i="1"/>
  <c r="A6271" i="1"/>
  <c r="A6270" i="1"/>
  <c r="A6269" i="1"/>
  <c r="A6268" i="1"/>
  <c r="A6267" i="1"/>
  <c r="A6266" i="1"/>
  <c r="A6265" i="1"/>
  <c r="A6264" i="1"/>
  <c r="A6263" i="1"/>
  <c r="A6262" i="1"/>
  <c r="A6261" i="1"/>
  <c r="A6260" i="1"/>
  <c r="A6259" i="1"/>
  <c r="A6258" i="1"/>
  <c r="A6257" i="1"/>
  <c r="A6256" i="1"/>
  <c r="A6255" i="1"/>
  <c r="A6254" i="1"/>
  <c r="A6253" i="1"/>
  <c r="A6252" i="1"/>
  <c r="A6251" i="1"/>
  <c r="A6250" i="1"/>
  <c r="A6249" i="1"/>
  <c r="A6248" i="1"/>
  <c r="A6247" i="1"/>
  <c r="A6246" i="1"/>
  <c r="A6245" i="1"/>
  <c r="A6244" i="1"/>
  <c r="A6243" i="1"/>
  <c r="A6242" i="1"/>
  <c r="A6241" i="1"/>
  <c r="A6240" i="1"/>
  <c r="A6239" i="1"/>
  <c r="A6238" i="1"/>
  <c r="A6237" i="1"/>
  <c r="A6236" i="1"/>
  <c r="A6235" i="1"/>
  <c r="A6234" i="1"/>
  <c r="A6233" i="1"/>
  <c r="A6232" i="1"/>
  <c r="A6231" i="1"/>
  <c r="A6230" i="1"/>
  <c r="A6229" i="1"/>
  <c r="A6228" i="1"/>
  <c r="A6227" i="1"/>
  <c r="A6226" i="1"/>
  <c r="A6225" i="1"/>
  <c r="A6224" i="1"/>
  <c r="A6223" i="1"/>
  <c r="A6222" i="1"/>
  <c r="A6221" i="1"/>
  <c r="A6220" i="1"/>
  <c r="A6219" i="1"/>
  <c r="A6218" i="1"/>
  <c r="A6217" i="1"/>
  <c r="A6216" i="1"/>
  <c r="A6215" i="1"/>
  <c r="A6214" i="1"/>
  <c r="A6213" i="1"/>
  <c r="A6212" i="1"/>
  <c r="A6211" i="1"/>
  <c r="A6210" i="1"/>
  <c r="A6209" i="1"/>
  <c r="A6208" i="1"/>
  <c r="A6207" i="1"/>
  <c r="A6206" i="1"/>
  <c r="A6205" i="1"/>
  <c r="A6204" i="1"/>
  <c r="A6203" i="1"/>
  <c r="A6202" i="1"/>
  <c r="A6201" i="1"/>
  <c r="A6200" i="1"/>
  <c r="A6199" i="1"/>
  <c r="A6198" i="1"/>
  <c r="A6197" i="1"/>
  <c r="A6196" i="1"/>
  <c r="A6195" i="1"/>
  <c r="A6194" i="1"/>
  <c r="A6193" i="1"/>
  <c r="A6192" i="1"/>
  <c r="A6191" i="1"/>
  <c r="A6190" i="1"/>
  <c r="A6189" i="1"/>
  <c r="A6188" i="1"/>
  <c r="A6187" i="1"/>
  <c r="A6186" i="1"/>
  <c r="A6185" i="1"/>
  <c r="A6184" i="1"/>
  <c r="A6183" i="1"/>
  <c r="A6182" i="1"/>
  <c r="A6181" i="1"/>
  <c r="A6180" i="1"/>
  <c r="A6179" i="1"/>
  <c r="A6178" i="1"/>
  <c r="A6177" i="1"/>
  <c r="A6176" i="1"/>
  <c r="A6175" i="1"/>
  <c r="A6174" i="1"/>
  <c r="A6173" i="1"/>
  <c r="A6172" i="1"/>
  <c r="A6171" i="1"/>
  <c r="A6170" i="1"/>
  <c r="A6169" i="1"/>
  <c r="A6168" i="1"/>
  <c r="A6167" i="1"/>
  <c r="A6166" i="1"/>
  <c r="A6165" i="1"/>
  <c r="A6164" i="1"/>
  <c r="A6163" i="1"/>
  <c r="A6162" i="1"/>
  <c r="A6161" i="1"/>
  <c r="A6160" i="1"/>
  <c r="A6159" i="1"/>
  <c r="A6158" i="1"/>
  <c r="A6157" i="1"/>
  <c r="A6156" i="1"/>
  <c r="A6155" i="1"/>
  <c r="A6154" i="1"/>
  <c r="A6153" i="1"/>
  <c r="A6152" i="1"/>
  <c r="A6151" i="1"/>
  <c r="A6150" i="1"/>
  <c r="A6149" i="1"/>
  <c r="A6148" i="1"/>
  <c r="A6147" i="1"/>
  <c r="A6146" i="1"/>
  <c r="A6145" i="1"/>
  <c r="A6144" i="1"/>
  <c r="A6143" i="1"/>
  <c r="A6142" i="1"/>
  <c r="A6141" i="1"/>
  <c r="A6140" i="1"/>
  <c r="A6139" i="1"/>
  <c r="A6138" i="1"/>
  <c r="A6137" i="1"/>
  <c r="A6136" i="1"/>
  <c r="A6135" i="1"/>
  <c r="A6134" i="1"/>
  <c r="A6133" i="1"/>
  <c r="A6132" i="1"/>
  <c r="A6131" i="1"/>
  <c r="A6130" i="1"/>
  <c r="A6129" i="1"/>
  <c r="A6128" i="1"/>
  <c r="A6127" i="1"/>
  <c r="A6126" i="1"/>
  <c r="A6125" i="1"/>
  <c r="A6124" i="1"/>
  <c r="A6123" i="1"/>
  <c r="A6122" i="1"/>
  <c r="A6121" i="1"/>
  <c r="A6120" i="1"/>
  <c r="A6119" i="1"/>
  <c r="A6118" i="1"/>
  <c r="A6117" i="1"/>
  <c r="A6116" i="1"/>
  <c r="A6115" i="1"/>
  <c r="A6114" i="1"/>
  <c r="A6113" i="1"/>
  <c r="A6112" i="1"/>
  <c r="A6111" i="1"/>
  <c r="A6110" i="1"/>
  <c r="A6109" i="1"/>
  <c r="A6108" i="1"/>
  <c r="A6107" i="1"/>
  <c r="A6106" i="1"/>
  <c r="A6105" i="1"/>
  <c r="A6104" i="1"/>
  <c r="A6103" i="1"/>
  <c r="A6102" i="1"/>
  <c r="A6101" i="1"/>
  <c r="A6100" i="1"/>
  <c r="A6099" i="1"/>
  <c r="A6098" i="1"/>
  <c r="A6097" i="1"/>
  <c r="A6096" i="1"/>
  <c r="A6095" i="1"/>
  <c r="A6094" i="1"/>
  <c r="A6093" i="1"/>
  <c r="A6092" i="1"/>
  <c r="A6091" i="1"/>
  <c r="A6090" i="1"/>
  <c r="A6089" i="1"/>
  <c r="A6088" i="1"/>
  <c r="A6087" i="1"/>
  <c r="A6086" i="1"/>
  <c r="A6085" i="1"/>
  <c r="A6084" i="1"/>
  <c r="A6083" i="1"/>
  <c r="A6082" i="1"/>
  <c r="A6081" i="1"/>
  <c r="A6080" i="1"/>
  <c r="A6079" i="1"/>
  <c r="A6078" i="1"/>
  <c r="A6077" i="1"/>
  <c r="A6076" i="1"/>
  <c r="A6075" i="1"/>
  <c r="A6074" i="1"/>
  <c r="A6073" i="1"/>
  <c r="A6072" i="1"/>
  <c r="A6071" i="1"/>
  <c r="A6070" i="1"/>
  <c r="A6069" i="1"/>
  <c r="A6068" i="1"/>
  <c r="A6067" i="1"/>
  <c r="A6066" i="1"/>
  <c r="A6065" i="1"/>
  <c r="A6064" i="1"/>
  <c r="A6063" i="1"/>
  <c r="A6062" i="1"/>
  <c r="A6061" i="1"/>
  <c r="A6060" i="1"/>
  <c r="A6059" i="1"/>
  <c r="A6058" i="1"/>
  <c r="A6057" i="1"/>
  <c r="A6056" i="1"/>
  <c r="A6055" i="1"/>
  <c r="A6054" i="1"/>
  <c r="A6053" i="1"/>
  <c r="A6052" i="1"/>
  <c r="A6051" i="1"/>
  <c r="A6050" i="1"/>
  <c r="A6049" i="1"/>
  <c r="A6048" i="1"/>
  <c r="A6047" i="1"/>
  <c r="A6046" i="1"/>
  <c r="A6045" i="1"/>
  <c r="A6044" i="1"/>
  <c r="A6043" i="1"/>
  <c r="A6042" i="1"/>
  <c r="A6041" i="1"/>
  <c r="A6040" i="1"/>
  <c r="A6039" i="1"/>
  <c r="A6038" i="1"/>
  <c r="A6037" i="1"/>
  <c r="A6036" i="1"/>
  <c r="A6035" i="1"/>
  <c r="A6034" i="1"/>
  <c r="A6033" i="1"/>
  <c r="A6032" i="1"/>
  <c r="A6031" i="1"/>
  <c r="A6030" i="1"/>
  <c r="A6029" i="1"/>
  <c r="A6028" i="1"/>
  <c r="A6027" i="1"/>
  <c r="A6026" i="1"/>
  <c r="A6025" i="1"/>
  <c r="A6024" i="1"/>
  <c r="A6023" i="1"/>
  <c r="A6022" i="1"/>
  <c r="A6021" i="1"/>
  <c r="A6020" i="1"/>
  <c r="A6019" i="1"/>
  <c r="A6018" i="1"/>
  <c r="A6017" i="1"/>
  <c r="A6016" i="1"/>
  <c r="A6015" i="1"/>
  <c r="A6014" i="1"/>
  <c r="A6013" i="1"/>
  <c r="A6012" i="1"/>
  <c r="A6011" i="1"/>
  <c r="A6010" i="1"/>
  <c r="A6009" i="1"/>
  <c r="A6008" i="1"/>
  <c r="A6007" i="1"/>
  <c r="A6006" i="1"/>
  <c r="A6005" i="1"/>
  <c r="A6004" i="1"/>
  <c r="A6003" i="1"/>
  <c r="A6002" i="1"/>
  <c r="A6001" i="1"/>
  <c r="A6000" i="1"/>
  <c r="A5999" i="1"/>
  <c r="A5998" i="1"/>
  <c r="A5997" i="1"/>
  <c r="A5996" i="1"/>
  <c r="A5995" i="1"/>
  <c r="A5994" i="1"/>
  <c r="A5993" i="1"/>
  <c r="A5992" i="1"/>
  <c r="A5991" i="1"/>
  <c r="A5990" i="1"/>
  <c r="A5989" i="1"/>
  <c r="A5988" i="1"/>
  <c r="A5987" i="1"/>
  <c r="A5986" i="1"/>
  <c r="A5985" i="1"/>
  <c r="A5984" i="1"/>
  <c r="A5983" i="1"/>
  <c r="A5982" i="1"/>
  <c r="A5981" i="1"/>
  <c r="A5980" i="1"/>
  <c r="A5979" i="1"/>
  <c r="A5978" i="1"/>
  <c r="A5977" i="1"/>
  <c r="A5976" i="1"/>
  <c r="A5975" i="1"/>
  <c r="A5974" i="1"/>
  <c r="A5973" i="1"/>
  <c r="A5972" i="1"/>
  <c r="A5971" i="1"/>
  <c r="A5970" i="1"/>
  <c r="A5969" i="1"/>
  <c r="A5968" i="1"/>
  <c r="A5967" i="1"/>
  <c r="A5966" i="1"/>
  <c r="A5965" i="1"/>
  <c r="A5964" i="1"/>
  <c r="A5963" i="1"/>
  <c r="A5962" i="1"/>
  <c r="A5961" i="1"/>
  <c r="A5960" i="1"/>
  <c r="A5959" i="1"/>
  <c r="A5958" i="1"/>
  <c r="A5957" i="1"/>
  <c r="A5956" i="1"/>
  <c r="A5955" i="1"/>
  <c r="A5954" i="1"/>
  <c r="A5953" i="1"/>
  <c r="A5952" i="1"/>
  <c r="A5951" i="1"/>
  <c r="A5950" i="1"/>
  <c r="A5949" i="1"/>
  <c r="A5948" i="1"/>
  <c r="A5947" i="1"/>
  <c r="A5946" i="1"/>
  <c r="A5945" i="1"/>
  <c r="A5944" i="1"/>
  <c r="A5943" i="1"/>
  <c r="A5942" i="1"/>
  <c r="A5941" i="1"/>
  <c r="A5940" i="1"/>
  <c r="A5939" i="1"/>
  <c r="A5938" i="1"/>
  <c r="A5937" i="1"/>
  <c r="A5936" i="1"/>
  <c r="A5935" i="1"/>
  <c r="A5934" i="1"/>
  <c r="A5933" i="1"/>
  <c r="A5932" i="1"/>
  <c r="A5931" i="1"/>
  <c r="A5930" i="1"/>
  <c r="A5929" i="1"/>
  <c r="A5928" i="1"/>
  <c r="A5927" i="1"/>
  <c r="A5926" i="1"/>
  <c r="A5925" i="1"/>
  <c r="A5924" i="1"/>
  <c r="A5923" i="1"/>
  <c r="A5922" i="1"/>
  <c r="A5921" i="1"/>
  <c r="A5920" i="1"/>
  <c r="A5919" i="1"/>
  <c r="A5918" i="1"/>
  <c r="A5917" i="1"/>
  <c r="A5916" i="1"/>
  <c r="A5915" i="1"/>
  <c r="A5914" i="1"/>
  <c r="A5913" i="1"/>
  <c r="A5912" i="1"/>
  <c r="A5911" i="1"/>
  <c r="A5910" i="1"/>
  <c r="A5909" i="1"/>
  <c r="A5908" i="1"/>
  <c r="A5907" i="1"/>
  <c r="A5906" i="1"/>
  <c r="A5905" i="1"/>
  <c r="A5904" i="1"/>
  <c r="A5903" i="1"/>
  <c r="A5902" i="1"/>
  <c r="A5901" i="1"/>
  <c r="A5900" i="1"/>
  <c r="A5899" i="1"/>
  <c r="A5898" i="1"/>
  <c r="A5897" i="1"/>
  <c r="A5896" i="1"/>
  <c r="A5895" i="1"/>
  <c r="A5894" i="1"/>
  <c r="A5893" i="1"/>
  <c r="A5892" i="1"/>
  <c r="A5891" i="1"/>
  <c r="A5890" i="1"/>
  <c r="A5889" i="1"/>
  <c r="A5888" i="1"/>
  <c r="A5887" i="1"/>
  <c r="A5886" i="1"/>
  <c r="A5885" i="1"/>
  <c r="A5884" i="1"/>
  <c r="A5883" i="1"/>
  <c r="A5882" i="1"/>
  <c r="A5881" i="1"/>
  <c r="A5880" i="1"/>
  <c r="A5879" i="1"/>
  <c r="A5878" i="1"/>
  <c r="A5877" i="1"/>
  <c r="A5876" i="1"/>
  <c r="A5875" i="1"/>
  <c r="A5874" i="1"/>
  <c r="A5873" i="1"/>
  <c r="A5872" i="1"/>
  <c r="A5871" i="1"/>
  <c r="A5870" i="1"/>
  <c r="A5869" i="1"/>
  <c r="A5868" i="1"/>
  <c r="A5867" i="1"/>
  <c r="A5866" i="1"/>
  <c r="A5865" i="1"/>
  <c r="A5864" i="1"/>
  <c r="A5863" i="1"/>
  <c r="A5862" i="1"/>
  <c r="A5861" i="1"/>
  <c r="A5860" i="1"/>
  <c r="A5859" i="1"/>
  <c r="A5858" i="1"/>
  <c r="A5857" i="1"/>
  <c r="A5856" i="1"/>
  <c r="A5855" i="1"/>
  <c r="A5854" i="1"/>
  <c r="A5853" i="1"/>
  <c r="A5852" i="1"/>
  <c r="A5851" i="1"/>
  <c r="A5850" i="1"/>
  <c r="A5849" i="1"/>
  <c r="A5848" i="1"/>
  <c r="A5847" i="1"/>
  <c r="A5846" i="1"/>
  <c r="A5845" i="1"/>
  <c r="A5844" i="1"/>
  <c r="A5843" i="1"/>
  <c r="A5842" i="1"/>
  <c r="A5841" i="1"/>
  <c r="A5840" i="1"/>
  <c r="A5839" i="1"/>
  <c r="A5838" i="1"/>
  <c r="A5837" i="1"/>
  <c r="A5836" i="1"/>
  <c r="A5835" i="1"/>
  <c r="A5834" i="1"/>
  <c r="A5833" i="1"/>
  <c r="A5832" i="1"/>
  <c r="A5831" i="1"/>
  <c r="A5830" i="1"/>
  <c r="A5829" i="1"/>
  <c r="A5828" i="1"/>
  <c r="A5827" i="1"/>
  <c r="A5826" i="1"/>
  <c r="A5825" i="1"/>
  <c r="A5824" i="1"/>
  <c r="A5823" i="1"/>
  <c r="A5822" i="1"/>
  <c r="A5821" i="1"/>
  <c r="A5820" i="1"/>
  <c r="A5819" i="1"/>
  <c r="A5818" i="1"/>
  <c r="A5817" i="1"/>
  <c r="A5816" i="1"/>
  <c r="A5815" i="1"/>
  <c r="A5814" i="1"/>
  <c r="A5813" i="1"/>
  <c r="A5812" i="1"/>
  <c r="A5811" i="1"/>
  <c r="A5810" i="1"/>
  <c r="A5809" i="1"/>
  <c r="A5808" i="1"/>
  <c r="A5807" i="1"/>
  <c r="A5806" i="1"/>
  <c r="A5805" i="1"/>
  <c r="A5804" i="1"/>
  <c r="A5803" i="1"/>
  <c r="A5802" i="1"/>
  <c r="A5801" i="1"/>
  <c r="A5800" i="1"/>
  <c r="A5799" i="1"/>
  <c r="A5798" i="1"/>
  <c r="A5797" i="1"/>
  <c r="A5796" i="1"/>
  <c r="A5795" i="1"/>
  <c r="A5794" i="1"/>
  <c r="A5793" i="1"/>
  <c r="A5792" i="1"/>
  <c r="A5791" i="1"/>
  <c r="A5790" i="1"/>
  <c r="A5789" i="1"/>
  <c r="A5788" i="1"/>
  <c r="A5787" i="1"/>
  <c r="A5786" i="1"/>
  <c r="A5785" i="1"/>
  <c r="A5784" i="1"/>
  <c r="A5783" i="1"/>
  <c r="A5782" i="1"/>
  <c r="A5781" i="1"/>
  <c r="A5780" i="1"/>
  <c r="A5779" i="1"/>
  <c r="A5778" i="1"/>
  <c r="A5777" i="1"/>
  <c r="A5776" i="1"/>
  <c r="A5775" i="1"/>
  <c r="A5774" i="1"/>
  <c r="A5773" i="1"/>
  <c r="A5772" i="1"/>
  <c r="A5771" i="1"/>
  <c r="A5770" i="1"/>
  <c r="A5769" i="1"/>
  <c r="A5768" i="1"/>
  <c r="A5767" i="1"/>
  <c r="A5766" i="1"/>
  <c r="A5765" i="1"/>
  <c r="A5764" i="1"/>
  <c r="A5763" i="1"/>
  <c r="A5762" i="1"/>
  <c r="A5761" i="1"/>
  <c r="A5760" i="1"/>
  <c r="A5759" i="1"/>
  <c r="A5758" i="1"/>
  <c r="A5757" i="1"/>
  <c r="A5756" i="1"/>
  <c r="A5755" i="1"/>
  <c r="A5754" i="1"/>
  <c r="A5753" i="1"/>
  <c r="A5752" i="1"/>
  <c r="A5751" i="1"/>
  <c r="A5750" i="1"/>
  <c r="A5749" i="1"/>
  <c r="A5748" i="1"/>
  <c r="A5747" i="1"/>
  <c r="A5746" i="1"/>
  <c r="A5745" i="1"/>
  <c r="A5744" i="1"/>
  <c r="A5743" i="1"/>
  <c r="A5742" i="1"/>
  <c r="A5741" i="1"/>
  <c r="A5740" i="1"/>
  <c r="A5739" i="1"/>
  <c r="A5738" i="1"/>
  <c r="A5737" i="1"/>
  <c r="A5736" i="1"/>
  <c r="A5735" i="1"/>
  <c r="A5734" i="1"/>
  <c r="A5733" i="1"/>
  <c r="A5732" i="1"/>
  <c r="A5731" i="1"/>
  <c r="A5730" i="1"/>
  <c r="A5729" i="1"/>
  <c r="A5728" i="1"/>
  <c r="A5727" i="1"/>
  <c r="A5726" i="1"/>
  <c r="A5725" i="1"/>
  <c r="A5724" i="1"/>
  <c r="A5723" i="1"/>
  <c r="A5722" i="1"/>
  <c r="A5721" i="1"/>
  <c r="A5720" i="1"/>
  <c r="A5719" i="1"/>
  <c r="A5718" i="1"/>
  <c r="A5717" i="1"/>
  <c r="A5716" i="1"/>
  <c r="A5715" i="1"/>
  <c r="A5714" i="1"/>
  <c r="A5713" i="1"/>
  <c r="A5712" i="1"/>
  <c r="A5711" i="1"/>
  <c r="A5710" i="1"/>
  <c r="A5709" i="1"/>
  <c r="A5708" i="1"/>
  <c r="A5707" i="1"/>
  <c r="A5706" i="1"/>
  <c r="A5705" i="1"/>
  <c r="A5704" i="1"/>
  <c r="A5703" i="1"/>
  <c r="A5702" i="1"/>
  <c r="A5701" i="1"/>
  <c r="A5700" i="1"/>
  <c r="A5699" i="1"/>
  <c r="A5698" i="1"/>
  <c r="A5697" i="1"/>
  <c r="A5696" i="1"/>
  <c r="A5695" i="1"/>
  <c r="A5694" i="1"/>
  <c r="A5693" i="1"/>
  <c r="A5692" i="1"/>
  <c r="A5691" i="1"/>
  <c r="A5690" i="1"/>
  <c r="A5689" i="1"/>
  <c r="A5688" i="1"/>
  <c r="A5687" i="1"/>
  <c r="A5686" i="1"/>
  <c r="A5685" i="1"/>
  <c r="A5684" i="1"/>
  <c r="A5683" i="1"/>
  <c r="A5682" i="1"/>
  <c r="A5681" i="1"/>
  <c r="A5680" i="1"/>
  <c r="A5679" i="1"/>
  <c r="A5678" i="1"/>
  <c r="A5677" i="1"/>
  <c r="A5676" i="1"/>
  <c r="A5675" i="1"/>
  <c r="A5674" i="1"/>
  <c r="A5673" i="1"/>
  <c r="A5672" i="1"/>
  <c r="A5671" i="1"/>
  <c r="A5670" i="1"/>
  <c r="A5669" i="1"/>
  <c r="A5668" i="1"/>
  <c r="A5667" i="1"/>
  <c r="A5666" i="1"/>
  <c r="A5665" i="1"/>
  <c r="A5664" i="1"/>
  <c r="A5663" i="1"/>
  <c r="A5662" i="1"/>
  <c r="A5661" i="1"/>
  <c r="A5660" i="1"/>
  <c r="A5659" i="1"/>
  <c r="A5658" i="1"/>
  <c r="A5657" i="1"/>
  <c r="A5656" i="1"/>
  <c r="A5655" i="1"/>
  <c r="A5654" i="1"/>
  <c r="A5653" i="1"/>
  <c r="A5652" i="1"/>
  <c r="A5651" i="1"/>
  <c r="A5650" i="1"/>
  <c r="A5649" i="1"/>
  <c r="A5648" i="1"/>
  <c r="A5647" i="1"/>
  <c r="A5646" i="1"/>
  <c r="A5645" i="1"/>
  <c r="A5644" i="1"/>
  <c r="A5643" i="1"/>
  <c r="A5642" i="1"/>
  <c r="A5641" i="1"/>
  <c r="A5640" i="1"/>
  <c r="A5639" i="1"/>
  <c r="A5638" i="1"/>
  <c r="A5637" i="1"/>
  <c r="A5636" i="1"/>
  <c r="A5635" i="1"/>
  <c r="A5634" i="1"/>
  <c r="A5633" i="1"/>
  <c r="A5632" i="1"/>
  <c r="A5631" i="1"/>
  <c r="A5630" i="1"/>
  <c r="A5629" i="1"/>
  <c r="A5628" i="1"/>
  <c r="A5627" i="1"/>
  <c r="A5626" i="1"/>
  <c r="A5625" i="1"/>
  <c r="A5624" i="1"/>
  <c r="A5623" i="1"/>
  <c r="A5622" i="1"/>
  <c r="A5621" i="1"/>
  <c r="A5620" i="1"/>
  <c r="A5619" i="1"/>
  <c r="A5618" i="1"/>
  <c r="A5617" i="1"/>
  <c r="A5616" i="1"/>
  <c r="A5615" i="1"/>
  <c r="A5614" i="1"/>
  <c r="A5613" i="1"/>
  <c r="A5612" i="1"/>
  <c r="A5611" i="1"/>
  <c r="A5610" i="1"/>
  <c r="A5609" i="1"/>
  <c r="A5608" i="1"/>
  <c r="A5607" i="1"/>
  <c r="A5606" i="1"/>
  <c r="A5605" i="1"/>
  <c r="A5604" i="1"/>
  <c r="A5603" i="1"/>
  <c r="A5602" i="1"/>
  <c r="A5601" i="1"/>
  <c r="A5600" i="1"/>
  <c r="A5599" i="1"/>
  <c r="A5598" i="1"/>
  <c r="A5597" i="1"/>
  <c r="A5596" i="1"/>
  <c r="A5595" i="1"/>
  <c r="A5594" i="1"/>
  <c r="A5593" i="1"/>
  <c r="A5592" i="1"/>
  <c r="A5591" i="1"/>
  <c r="A5590" i="1"/>
  <c r="A5589" i="1"/>
  <c r="A5588" i="1"/>
  <c r="A5587" i="1"/>
  <c r="A5586" i="1"/>
  <c r="A5585" i="1"/>
  <c r="A5584" i="1"/>
  <c r="A5583" i="1"/>
  <c r="A5582" i="1"/>
  <c r="A5581" i="1"/>
  <c r="A5580" i="1"/>
  <c r="A5579" i="1"/>
  <c r="A5578" i="1"/>
  <c r="A5577" i="1"/>
  <c r="A5576" i="1"/>
  <c r="A5575" i="1"/>
  <c r="A5574" i="1"/>
  <c r="A5573" i="1"/>
  <c r="A5572" i="1"/>
  <c r="A5571" i="1"/>
  <c r="A5570" i="1"/>
  <c r="A5569" i="1"/>
  <c r="A5568" i="1"/>
  <c r="A5567" i="1"/>
  <c r="A5566" i="1"/>
  <c r="A5565" i="1"/>
  <c r="A5564" i="1"/>
  <c r="A5563" i="1"/>
  <c r="A5562" i="1"/>
  <c r="A5561" i="1"/>
  <c r="A5560" i="1"/>
  <c r="A5559" i="1"/>
  <c r="A5558" i="1"/>
  <c r="A5557" i="1"/>
  <c r="A5556" i="1"/>
  <c r="A5555" i="1"/>
  <c r="A5554" i="1"/>
  <c r="A5553" i="1"/>
  <c r="A5552" i="1"/>
  <c r="A5551" i="1"/>
  <c r="A5550" i="1"/>
  <c r="A5549" i="1"/>
  <c r="A5548" i="1"/>
  <c r="A5547" i="1"/>
  <c r="A5546" i="1"/>
  <c r="A5545" i="1"/>
  <c r="A5544" i="1"/>
  <c r="A5543" i="1"/>
  <c r="A5542" i="1"/>
  <c r="A5541" i="1"/>
  <c r="A5540" i="1"/>
  <c r="A5539" i="1"/>
  <c r="A5538" i="1"/>
  <c r="A5537" i="1"/>
  <c r="A5536" i="1"/>
  <c r="A5535" i="1"/>
  <c r="A5534" i="1"/>
  <c r="A5533" i="1"/>
  <c r="A5532" i="1"/>
  <c r="A5531" i="1"/>
  <c r="A5530" i="1"/>
  <c r="A5529" i="1"/>
  <c r="A5528" i="1"/>
  <c r="A5527" i="1"/>
  <c r="A5526" i="1"/>
  <c r="A5525" i="1"/>
  <c r="A5524" i="1"/>
  <c r="A5523" i="1"/>
  <c r="A5522" i="1"/>
  <c r="A5521" i="1"/>
  <c r="A5520" i="1"/>
  <c r="A5519" i="1"/>
  <c r="A5518" i="1"/>
  <c r="A5517" i="1"/>
  <c r="A5516" i="1"/>
  <c r="A5515" i="1"/>
  <c r="A5514" i="1"/>
  <c r="A5513" i="1"/>
  <c r="A5512" i="1"/>
  <c r="A5511" i="1"/>
  <c r="A5510" i="1"/>
  <c r="A5509" i="1"/>
  <c r="A5508" i="1"/>
  <c r="A5507" i="1"/>
  <c r="A5506" i="1"/>
  <c r="A5505" i="1"/>
  <c r="A5504" i="1"/>
  <c r="A5503" i="1"/>
  <c r="A5502" i="1"/>
  <c r="A5501" i="1"/>
  <c r="A5500" i="1"/>
  <c r="A5499" i="1"/>
  <c r="A5498" i="1"/>
  <c r="A5497" i="1"/>
  <c r="A5496" i="1"/>
  <c r="A5495" i="1"/>
  <c r="A5494" i="1"/>
  <c r="A5493" i="1"/>
  <c r="A5492" i="1"/>
  <c r="A5491" i="1"/>
  <c r="A5490" i="1"/>
  <c r="A5489" i="1"/>
  <c r="A5488" i="1"/>
  <c r="A5487" i="1"/>
  <c r="A5486" i="1"/>
  <c r="A5485" i="1"/>
  <c r="A5484" i="1"/>
  <c r="A5483" i="1"/>
  <c r="A5482" i="1"/>
  <c r="A5481" i="1"/>
  <c r="A5480" i="1"/>
  <c r="A5479" i="1"/>
  <c r="A5478" i="1"/>
  <c r="A5477" i="1"/>
  <c r="A5476" i="1"/>
  <c r="A5475" i="1"/>
  <c r="A5474" i="1"/>
  <c r="A5473" i="1"/>
  <c r="A5472" i="1"/>
  <c r="A5471" i="1"/>
  <c r="A5470" i="1"/>
  <c r="A5469" i="1"/>
  <c r="A5468" i="1"/>
  <c r="A5467" i="1"/>
  <c r="A5466" i="1"/>
  <c r="A5465" i="1"/>
  <c r="A5464" i="1"/>
  <c r="A5463" i="1"/>
  <c r="A5462" i="1"/>
  <c r="A5461" i="1"/>
  <c r="A5460" i="1"/>
  <c r="A5459" i="1"/>
  <c r="A5458" i="1"/>
  <c r="A5457" i="1"/>
  <c r="A5456" i="1"/>
  <c r="A5455" i="1"/>
  <c r="A5454" i="1"/>
  <c r="A5453" i="1"/>
  <c r="A5452" i="1"/>
  <c r="A5451" i="1"/>
  <c r="A5450" i="1"/>
  <c r="A5449" i="1"/>
  <c r="A5448" i="1"/>
  <c r="A5447" i="1"/>
  <c r="A5446" i="1"/>
  <c r="A5445" i="1"/>
  <c r="A5444" i="1"/>
  <c r="A5443" i="1"/>
  <c r="A5442" i="1"/>
  <c r="A5441" i="1"/>
  <c r="A5440" i="1"/>
  <c r="A5439" i="1"/>
  <c r="A5438" i="1"/>
  <c r="A5437" i="1"/>
  <c r="A5436" i="1"/>
  <c r="A5435" i="1"/>
  <c r="A5434" i="1"/>
  <c r="A5433" i="1"/>
  <c r="A5432" i="1"/>
  <c r="A5431" i="1"/>
  <c r="A5430" i="1"/>
  <c r="A5429" i="1"/>
  <c r="A5428" i="1"/>
  <c r="A5427" i="1"/>
  <c r="A5426" i="1"/>
  <c r="A5425" i="1"/>
  <c r="A5424" i="1"/>
  <c r="A5423" i="1"/>
  <c r="A5422" i="1"/>
  <c r="A5421" i="1"/>
  <c r="A5420" i="1"/>
  <c r="A5419" i="1"/>
  <c r="A5418" i="1"/>
  <c r="A5417" i="1"/>
  <c r="A5416" i="1"/>
  <c r="A5415" i="1"/>
  <c r="A5414" i="1"/>
  <c r="A5413" i="1"/>
  <c r="A5412" i="1"/>
  <c r="A5411" i="1"/>
  <c r="A5410" i="1"/>
  <c r="A5409" i="1"/>
  <c r="A5408" i="1"/>
  <c r="A5407" i="1"/>
  <c r="A5406" i="1"/>
  <c r="A5405" i="1"/>
  <c r="A5404" i="1"/>
  <c r="A5403" i="1"/>
  <c r="A5402" i="1"/>
  <c r="A5401" i="1"/>
  <c r="A5400" i="1"/>
  <c r="A5399" i="1"/>
  <c r="A5398" i="1"/>
  <c r="A5397" i="1"/>
  <c r="A5396" i="1"/>
  <c r="A5395" i="1"/>
  <c r="A5394" i="1"/>
  <c r="A5393" i="1"/>
  <c r="A5392" i="1"/>
  <c r="A5391" i="1"/>
  <c r="A5390" i="1"/>
  <c r="A5389" i="1"/>
  <c r="A5388" i="1"/>
  <c r="A5387" i="1"/>
  <c r="A5386" i="1"/>
  <c r="A5385" i="1"/>
  <c r="A5384" i="1"/>
  <c r="A5383" i="1"/>
  <c r="A5382" i="1"/>
  <c r="A5381" i="1"/>
  <c r="A5380" i="1"/>
  <c r="A5379" i="1"/>
  <c r="A5378" i="1"/>
  <c r="A5377" i="1"/>
  <c r="A5376" i="1"/>
  <c r="A5375" i="1"/>
  <c r="A5374" i="1"/>
  <c r="A5373" i="1"/>
  <c r="A5372" i="1"/>
  <c r="A5371" i="1"/>
  <c r="A5370" i="1"/>
  <c r="A5369" i="1"/>
  <c r="A5368" i="1"/>
  <c r="A5367" i="1"/>
  <c r="A5366" i="1"/>
  <c r="A5365" i="1"/>
  <c r="A5364" i="1"/>
  <c r="A5363" i="1"/>
  <c r="A5362" i="1"/>
  <c r="A5361" i="1"/>
  <c r="A5360" i="1"/>
  <c r="A5359" i="1"/>
  <c r="A5358" i="1"/>
  <c r="A5357" i="1"/>
  <c r="A5356" i="1"/>
  <c r="A5355" i="1"/>
  <c r="A5354" i="1"/>
  <c r="A5353" i="1"/>
  <c r="A5352" i="1"/>
  <c r="A5351" i="1"/>
  <c r="A5350" i="1"/>
  <c r="A5349" i="1"/>
  <c r="A5348" i="1"/>
  <c r="A5347" i="1"/>
  <c r="A5346" i="1"/>
  <c r="A5345" i="1"/>
  <c r="A5344" i="1"/>
  <c r="A5343" i="1"/>
  <c r="A5342" i="1"/>
  <c r="A5341" i="1"/>
  <c r="A5340" i="1"/>
  <c r="A5339" i="1"/>
  <c r="A5338" i="1"/>
  <c r="A5337" i="1"/>
  <c r="A5336" i="1"/>
  <c r="A5335" i="1"/>
  <c r="A5334" i="1"/>
  <c r="A5333" i="1"/>
  <c r="A5332" i="1"/>
  <c r="A5331" i="1"/>
  <c r="A5330" i="1"/>
  <c r="A5329" i="1"/>
  <c r="A5328" i="1"/>
  <c r="A5327" i="1"/>
  <c r="A5326" i="1"/>
  <c r="A5325" i="1"/>
  <c r="A5324" i="1"/>
  <c r="A5323" i="1"/>
  <c r="A5322" i="1"/>
  <c r="A5321" i="1"/>
  <c r="A5320" i="1"/>
  <c r="A5319" i="1"/>
  <c r="A5318" i="1"/>
  <c r="A5317" i="1"/>
  <c r="A5316" i="1"/>
  <c r="A5315" i="1"/>
  <c r="A5314" i="1"/>
  <c r="A5313" i="1"/>
  <c r="A5312" i="1"/>
  <c r="A5311" i="1"/>
  <c r="A5310" i="1"/>
  <c r="A5309" i="1"/>
  <c r="A5308" i="1"/>
  <c r="A5307" i="1"/>
  <c r="A5306" i="1"/>
  <c r="A5305" i="1"/>
  <c r="A5304" i="1"/>
  <c r="A5303" i="1"/>
  <c r="A5302" i="1"/>
  <c r="A5301" i="1"/>
  <c r="A5300" i="1"/>
  <c r="A5299" i="1"/>
  <c r="A5298" i="1"/>
  <c r="A5297" i="1"/>
  <c r="A5296" i="1"/>
  <c r="A5295" i="1"/>
  <c r="A5294" i="1"/>
  <c r="A5293" i="1"/>
  <c r="A5292" i="1"/>
  <c r="A5291" i="1"/>
  <c r="A5290" i="1"/>
  <c r="A5289" i="1"/>
  <c r="A5288" i="1"/>
  <c r="A5287" i="1"/>
  <c r="A5286" i="1"/>
  <c r="A5285" i="1"/>
  <c r="A5284" i="1"/>
  <c r="A5283" i="1"/>
  <c r="A5282" i="1"/>
  <c r="A5281" i="1"/>
  <c r="A5280" i="1"/>
  <c r="A5279" i="1"/>
  <c r="A5278" i="1"/>
  <c r="A5277" i="1"/>
  <c r="A5276" i="1"/>
  <c r="A5275" i="1"/>
  <c r="A5274" i="1"/>
  <c r="A5273" i="1"/>
  <c r="A5272" i="1"/>
  <c r="A5271" i="1"/>
  <c r="A5270" i="1"/>
  <c r="A5269" i="1"/>
  <c r="A5268" i="1"/>
  <c r="A5267" i="1"/>
  <c r="A5266" i="1"/>
  <c r="A5265" i="1"/>
  <c r="A5264" i="1"/>
  <c r="A5263" i="1"/>
  <c r="A5262" i="1"/>
  <c r="A5261" i="1"/>
  <c r="A5260" i="1"/>
  <c r="A5259" i="1"/>
  <c r="A5258" i="1"/>
  <c r="A5257" i="1"/>
  <c r="A5256" i="1"/>
  <c r="A5255" i="1"/>
  <c r="A5254" i="1"/>
  <c r="A5253" i="1"/>
  <c r="A5252" i="1"/>
  <c r="A5251" i="1"/>
  <c r="A5250" i="1"/>
  <c r="A5249" i="1"/>
  <c r="A5248" i="1"/>
  <c r="A5247" i="1"/>
  <c r="A5246" i="1"/>
  <c r="A5245" i="1"/>
  <c r="A5244" i="1"/>
  <c r="A5243" i="1"/>
  <c r="A5242" i="1"/>
  <c r="A5241" i="1"/>
  <c r="A5240" i="1"/>
  <c r="A5239" i="1"/>
  <c r="A5238" i="1"/>
  <c r="A5237" i="1"/>
  <c r="A5236" i="1"/>
  <c r="A5235" i="1"/>
  <c r="A5234" i="1"/>
  <c r="A5233" i="1"/>
  <c r="A5232" i="1"/>
  <c r="A5231" i="1"/>
  <c r="A5230" i="1"/>
  <c r="A5229" i="1"/>
  <c r="A5228" i="1"/>
  <c r="A5227" i="1"/>
  <c r="A5226" i="1"/>
  <c r="A5225" i="1"/>
  <c r="A5224" i="1"/>
  <c r="A5223" i="1"/>
  <c r="A5222" i="1"/>
  <c r="A5221" i="1"/>
  <c r="A5220" i="1"/>
  <c r="A5219" i="1"/>
  <c r="A5218" i="1"/>
  <c r="A5217" i="1"/>
  <c r="A5216" i="1"/>
  <c r="A5215" i="1"/>
  <c r="A5214" i="1"/>
  <c r="A5213" i="1"/>
  <c r="A5212" i="1"/>
  <c r="A5211" i="1"/>
  <c r="A5210" i="1"/>
  <c r="A5209" i="1"/>
  <c r="A5208" i="1"/>
  <c r="A5207" i="1"/>
  <c r="A5206" i="1"/>
  <c r="A5205" i="1"/>
  <c r="A5204" i="1"/>
  <c r="A5203" i="1"/>
  <c r="A5202" i="1"/>
  <c r="A5201" i="1"/>
  <c r="A5200" i="1"/>
  <c r="A5199" i="1"/>
  <c r="A5198" i="1"/>
  <c r="A5197" i="1"/>
  <c r="A5196" i="1"/>
  <c r="A5195" i="1"/>
  <c r="A5194" i="1"/>
  <c r="A5193" i="1"/>
  <c r="A5192" i="1"/>
  <c r="A5191" i="1"/>
  <c r="A5190" i="1"/>
  <c r="A5189" i="1"/>
  <c r="A5188" i="1"/>
  <c r="A5187" i="1"/>
  <c r="A5186" i="1"/>
  <c r="A5185" i="1"/>
  <c r="A5184" i="1"/>
  <c r="A5183" i="1"/>
  <c r="A5182" i="1"/>
  <c r="A5181" i="1"/>
  <c r="A5180" i="1"/>
  <c r="A5179" i="1"/>
  <c r="A5178" i="1"/>
  <c r="A5177" i="1"/>
  <c r="A5176" i="1"/>
  <c r="A5175" i="1"/>
  <c r="A5174" i="1"/>
  <c r="A5173" i="1"/>
  <c r="A5172" i="1"/>
  <c r="A5171" i="1"/>
  <c r="A5170" i="1"/>
  <c r="A5169" i="1"/>
  <c r="A5168" i="1"/>
  <c r="A5167" i="1"/>
  <c r="A5166" i="1"/>
  <c r="A5165" i="1"/>
  <c r="A5164" i="1"/>
  <c r="A5163" i="1"/>
  <c r="A5162" i="1"/>
  <c r="A5161" i="1"/>
  <c r="A5160" i="1"/>
  <c r="A5159" i="1"/>
  <c r="A5158" i="1"/>
  <c r="A5157" i="1"/>
  <c r="A5156" i="1"/>
  <c r="A5155" i="1"/>
  <c r="A5154" i="1"/>
  <c r="A5153" i="1"/>
  <c r="A5152" i="1"/>
  <c r="A5151" i="1"/>
  <c r="A5150" i="1"/>
  <c r="A5149" i="1"/>
  <c r="A5148" i="1"/>
  <c r="A5147" i="1"/>
  <c r="A5146" i="1"/>
  <c r="A5145" i="1"/>
  <c r="A5144" i="1"/>
  <c r="A5143" i="1"/>
  <c r="A5142" i="1"/>
  <c r="A5141" i="1"/>
  <c r="A5140" i="1"/>
  <c r="A5139" i="1"/>
  <c r="A5138" i="1"/>
  <c r="A5137" i="1"/>
  <c r="A5136" i="1"/>
  <c r="A5135" i="1"/>
  <c r="A5134" i="1"/>
  <c r="A5133" i="1"/>
  <c r="A5132" i="1"/>
  <c r="A5131" i="1"/>
  <c r="A5130" i="1"/>
  <c r="A5129" i="1"/>
  <c r="A5128" i="1"/>
  <c r="A5127" i="1"/>
  <c r="A5126" i="1"/>
  <c r="A5125" i="1"/>
  <c r="A5124" i="1"/>
  <c r="A5123" i="1"/>
  <c r="A5122" i="1"/>
  <c r="A5121" i="1"/>
  <c r="A5120" i="1"/>
  <c r="A5119" i="1"/>
  <c r="A5118" i="1"/>
  <c r="A5117" i="1"/>
  <c r="A5116" i="1"/>
  <c r="A5115" i="1"/>
  <c r="A5114" i="1"/>
  <c r="A5113" i="1"/>
  <c r="A5112" i="1"/>
  <c r="A5111" i="1"/>
  <c r="A5110" i="1"/>
  <c r="A5109" i="1"/>
  <c r="A5108" i="1"/>
  <c r="A5107" i="1"/>
  <c r="A5106" i="1"/>
  <c r="A5105" i="1"/>
  <c r="A5104" i="1"/>
  <c r="A5103" i="1"/>
  <c r="A5102" i="1"/>
  <c r="A5101" i="1"/>
  <c r="A5100" i="1"/>
  <c r="A5099" i="1"/>
  <c r="A5098" i="1"/>
  <c r="A5097" i="1"/>
  <c r="A5096" i="1"/>
  <c r="A5095" i="1"/>
  <c r="A5094" i="1"/>
  <c r="A5093" i="1"/>
  <c r="A5092" i="1"/>
  <c r="A5091" i="1"/>
  <c r="A5090" i="1"/>
  <c r="A5089" i="1"/>
  <c r="A5088" i="1"/>
  <c r="A5087" i="1"/>
  <c r="A5086" i="1"/>
  <c r="A5085" i="1"/>
  <c r="A5084" i="1"/>
  <c r="A5083" i="1"/>
  <c r="A5082" i="1"/>
  <c r="A5081" i="1"/>
  <c r="A5080" i="1"/>
  <c r="A5079" i="1"/>
  <c r="A5078" i="1"/>
  <c r="A5077" i="1"/>
  <c r="A5076" i="1"/>
  <c r="A5075" i="1"/>
  <c r="A5074" i="1"/>
  <c r="A5073" i="1"/>
  <c r="A5072" i="1"/>
  <c r="A5071" i="1"/>
  <c r="A5070" i="1"/>
  <c r="A5069" i="1"/>
  <c r="A5068" i="1"/>
  <c r="A5067" i="1"/>
  <c r="A5066" i="1"/>
  <c r="A5065" i="1"/>
  <c r="A5064" i="1"/>
  <c r="A5063" i="1"/>
  <c r="A5062" i="1"/>
  <c r="A5061" i="1"/>
  <c r="A5060" i="1"/>
  <c r="A5059" i="1"/>
  <c r="A5058" i="1"/>
  <c r="A5057" i="1"/>
  <c r="A5056" i="1"/>
  <c r="A5055" i="1"/>
  <c r="A5054" i="1"/>
  <c r="A5053" i="1"/>
  <c r="A5052" i="1"/>
  <c r="A5051" i="1"/>
  <c r="A5050" i="1"/>
  <c r="A5049" i="1"/>
  <c r="A5048" i="1"/>
  <c r="A5047" i="1"/>
  <c r="A5046" i="1"/>
  <c r="A5045" i="1"/>
  <c r="A5044" i="1"/>
  <c r="A5043" i="1"/>
  <c r="A5042" i="1"/>
  <c r="A5041" i="1"/>
  <c r="A5040" i="1"/>
  <c r="A5039" i="1"/>
  <c r="A5038" i="1"/>
  <c r="A5037" i="1"/>
  <c r="A5036" i="1"/>
  <c r="A5035" i="1"/>
  <c r="A5034" i="1"/>
  <c r="A5033" i="1"/>
  <c r="A5032" i="1"/>
  <c r="A5031" i="1"/>
  <c r="A5030" i="1"/>
  <c r="A5029" i="1"/>
  <c r="A5028" i="1"/>
  <c r="A5027" i="1"/>
  <c r="A5026" i="1"/>
  <c r="A5025" i="1"/>
  <c r="A5024" i="1"/>
  <c r="A5023" i="1"/>
  <c r="A5022" i="1"/>
  <c r="A5021" i="1"/>
  <c r="A5020" i="1"/>
  <c r="A5019" i="1"/>
  <c r="A5018" i="1"/>
  <c r="A5017" i="1"/>
  <c r="A5016" i="1"/>
  <c r="A5015" i="1"/>
  <c r="A5014" i="1"/>
  <c r="A5013" i="1"/>
  <c r="A5012" i="1"/>
  <c r="A5011" i="1"/>
  <c r="A5010" i="1"/>
  <c r="A5009" i="1"/>
  <c r="A5008" i="1"/>
  <c r="A5007" i="1"/>
  <c r="A5006" i="1"/>
  <c r="A5005" i="1"/>
  <c r="A5004" i="1"/>
  <c r="A5003" i="1"/>
  <c r="A5002" i="1"/>
  <c r="A5001" i="1"/>
  <c r="A5000" i="1"/>
  <c r="A4999" i="1"/>
  <c r="A4998" i="1"/>
  <c r="A4997" i="1"/>
  <c r="A4996" i="1"/>
  <c r="A4995" i="1"/>
  <c r="A4994" i="1"/>
  <c r="A4993" i="1"/>
  <c r="A4992" i="1"/>
  <c r="A4991" i="1"/>
  <c r="A4990" i="1"/>
  <c r="A4989" i="1"/>
  <c r="A4988" i="1"/>
  <c r="A4987" i="1"/>
  <c r="A4986" i="1"/>
  <c r="A4985" i="1"/>
  <c r="A4984" i="1"/>
  <c r="A4983" i="1"/>
  <c r="A4982" i="1"/>
  <c r="A4981" i="1"/>
  <c r="A4980" i="1"/>
  <c r="A4979" i="1"/>
  <c r="A4978" i="1"/>
  <c r="A4977" i="1"/>
  <c r="A4976" i="1"/>
  <c r="A4975" i="1"/>
  <c r="A4974" i="1"/>
  <c r="A4973" i="1"/>
  <c r="A4972" i="1"/>
  <c r="A4971" i="1"/>
  <c r="A4970" i="1"/>
  <c r="A4969" i="1"/>
  <c r="A4968" i="1"/>
  <c r="A4967" i="1"/>
  <c r="A4966" i="1"/>
  <c r="A4965" i="1"/>
  <c r="A4964" i="1"/>
  <c r="A4963" i="1"/>
  <c r="A4962" i="1"/>
  <c r="A4961" i="1"/>
  <c r="A4960" i="1"/>
  <c r="A4959" i="1"/>
  <c r="A4958" i="1"/>
  <c r="A4957" i="1"/>
  <c r="A4956" i="1"/>
  <c r="A4955" i="1"/>
  <c r="A4954" i="1"/>
  <c r="A4953" i="1"/>
  <c r="A4952" i="1"/>
  <c r="A4951" i="1"/>
  <c r="A4950" i="1"/>
  <c r="A4949" i="1"/>
  <c r="A4948" i="1"/>
  <c r="A4947" i="1"/>
  <c r="A4946" i="1"/>
  <c r="A4945" i="1"/>
  <c r="A4944" i="1"/>
  <c r="A4943" i="1"/>
  <c r="A4942" i="1"/>
  <c r="A4941" i="1"/>
  <c r="A4940" i="1"/>
  <c r="A4939" i="1"/>
  <c r="A4938" i="1"/>
  <c r="A4937" i="1"/>
  <c r="A4936" i="1"/>
  <c r="A4935" i="1"/>
  <c r="A4934" i="1"/>
  <c r="A4933" i="1"/>
  <c r="A4932" i="1"/>
  <c r="A4931" i="1"/>
  <c r="A4930" i="1"/>
  <c r="A4929" i="1"/>
  <c r="A4928" i="1"/>
  <c r="A4927" i="1"/>
  <c r="A4926" i="1"/>
  <c r="A4925" i="1"/>
  <c r="A4924" i="1"/>
  <c r="A4923" i="1"/>
  <c r="A4922" i="1"/>
  <c r="A4921" i="1"/>
  <c r="A4920" i="1"/>
  <c r="A4919" i="1"/>
  <c r="A4918" i="1"/>
  <c r="A4917" i="1"/>
  <c r="A4916" i="1"/>
  <c r="A4915" i="1"/>
  <c r="A4914" i="1"/>
  <c r="A4913" i="1"/>
  <c r="A4912" i="1"/>
  <c r="A4911" i="1"/>
  <c r="A4910" i="1"/>
  <c r="A4909" i="1"/>
  <c r="A4908" i="1"/>
  <c r="A4907" i="1"/>
  <c r="A4906" i="1"/>
  <c r="A4905" i="1"/>
  <c r="A4904" i="1"/>
  <c r="A4903" i="1"/>
  <c r="A4902" i="1"/>
  <c r="A4901" i="1"/>
  <c r="A4900" i="1"/>
  <c r="A4899" i="1"/>
  <c r="A4898" i="1"/>
  <c r="A4897" i="1"/>
  <c r="A4896" i="1"/>
  <c r="A4895" i="1"/>
  <c r="A4894" i="1"/>
  <c r="A4893" i="1"/>
  <c r="A4892" i="1"/>
  <c r="A4891" i="1"/>
  <c r="A4890" i="1"/>
  <c r="A4889" i="1"/>
  <c r="A4888" i="1"/>
  <c r="A4887" i="1"/>
  <c r="A4886" i="1"/>
  <c r="A4885" i="1"/>
  <c r="A4884" i="1"/>
  <c r="A4883" i="1"/>
  <c r="A4882" i="1"/>
  <c r="A4881" i="1"/>
  <c r="A4880" i="1"/>
  <c r="A4879" i="1"/>
  <c r="A4878" i="1"/>
  <c r="A4877" i="1"/>
  <c r="A4876" i="1"/>
  <c r="A4875" i="1"/>
  <c r="A4874" i="1"/>
  <c r="A4873" i="1"/>
  <c r="A4872" i="1"/>
  <c r="A4871" i="1"/>
  <c r="A4870" i="1"/>
  <c r="A4869" i="1"/>
  <c r="A4868" i="1"/>
  <c r="A4867" i="1"/>
  <c r="A4866" i="1"/>
  <c r="A4865" i="1"/>
  <c r="A4864" i="1"/>
  <c r="A4863" i="1"/>
  <c r="A4862" i="1"/>
  <c r="A4861" i="1"/>
  <c r="A4860" i="1"/>
  <c r="A4859" i="1"/>
  <c r="A4858" i="1"/>
  <c r="A4857" i="1"/>
  <c r="A4856" i="1"/>
  <c r="A4855" i="1"/>
  <c r="A4854" i="1"/>
  <c r="A4853" i="1"/>
  <c r="A4852" i="1"/>
  <c r="A4851" i="1"/>
  <c r="A4850" i="1"/>
  <c r="A4849" i="1"/>
  <c r="A4848" i="1"/>
  <c r="A4847" i="1"/>
  <c r="A4846" i="1"/>
  <c r="A4845" i="1"/>
  <c r="A4844" i="1"/>
  <c r="A4843" i="1"/>
  <c r="A4842" i="1"/>
  <c r="A4841" i="1"/>
  <c r="A4840" i="1"/>
  <c r="A4839" i="1"/>
  <c r="A4838" i="1"/>
  <c r="A4837" i="1"/>
  <c r="A4836" i="1"/>
  <c r="A4835" i="1"/>
  <c r="A4834" i="1"/>
  <c r="A4833" i="1"/>
  <c r="A4832" i="1"/>
  <c r="A4831" i="1"/>
  <c r="A4830" i="1"/>
  <c r="A4829" i="1"/>
  <c r="A4828" i="1"/>
  <c r="A4827" i="1"/>
  <c r="A4826" i="1"/>
  <c r="A4825" i="1"/>
  <c r="A4824" i="1"/>
  <c r="A4823" i="1"/>
  <c r="A4822" i="1"/>
  <c r="A4821" i="1"/>
  <c r="A4820" i="1"/>
  <c r="A4819" i="1"/>
  <c r="A4818" i="1"/>
  <c r="A4817" i="1"/>
  <c r="A4816" i="1"/>
  <c r="A4815" i="1"/>
  <c r="A4814" i="1"/>
  <c r="A4813" i="1"/>
  <c r="A4812" i="1"/>
  <c r="A4811" i="1"/>
  <c r="A4810" i="1"/>
  <c r="A4809" i="1"/>
  <c r="A4808" i="1"/>
  <c r="A4807" i="1"/>
  <c r="A4806" i="1"/>
  <c r="A4805" i="1"/>
  <c r="A4804" i="1"/>
  <c r="A4803" i="1"/>
  <c r="A4802" i="1"/>
  <c r="A4801" i="1"/>
  <c r="A4800" i="1"/>
  <c r="A4799" i="1"/>
  <c r="A4798" i="1"/>
  <c r="A4797" i="1"/>
  <c r="A4796" i="1"/>
  <c r="A4795" i="1"/>
  <c r="A4794" i="1"/>
  <c r="A4793" i="1"/>
  <c r="A4792" i="1"/>
  <c r="A4791" i="1"/>
  <c r="A4790" i="1"/>
  <c r="A4789" i="1"/>
  <c r="A4788" i="1"/>
  <c r="A4787" i="1"/>
  <c r="A4786" i="1"/>
  <c r="A4785" i="1"/>
  <c r="A4784" i="1"/>
  <c r="A4783" i="1"/>
  <c r="A4782" i="1"/>
  <c r="A4781" i="1"/>
  <c r="A4780" i="1"/>
  <c r="A4779" i="1"/>
  <c r="A4778" i="1"/>
  <c r="A4777" i="1"/>
  <c r="A4776" i="1"/>
  <c r="A4775" i="1"/>
  <c r="A4774" i="1"/>
  <c r="A4773" i="1"/>
  <c r="A4772" i="1"/>
  <c r="A4771" i="1"/>
  <c r="A4770" i="1"/>
  <c r="A4769" i="1"/>
  <c r="A4768" i="1"/>
  <c r="A4767" i="1"/>
  <c r="A4766" i="1"/>
  <c r="A4765" i="1"/>
  <c r="A4764" i="1"/>
  <c r="A4763" i="1"/>
  <c r="A4762" i="1"/>
  <c r="A4761" i="1"/>
  <c r="A4760" i="1"/>
  <c r="A4759" i="1"/>
  <c r="A4758" i="1"/>
  <c r="A4757" i="1"/>
  <c r="A4756" i="1"/>
  <c r="A4755" i="1"/>
  <c r="A4754" i="1"/>
  <c r="A4753" i="1"/>
  <c r="A4752" i="1"/>
  <c r="A4751" i="1"/>
  <c r="A4750" i="1"/>
  <c r="A4749" i="1"/>
  <c r="A4748" i="1"/>
  <c r="A4747" i="1"/>
  <c r="A4746" i="1"/>
  <c r="A4745" i="1"/>
  <c r="A4744" i="1"/>
  <c r="A4743" i="1"/>
  <c r="A4742" i="1"/>
  <c r="A4741" i="1"/>
  <c r="A4740" i="1"/>
  <c r="A4739" i="1"/>
  <c r="A4738" i="1"/>
  <c r="A4737" i="1"/>
  <c r="A4736" i="1"/>
  <c r="A4735" i="1"/>
  <c r="A4734" i="1"/>
  <c r="A4733" i="1"/>
  <c r="A4732" i="1"/>
  <c r="A4731" i="1"/>
  <c r="A4730" i="1"/>
  <c r="A4729" i="1"/>
  <c r="A4728" i="1"/>
  <c r="A4727" i="1"/>
  <c r="A4726" i="1"/>
  <c r="A4725" i="1"/>
  <c r="A4724" i="1"/>
  <c r="A4723" i="1"/>
  <c r="A4722" i="1"/>
  <c r="A4721" i="1"/>
  <c r="A4720" i="1"/>
  <c r="A4719" i="1"/>
  <c r="A4718" i="1"/>
  <c r="A4717" i="1"/>
  <c r="A4716" i="1"/>
  <c r="A4715" i="1"/>
  <c r="A4714" i="1"/>
  <c r="A4713" i="1"/>
  <c r="A4712" i="1"/>
  <c r="A4711" i="1"/>
  <c r="A4710" i="1"/>
  <c r="A4709" i="1"/>
  <c r="A4708" i="1"/>
  <c r="A4707" i="1"/>
  <c r="A4706" i="1"/>
  <c r="A4705" i="1"/>
  <c r="A4704" i="1"/>
  <c r="A4703" i="1"/>
  <c r="A4702" i="1"/>
  <c r="A4701" i="1"/>
  <c r="A4700" i="1"/>
  <c r="A4699" i="1"/>
  <c r="A4698" i="1"/>
  <c r="A4697" i="1"/>
  <c r="A4696" i="1"/>
  <c r="A4695" i="1"/>
  <c r="A4694" i="1"/>
  <c r="A4693" i="1"/>
  <c r="A4692" i="1"/>
  <c r="A4691" i="1"/>
  <c r="A4690" i="1"/>
  <c r="A4689" i="1"/>
  <c r="A4688" i="1"/>
  <c r="A4687" i="1"/>
  <c r="A4686" i="1"/>
  <c r="A4685" i="1"/>
  <c r="A4684" i="1"/>
  <c r="A4683" i="1"/>
  <c r="A4682" i="1"/>
  <c r="A4681" i="1"/>
  <c r="A4680" i="1"/>
  <c r="A4679" i="1"/>
  <c r="A4678" i="1"/>
  <c r="A4677" i="1"/>
  <c r="A4676" i="1"/>
  <c r="A4675" i="1"/>
  <c r="A4674" i="1"/>
  <c r="A4673" i="1"/>
  <c r="A4672" i="1"/>
  <c r="A4671" i="1"/>
  <c r="A4670" i="1"/>
  <c r="A4669" i="1"/>
  <c r="A4668" i="1"/>
  <c r="A4667" i="1"/>
  <c r="A4666" i="1"/>
  <c r="A4665" i="1"/>
  <c r="A4664" i="1"/>
  <c r="A4663" i="1"/>
  <c r="A4662" i="1"/>
  <c r="A4661" i="1"/>
  <c r="A4660" i="1"/>
  <c r="A4659" i="1"/>
  <c r="A4658" i="1"/>
  <c r="A4657" i="1"/>
  <c r="A4656" i="1"/>
  <c r="A4655" i="1"/>
  <c r="A4654" i="1"/>
  <c r="A4653" i="1"/>
  <c r="A4652" i="1"/>
  <c r="A4651" i="1"/>
  <c r="A4650" i="1"/>
  <c r="A4649" i="1"/>
  <c r="A4648" i="1"/>
  <c r="A4647" i="1"/>
  <c r="A4646" i="1"/>
  <c r="A4645" i="1"/>
  <c r="A4644" i="1"/>
  <c r="A4643" i="1"/>
  <c r="A4642" i="1"/>
  <c r="A4641" i="1"/>
  <c r="A4640" i="1"/>
  <c r="A4639" i="1"/>
  <c r="A4638" i="1"/>
  <c r="A4637" i="1"/>
  <c r="A4636" i="1"/>
  <c r="A4635" i="1"/>
  <c r="A4634" i="1"/>
  <c r="A4633" i="1"/>
  <c r="A4632" i="1"/>
  <c r="A4631" i="1"/>
  <c r="A4630" i="1"/>
  <c r="A4629" i="1"/>
  <c r="A4628" i="1"/>
  <c r="A4627" i="1"/>
  <c r="A4626" i="1"/>
  <c r="A4625" i="1"/>
  <c r="A4624" i="1"/>
  <c r="A4623" i="1"/>
  <c r="A4622" i="1"/>
  <c r="A4621" i="1"/>
  <c r="A4620" i="1"/>
  <c r="A4619" i="1"/>
  <c r="A4618" i="1"/>
  <c r="A4617" i="1"/>
  <c r="A4616" i="1"/>
  <c r="A4615" i="1"/>
  <c r="A4614" i="1"/>
  <c r="A4613" i="1"/>
  <c r="A4612" i="1"/>
  <c r="A4611" i="1"/>
  <c r="A4610" i="1"/>
  <c r="A4609" i="1"/>
  <c r="A4608" i="1"/>
  <c r="A4607" i="1"/>
  <c r="A4606" i="1"/>
  <c r="A4605" i="1"/>
  <c r="A4604" i="1"/>
  <c r="A4603" i="1"/>
  <c r="A4602" i="1"/>
  <c r="A4601" i="1"/>
  <c r="A4600" i="1"/>
  <c r="A4599" i="1"/>
  <c r="A4598" i="1"/>
  <c r="A4597" i="1"/>
  <c r="A4596" i="1"/>
  <c r="A4595" i="1"/>
  <c r="A4594" i="1"/>
  <c r="A4593" i="1"/>
  <c r="A4592" i="1"/>
  <c r="A4591" i="1"/>
  <c r="A4590" i="1"/>
  <c r="A4589" i="1"/>
  <c r="A4588" i="1"/>
  <c r="A4587" i="1"/>
  <c r="A4586" i="1"/>
  <c r="A4585" i="1"/>
  <c r="A4584" i="1"/>
  <c r="A4583" i="1"/>
  <c r="A4582" i="1"/>
  <c r="A4581" i="1"/>
  <c r="A4580" i="1"/>
  <c r="A4579" i="1"/>
  <c r="A4578" i="1"/>
  <c r="A4577" i="1"/>
  <c r="A4576" i="1"/>
  <c r="A4575" i="1"/>
  <c r="A4574" i="1"/>
  <c r="A4573" i="1"/>
  <c r="A4572" i="1"/>
  <c r="A4571" i="1"/>
  <c r="A4570" i="1"/>
  <c r="A4569" i="1"/>
  <c r="A4568" i="1"/>
  <c r="A4567" i="1"/>
  <c r="A4566" i="1"/>
  <c r="A4565" i="1"/>
  <c r="A4564" i="1"/>
  <c r="A4563" i="1"/>
  <c r="A4562" i="1"/>
  <c r="A4561" i="1"/>
  <c r="A4560" i="1"/>
  <c r="A4559" i="1"/>
  <c r="A4558" i="1"/>
  <c r="A4557" i="1"/>
  <c r="A4556" i="1"/>
  <c r="A4555" i="1"/>
  <c r="A4554" i="1"/>
  <c r="A4553" i="1"/>
  <c r="A4552" i="1"/>
  <c r="A4551" i="1"/>
  <c r="A4550" i="1"/>
  <c r="A4549" i="1"/>
  <c r="A4548" i="1"/>
  <c r="A4547" i="1"/>
  <c r="A4546" i="1"/>
  <c r="A4545" i="1"/>
  <c r="A4544" i="1"/>
  <c r="A4543" i="1"/>
  <c r="A4542" i="1"/>
  <c r="A4541" i="1"/>
  <c r="A4540" i="1"/>
  <c r="A4539" i="1"/>
  <c r="A4538" i="1"/>
  <c r="A4537" i="1"/>
  <c r="A4536" i="1"/>
  <c r="A4535" i="1"/>
  <c r="A4534" i="1"/>
  <c r="A4533" i="1"/>
  <c r="A4532" i="1"/>
  <c r="A4531" i="1"/>
  <c r="A4530" i="1"/>
  <c r="A4529" i="1"/>
  <c r="A4528" i="1"/>
  <c r="A4527" i="1"/>
  <c r="A4526" i="1"/>
  <c r="A4525" i="1"/>
  <c r="A4524" i="1"/>
  <c r="A4523" i="1"/>
  <c r="A4522" i="1"/>
  <c r="A4521" i="1"/>
  <c r="A4520" i="1"/>
  <c r="A4519" i="1"/>
  <c r="A4518" i="1"/>
  <c r="A4517" i="1"/>
  <c r="A4516" i="1"/>
  <c r="A4515" i="1"/>
  <c r="A4514" i="1"/>
  <c r="A4513" i="1"/>
  <c r="A4512" i="1"/>
  <c r="A4511" i="1"/>
  <c r="A4510" i="1"/>
  <c r="A4509" i="1"/>
  <c r="A4508" i="1"/>
  <c r="A4507" i="1"/>
  <c r="A4506" i="1"/>
  <c r="A4505" i="1"/>
  <c r="A4504" i="1"/>
  <c r="A4503" i="1"/>
  <c r="A4502" i="1"/>
  <c r="A4501" i="1"/>
  <c r="A4500" i="1"/>
  <c r="A4499" i="1"/>
  <c r="A4498" i="1"/>
  <c r="A4497" i="1"/>
  <c r="A4496" i="1"/>
  <c r="A4495" i="1"/>
  <c r="A4494" i="1"/>
  <c r="A4493" i="1"/>
  <c r="A4492" i="1"/>
  <c r="A4491" i="1"/>
  <c r="A4490" i="1"/>
  <c r="A4489" i="1"/>
  <c r="A4488" i="1"/>
  <c r="A4487" i="1"/>
  <c r="A4486" i="1"/>
  <c r="A4485" i="1"/>
  <c r="A4484" i="1"/>
  <c r="A4483" i="1"/>
  <c r="A4482" i="1"/>
  <c r="A4481" i="1"/>
  <c r="A4480" i="1"/>
  <c r="A4479" i="1"/>
  <c r="A4478" i="1"/>
  <c r="A4477" i="1"/>
  <c r="A4476" i="1"/>
  <c r="A4475" i="1"/>
  <c r="A4474" i="1"/>
  <c r="A4473" i="1"/>
  <c r="A4472" i="1"/>
  <c r="A4471" i="1"/>
  <c r="A4470" i="1"/>
  <c r="A4469" i="1"/>
  <c r="A4468" i="1"/>
  <c r="A4467" i="1"/>
  <c r="A4466" i="1"/>
  <c r="A4465" i="1"/>
  <c r="A4464" i="1"/>
  <c r="A4463" i="1"/>
  <c r="A4462" i="1"/>
  <c r="A4461" i="1"/>
  <c r="A4460" i="1"/>
  <c r="A4459" i="1"/>
  <c r="A4458" i="1"/>
  <c r="A4457" i="1"/>
  <c r="A4456" i="1"/>
  <c r="A4455" i="1"/>
  <c r="A4454" i="1"/>
  <c r="A4453" i="1"/>
  <c r="A4452" i="1"/>
  <c r="A4451" i="1"/>
  <c r="A4450" i="1"/>
  <c r="A4449" i="1"/>
  <c r="A4448" i="1"/>
  <c r="A4447" i="1"/>
  <c r="A4446" i="1"/>
  <c r="A4445" i="1"/>
  <c r="A4444" i="1"/>
  <c r="A4443" i="1"/>
  <c r="A4442" i="1"/>
  <c r="A4441" i="1"/>
  <c r="A4440" i="1"/>
  <c r="A4439" i="1"/>
  <c r="A4438" i="1"/>
  <c r="A4437" i="1"/>
  <c r="A4436" i="1"/>
  <c r="A4435" i="1"/>
  <c r="A4434" i="1"/>
  <c r="A4433" i="1"/>
  <c r="A4432" i="1"/>
  <c r="A4431" i="1"/>
  <c r="A4430" i="1"/>
  <c r="A4429" i="1"/>
  <c r="A4428" i="1"/>
  <c r="A4427" i="1"/>
  <c r="A4426" i="1"/>
  <c r="A4425" i="1"/>
  <c r="A4424" i="1"/>
  <c r="A4423" i="1"/>
  <c r="A4422" i="1"/>
  <c r="A4421" i="1"/>
  <c r="A4420" i="1"/>
  <c r="A4419" i="1"/>
  <c r="A4418" i="1"/>
  <c r="A4417" i="1"/>
  <c r="A4416" i="1"/>
  <c r="A4415" i="1"/>
  <c r="A4414" i="1"/>
  <c r="A4413" i="1"/>
  <c r="A4412" i="1"/>
  <c r="A4411" i="1"/>
  <c r="A4410" i="1"/>
  <c r="A4409" i="1"/>
  <c r="A4408" i="1"/>
  <c r="A4407" i="1"/>
  <c r="A4406" i="1"/>
  <c r="A4405" i="1"/>
  <c r="A4404" i="1"/>
  <c r="A4403" i="1"/>
  <c r="A4402" i="1"/>
  <c r="A4401" i="1"/>
  <c r="A4400" i="1"/>
  <c r="A4399" i="1"/>
  <c r="A4398" i="1"/>
  <c r="A4397" i="1"/>
  <c r="A4396" i="1"/>
  <c r="A4395" i="1"/>
  <c r="A4394" i="1"/>
  <c r="A4393" i="1"/>
  <c r="A4392" i="1"/>
  <c r="A4391" i="1"/>
  <c r="A4390" i="1"/>
  <c r="A4389" i="1"/>
  <c r="A4388" i="1"/>
  <c r="A4387" i="1"/>
  <c r="A4386" i="1"/>
  <c r="A4385" i="1"/>
  <c r="A4384" i="1"/>
  <c r="A4383" i="1"/>
  <c r="A4382" i="1"/>
  <c r="A4381" i="1"/>
  <c r="A4380" i="1"/>
  <c r="A4379" i="1"/>
  <c r="A4378" i="1"/>
  <c r="A4377" i="1"/>
  <c r="A4376" i="1"/>
  <c r="A4375" i="1"/>
  <c r="A4374" i="1"/>
  <c r="A4373" i="1"/>
  <c r="A4372" i="1"/>
  <c r="A4371" i="1"/>
  <c r="A4370" i="1"/>
  <c r="A4369" i="1"/>
  <c r="A4368" i="1"/>
  <c r="A4367" i="1"/>
  <c r="A4366" i="1"/>
  <c r="A4365" i="1"/>
  <c r="A4364" i="1"/>
  <c r="A4363" i="1"/>
  <c r="A4362" i="1"/>
  <c r="A4361" i="1"/>
  <c r="A4360" i="1"/>
  <c r="A4359" i="1"/>
  <c r="A4358" i="1"/>
  <c r="A4357" i="1"/>
  <c r="A4356" i="1"/>
  <c r="A4355" i="1"/>
  <c r="A4354" i="1"/>
  <c r="A4353" i="1"/>
  <c r="A4352" i="1"/>
  <c r="A4351" i="1"/>
  <c r="A4350" i="1"/>
  <c r="A4349" i="1"/>
  <c r="A4348" i="1"/>
  <c r="A4347" i="1"/>
  <c r="A4346" i="1"/>
  <c r="A4345" i="1"/>
  <c r="A4344" i="1"/>
  <c r="A4343" i="1"/>
  <c r="A4342" i="1"/>
  <c r="A4341" i="1"/>
  <c r="A4340" i="1"/>
  <c r="A4339" i="1"/>
  <c r="A4338" i="1"/>
  <c r="A4337" i="1"/>
  <c r="A4336" i="1"/>
  <c r="A4335" i="1"/>
  <c r="A4334" i="1"/>
  <c r="A4333" i="1"/>
  <c r="A4332" i="1"/>
  <c r="A4331" i="1"/>
  <c r="A4330" i="1"/>
  <c r="A4329" i="1"/>
  <c r="A4328" i="1"/>
  <c r="A4327" i="1"/>
  <c r="A4326" i="1"/>
  <c r="A4325" i="1"/>
  <c r="A4324" i="1"/>
  <c r="A4323" i="1"/>
  <c r="A4322" i="1"/>
  <c r="A4321" i="1"/>
  <c r="A4320" i="1"/>
  <c r="A4319" i="1"/>
  <c r="A4318" i="1"/>
  <c r="A4317" i="1"/>
  <c r="A4316" i="1"/>
  <c r="A4315" i="1"/>
  <c r="A4314" i="1"/>
  <c r="A4313" i="1"/>
  <c r="A4312" i="1"/>
  <c r="A4311" i="1"/>
  <c r="A4310" i="1"/>
  <c r="A4309" i="1"/>
  <c r="A4308" i="1"/>
  <c r="A4307" i="1"/>
  <c r="A4306" i="1"/>
  <c r="A4305" i="1"/>
  <c r="A4304" i="1"/>
  <c r="A4303" i="1"/>
  <c r="A4302" i="1"/>
  <c r="A4301" i="1"/>
  <c r="A4300" i="1"/>
  <c r="A4299" i="1"/>
  <c r="A4298" i="1"/>
  <c r="A4297" i="1"/>
  <c r="A4296" i="1"/>
  <c r="A4295" i="1"/>
  <c r="A4294" i="1"/>
  <c r="A4293" i="1"/>
  <c r="A4292" i="1"/>
  <c r="A4291" i="1"/>
  <c r="A4290" i="1"/>
  <c r="A4289" i="1"/>
  <c r="A4288" i="1"/>
  <c r="A4287" i="1"/>
  <c r="A4286" i="1"/>
  <c r="A4285" i="1"/>
  <c r="A4284" i="1"/>
  <c r="A4283" i="1"/>
  <c r="A4282" i="1"/>
  <c r="A4281" i="1"/>
  <c r="A4280" i="1"/>
  <c r="A4279" i="1"/>
  <c r="A4278" i="1"/>
  <c r="A4277" i="1"/>
  <c r="A4276" i="1"/>
  <c r="A4275" i="1"/>
  <c r="A4274" i="1"/>
  <c r="A4273" i="1"/>
  <c r="A4272" i="1"/>
  <c r="A4271" i="1"/>
  <c r="A4270" i="1"/>
  <c r="A4269" i="1"/>
  <c r="A4268" i="1"/>
  <c r="A4267" i="1"/>
  <c r="A4266" i="1"/>
  <c r="A4265" i="1"/>
  <c r="A4264" i="1"/>
  <c r="A4263" i="1"/>
  <c r="A4262" i="1"/>
  <c r="A4261" i="1"/>
  <c r="A4260" i="1"/>
  <c r="A4259" i="1"/>
  <c r="A4258" i="1"/>
  <c r="A4257" i="1"/>
  <c r="A4256" i="1"/>
  <c r="A4255" i="1"/>
  <c r="A4254" i="1"/>
  <c r="A4253" i="1"/>
  <c r="A4252" i="1"/>
  <c r="A4251" i="1"/>
  <c r="A4250" i="1"/>
  <c r="A4249" i="1"/>
  <c r="A4248" i="1"/>
  <c r="A4247" i="1"/>
  <c r="A4246" i="1"/>
  <c r="A4245" i="1"/>
  <c r="A4244" i="1"/>
  <c r="A4243" i="1"/>
  <c r="A4242" i="1"/>
  <c r="A4241" i="1"/>
  <c r="A4240" i="1"/>
  <c r="A4239" i="1"/>
  <c r="A4238" i="1"/>
  <c r="A4237" i="1"/>
  <c r="A4236" i="1"/>
  <c r="A4235" i="1"/>
  <c r="A4234" i="1"/>
  <c r="A4233" i="1"/>
  <c r="A4232" i="1"/>
  <c r="A4231" i="1"/>
  <c r="A4230" i="1"/>
  <c r="A4229" i="1"/>
  <c r="A4228" i="1"/>
  <c r="A4227" i="1"/>
  <c r="A4226" i="1"/>
  <c r="A4225" i="1"/>
  <c r="A4224" i="1"/>
  <c r="A4223" i="1"/>
  <c r="A4222" i="1"/>
  <c r="A4221" i="1"/>
  <c r="A4220" i="1"/>
  <c r="A4219" i="1"/>
  <c r="A4218" i="1"/>
  <c r="A4217" i="1"/>
  <c r="A4216" i="1"/>
  <c r="A4215" i="1"/>
  <c r="A4214" i="1"/>
  <c r="A4213" i="1"/>
  <c r="A4212" i="1"/>
  <c r="A4211" i="1"/>
  <c r="A4210" i="1"/>
  <c r="A4209" i="1"/>
  <c r="A4208" i="1"/>
  <c r="A4207" i="1"/>
  <c r="A4206" i="1"/>
  <c r="A4205" i="1"/>
  <c r="A4204" i="1"/>
  <c r="A4203" i="1"/>
  <c r="A4202" i="1"/>
  <c r="A4201" i="1"/>
  <c r="A4200" i="1"/>
  <c r="A4199" i="1"/>
  <c r="A4198" i="1"/>
  <c r="A4197" i="1"/>
  <c r="A4196" i="1"/>
  <c r="A4195" i="1"/>
  <c r="A4194" i="1"/>
  <c r="A4193" i="1"/>
  <c r="A4192" i="1"/>
  <c r="A4191" i="1"/>
  <c r="A4190" i="1"/>
  <c r="A4189" i="1"/>
  <c r="A4188" i="1"/>
  <c r="A4187" i="1"/>
  <c r="A4186" i="1"/>
  <c r="A4185" i="1"/>
  <c r="A4184" i="1"/>
  <c r="A4183" i="1"/>
  <c r="A4182" i="1"/>
  <c r="A4181" i="1"/>
  <c r="A4180" i="1"/>
  <c r="A4179" i="1"/>
  <c r="A4178" i="1"/>
  <c r="A4177" i="1"/>
  <c r="A4176" i="1"/>
  <c r="A4175" i="1"/>
  <c r="A4174" i="1"/>
  <c r="A4173" i="1"/>
  <c r="A4172" i="1"/>
  <c r="A4171" i="1"/>
  <c r="A4170" i="1"/>
  <c r="A4169" i="1"/>
  <c r="A4168" i="1"/>
  <c r="A4167" i="1"/>
  <c r="A4166" i="1"/>
  <c r="A4165" i="1"/>
  <c r="A4164" i="1"/>
  <c r="A4163" i="1"/>
  <c r="A4162" i="1"/>
  <c r="A4161" i="1"/>
  <c r="A4160" i="1"/>
  <c r="A4159" i="1"/>
  <c r="A4158" i="1"/>
  <c r="A4157" i="1"/>
  <c r="A4156" i="1"/>
  <c r="A4155" i="1"/>
  <c r="A4154" i="1"/>
  <c r="A4153" i="1"/>
  <c r="A4152" i="1"/>
  <c r="A4151" i="1"/>
  <c r="A4150" i="1"/>
  <c r="A4149" i="1"/>
  <c r="A4148" i="1"/>
  <c r="A4147" i="1"/>
  <c r="A4146" i="1"/>
  <c r="A4145" i="1"/>
  <c r="A4144" i="1"/>
  <c r="A4143" i="1"/>
  <c r="A4142" i="1"/>
  <c r="A4141" i="1"/>
  <c r="A4140" i="1"/>
  <c r="A4139" i="1"/>
  <c r="A4138" i="1"/>
  <c r="A4137" i="1"/>
  <c r="A4136" i="1"/>
  <c r="A4135" i="1"/>
  <c r="A4134" i="1"/>
  <c r="A4133" i="1"/>
  <c r="A4132" i="1"/>
  <c r="A4131" i="1"/>
  <c r="A4130" i="1"/>
  <c r="A4129" i="1"/>
  <c r="A4128" i="1"/>
  <c r="A4127" i="1"/>
  <c r="A4126" i="1"/>
  <c r="A4125" i="1"/>
  <c r="A4124" i="1"/>
  <c r="A4123" i="1"/>
  <c r="A4122" i="1"/>
  <c r="A4121" i="1"/>
  <c r="A4120" i="1"/>
  <c r="A4119" i="1"/>
  <c r="A4118" i="1"/>
  <c r="A4117" i="1"/>
  <c r="A4116" i="1"/>
  <c r="A4115" i="1"/>
  <c r="A4114" i="1"/>
  <c r="A4113" i="1"/>
  <c r="A4112" i="1"/>
  <c r="A4111" i="1"/>
  <c r="A4110" i="1"/>
  <c r="A4109" i="1"/>
  <c r="A4108" i="1"/>
  <c r="A4107" i="1"/>
  <c r="A4106" i="1"/>
  <c r="A4105" i="1"/>
  <c r="A4104" i="1"/>
  <c r="A4103" i="1"/>
  <c r="A4102" i="1"/>
  <c r="A4101" i="1"/>
  <c r="A4100" i="1"/>
  <c r="A4099" i="1"/>
  <c r="A4098" i="1"/>
  <c r="A4097" i="1"/>
  <c r="A4096" i="1"/>
  <c r="A4095" i="1"/>
  <c r="A4094" i="1"/>
  <c r="A4093" i="1"/>
  <c r="A4092" i="1"/>
  <c r="A4091" i="1"/>
  <c r="A4090" i="1"/>
  <c r="A4089" i="1"/>
  <c r="A4088" i="1"/>
  <c r="A4087" i="1"/>
  <c r="A4086" i="1"/>
  <c r="A4085" i="1"/>
  <c r="A4084" i="1"/>
  <c r="A4083" i="1"/>
  <c r="A4082" i="1"/>
  <c r="A4081" i="1"/>
  <c r="A4080" i="1"/>
  <c r="A4079" i="1"/>
  <c r="A4078" i="1"/>
  <c r="A4077" i="1"/>
  <c r="A4076" i="1"/>
  <c r="A4075" i="1"/>
  <c r="A4074" i="1"/>
  <c r="A4073" i="1"/>
  <c r="A4072" i="1"/>
  <c r="A4071" i="1"/>
  <c r="A4070" i="1"/>
  <c r="A4069" i="1"/>
  <c r="A4068" i="1"/>
  <c r="A4067" i="1"/>
  <c r="A4066" i="1"/>
  <c r="A4065" i="1"/>
  <c r="A4064" i="1"/>
  <c r="A4063" i="1"/>
  <c r="A4062" i="1"/>
  <c r="A4061" i="1"/>
  <c r="A4060" i="1"/>
  <c r="A4059" i="1"/>
  <c r="A4058" i="1"/>
  <c r="A4057" i="1"/>
  <c r="A4056" i="1"/>
  <c r="A4055" i="1"/>
  <c r="A4054" i="1"/>
  <c r="A4053" i="1"/>
  <c r="A4052" i="1"/>
  <c r="A4051" i="1"/>
  <c r="A4050" i="1"/>
  <c r="A4049" i="1"/>
  <c r="A4048" i="1"/>
  <c r="A4047" i="1"/>
  <c r="A4046" i="1"/>
  <c r="A4045" i="1"/>
  <c r="A4044" i="1"/>
  <c r="A4043" i="1"/>
  <c r="A4042" i="1"/>
  <c r="A4041" i="1"/>
  <c r="A4040" i="1"/>
  <c r="A4039" i="1"/>
  <c r="A4038" i="1"/>
  <c r="A4037" i="1"/>
  <c r="A4036" i="1"/>
  <c r="A4035" i="1"/>
  <c r="A4034" i="1"/>
  <c r="A4033" i="1"/>
  <c r="A4032" i="1"/>
  <c r="A4031" i="1"/>
  <c r="A4030" i="1"/>
  <c r="A4029" i="1"/>
  <c r="A4028" i="1"/>
  <c r="A4027" i="1"/>
  <c r="A4026" i="1"/>
  <c r="A4025" i="1"/>
  <c r="A4024" i="1"/>
  <c r="A4023" i="1"/>
  <c r="A4022" i="1"/>
  <c r="A4021" i="1"/>
  <c r="A4020" i="1"/>
  <c r="A4019" i="1"/>
  <c r="A4018" i="1"/>
  <c r="A4017" i="1"/>
  <c r="A4016" i="1"/>
  <c r="A4015" i="1"/>
  <c r="A4014" i="1"/>
  <c r="A4013" i="1"/>
  <c r="A4012" i="1"/>
  <c r="A4011" i="1"/>
  <c r="A4010" i="1"/>
  <c r="A4009" i="1"/>
  <c r="A4008" i="1"/>
  <c r="A4007" i="1"/>
  <c r="A4006" i="1"/>
  <c r="A4005" i="1"/>
  <c r="A4004" i="1"/>
  <c r="A4003" i="1"/>
  <c r="A4002" i="1"/>
  <c r="A4001" i="1"/>
  <c r="A4000" i="1"/>
  <c r="A3999" i="1"/>
  <c r="A3998" i="1"/>
  <c r="A3997" i="1"/>
  <c r="A3996" i="1"/>
  <c r="A3995" i="1"/>
  <c r="A3994" i="1"/>
  <c r="A3993" i="1"/>
  <c r="A3992" i="1"/>
  <c r="A3991" i="1"/>
  <c r="A3990" i="1"/>
  <c r="A3989" i="1"/>
  <c r="A3988" i="1"/>
  <c r="A3987" i="1"/>
  <c r="A3986" i="1"/>
  <c r="A3985" i="1"/>
  <c r="A3984" i="1"/>
  <c r="A3983" i="1"/>
  <c r="A3982" i="1"/>
  <c r="A3981" i="1"/>
  <c r="A3980" i="1"/>
  <c r="A3979" i="1"/>
  <c r="A3978" i="1"/>
  <c r="A3977" i="1"/>
  <c r="A3976" i="1"/>
  <c r="A3975" i="1"/>
  <c r="A3974" i="1"/>
  <c r="A3973" i="1"/>
  <c r="A3972" i="1"/>
  <c r="A3971" i="1"/>
  <c r="A3970" i="1"/>
  <c r="A3969" i="1"/>
  <c r="A3968" i="1"/>
  <c r="A3967" i="1"/>
  <c r="A3966" i="1"/>
  <c r="A3965" i="1"/>
  <c r="A3964" i="1"/>
  <c r="A3963" i="1"/>
  <c r="A3962" i="1"/>
  <c r="A3961" i="1"/>
  <c r="A3960" i="1"/>
  <c r="A3959" i="1"/>
  <c r="A3958" i="1"/>
  <c r="A3957" i="1"/>
  <c r="A3956" i="1"/>
  <c r="A3955" i="1"/>
  <c r="A3954" i="1"/>
  <c r="A3953" i="1"/>
  <c r="A3952" i="1"/>
  <c r="A3951" i="1"/>
  <c r="A3950" i="1"/>
  <c r="A3949" i="1"/>
  <c r="A3948" i="1"/>
  <c r="A3947" i="1"/>
  <c r="A3946" i="1"/>
  <c r="A3945" i="1"/>
  <c r="A3944" i="1"/>
  <c r="A3943" i="1"/>
  <c r="A3942" i="1"/>
  <c r="A3941" i="1"/>
  <c r="A3940" i="1"/>
  <c r="A3939" i="1"/>
  <c r="A3938" i="1"/>
  <c r="A3937" i="1"/>
  <c r="A3936" i="1"/>
  <c r="A3935" i="1"/>
  <c r="A3934" i="1"/>
  <c r="A3933" i="1"/>
  <c r="A3932" i="1"/>
  <c r="A3931" i="1"/>
  <c r="A3930" i="1"/>
  <c r="A3929" i="1"/>
  <c r="A3928" i="1"/>
  <c r="A3927" i="1"/>
  <c r="A3926" i="1"/>
  <c r="A3925" i="1"/>
  <c r="A3924" i="1"/>
  <c r="A3923" i="1"/>
  <c r="A3922" i="1"/>
  <c r="A3921" i="1"/>
  <c r="A3920" i="1"/>
  <c r="A3919" i="1"/>
  <c r="A3918" i="1"/>
  <c r="A3917" i="1"/>
  <c r="A3916" i="1"/>
  <c r="A3915" i="1"/>
  <c r="A3914" i="1"/>
  <c r="A3913" i="1"/>
  <c r="A3912" i="1"/>
  <c r="A3911" i="1"/>
  <c r="A3910" i="1"/>
  <c r="A3909" i="1"/>
  <c r="A3908" i="1"/>
  <c r="A3907" i="1"/>
  <c r="A3906" i="1"/>
  <c r="A3905" i="1"/>
  <c r="A3904" i="1"/>
  <c r="A3903" i="1"/>
  <c r="A3902" i="1"/>
  <c r="A3901" i="1"/>
  <c r="A3900" i="1"/>
  <c r="A3899" i="1"/>
  <c r="A3898" i="1"/>
  <c r="A3897" i="1"/>
  <c r="A3896" i="1"/>
  <c r="A3895" i="1"/>
  <c r="A3894" i="1"/>
  <c r="A3893" i="1"/>
  <c r="A3892" i="1"/>
  <c r="A3891" i="1"/>
  <c r="A3890" i="1"/>
  <c r="A3889" i="1"/>
  <c r="A3888" i="1"/>
  <c r="A3887" i="1"/>
  <c r="A3886" i="1"/>
  <c r="A3885" i="1"/>
  <c r="A3884" i="1"/>
  <c r="A3883" i="1"/>
  <c r="A3882" i="1"/>
  <c r="A3881" i="1"/>
  <c r="A3880" i="1"/>
  <c r="A3879" i="1"/>
  <c r="A3878" i="1"/>
  <c r="A3877" i="1"/>
  <c r="A3876" i="1"/>
  <c r="A3875" i="1"/>
  <c r="A3874" i="1"/>
  <c r="A3873" i="1"/>
  <c r="A3872" i="1"/>
  <c r="A3871" i="1"/>
  <c r="A3870" i="1"/>
  <c r="A3869" i="1"/>
  <c r="A3868" i="1"/>
  <c r="A3867" i="1"/>
  <c r="A3866" i="1"/>
  <c r="A3865" i="1"/>
  <c r="A3864" i="1"/>
  <c r="A3863" i="1"/>
  <c r="A3862" i="1"/>
  <c r="A3861" i="1"/>
  <c r="A3860" i="1"/>
  <c r="A3859" i="1"/>
  <c r="A3858" i="1"/>
  <c r="A3857" i="1"/>
  <c r="A3856" i="1"/>
  <c r="A3855" i="1"/>
  <c r="A3854" i="1"/>
  <c r="A3853" i="1"/>
  <c r="A3852" i="1"/>
  <c r="A3851" i="1"/>
  <c r="A3850" i="1"/>
  <c r="A3849" i="1"/>
  <c r="A3848" i="1"/>
  <c r="A3847" i="1"/>
  <c r="A3846" i="1"/>
  <c r="A3845" i="1"/>
  <c r="A3844" i="1"/>
  <c r="A3843" i="1"/>
  <c r="A3842" i="1"/>
  <c r="A3841" i="1"/>
  <c r="A3840" i="1"/>
  <c r="A3839" i="1"/>
  <c r="A3838" i="1"/>
  <c r="A3837" i="1"/>
  <c r="A3836" i="1"/>
  <c r="A3835" i="1"/>
  <c r="A3834" i="1"/>
  <c r="A3833" i="1"/>
  <c r="A3832" i="1"/>
  <c r="A3831" i="1"/>
  <c r="A3830" i="1"/>
  <c r="A3829" i="1"/>
  <c r="A3828" i="1"/>
  <c r="A3827" i="1"/>
  <c r="A3826" i="1"/>
  <c r="A3825" i="1"/>
  <c r="A3824" i="1"/>
  <c r="A3823" i="1"/>
  <c r="A3822" i="1"/>
  <c r="A3821" i="1"/>
  <c r="A3820" i="1"/>
  <c r="A3819" i="1"/>
  <c r="A3818" i="1"/>
  <c r="A3817" i="1"/>
  <c r="A3816" i="1"/>
  <c r="A3815" i="1"/>
  <c r="A3814" i="1"/>
  <c r="A3813" i="1"/>
  <c r="A3812" i="1"/>
  <c r="A3811" i="1"/>
  <c r="A3810" i="1"/>
  <c r="A3809" i="1"/>
  <c r="A3808" i="1"/>
  <c r="A3807" i="1"/>
  <c r="A3806" i="1"/>
  <c r="A3805" i="1"/>
  <c r="A3804" i="1"/>
  <c r="A3803" i="1"/>
  <c r="A3802" i="1"/>
  <c r="A3801" i="1"/>
  <c r="A3800" i="1"/>
  <c r="A3799" i="1"/>
  <c r="A3798" i="1"/>
  <c r="A3797" i="1"/>
  <c r="A3796" i="1"/>
  <c r="A3795" i="1"/>
  <c r="A3794" i="1"/>
  <c r="A3793" i="1"/>
  <c r="A3792" i="1"/>
  <c r="A3791" i="1"/>
  <c r="A3790" i="1"/>
  <c r="A3789" i="1"/>
  <c r="A3788" i="1"/>
  <c r="A3787" i="1"/>
  <c r="A3786" i="1"/>
  <c r="A3785" i="1"/>
  <c r="A3784" i="1"/>
  <c r="A3783" i="1"/>
  <c r="A3782" i="1"/>
  <c r="A3781" i="1"/>
  <c r="A3780" i="1"/>
  <c r="A3779" i="1"/>
  <c r="A3778" i="1"/>
  <c r="A3777" i="1"/>
  <c r="A3776" i="1"/>
  <c r="A3775" i="1"/>
  <c r="A3774" i="1"/>
  <c r="A3773" i="1"/>
  <c r="A3772" i="1"/>
  <c r="A3771" i="1"/>
  <c r="A3770" i="1"/>
  <c r="A3769" i="1"/>
  <c r="A3768" i="1"/>
  <c r="A3767" i="1"/>
  <c r="A3766" i="1"/>
  <c r="A3765" i="1"/>
  <c r="A3764" i="1"/>
  <c r="A3763" i="1"/>
  <c r="A3762" i="1"/>
  <c r="A3761" i="1"/>
  <c r="A3760" i="1"/>
  <c r="A3759" i="1"/>
  <c r="A3758" i="1"/>
  <c r="A3757" i="1"/>
  <c r="A3756" i="1"/>
  <c r="A3755" i="1"/>
  <c r="A3754" i="1"/>
  <c r="A3753" i="1"/>
  <c r="A3752" i="1"/>
  <c r="A3751" i="1"/>
  <c r="A3750" i="1"/>
  <c r="A3749" i="1"/>
  <c r="A3748" i="1"/>
  <c r="A3747" i="1"/>
  <c r="A3746" i="1"/>
  <c r="A3745" i="1"/>
  <c r="A3744" i="1"/>
  <c r="A3743" i="1"/>
  <c r="A3742" i="1"/>
  <c r="A3741" i="1"/>
  <c r="A3740" i="1"/>
  <c r="A3739" i="1"/>
  <c r="A3738" i="1"/>
  <c r="A3737" i="1"/>
  <c r="A3736" i="1"/>
  <c r="A3735" i="1"/>
  <c r="A3734" i="1"/>
  <c r="A3733" i="1"/>
  <c r="A3732" i="1"/>
  <c r="A3731" i="1"/>
  <c r="A3730" i="1"/>
  <c r="A3729" i="1"/>
  <c r="A3728" i="1"/>
  <c r="A3727" i="1"/>
  <c r="A3726" i="1"/>
  <c r="A3725" i="1"/>
  <c r="A3724" i="1"/>
  <c r="A3723" i="1"/>
  <c r="A3722" i="1"/>
  <c r="A3721" i="1"/>
  <c r="A3720" i="1"/>
  <c r="A3719" i="1"/>
  <c r="A3718" i="1"/>
  <c r="A3717" i="1"/>
  <c r="A3716" i="1"/>
  <c r="A3715" i="1"/>
  <c r="A3714" i="1"/>
  <c r="A3713" i="1"/>
  <c r="A3712" i="1"/>
  <c r="A3711" i="1"/>
  <c r="A3710" i="1"/>
  <c r="A3709" i="1"/>
  <c r="A3708" i="1"/>
  <c r="A3707" i="1"/>
  <c r="A3706" i="1"/>
  <c r="A3705" i="1"/>
  <c r="A3704" i="1"/>
  <c r="A3703" i="1"/>
  <c r="A3702" i="1"/>
  <c r="A3701" i="1"/>
  <c r="A3700" i="1"/>
  <c r="A3699" i="1"/>
  <c r="A3698" i="1"/>
  <c r="A3697" i="1"/>
  <c r="A3696" i="1"/>
  <c r="A3695" i="1"/>
  <c r="A3694" i="1"/>
  <c r="A3693" i="1"/>
  <c r="A3692" i="1"/>
  <c r="A3691" i="1"/>
  <c r="A3690" i="1"/>
  <c r="A3689" i="1"/>
  <c r="A3688" i="1"/>
  <c r="A3687" i="1"/>
  <c r="A3686" i="1"/>
  <c r="A3685" i="1"/>
  <c r="A3684" i="1"/>
  <c r="A3683" i="1"/>
  <c r="A3682" i="1"/>
  <c r="A3681" i="1"/>
  <c r="A3680" i="1"/>
  <c r="A3679" i="1"/>
  <c r="A3678" i="1"/>
  <c r="A3677" i="1"/>
  <c r="A3676" i="1"/>
  <c r="A3675" i="1"/>
  <c r="A3674" i="1"/>
  <c r="A3673" i="1"/>
  <c r="A3672" i="1"/>
  <c r="A3671" i="1"/>
  <c r="A3670" i="1"/>
  <c r="A3669" i="1"/>
  <c r="A3668" i="1"/>
  <c r="A3667" i="1"/>
  <c r="A3666" i="1"/>
  <c r="A3665" i="1"/>
  <c r="A3664" i="1"/>
  <c r="A3663" i="1"/>
  <c r="A3662" i="1"/>
  <c r="A3661" i="1"/>
  <c r="A3660" i="1"/>
  <c r="A3659" i="1"/>
  <c r="A3658" i="1"/>
  <c r="A3657" i="1"/>
  <c r="A3656" i="1"/>
  <c r="A3655" i="1"/>
  <c r="A3654" i="1"/>
  <c r="A3653" i="1"/>
  <c r="A3652" i="1"/>
  <c r="A3651" i="1"/>
  <c r="A3650" i="1"/>
  <c r="A3649" i="1"/>
  <c r="A3648" i="1"/>
  <c r="A3647" i="1"/>
  <c r="A3646" i="1"/>
  <c r="A3645" i="1"/>
  <c r="A3644" i="1"/>
  <c r="A3643" i="1"/>
  <c r="A3642" i="1"/>
  <c r="A3641" i="1"/>
  <c r="A3640" i="1"/>
  <c r="A3639" i="1"/>
  <c r="A3638" i="1"/>
  <c r="A3637" i="1"/>
  <c r="A3636" i="1"/>
  <c r="A3635" i="1"/>
  <c r="A3634" i="1"/>
  <c r="A3633" i="1"/>
  <c r="A3632" i="1"/>
  <c r="A3631" i="1"/>
  <c r="A3630" i="1"/>
  <c r="A3629" i="1"/>
  <c r="A3628" i="1"/>
  <c r="A3627" i="1"/>
  <c r="A3626" i="1"/>
  <c r="A3625" i="1"/>
  <c r="A3624" i="1"/>
  <c r="A3623" i="1"/>
  <c r="A3622" i="1"/>
  <c r="A3621" i="1"/>
  <c r="A3620" i="1"/>
  <c r="A3619" i="1"/>
  <c r="A3618" i="1"/>
  <c r="A3617" i="1"/>
  <c r="A3616" i="1"/>
  <c r="A3615" i="1"/>
  <c r="A3614" i="1"/>
  <c r="A3613" i="1"/>
  <c r="A3612" i="1"/>
  <c r="A3611" i="1"/>
  <c r="A3610" i="1"/>
  <c r="A3609" i="1"/>
  <c r="A3608" i="1"/>
  <c r="A3607" i="1"/>
  <c r="A3606" i="1"/>
  <c r="A3605" i="1"/>
  <c r="A3604" i="1"/>
  <c r="A3603" i="1"/>
  <c r="A3602" i="1"/>
  <c r="A3601" i="1"/>
  <c r="A3600" i="1"/>
  <c r="A3599" i="1"/>
  <c r="A3598" i="1"/>
  <c r="A3597" i="1"/>
  <c r="A3596" i="1"/>
  <c r="A3595" i="1"/>
  <c r="A3594" i="1"/>
  <c r="A3593" i="1"/>
  <c r="A3592" i="1"/>
  <c r="A3591" i="1"/>
  <c r="A3590" i="1"/>
  <c r="A3589" i="1"/>
  <c r="A3588" i="1"/>
  <c r="A3587" i="1"/>
  <c r="A3586" i="1"/>
  <c r="A3585" i="1"/>
  <c r="A3584" i="1"/>
  <c r="A3583" i="1"/>
  <c r="A3582" i="1"/>
  <c r="A3581" i="1"/>
  <c r="A3580" i="1"/>
  <c r="A3579" i="1"/>
  <c r="A3578" i="1"/>
  <c r="A3577" i="1"/>
  <c r="A3576" i="1"/>
  <c r="A3575" i="1"/>
  <c r="A3574" i="1"/>
  <c r="A3573" i="1"/>
  <c r="A3572" i="1"/>
  <c r="A3571" i="1"/>
  <c r="A3570" i="1"/>
  <c r="A3569" i="1"/>
  <c r="A3568" i="1"/>
  <c r="A3567" i="1"/>
  <c r="A3566" i="1"/>
  <c r="A3565" i="1"/>
  <c r="A3564" i="1"/>
  <c r="A3563" i="1"/>
  <c r="A3562" i="1"/>
  <c r="A3561" i="1"/>
  <c r="A3560" i="1"/>
  <c r="A3559" i="1"/>
  <c r="A3558" i="1"/>
  <c r="A3557" i="1"/>
  <c r="A3556" i="1"/>
  <c r="A3555" i="1"/>
  <c r="A3554" i="1"/>
  <c r="A3553" i="1"/>
  <c r="A3552" i="1"/>
  <c r="A3551" i="1"/>
  <c r="A3550" i="1"/>
  <c r="A3549" i="1"/>
  <c r="A3548" i="1"/>
  <c r="A3547" i="1"/>
  <c r="A3546" i="1"/>
  <c r="A3545" i="1"/>
  <c r="A3544" i="1"/>
  <c r="A3543" i="1"/>
  <c r="A3542" i="1"/>
  <c r="A3541" i="1"/>
  <c r="A3540" i="1"/>
  <c r="A3539" i="1"/>
  <c r="A3538" i="1"/>
  <c r="A3537" i="1"/>
  <c r="A3536" i="1"/>
  <c r="A3535" i="1"/>
  <c r="A3534" i="1"/>
  <c r="A3533" i="1"/>
  <c r="A3532" i="1"/>
  <c r="A3531" i="1"/>
  <c r="A3530" i="1"/>
  <c r="A3529" i="1"/>
  <c r="A3528" i="1"/>
  <c r="A3527" i="1"/>
  <c r="A3526" i="1"/>
  <c r="A3525" i="1"/>
  <c r="A3524" i="1"/>
  <c r="A3523" i="1"/>
  <c r="A3522" i="1"/>
  <c r="A3521" i="1"/>
  <c r="A3520" i="1"/>
  <c r="A3519" i="1"/>
  <c r="A3518" i="1"/>
  <c r="A3517" i="1"/>
  <c r="A3516" i="1"/>
  <c r="A3515" i="1"/>
  <c r="A3514" i="1"/>
  <c r="A3513" i="1"/>
  <c r="A3512" i="1"/>
  <c r="A3511" i="1"/>
  <c r="A3510" i="1"/>
  <c r="A3509" i="1"/>
  <c r="A3508" i="1"/>
  <c r="A3507" i="1"/>
  <c r="A3506" i="1"/>
  <c r="A3505" i="1"/>
  <c r="A3504" i="1"/>
  <c r="A3503" i="1"/>
  <c r="A3502" i="1"/>
  <c r="A3501" i="1"/>
  <c r="A3500" i="1"/>
  <c r="A3499" i="1"/>
  <c r="A3498" i="1"/>
  <c r="A3497" i="1"/>
  <c r="A3496" i="1"/>
  <c r="A3495" i="1"/>
  <c r="A3494" i="1"/>
  <c r="A3493" i="1"/>
  <c r="A3492" i="1"/>
  <c r="A3491" i="1"/>
  <c r="A3490" i="1"/>
  <c r="A3489" i="1"/>
  <c r="A3488" i="1"/>
  <c r="A3487" i="1"/>
  <c r="A3486" i="1"/>
  <c r="A3485" i="1"/>
  <c r="A3484" i="1"/>
  <c r="A3483" i="1"/>
  <c r="A3482" i="1"/>
  <c r="A3481" i="1"/>
  <c r="A3480" i="1"/>
  <c r="A3479" i="1"/>
  <c r="A3478" i="1"/>
  <c r="A3477" i="1"/>
  <c r="A3476" i="1"/>
  <c r="A3475" i="1"/>
  <c r="A3474" i="1"/>
  <c r="A3473" i="1"/>
  <c r="A3472" i="1"/>
  <c r="A3471" i="1"/>
  <c r="A3470" i="1"/>
  <c r="A3469" i="1"/>
  <c r="A3468" i="1"/>
  <c r="A3467" i="1"/>
  <c r="A3466" i="1"/>
  <c r="A3465" i="1"/>
  <c r="A3464" i="1"/>
  <c r="A3463" i="1"/>
  <c r="A3462" i="1"/>
  <c r="A3461" i="1"/>
  <c r="A3460" i="1"/>
  <c r="A3459" i="1"/>
  <c r="A3458" i="1"/>
  <c r="A3457" i="1"/>
  <c r="A3456" i="1"/>
  <c r="A3455" i="1"/>
  <c r="A3454" i="1"/>
  <c r="A3453" i="1"/>
  <c r="A3452" i="1"/>
  <c r="A3451" i="1"/>
  <c r="A3450" i="1"/>
  <c r="A3449" i="1"/>
  <c r="A3448" i="1"/>
  <c r="A3447" i="1"/>
  <c r="A3446" i="1"/>
  <c r="A3445" i="1"/>
  <c r="A3444" i="1"/>
  <c r="A3443" i="1"/>
  <c r="A3442" i="1"/>
  <c r="A3441" i="1"/>
  <c r="A3440" i="1"/>
  <c r="A3439" i="1"/>
  <c r="A3438" i="1"/>
  <c r="A3437" i="1"/>
  <c r="A3436" i="1"/>
  <c r="A3435" i="1"/>
  <c r="A3434" i="1"/>
  <c r="A3433" i="1"/>
  <c r="A3432" i="1"/>
  <c r="A3431" i="1"/>
  <c r="A3430" i="1"/>
  <c r="A3429" i="1"/>
  <c r="A3428" i="1"/>
  <c r="A3427" i="1"/>
  <c r="A3426" i="1"/>
  <c r="A3425" i="1"/>
  <c r="A3424" i="1"/>
  <c r="A3423" i="1"/>
  <c r="A3422" i="1"/>
  <c r="A3421" i="1"/>
  <c r="A3420" i="1"/>
  <c r="A3419" i="1"/>
  <c r="A3418" i="1"/>
  <c r="A3417" i="1"/>
  <c r="A3416" i="1"/>
  <c r="A3415" i="1"/>
  <c r="A3414" i="1"/>
  <c r="A3413" i="1"/>
  <c r="A3412" i="1"/>
  <c r="A3411" i="1"/>
  <c r="A3410" i="1"/>
  <c r="A3409" i="1"/>
  <c r="A3408" i="1"/>
  <c r="A3407" i="1"/>
  <c r="A3406" i="1"/>
  <c r="A3405" i="1"/>
  <c r="A3404" i="1"/>
  <c r="A3403" i="1"/>
  <c r="A3402" i="1"/>
  <c r="A3401" i="1"/>
  <c r="A3400" i="1"/>
  <c r="A3399" i="1"/>
  <c r="A3398" i="1"/>
  <c r="A3397" i="1"/>
  <c r="A3396" i="1"/>
  <c r="A3395" i="1"/>
  <c r="A3394" i="1"/>
  <c r="A3393" i="1"/>
  <c r="A3392" i="1"/>
  <c r="A3391" i="1"/>
  <c r="A3390" i="1"/>
  <c r="A3389" i="1"/>
  <c r="A3388" i="1"/>
  <c r="A3387" i="1"/>
  <c r="A3386" i="1"/>
  <c r="A3385" i="1"/>
  <c r="A3384" i="1"/>
  <c r="A3383" i="1"/>
  <c r="A3382" i="1"/>
  <c r="A3381" i="1"/>
  <c r="A3380" i="1"/>
  <c r="A3379" i="1"/>
  <c r="A3378" i="1"/>
  <c r="A3377" i="1"/>
  <c r="A3376" i="1"/>
  <c r="A3375" i="1"/>
  <c r="A3374" i="1"/>
  <c r="A3373" i="1"/>
  <c r="A3372" i="1"/>
  <c r="A3371" i="1"/>
  <c r="A3370" i="1"/>
  <c r="A3369" i="1"/>
  <c r="A3368" i="1"/>
  <c r="A3367" i="1"/>
  <c r="A3366" i="1"/>
  <c r="A3365" i="1"/>
  <c r="A3364" i="1"/>
  <c r="A3363" i="1"/>
  <c r="A3362" i="1"/>
  <c r="A3361" i="1"/>
  <c r="A3360" i="1"/>
  <c r="A3359" i="1"/>
  <c r="A3358" i="1"/>
  <c r="A3357" i="1"/>
  <c r="A3356" i="1"/>
  <c r="A3355" i="1"/>
  <c r="A3354" i="1"/>
  <c r="A3353" i="1"/>
  <c r="A3352" i="1"/>
  <c r="A3351" i="1"/>
  <c r="A3350" i="1"/>
  <c r="A3349" i="1"/>
  <c r="A3348" i="1"/>
  <c r="A3347" i="1"/>
  <c r="A3346" i="1"/>
  <c r="A3345" i="1"/>
  <c r="A3344" i="1"/>
  <c r="A3343" i="1"/>
  <c r="A3342" i="1"/>
  <c r="A3341" i="1"/>
  <c r="A3340" i="1"/>
  <c r="A3339" i="1"/>
  <c r="A3338" i="1"/>
  <c r="A3337" i="1"/>
  <c r="A3336" i="1"/>
  <c r="A3335" i="1"/>
  <c r="A3334" i="1"/>
  <c r="A3333" i="1"/>
  <c r="A3332" i="1"/>
  <c r="A3331" i="1"/>
  <c r="A3330" i="1"/>
  <c r="A3329" i="1"/>
  <c r="A3328" i="1"/>
  <c r="A3327" i="1"/>
  <c r="A3326" i="1"/>
  <c r="A3325" i="1"/>
  <c r="A3324" i="1"/>
  <c r="A3323" i="1"/>
  <c r="A3322" i="1"/>
  <c r="A3321" i="1"/>
  <c r="A3320" i="1"/>
  <c r="A3319" i="1"/>
  <c r="A3318" i="1"/>
  <c r="A3317" i="1"/>
  <c r="A3316" i="1"/>
  <c r="A3315" i="1"/>
  <c r="A3314" i="1"/>
  <c r="A3313" i="1"/>
  <c r="A3312" i="1"/>
  <c r="A3311" i="1"/>
  <c r="A3310" i="1"/>
  <c r="A3309" i="1"/>
  <c r="A3308" i="1"/>
  <c r="A3307" i="1"/>
  <c r="A3306" i="1"/>
  <c r="A3305" i="1"/>
  <c r="A3304" i="1"/>
  <c r="A3303" i="1"/>
  <c r="A3302" i="1"/>
  <c r="A3301" i="1"/>
  <c r="A3300" i="1"/>
  <c r="A3299" i="1"/>
  <c r="A3298" i="1"/>
  <c r="A3297" i="1"/>
  <c r="A3296" i="1"/>
  <c r="A3295" i="1"/>
  <c r="A3294" i="1"/>
  <c r="A3293" i="1"/>
  <c r="A3292" i="1"/>
  <c r="A3291" i="1"/>
  <c r="A3290" i="1"/>
  <c r="A3289" i="1"/>
  <c r="A3288" i="1"/>
  <c r="A3287" i="1"/>
  <c r="A3286" i="1"/>
  <c r="A3285" i="1"/>
  <c r="A3284" i="1"/>
  <c r="A3283" i="1"/>
  <c r="A3282" i="1"/>
  <c r="A3281" i="1"/>
  <c r="A3280" i="1"/>
  <c r="A3279" i="1"/>
  <c r="A3278" i="1"/>
  <c r="A3277" i="1"/>
  <c r="A3276" i="1"/>
  <c r="A3275" i="1"/>
  <c r="A3274" i="1"/>
  <c r="A3273" i="1"/>
  <c r="A3272" i="1"/>
  <c r="A3271" i="1"/>
  <c r="A3270" i="1"/>
  <c r="A3269" i="1"/>
  <c r="A3268" i="1"/>
  <c r="A3267" i="1"/>
  <c r="A3266" i="1"/>
  <c r="A3265" i="1"/>
  <c r="A3264" i="1"/>
  <c r="A3263" i="1"/>
  <c r="A3262" i="1"/>
  <c r="A3261" i="1"/>
  <c r="A3260" i="1"/>
  <c r="A3259" i="1"/>
  <c r="A3258" i="1"/>
  <c r="A3257" i="1"/>
  <c r="A3256" i="1"/>
  <c r="A3255" i="1"/>
  <c r="A3254" i="1"/>
  <c r="A3253" i="1"/>
  <c r="A3252" i="1"/>
  <c r="A3251" i="1"/>
  <c r="A3250" i="1"/>
  <c r="A3249" i="1"/>
  <c r="A3248" i="1"/>
  <c r="A3247" i="1"/>
  <c r="A3246" i="1"/>
  <c r="A3245" i="1"/>
  <c r="A3244" i="1"/>
  <c r="A3243" i="1"/>
  <c r="A3242" i="1"/>
  <c r="A3241" i="1"/>
  <c r="A3240" i="1"/>
  <c r="A3239" i="1"/>
  <c r="A3238" i="1"/>
  <c r="A3237" i="1"/>
  <c r="A3236" i="1"/>
  <c r="A3235" i="1"/>
  <c r="A3234" i="1"/>
  <c r="A3233" i="1"/>
  <c r="A3232" i="1"/>
  <c r="A3231" i="1"/>
  <c r="A3230" i="1"/>
  <c r="A3229" i="1"/>
  <c r="A3228" i="1"/>
  <c r="A3227" i="1"/>
  <c r="A3226" i="1"/>
  <c r="A3225" i="1"/>
  <c r="A3224" i="1"/>
  <c r="A3223" i="1"/>
  <c r="A3222" i="1"/>
  <c r="A3221" i="1"/>
  <c r="A3220" i="1"/>
  <c r="A3219" i="1"/>
  <c r="A3218" i="1"/>
  <c r="A3217" i="1"/>
  <c r="A3216" i="1"/>
  <c r="A3215" i="1"/>
  <c r="A3214" i="1"/>
  <c r="A3213" i="1"/>
  <c r="A3212" i="1"/>
  <c r="A3211" i="1"/>
  <c r="A3210" i="1"/>
  <c r="A3209" i="1"/>
  <c r="A3208" i="1"/>
  <c r="A3207" i="1"/>
  <c r="A3206" i="1"/>
  <c r="A3205" i="1"/>
  <c r="A3204" i="1"/>
  <c r="A3203" i="1"/>
  <c r="A3202" i="1"/>
  <c r="A3201" i="1"/>
  <c r="A3200" i="1"/>
  <c r="A3199" i="1"/>
  <c r="A3198" i="1"/>
  <c r="A3197" i="1"/>
  <c r="A3196" i="1"/>
  <c r="A3195" i="1"/>
  <c r="A3194" i="1"/>
  <c r="A3193" i="1"/>
  <c r="A3192" i="1"/>
  <c r="A3191" i="1"/>
  <c r="A3190" i="1"/>
  <c r="A3189" i="1"/>
  <c r="A3188" i="1"/>
  <c r="A3187" i="1"/>
  <c r="A3186" i="1"/>
  <c r="A3185" i="1"/>
  <c r="A3184" i="1"/>
  <c r="A3183" i="1"/>
  <c r="A3182" i="1"/>
  <c r="A3181" i="1"/>
  <c r="A3180" i="1"/>
  <c r="A3179" i="1"/>
  <c r="A3178" i="1"/>
  <c r="A3177" i="1"/>
  <c r="A3176" i="1"/>
  <c r="A3175" i="1"/>
  <c r="A3174" i="1"/>
  <c r="A3173" i="1"/>
  <c r="A3172" i="1"/>
  <c r="A3171" i="1"/>
  <c r="A3170" i="1"/>
  <c r="A3169" i="1"/>
  <c r="A3168" i="1"/>
  <c r="A3167" i="1"/>
  <c r="A3166" i="1"/>
  <c r="A3165" i="1"/>
  <c r="A3164" i="1"/>
  <c r="A3163" i="1"/>
  <c r="A3162" i="1"/>
  <c r="A3161" i="1"/>
  <c r="A3160" i="1"/>
  <c r="A3159" i="1"/>
  <c r="A3158" i="1"/>
  <c r="A3157" i="1"/>
  <c r="A3156" i="1"/>
  <c r="A3155" i="1"/>
  <c r="A3154" i="1"/>
  <c r="A3153" i="1"/>
  <c r="A3152" i="1"/>
  <c r="A3151" i="1"/>
  <c r="A3150" i="1"/>
  <c r="A3149" i="1"/>
  <c r="A3148" i="1"/>
  <c r="A3147" i="1"/>
  <c r="A3146" i="1"/>
  <c r="A3145" i="1"/>
  <c r="A3144" i="1"/>
  <c r="A3143" i="1"/>
  <c r="A3142" i="1"/>
  <c r="A3141" i="1"/>
  <c r="A3140" i="1"/>
  <c r="A3139" i="1"/>
  <c r="A3138" i="1"/>
  <c r="A3137" i="1"/>
  <c r="A3136" i="1"/>
  <c r="A3135" i="1"/>
  <c r="A3134" i="1"/>
  <c r="A3133" i="1"/>
  <c r="A3132" i="1"/>
  <c r="A3131" i="1"/>
  <c r="A3130" i="1"/>
  <c r="A3129" i="1"/>
  <c r="A3128" i="1"/>
  <c r="A3127" i="1"/>
  <c r="A3126" i="1"/>
  <c r="A3125" i="1"/>
  <c r="A3124" i="1"/>
  <c r="A3123" i="1"/>
  <c r="A3122" i="1"/>
  <c r="A3121" i="1"/>
  <c r="A3120" i="1"/>
  <c r="A3119" i="1"/>
  <c r="A3118" i="1"/>
  <c r="A3117" i="1"/>
  <c r="A3116" i="1"/>
  <c r="A3115" i="1"/>
  <c r="A3114" i="1"/>
  <c r="A3113" i="1"/>
  <c r="A3112" i="1"/>
  <c r="A3111" i="1"/>
  <c r="A3110" i="1"/>
  <c r="A3109" i="1"/>
  <c r="A3108" i="1"/>
  <c r="A3107" i="1"/>
  <c r="A3106" i="1"/>
  <c r="A3105" i="1"/>
  <c r="A3104" i="1"/>
  <c r="A3103" i="1"/>
  <c r="A3102" i="1"/>
  <c r="A3101" i="1"/>
  <c r="A3100" i="1"/>
  <c r="A3099" i="1"/>
  <c r="A3098" i="1"/>
  <c r="A3097" i="1"/>
  <c r="A3096" i="1"/>
  <c r="A3095" i="1"/>
  <c r="A3094" i="1"/>
  <c r="A3093" i="1"/>
  <c r="A3092" i="1"/>
  <c r="A3091" i="1"/>
  <c r="A3090" i="1"/>
  <c r="A3089" i="1"/>
  <c r="A3088" i="1"/>
  <c r="A3087" i="1"/>
  <c r="A3086" i="1"/>
  <c r="A3085" i="1"/>
  <c r="A3084" i="1"/>
  <c r="A3083" i="1"/>
  <c r="A3082" i="1"/>
  <c r="A3081" i="1"/>
  <c r="A3080" i="1"/>
  <c r="A3079" i="1"/>
  <c r="A3078" i="1"/>
  <c r="A3077" i="1"/>
  <c r="A3076" i="1"/>
  <c r="A3075" i="1"/>
  <c r="A3074" i="1"/>
  <c r="A3073" i="1"/>
  <c r="A3072" i="1"/>
  <c r="A3071" i="1"/>
  <c r="A3070" i="1"/>
  <c r="A3069" i="1"/>
  <c r="A3068" i="1"/>
  <c r="A3067" i="1"/>
  <c r="A3066" i="1"/>
  <c r="A3065" i="1"/>
  <c r="A3064" i="1"/>
  <c r="A3063" i="1"/>
  <c r="A3062" i="1"/>
  <c r="A3061" i="1"/>
  <c r="A3060" i="1"/>
  <c r="A3059" i="1"/>
  <c r="A3058" i="1"/>
  <c r="A3057" i="1"/>
  <c r="A3056" i="1"/>
  <c r="A3055" i="1"/>
  <c r="A3054" i="1"/>
  <c r="A3053" i="1"/>
  <c r="A3052" i="1"/>
  <c r="A3051" i="1"/>
  <c r="A3050" i="1"/>
  <c r="A3049" i="1"/>
  <c r="A3048" i="1"/>
  <c r="A3047" i="1"/>
  <c r="A3046" i="1"/>
  <c r="A3045" i="1"/>
  <c r="A3044" i="1"/>
  <c r="A3043" i="1"/>
  <c r="A3042" i="1"/>
  <c r="A3041" i="1"/>
  <c r="A3040" i="1"/>
  <c r="A3039" i="1"/>
  <c r="A3038" i="1"/>
  <c r="A3037" i="1"/>
  <c r="A3036" i="1"/>
  <c r="A3035" i="1"/>
  <c r="A3034" i="1"/>
  <c r="A3033" i="1"/>
  <c r="A3032" i="1"/>
  <c r="A3031" i="1"/>
  <c r="A3030" i="1"/>
  <c r="A3029" i="1"/>
  <c r="A3028" i="1"/>
  <c r="A3027" i="1"/>
  <c r="A3026" i="1"/>
  <c r="A3025" i="1"/>
  <c r="A3024" i="1"/>
  <c r="A3023" i="1"/>
  <c r="A3022" i="1"/>
  <c r="A3021" i="1"/>
  <c r="A3020" i="1"/>
  <c r="A3019" i="1"/>
  <c r="A3018" i="1"/>
  <c r="A3017" i="1"/>
  <c r="A3016" i="1"/>
  <c r="A3015" i="1"/>
  <c r="A3014" i="1"/>
  <c r="A3013" i="1"/>
  <c r="A3012" i="1"/>
  <c r="A3011" i="1"/>
  <c r="A3010" i="1"/>
  <c r="A3009" i="1"/>
  <c r="A3008" i="1"/>
  <c r="A3007" i="1"/>
  <c r="A3006" i="1"/>
  <c r="A3005" i="1"/>
  <c r="A3004" i="1"/>
  <c r="A3003" i="1"/>
  <c r="A3002" i="1"/>
  <c r="A3001" i="1"/>
  <c r="A3000" i="1"/>
  <c r="A2999" i="1"/>
  <c r="A2998" i="1"/>
  <c r="A2997" i="1"/>
  <c r="A2996" i="1"/>
  <c r="A2995" i="1"/>
  <c r="A2994" i="1"/>
  <c r="A2993" i="1"/>
  <c r="A2992" i="1"/>
  <c r="A2991" i="1"/>
  <c r="A2990" i="1"/>
  <c r="A2989" i="1"/>
  <c r="A2988" i="1"/>
  <c r="A2987" i="1"/>
  <c r="A2986" i="1"/>
  <c r="A2985" i="1"/>
  <c r="A2984" i="1"/>
  <c r="A2983" i="1"/>
  <c r="A2982" i="1"/>
  <c r="A2981" i="1"/>
  <c r="A2980" i="1"/>
  <c r="A2979" i="1"/>
  <c r="A2978" i="1"/>
  <c r="A2977" i="1"/>
  <c r="A2976" i="1"/>
  <c r="A2975" i="1"/>
  <c r="A2974" i="1"/>
  <c r="A2973" i="1"/>
  <c r="A2972" i="1"/>
  <c r="A2971" i="1"/>
  <c r="A2970" i="1"/>
  <c r="A2969" i="1"/>
  <c r="A2968" i="1"/>
  <c r="A2967" i="1"/>
  <c r="A2966" i="1"/>
  <c r="A2965" i="1"/>
  <c r="A2964" i="1"/>
  <c r="A2963" i="1"/>
  <c r="A2962" i="1"/>
  <c r="A2961" i="1"/>
  <c r="A2960" i="1"/>
  <c r="A2959" i="1"/>
  <c r="A2958" i="1"/>
  <c r="A2957" i="1"/>
  <c r="A2956" i="1"/>
  <c r="A2955" i="1"/>
  <c r="A2954" i="1"/>
  <c r="A2953" i="1"/>
  <c r="A2952" i="1"/>
  <c r="A2951" i="1"/>
  <c r="A2950" i="1"/>
  <c r="A2949" i="1"/>
  <c r="A2948" i="1"/>
  <c r="A2947" i="1"/>
  <c r="A2946" i="1"/>
  <c r="A2945" i="1"/>
  <c r="A2944" i="1"/>
  <c r="A2943" i="1"/>
  <c r="A2942" i="1"/>
  <c r="A2941" i="1"/>
  <c r="A2940" i="1"/>
  <c r="A2939" i="1"/>
  <c r="A2938" i="1"/>
  <c r="A2937" i="1"/>
  <c r="A2936" i="1"/>
  <c r="A2935" i="1"/>
  <c r="A2934" i="1"/>
  <c r="A2933" i="1"/>
  <c r="A2932" i="1"/>
  <c r="A2931" i="1"/>
  <c r="A2930" i="1"/>
  <c r="A2929" i="1"/>
  <c r="A2928" i="1"/>
  <c r="A2927" i="1"/>
  <c r="A2926" i="1"/>
  <c r="A2925" i="1"/>
  <c r="A2924" i="1"/>
  <c r="A2923" i="1"/>
  <c r="A2922" i="1"/>
  <c r="A2921" i="1"/>
  <c r="A2920" i="1"/>
  <c r="A2919" i="1"/>
  <c r="A2918" i="1"/>
  <c r="A2917" i="1"/>
  <c r="A2916" i="1"/>
  <c r="A2915" i="1"/>
  <c r="A2914" i="1"/>
  <c r="A2913" i="1"/>
  <c r="A2912" i="1"/>
  <c r="A2911" i="1"/>
  <c r="A2910" i="1"/>
  <c r="A2909" i="1"/>
  <c r="A2908" i="1"/>
  <c r="A2907" i="1"/>
  <c r="A2906" i="1"/>
  <c r="A2905" i="1"/>
  <c r="A2904" i="1"/>
  <c r="A2903" i="1"/>
  <c r="A2902" i="1"/>
  <c r="A2901" i="1"/>
  <c r="A2900" i="1"/>
  <c r="A2899" i="1"/>
  <c r="A2898" i="1"/>
  <c r="A2897" i="1"/>
  <c r="A2896" i="1"/>
  <c r="A2895" i="1"/>
  <c r="A2894" i="1"/>
  <c r="A2893" i="1"/>
  <c r="A2892" i="1"/>
  <c r="A2891" i="1"/>
  <c r="A2890" i="1"/>
  <c r="A2889" i="1"/>
  <c r="A2888" i="1"/>
  <c r="A2887" i="1"/>
  <c r="A2886" i="1"/>
  <c r="A2885" i="1"/>
  <c r="A2884" i="1"/>
  <c r="A2883" i="1"/>
  <c r="A2882" i="1"/>
  <c r="A2881" i="1"/>
  <c r="A2880" i="1"/>
  <c r="A2879" i="1"/>
  <c r="A2878" i="1"/>
  <c r="A2877" i="1"/>
  <c r="A2876" i="1"/>
  <c r="A2875" i="1"/>
  <c r="A2874" i="1"/>
  <c r="A2873" i="1"/>
  <c r="A2872" i="1"/>
  <c r="A2871" i="1"/>
  <c r="A2870" i="1"/>
  <c r="A2869" i="1"/>
  <c r="A2868" i="1"/>
  <c r="A2867" i="1"/>
  <c r="A2866" i="1"/>
  <c r="A2865" i="1"/>
  <c r="A2864" i="1"/>
  <c r="A2863" i="1"/>
  <c r="A2862" i="1"/>
  <c r="A2861" i="1"/>
  <c r="A2860" i="1"/>
  <c r="A2859" i="1"/>
  <c r="A2858" i="1"/>
  <c r="A2857" i="1"/>
  <c r="A2856" i="1"/>
  <c r="A2855" i="1"/>
  <c r="A2854" i="1"/>
  <c r="A2853" i="1"/>
  <c r="A2852" i="1"/>
  <c r="A2851" i="1"/>
  <c r="A2850" i="1"/>
  <c r="A2849" i="1"/>
  <c r="A2848" i="1"/>
  <c r="A2847" i="1"/>
  <c r="A2846" i="1"/>
  <c r="A2845" i="1"/>
  <c r="A2844" i="1"/>
  <c r="A2843" i="1"/>
  <c r="A2842" i="1"/>
  <c r="A2841" i="1"/>
  <c r="A2840" i="1"/>
  <c r="A2839" i="1"/>
  <c r="A2838" i="1"/>
  <c r="A2837" i="1"/>
  <c r="A2836" i="1"/>
  <c r="A2835" i="1"/>
  <c r="A2834" i="1"/>
  <c r="A2833" i="1"/>
  <c r="A2832" i="1"/>
  <c r="A2831" i="1"/>
  <c r="A2830" i="1"/>
  <c r="A2829" i="1"/>
  <c r="A2828" i="1"/>
  <c r="A2827" i="1"/>
  <c r="A2826" i="1"/>
  <c r="A2825" i="1"/>
  <c r="A2824" i="1"/>
  <c r="A2823" i="1"/>
  <c r="A2822" i="1"/>
  <c r="A2821" i="1"/>
  <c r="A2820" i="1"/>
  <c r="A2819" i="1"/>
  <c r="A2818" i="1"/>
  <c r="A2817" i="1"/>
  <c r="A2816" i="1"/>
  <c r="A2815" i="1"/>
  <c r="A2814" i="1"/>
  <c r="A2813" i="1"/>
  <c r="A2812" i="1"/>
  <c r="A2811" i="1"/>
  <c r="A2810" i="1"/>
  <c r="A2809" i="1"/>
  <c r="A2808" i="1"/>
  <c r="A2807" i="1"/>
  <c r="A2806" i="1"/>
  <c r="A2805" i="1"/>
  <c r="A2804" i="1"/>
  <c r="A2803" i="1"/>
  <c r="A2802" i="1"/>
  <c r="A2801" i="1"/>
  <c r="A2800" i="1"/>
  <c r="A2799" i="1"/>
  <c r="A2798" i="1"/>
  <c r="A2797" i="1"/>
  <c r="A2796" i="1"/>
  <c r="A2795" i="1"/>
  <c r="A2794" i="1"/>
  <c r="A2793" i="1"/>
  <c r="A2792" i="1"/>
  <c r="A2791" i="1"/>
  <c r="A2790" i="1"/>
  <c r="A2789" i="1"/>
  <c r="A2788" i="1"/>
  <c r="A2787" i="1"/>
  <c r="A2786" i="1"/>
  <c r="A2785" i="1"/>
  <c r="A2784" i="1"/>
  <c r="A2783" i="1"/>
  <c r="A2782" i="1"/>
  <c r="A2781" i="1"/>
  <c r="A2780" i="1"/>
  <c r="A2779" i="1"/>
  <c r="A2778" i="1"/>
  <c r="A2777" i="1"/>
  <c r="A2776" i="1"/>
  <c r="A2775" i="1"/>
  <c r="A2774" i="1"/>
  <c r="A2773" i="1"/>
  <c r="A2772" i="1"/>
  <c r="A2771" i="1"/>
  <c r="A2770" i="1"/>
  <c r="A2769" i="1"/>
  <c r="A2768" i="1"/>
  <c r="A2767" i="1"/>
  <c r="A2766" i="1"/>
  <c r="A2765" i="1"/>
  <c r="A2764" i="1"/>
  <c r="A2763" i="1"/>
  <c r="A2762" i="1"/>
  <c r="A2761" i="1"/>
  <c r="A2760" i="1"/>
  <c r="A2759" i="1"/>
  <c r="A2758" i="1"/>
  <c r="A2757" i="1"/>
  <c r="A2756" i="1"/>
  <c r="A2755" i="1"/>
  <c r="A2754" i="1"/>
  <c r="A2753" i="1"/>
  <c r="A2752" i="1"/>
  <c r="A2751" i="1"/>
  <c r="A2750" i="1"/>
  <c r="A2749" i="1"/>
  <c r="A2748" i="1"/>
  <c r="A2747" i="1"/>
  <c r="A2746" i="1"/>
  <c r="A2745" i="1"/>
  <c r="A2744" i="1"/>
  <c r="A2743" i="1"/>
  <c r="A2742" i="1"/>
  <c r="A2741" i="1"/>
  <c r="A2740" i="1"/>
  <c r="A2739" i="1"/>
  <c r="A2738" i="1"/>
  <c r="A2737" i="1"/>
  <c r="A2736" i="1"/>
  <c r="A2735" i="1"/>
  <c r="A2734" i="1"/>
  <c r="A2733" i="1"/>
  <c r="A2732" i="1"/>
  <c r="A2731" i="1"/>
  <c r="A2730" i="1"/>
  <c r="A2729" i="1"/>
  <c r="A2728" i="1"/>
  <c r="A2727" i="1"/>
  <c r="A2726" i="1"/>
  <c r="A2725" i="1"/>
  <c r="A2724" i="1"/>
  <c r="A2723" i="1"/>
  <c r="A2722" i="1"/>
  <c r="A2721" i="1"/>
  <c r="A2720" i="1"/>
  <c r="A2719" i="1"/>
  <c r="A2718" i="1"/>
  <c r="A2717" i="1"/>
  <c r="A2716" i="1"/>
  <c r="A2715" i="1"/>
  <c r="A2714" i="1"/>
  <c r="A2713" i="1"/>
  <c r="A2712" i="1"/>
  <c r="A2711" i="1"/>
  <c r="A2710" i="1"/>
  <c r="A2709" i="1"/>
  <c r="A2708" i="1"/>
  <c r="A2707" i="1"/>
  <c r="A2706" i="1"/>
  <c r="A2705" i="1"/>
  <c r="A2704" i="1"/>
  <c r="A2703" i="1"/>
  <c r="A2702" i="1"/>
  <c r="A2701" i="1"/>
  <c r="A2700" i="1"/>
  <c r="A2699" i="1"/>
  <c r="A2698" i="1"/>
  <c r="A2697" i="1"/>
  <c r="A2696" i="1"/>
  <c r="A2695" i="1"/>
  <c r="A2694" i="1"/>
  <c r="A2693" i="1"/>
  <c r="A2692" i="1"/>
  <c r="A2691" i="1"/>
  <c r="A2690" i="1"/>
  <c r="A2689" i="1"/>
  <c r="A2688" i="1"/>
  <c r="A2687" i="1"/>
  <c r="A2686" i="1"/>
  <c r="A2685" i="1"/>
  <c r="A2684" i="1"/>
  <c r="A2683" i="1"/>
  <c r="A2682" i="1"/>
  <c r="A2681" i="1"/>
  <c r="A2680" i="1"/>
  <c r="A2679" i="1"/>
  <c r="A2678" i="1"/>
  <c r="A2677" i="1"/>
  <c r="A2676" i="1"/>
  <c r="A2675" i="1"/>
  <c r="A2674" i="1"/>
  <c r="A2673" i="1"/>
  <c r="A2672" i="1"/>
  <c r="A2671" i="1"/>
  <c r="A2670" i="1"/>
  <c r="A2669" i="1"/>
  <c r="A2668" i="1"/>
  <c r="A2667" i="1"/>
  <c r="A2666" i="1"/>
  <c r="A2665" i="1"/>
  <c r="A2664" i="1"/>
  <c r="A2663" i="1"/>
  <c r="A2662" i="1"/>
  <c r="A2661" i="1"/>
  <c r="A2660" i="1"/>
  <c r="A2659" i="1"/>
  <c r="A2658" i="1"/>
  <c r="A2657" i="1"/>
  <c r="A2656" i="1"/>
  <c r="A2655" i="1"/>
  <c r="A2654" i="1"/>
  <c r="A2653" i="1"/>
  <c r="A2652" i="1"/>
  <c r="A2651" i="1"/>
  <c r="A2650" i="1"/>
  <c r="A2649" i="1"/>
  <c r="A2648" i="1"/>
  <c r="A2647" i="1"/>
  <c r="A2646" i="1"/>
  <c r="A2645" i="1"/>
  <c r="A2644" i="1"/>
  <c r="A2643" i="1"/>
  <c r="A2642" i="1"/>
  <c r="A2641" i="1"/>
  <c r="A2640" i="1"/>
  <c r="A2639" i="1"/>
  <c r="A2638" i="1"/>
  <c r="A2637" i="1"/>
  <c r="A2636" i="1"/>
  <c r="A2635" i="1"/>
  <c r="A2634" i="1"/>
  <c r="A2633" i="1"/>
  <c r="A2632" i="1"/>
  <c r="A2631" i="1"/>
  <c r="A2630" i="1"/>
  <c r="A2629" i="1"/>
  <c r="A2628" i="1"/>
  <c r="A2627" i="1"/>
  <c r="A2626" i="1"/>
  <c r="A2625" i="1"/>
  <c r="A2624" i="1"/>
  <c r="A2623" i="1"/>
  <c r="A2622" i="1"/>
  <c r="A2621" i="1"/>
  <c r="A2620" i="1"/>
  <c r="A2619" i="1"/>
  <c r="A2618" i="1"/>
  <c r="A2617" i="1"/>
  <c r="A2616" i="1"/>
  <c r="A2615" i="1"/>
  <c r="A2614" i="1"/>
  <c r="A2613" i="1"/>
  <c r="A2612" i="1"/>
  <c r="A2611" i="1"/>
  <c r="A2610" i="1"/>
  <c r="A2609" i="1"/>
  <c r="A2608" i="1"/>
  <c r="A2607" i="1"/>
  <c r="A2606" i="1"/>
  <c r="A2605" i="1"/>
  <c r="A2604" i="1"/>
  <c r="A2603" i="1"/>
  <c r="A2602" i="1"/>
  <c r="A2601" i="1"/>
  <c r="A2600" i="1"/>
  <c r="A2599" i="1"/>
  <c r="A2598" i="1"/>
  <c r="A2597" i="1"/>
  <c r="A2596" i="1"/>
  <c r="A2595" i="1"/>
  <c r="A2594" i="1"/>
  <c r="A2593" i="1"/>
  <c r="A2592" i="1"/>
  <c r="A2591" i="1"/>
  <c r="A2590" i="1"/>
  <c r="A2589" i="1"/>
  <c r="A2588" i="1"/>
  <c r="A2587" i="1"/>
  <c r="A2586" i="1"/>
  <c r="A2585" i="1"/>
  <c r="A2584" i="1"/>
  <c r="A2583" i="1"/>
  <c r="A2582" i="1"/>
  <c r="A2581" i="1"/>
  <c r="A2580" i="1"/>
  <c r="A2579" i="1"/>
  <c r="A2578" i="1"/>
  <c r="A2577" i="1"/>
  <c r="A2576" i="1"/>
  <c r="A2575" i="1"/>
  <c r="A2574" i="1"/>
  <c r="A2573" i="1"/>
  <c r="A2572" i="1"/>
  <c r="A2571" i="1"/>
  <c r="A2570" i="1"/>
  <c r="A2569" i="1"/>
  <c r="A2568" i="1"/>
  <c r="A2567" i="1"/>
  <c r="A2566" i="1"/>
  <c r="A2565" i="1"/>
  <c r="A2564" i="1"/>
  <c r="A2563" i="1"/>
  <c r="A2562" i="1"/>
  <c r="A2561" i="1"/>
  <c r="A2560" i="1"/>
  <c r="A2559" i="1"/>
  <c r="A2558" i="1"/>
  <c r="A2557" i="1"/>
  <c r="A2556" i="1"/>
  <c r="A2555" i="1"/>
  <c r="A2554" i="1"/>
  <c r="A2553" i="1"/>
  <c r="A2552" i="1"/>
  <c r="A2551" i="1"/>
  <c r="A2550" i="1"/>
  <c r="A2549" i="1"/>
  <c r="A2548" i="1"/>
  <c r="A2547" i="1"/>
  <c r="A2546" i="1"/>
  <c r="A2545" i="1"/>
  <c r="A2544" i="1"/>
  <c r="A2543" i="1"/>
  <c r="A2542" i="1"/>
  <c r="A2541" i="1"/>
  <c r="A2540" i="1"/>
  <c r="A2539" i="1"/>
  <c r="A2538" i="1"/>
  <c r="A2537" i="1"/>
  <c r="A2536" i="1"/>
  <c r="A2535" i="1"/>
  <c r="A2534" i="1"/>
  <c r="A2533" i="1"/>
  <c r="A2532" i="1"/>
  <c r="A2531" i="1"/>
  <c r="A2530" i="1"/>
  <c r="A2529" i="1"/>
  <c r="A2528" i="1"/>
  <c r="A2527" i="1"/>
  <c r="A2526" i="1"/>
  <c r="A2525" i="1"/>
  <c r="A2524" i="1"/>
  <c r="A2523" i="1"/>
  <c r="A2522" i="1"/>
  <c r="A2521" i="1"/>
  <c r="A2520" i="1"/>
  <c r="A2519" i="1"/>
  <c r="A2518" i="1"/>
  <c r="A2517" i="1"/>
  <c r="A2516" i="1"/>
  <c r="A2515" i="1"/>
  <c r="A2514" i="1"/>
  <c r="A2513" i="1"/>
  <c r="A2512" i="1"/>
  <c r="A2511" i="1"/>
  <c r="A2510" i="1"/>
  <c r="A2509" i="1"/>
  <c r="A2508" i="1"/>
  <c r="A2507" i="1"/>
  <c r="A2506" i="1"/>
  <c r="A2505" i="1"/>
  <c r="A2504" i="1"/>
  <c r="A2503" i="1"/>
  <c r="A2502" i="1"/>
  <c r="A2501" i="1"/>
  <c r="A2500" i="1"/>
  <c r="A2499" i="1"/>
  <c r="A2498" i="1"/>
  <c r="A2497" i="1"/>
  <c r="A2496" i="1"/>
  <c r="A2495" i="1"/>
  <c r="A2494" i="1"/>
  <c r="A2493" i="1"/>
  <c r="A2492" i="1"/>
  <c r="A2491" i="1"/>
  <c r="A2490" i="1"/>
  <c r="A2489" i="1"/>
  <c r="A2488" i="1"/>
  <c r="A2487" i="1"/>
  <c r="A2486" i="1"/>
  <c r="A2485" i="1"/>
  <c r="A2484" i="1"/>
  <c r="A2483" i="1"/>
  <c r="A2482" i="1"/>
  <c r="A2481" i="1"/>
  <c r="A2480" i="1"/>
  <c r="A2479" i="1"/>
  <c r="A2478" i="1"/>
  <c r="A2477" i="1"/>
  <c r="A2476" i="1"/>
  <c r="A2475" i="1"/>
  <c r="A2474" i="1"/>
  <c r="A2473" i="1"/>
  <c r="A2472" i="1"/>
  <c r="A2471" i="1"/>
  <c r="A2470" i="1"/>
  <c r="A2469" i="1"/>
  <c r="A2468" i="1"/>
  <c r="A2467" i="1"/>
  <c r="A2466" i="1"/>
  <c r="A2465" i="1"/>
  <c r="A2464" i="1"/>
  <c r="A2463" i="1"/>
  <c r="A2462" i="1"/>
  <c r="A2461" i="1"/>
  <c r="A2460" i="1"/>
  <c r="A2459" i="1"/>
  <c r="A2458" i="1"/>
  <c r="A2457" i="1"/>
  <c r="A2456" i="1"/>
  <c r="A2455" i="1"/>
  <c r="A2454" i="1"/>
  <c r="A2453" i="1"/>
  <c r="A2452" i="1"/>
  <c r="A2451" i="1"/>
  <c r="A2450" i="1"/>
  <c r="A2449" i="1"/>
  <c r="A2448" i="1"/>
  <c r="A2447" i="1"/>
  <c r="A2446" i="1"/>
  <c r="A2445" i="1"/>
  <c r="A2444" i="1"/>
  <c r="A2443" i="1"/>
  <c r="A2442" i="1"/>
  <c r="A2441" i="1"/>
  <c r="A2440" i="1"/>
  <c r="A2439" i="1"/>
  <c r="A2438" i="1"/>
  <c r="A2437" i="1"/>
  <c r="A2436" i="1"/>
  <c r="A2435" i="1"/>
  <c r="A2434" i="1"/>
  <c r="A2433" i="1"/>
  <c r="A2432" i="1"/>
  <c r="A2431" i="1"/>
  <c r="A2430" i="1"/>
  <c r="A2429" i="1"/>
  <c r="A2428" i="1"/>
  <c r="A2427" i="1"/>
  <c r="A2426" i="1"/>
  <c r="A2425" i="1"/>
  <c r="A2424" i="1"/>
  <c r="A2423" i="1"/>
  <c r="A2422" i="1"/>
  <c r="A2421" i="1"/>
  <c r="A2420" i="1"/>
  <c r="A2419" i="1"/>
  <c r="A2418" i="1"/>
  <c r="A2417" i="1"/>
  <c r="A2416" i="1"/>
  <c r="A2415" i="1"/>
  <c r="A2414" i="1"/>
  <c r="A2413" i="1"/>
  <c r="A2412" i="1"/>
  <c r="A2411" i="1"/>
  <c r="A2410" i="1"/>
  <c r="A2409" i="1"/>
  <c r="A2408" i="1"/>
  <c r="A2407" i="1"/>
  <c r="A2406" i="1"/>
  <c r="A2405" i="1"/>
  <c r="A2404" i="1"/>
  <c r="A2403" i="1"/>
  <c r="A2402" i="1"/>
  <c r="A2401" i="1"/>
  <c r="A2400" i="1"/>
  <c r="A2399" i="1"/>
  <c r="A2398" i="1"/>
  <c r="A2397" i="1"/>
  <c r="A2396" i="1"/>
  <c r="A2395" i="1"/>
  <c r="A2394" i="1"/>
  <c r="A2393" i="1"/>
  <c r="A2392" i="1"/>
  <c r="A2391" i="1"/>
  <c r="A2390" i="1"/>
  <c r="A2389" i="1"/>
  <c r="A2388" i="1"/>
  <c r="A2387" i="1"/>
  <c r="A2386" i="1"/>
  <c r="A2385" i="1"/>
  <c r="A2384" i="1"/>
  <c r="A2383" i="1"/>
  <c r="A2382" i="1"/>
  <c r="A2381" i="1"/>
  <c r="A2380" i="1"/>
  <c r="A2379" i="1"/>
  <c r="A2378" i="1"/>
  <c r="A2377" i="1"/>
  <c r="A2376" i="1"/>
  <c r="A2375" i="1"/>
  <c r="A2374" i="1"/>
  <c r="A2373" i="1"/>
  <c r="A2372" i="1"/>
  <c r="A2371" i="1"/>
  <c r="A2370" i="1"/>
  <c r="A2369" i="1"/>
  <c r="A2368" i="1"/>
  <c r="A2367" i="1"/>
  <c r="A2366" i="1"/>
  <c r="A2365" i="1"/>
  <c r="A2364" i="1"/>
  <c r="A2363" i="1"/>
  <c r="A2362" i="1"/>
  <c r="A2361" i="1"/>
  <c r="A2360" i="1"/>
  <c r="A2359" i="1"/>
  <c r="A2358" i="1"/>
  <c r="A2357" i="1"/>
  <c r="A2356" i="1"/>
  <c r="A2355" i="1"/>
  <c r="A2354" i="1"/>
  <c r="A2353" i="1"/>
  <c r="A2352" i="1"/>
  <c r="A2351" i="1"/>
  <c r="A2350" i="1"/>
  <c r="A2349" i="1"/>
  <c r="A2348" i="1"/>
  <c r="A2347" i="1"/>
  <c r="A2346" i="1"/>
  <c r="A2345" i="1"/>
  <c r="A2344" i="1"/>
  <c r="A2343" i="1"/>
  <c r="A2342" i="1"/>
  <c r="A2341" i="1"/>
  <c r="A2340" i="1"/>
  <c r="A2339" i="1"/>
  <c r="A2338" i="1"/>
  <c r="A2337" i="1"/>
  <c r="A2336" i="1"/>
  <c r="A2335" i="1"/>
  <c r="A2334" i="1"/>
  <c r="A2333" i="1"/>
  <c r="A2332" i="1"/>
  <c r="A2331" i="1"/>
  <c r="A2330" i="1"/>
  <c r="A2329" i="1"/>
  <c r="A2328" i="1"/>
  <c r="A2327" i="1"/>
  <c r="A2326" i="1"/>
  <c r="A2325" i="1"/>
  <c r="A2324" i="1"/>
  <c r="A2323" i="1"/>
  <c r="A2322" i="1"/>
  <c r="A2321" i="1"/>
  <c r="A2320" i="1"/>
  <c r="A2319" i="1"/>
  <c r="A2318" i="1"/>
  <c r="A2317" i="1"/>
  <c r="A2316" i="1"/>
  <c r="A2315" i="1"/>
  <c r="A2314" i="1"/>
  <c r="A2313" i="1"/>
  <c r="A2312" i="1"/>
  <c r="A2311" i="1"/>
  <c r="A2310" i="1"/>
  <c r="A2309" i="1"/>
  <c r="A2308" i="1"/>
  <c r="A2307" i="1"/>
  <c r="A2306" i="1"/>
  <c r="A2305" i="1"/>
  <c r="A2304" i="1"/>
  <c r="A2303" i="1"/>
  <c r="A2302" i="1"/>
  <c r="A2301" i="1"/>
  <c r="A2300" i="1"/>
  <c r="A2299" i="1"/>
  <c r="A2298" i="1"/>
  <c r="A2297" i="1"/>
  <c r="A2296" i="1"/>
  <c r="A2295" i="1"/>
  <c r="A2294" i="1"/>
  <c r="A2293" i="1"/>
  <c r="A2292" i="1"/>
  <c r="A2291" i="1"/>
  <c r="A2290" i="1"/>
  <c r="A2289" i="1"/>
  <c r="A2288" i="1"/>
  <c r="A2287" i="1"/>
  <c r="A2286" i="1"/>
  <c r="A2285" i="1"/>
  <c r="A2284" i="1"/>
  <c r="A2283" i="1"/>
  <c r="A2282" i="1"/>
  <c r="A2281" i="1"/>
  <c r="A2280" i="1"/>
  <c r="A2279" i="1"/>
  <c r="A2278" i="1"/>
  <c r="A2277" i="1"/>
  <c r="A2276" i="1"/>
  <c r="A2275" i="1"/>
  <c r="A2274" i="1"/>
  <c r="A2273" i="1"/>
  <c r="A2272" i="1"/>
  <c r="A2271" i="1"/>
  <c r="A2270" i="1"/>
  <c r="A2269" i="1"/>
  <c r="A2268" i="1"/>
  <c r="A2267" i="1"/>
  <c r="A2266" i="1"/>
  <c r="A2265" i="1"/>
  <c r="A2264" i="1"/>
  <c r="A2263" i="1"/>
  <c r="A2262" i="1"/>
  <c r="A2261" i="1"/>
  <c r="A2260" i="1"/>
  <c r="A2259" i="1"/>
  <c r="A2258" i="1"/>
  <c r="A2257" i="1"/>
  <c r="A2256" i="1"/>
  <c r="A2255" i="1"/>
  <c r="A2254" i="1"/>
  <c r="A2253" i="1"/>
  <c r="A2252" i="1"/>
  <c r="A2251" i="1"/>
  <c r="A2250" i="1"/>
  <c r="A2249" i="1"/>
  <c r="A2248" i="1"/>
  <c r="A2247" i="1"/>
  <c r="A2246" i="1"/>
  <c r="A2245" i="1"/>
  <c r="A2244" i="1"/>
  <c r="A2243" i="1"/>
  <c r="A2242" i="1"/>
  <c r="A2241" i="1"/>
  <c r="A2240" i="1"/>
  <c r="A2239" i="1"/>
  <c r="A2238" i="1"/>
  <c r="A2237" i="1"/>
  <c r="A2236" i="1"/>
  <c r="A2235" i="1"/>
  <c r="A2234" i="1"/>
  <c r="A2233" i="1"/>
  <c r="A2232" i="1"/>
  <c r="A2231" i="1"/>
  <c r="A2230" i="1"/>
  <c r="A2229" i="1"/>
  <c r="A2228" i="1"/>
  <c r="A2227" i="1"/>
  <c r="A2226" i="1"/>
  <c r="A2225" i="1"/>
  <c r="A2224" i="1"/>
  <c r="A2223" i="1"/>
  <c r="A2222" i="1"/>
  <c r="A2221" i="1"/>
  <c r="A2220" i="1"/>
  <c r="A2219" i="1"/>
  <c r="A2218" i="1"/>
  <c r="A2217" i="1"/>
  <c r="A2216" i="1"/>
  <c r="A2215" i="1"/>
  <c r="A2214" i="1"/>
  <c r="A2213" i="1"/>
  <c r="A2212" i="1"/>
  <c r="A2211" i="1"/>
  <c r="A2210" i="1"/>
  <c r="A2209" i="1"/>
  <c r="A2208" i="1"/>
  <c r="A2207" i="1"/>
  <c r="A2206" i="1"/>
  <c r="A2205" i="1"/>
  <c r="A2204" i="1"/>
  <c r="A2203" i="1"/>
  <c r="A2202" i="1"/>
  <c r="A2201" i="1"/>
  <c r="A2200" i="1"/>
  <c r="A2199" i="1"/>
  <c r="A2198" i="1"/>
  <c r="A2197" i="1"/>
  <c r="A2196" i="1"/>
  <c r="A2195" i="1"/>
  <c r="A2194" i="1"/>
  <c r="A2193" i="1"/>
  <c r="A2192" i="1"/>
  <c r="A2191" i="1"/>
  <c r="A2190" i="1"/>
  <c r="A2189" i="1"/>
  <c r="A2188" i="1"/>
  <c r="A2187" i="1"/>
  <c r="A2186" i="1"/>
  <c r="A2185" i="1"/>
  <c r="A2184" i="1"/>
  <c r="A2183" i="1"/>
  <c r="A2182" i="1"/>
  <c r="A2181" i="1"/>
  <c r="A2180" i="1"/>
  <c r="A2179" i="1"/>
  <c r="A2178" i="1"/>
  <c r="A2177" i="1"/>
  <c r="A2176" i="1"/>
  <c r="A2175" i="1"/>
  <c r="A2174" i="1"/>
  <c r="A2173" i="1"/>
  <c r="A2172" i="1"/>
  <c r="A2171" i="1"/>
  <c r="A2170" i="1"/>
  <c r="A2169" i="1"/>
  <c r="A2168" i="1"/>
  <c r="A2167" i="1"/>
  <c r="A2166" i="1"/>
  <c r="A2165" i="1"/>
  <c r="A2164" i="1"/>
  <c r="A2163" i="1"/>
  <c r="A2162" i="1"/>
  <c r="A2161" i="1"/>
  <c r="A2160" i="1"/>
  <c r="A2159" i="1"/>
  <c r="A2158" i="1"/>
  <c r="A2157" i="1"/>
  <c r="A2156" i="1"/>
  <c r="A2155" i="1"/>
  <c r="A2154" i="1"/>
  <c r="A2153" i="1"/>
  <c r="A2152" i="1"/>
  <c r="A2151" i="1"/>
  <c r="A2150" i="1"/>
  <c r="A2149" i="1"/>
  <c r="A2148" i="1"/>
  <c r="A2147" i="1"/>
  <c r="A2146" i="1"/>
  <c r="A2145" i="1"/>
  <c r="A2144" i="1"/>
  <c r="A2143" i="1"/>
  <c r="A2142" i="1"/>
  <c r="A2141" i="1"/>
  <c r="A2140" i="1"/>
  <c r="A2139" i="1"/>
  <c r="A2138" i="1"/>
  <c r="A2137" i="1"/>
  <c r="A2136" i="1"/>
  <c r="A2135" i="1"/>
  <c r="A2134" i="1"/>
  <c r="A2133" i="1"/>
  <c r="A2132" i="1"/>
  <c r="A2131" i="1"/>
  <c r="A2130" i="1"/>
  <c r="A2129" i="1"/>
  <c r="A2128" i="1"/>
  <c r="A2127" i="1"/>
  <c r="A2126" i="1"/>
  <c r="A2125" i="1"/>
  <c r="A2124" i="1"/>
  <c r="A2123" i="1"/>
  <c r="A2122" i="1"/>
  <c r="A2121" i="1"/>
  <c r="A2120" i="1"/>
  <c r="A2119" i="1"/>
  <c r="A2118" i="1"/>
  <c r="A2117" i="1"/>
  <c r="A2116" i="1"/>
  <c r="A2115" i="1"/>
  <c r="A2114" i="1"/>
  <c r="A2113" i="1"/>
  <c r="A2112" i="1"/>
  <c r="A2111" i="1"/>
  <c r="A2110" i="1"/>
  <c r="A2109" i="1"/>
  <c r="A2108" i="1"/>
  <c r="A2107" i="1"/>
  <c r="A2106" i="1"/>
  <c r="A2105" i="1"/>
  <c r="A2104" i="1"/>
  <c r="A2103" i="1"/>
  <c r="A2102" i="1"/>
  <c r="A2101" i="1"/>
  <c r="A2100" i="1"/>
  <c r="A2099" i="1"/>
  <c r="A2098" i="1"/>
  <c r="A2097" i="1"/>
  <c r="A2096" i="1"/>
  <c r="A2095" i="1"/>
  <c r="A2094" i="1"/>
  <c r="A2093" i="1"/>
  <c r="A2092" i="1"/>
  <c r="A2091" i="1"/>
  <c r="A2090" i="1"/>
  <c r="A2089" i="1"/>
  <c r="A2088" i="1"/>
  <c r="A2087" i="1"/>
  <c r="A2086" i="1"/>
  <c r="A2085" i="1"/>
  <c r="A2084" i="1"/>
  <c r="A2083" i="1"/>
  <c r="A2082" i="1"/>
  <c r="A2081" i="1"/>
  <c r="A2080" i="1"/>
  <c r="A2079" i="1"/>
  <c r="A2078" i="1"/>
  <c r="A2077" i="1"/>
  <c r="A2076" i="1"/>
  <c r="A2075" i="1"/>
  <c r="A2074" i="1"/>
  <c r="A2073" i="1"/>
  <c r="A2072" i="1"/>
  <c r="A2071" i="1"/>
  <c r="A2070" i="1"/>
  <c r="A2069" i="1"/>
  <c r="A2068" i="1"/>
  <c r="A2067" i="1"/>
  <c r="A2066" i="1"/>
  <c r="A2065" i="1"/>
  <c r="A2064" i="1"/>
  <c r="A2063" i="1"/>
  <c r="A2062" i="1"/>
  <c r="A2061" i="1"/>
  <c r="A2060" i="1"/>
  <c r="A2059" i="1"/>
  <c r="A2058" i="1"/>
  <c r="A2057" i="1"/>
  <c r="A2056" i="1"/>
  <c r="A2055" i="1"/>
  <c r="A2054" i="1"/>
  <c r="A2053" i="1"/>
  <c r="A2052" i="1"/>
  <c r="A2051" i="1"/>
  <c r="A2050" i="1"/>
  <c r="A2049" i="1"/>
  <c r="A2048" i="1"/>
  <c r="A2047" i="1"/>
  <c r="A2046" i="1"/>
  <c r="A2045" i="1"/>
  <c r="A2044" i="1"/>
  <c r="A2043" i="1"/>
  <c r="A2042" i="1"/>
  <c r="A2041" i="1"/>
  <c r="A2040" i="1"/>
  <c r="A2039" i="1"/>
  <c r="A2038" i="1"/>
  <c r="A2037" i="1"/>
  <c r="A2036" i="1"/>
  <c r="A2035" i="1"/>
  <c r="A2034" i="1"/>
  <c r="A2033" i="1"/>
  <c r="A2032" i="1"/>
  <c r="A2031" i="1"/>
  <c r="A2030" i="1"/>
  <c r="A2029" i="1"/>
  <c r="A2028" i="1"/>
  <c r="A2027" i="1"/>
  <c r="A2026" i="1"/>
  <c r="A2025" i="1"/>
  <c r="A2024" i="1"/>
  <c r="A2023" i="1"/>
  <c r="A2022" i="1"/>
  <c r="A2021" i="1"/>
  <c r="A2020" i="1"/>
  <c r="A2019" i="1"/>
  <c r="A2018" i="1"/>
  <c r="A2017" i="1"/>
  <c r="A2016" i="1"/>
  <c r="A2015" i="1"/>
  <c r="A2014" i="1"/>
  <c r="A2013" i="1"/>
  <c r="A2012" i="1"/>
  <c r="A2011" i="1"/>
  <c r="A2010" i="1"/>
  <c r="A2009" i="1"/>
  <c r="A2008" i="1"/>
  <c r="A2007" i="1"/>
  <c r="A2006" i="1"/>
  <c r="A2005" i="1"/>
  <c r="A2004" i="1"/>
  <c r="A2003" i="1"/>
  <c r="A2002" i="1"/>
  <c r="A2001" i="1"/>
  <c r="A2000" i="1"/>
  <c r="A1999" i="1"/>
  <c r="A1998" i="1"/>
  <c r="A1997" i="1"/>
  <c r="A1996" i="1"/>
  <c r="A1995" i="1"/>
  <c r="A1994" i="1"/>
  <c r="A1993" i="1"/>
  <c r="A1992" i="1"/>
  <c r="A1991" i="1"/>
  <c r="A1990" i="1"/>
  <c r="A1989" i="1"/>
  <c r="A1988" i="1"/>
  <c r="A1987" i="1"/>
  <c r="A1986" i="1"/>
  <c r="A1985" i="1"/>
  <c r="A1984" i="1"/>
  <c r="A1983" i="1"/>
  <c r="A1982" i="1"/>
  <c r="A1981" i="1"/>
  <c r="A1980" i="1"/>
  <c r="A1979" i="1"/>
  <c r="A1978" i="1"/>
  <c r="A1977" i="1"/>
  <c r="A1976" i="1"/>
  <c r="A1975" i="1"/>
  <c r="A1974" i="1"/>
  <c r="A1973" i="1"/>
  <c r="A1972" i="1"/>
  <c r="A1971" i="1"/>
  <c r="A1970" i="1"/>
  <c r="A1969" i="1"/>
  <c r="A1968" i="1"/>
  <c r="A1967" i="1"/>
  <c r="A1966" i="1"/>
  <c r="A1965" i="1"/>
  <c r="A1964" i="1"/>
  <c r="A1963" i="1"/>
  <c r="A1962" i="1"/>
  <c r="A1961" i="1"/>
  <c r="A1960" i="1"/>
  <c r="A1959" i="1"/>
  <c r="A1958" i="1"/>
  <c r="A1957" i="1"/>
  <c r="A1956" i="1"/>
  <c r="A1955" i="1"/>
  <c r="A1954" i="1"/>
  <c r="A1953" i="1"/>
  <c r="A1952" i="1"/>
  <c r="A1951" i="1"/>
  <c r="A1950" i="1"/>
  <c r="A1949" i="1"/>
  <c r="A1948" i="1"/>
  <c r="A1947" i="1"/>
  <c r="A1946" i="1"/>
  <c r="A1945" i="1"/>
  <c r="A1944" i="1"/>
  <c r="A1943" i="1"/>
  <c r="A1942" i="1"/>
  <c r="A1941" i="1"/>
  <c r="A1940" i="1"/>
  <c r="A1939" i="1"/>
  <c r="A1938" i="1"/>
  <c r="A1937" i="1"/>
  <c r="A1936" i="1"/>
  <c r="A1935" i="1"/>
  <c r="A1934" i="1"/>
  <c r="A1933" i="1"/>
  <c r="A1932" i="1"/>
  <c r="A1931" i="1"/>
  <c r="A1930" i="1"/>
  <c r="A1929" i="1"/>
  <c r="A1928" i="1"/>
  <c r="A1927" i="1"/>
  <c r="A1926" i="1"/>
  <c r="A1925" i="1"/>
  <c r="A1924" i="1"/>
  <c r="A1923" i="1"/>
  <c r="A1922" i="1"/>
  <c r="A1921" i="1"/>
  <c r="A1920" i="1"/>
  <c r="A1919" i="1"/>
  <c r="A1918" i="1"/>
  <c r="A1917" i="1"/>
  <c r="A1916" i="1"/>
  <c r="A1915" i="1"/>
  <c r="A1914" i="1"/>
  <c r="A1913" i="1"/>
  <c r="A1912" i="1"/>
  <c r="A1911" i="1"/>
  <c r="A1910" i="1"/>
  <c r="A1909" i="1"/>
  <c r="A1908" i="1"/>
  <c r="A1907" i="1"/>
  <c r="A1906" i="1"/>
  <c r="A1905" i="1"/>
  <c r="A1904" i="1"/>
  <c r="A1903" i="1"/>
  <c r="A1902" i="1"/>
  <c r="A1901" i="1"/>
  <c r="A1900" i="1"/>
  <c r="A1899" i="1"/>
  <c r="A1898" i="1"/>
  <c r="A1897" i="1"/>
  <c r="A1896" i="1"/>
  <c r="A1895" i="1"/>
  <c r="A1894" i="1"/>
  <c r="A1893" i="1"/>
  <c r="A1892" i="1"/>
  <c r="A1891" i="1"/>
  <c r="A1890" i="1"/>
  <c r="A1889" i="1"/>
  <c r="A1888" i="1"/>
  <c r="A1887" i="1"/>
  <c r="A1886" i="1"/>
  <c r="A1885" i="1"/>
  <c r="A1884" i="1"/>
  <c r="A1883" i="1"/>
  <c r="A1882" i="1"/>
  <c r="A1881" i="1"/>
  <c r="A1880" i="1"/>
  <c r="A1879" i="1"/>
  <c r="A1878" i="1"/>
  <c r="A1877" i="1"/>
  <c r="A1876" i="1"/>
  <c r="A1875" i="1"/>
  <c r="A1874" i="1"/>
  <c r="A1873" i="1"/>
  <c r="A1872" i="1"/>
  <c r="A1871" i="1"/>
  <c r="A1870" i="1"/>
  <c r="A1869" i="1"/>
  <c r="A1868" i="1"/>
  <c r="A1867" i="1"/>
  <c r="A1866" i="1"/>
  <c r="A1865" i="1"/>
  <c r="A1864" i="1"/>
  <c r="A1863" i="1"/>
  <c r="A1862" i="1"/>
  <c r="A1861" i="1"/>
  <c r="A1860" i="1"/>
  <c r="A1859" i="1"/>
  <c r="A1858" i="1"/>
  <c r="A1857" i="1"/>
  <c r="A1856" i="1"/>
  <c r="A1855" i="1"/>
  <c r="A1854" i="1"/>
  <c r="A1853" i="1"/>
  <c r="A1852" i="1"/>
  <c r="A1851" i="1"/>
  <c r="A1850" i="1"/>
  <c r="A1849" i="1"/>
  <c r="A1848" i="1"/>
  <c r="A1847" i="1"/>
  <c r="A1846" i="1"/>
  <c r="A1845" i="1"/>
  <c r="A1844" i="1"/>
  <c r="A1843" i="1"/>
  <c r="A1842" i="1"/>
  <c r="A1841" i="1"/>
  <c r="A1840" i="1"/>
  <c r="A1839" i="1"/>
  <c r="A1838" i="1"/>
  <c r="A1837" i="1"/>
  <c r="A1836" i="1"/>
  <c r="A1835" i="1"/>
  <c r="A1834" i="1"/>
  <c r="A1833" i="1"/>
  <c r="A1832" i="1"/>
  <c r="A1831" i="1"/>
  <c r="A1830" i="1"/>
  <c r="A1829" i="1"/>
  <c r="A1828" i="1"/>
  <c r="A1827" i="1"/>
  <c r="A1826" i="1"/>
  <c r="A1825" i="1"/>
  <c r="A1824" i="1"/>
  <c r="A1823" i="1"/>
  <c r="A1822" i="1"/>
  <c r="A1821" i="1"/>
  <c r="A1820" i="1"/>
  <c r="A1819" i="1"/>
  <c r="A1818" i="1"/>
  <c r="A1817" i="1"/>
  <c r="A1816" i="1"/>
  <c r="A1815" i="1"/>
  <c r="A1814" i="1"/>
  <c r="A1813" i="1"/>
  <c r="A1812" i="1"/>
  <c r="A1811" i="1"/>
  <c r="A1810" i="1"/>
  <c r="A1809" i="1"/>
  <c r="A1808" i="1"/>
  <c r="A1807" i="1"/>
  <c r="A1806" i="1"/>
  <c r="A1805" i="1"/>
  <c r="A1804" i="1"/>
  <c r="A1803" i="1"/>
  <c r="A1802" i="1"/>
  <c r="A1801" i="1"/>
  <c r="A1800" i="1"/>
  <c r="A1799" i="1"/>
  <c r="A1798" i="1"/>
  <c r="A1797" i="1"/>
  <c r="A1796" i="1"/>
  <c r="A1795" i="1"/>
  <c r="A1794" i="1"/>
  <c r="A1793" i="1"/>
  <c r="A1792" i="1"/>
  <c r="A1791" i="1"/>
  <c r="A1790" i="1"/>
  <c r="A1789" i="1"/>
  <c r="A1788" i="1"/>
  <c r="A1787" i="1"/>
  <c r="A1786" i="1"/>
  <c r="A1785" i="1"/>
  <c r="A1784" i="1"/>
  <c r="A1783" i="1"/>
  <c r="A1782" i="1"/>
  <c r="A1781" i="1"/>
  <c r="A1780" i="1"/>
  <c r="A1779" i="1"/>
  <c r="A1778" i="1"/>
  <c r="A1777" i="1"/>
  <c r="A1776" i="1"/>
  <c r="A1775" i="1"/>
  <c r="A1774" i="1"/>
  <c r="A1773" i="1"/>
  <c r="A1772" i="1"/>
  <c r="A1771" i="1"/>
  <c r="A1770" i="1"/>
  <c r="A1769" i="1"/>
  <c r="A1768" i="1"/>
  <c r="A1767" i="1"/>
  <c r="A1766" i="1"/>
  <c r="A1765" i="1"/>
  <c r="A1764" i="1"/>
  <c r="A1763" i="1"/>
  <c r="A1762" i="1"/>
  <c r="A1761" i="1"/>
  <c r="A1760" i="1"/>
  <c r="A1759" i="1"/>
  <c r="A1758" i="1"/>
  <c r="A1757" i="1"/>
  <c r="A1756" i="1"/>
  <c r="A1755" i="1"/>
  <c r="A1754" i="1"/>
  <c r="A1753" i="1"/>
  <c r="A1752" i="1"/>
  <c r="A1751" i="1"/>
  <c r="A1750" i="1"/>
  <c r="A1749" i="1"/>
  <c r="A1748" i="1"/>
  <c r="A1747" i="1"/>
  <c r="A1746" i="1"/>
  <c r="A1745" i="1"/>
  <c r="A1744" i="1"/>
  <c r="A1743" i="1"/>
  <c r="A1742" i="1"/>
  <c r="A1741" i="1"/>
  <c r="A1740" i="1"/>
  <c r="A1739" i="1"/>
  <c r="A1738" i="1"/>
  <c r="A1737" i="1"/>
  <c r="A1736" i="1"/>
  <c r="A1735" i="1"/>
  <c r="A1734" i="1"/>
  <c r="A1733" i="1"/>
  <c r="A1732" i="1"/>
  <c r="A1731" i="1"/>
  <c r="A1730" i="1"/>
  <c r="A1729" i="1"/>
  <c r="A1728" i="1"/>
  <c r="A1727" i="1"/>
  <c r="A1726" i="1"/>
  <c r="A1725" i="1"/>
  <c r="A1724" i="1"/>
  <c r="A1723" i="1"/>
  <c r="A1722" i="1"/>
  <c r="A1721" i="1"/>
  <c r="A1720" i="1"/>
  <c r="A1719" i="1"/>
  <c r="A1718" i="1"/>
  <c r="A1717" i="1"/>
  <c r="A1716" i="1"/>
  <c r="A1715" i="1"/>
  <c r="A1714" i="1"/>
  <c r="A1713" i="1"/>
  <c r="A1712" i="1"/>
  <c r="A1711" i="1"/>
  <c r="A1710" i="1"/>
  <c r="A1709" i="1"/>
  <c r="A1708" i="1"/>
  <c r="A1707" i="1"/>
  <c r="A1706" i="1"/>
  <c r="A1705" i="1"/>
  <c r="A1704" i="1"/>
  <c r="A1703" i="1"/>
  <c r="A1702" i="1"/>
  <c r="A1701" i="1"/>
  <c r="A1700" i="1"/>
  <c r="A1699" i="1"/>
  <c r="A1698" i="1"/>
  <c r="A1697" i="1"/>
  <c r="A1696" i="1"/>
  <c r="A1695" i="1"/>
  <c r="A1694" i="1"/>
  <c r="A1693" i="1"/>
  <c r="A1692" i="1"/>
  <c r="A1691" i="1"/>
  <c r="A1690" i="1"/>
  <c r="A1689" i="1"/>
  <c r="A1688" i="1"/>
  <c r="A1687" i="1"/>
  <c r="A1686" i="1"/>
  <c r="A1685" i="1"/>
  <c r="A1684" i="1"/>
  <c r="A1683" i="1"/>
  <c r="A1682" i="1"/>
  <c r="A1681" i="1"/>
  <c r="A1680" i="1"/>
  <c r="A1679" i="1"/>
  <c r="A1678" i="1"/>
  <c r="A1677" i="1"/>
  <c r="A1676" i="1"/>
  <c r="A1675" i="1"/>
  <c r="A1674" i="1"/>
  <c r="A1673" i="1"/>
  <c r="A1672" i="1"/>
  <c r="A1671" i="1"/>
  <c r="A1670" i="1"/>
  <c r="A1669" i="1"/>
  <c r="A1668" i="1"/>
  <c r="A1667" i="1"/>
  <c r="A1666" i="1"/>
  <c r="A1665" i="1"/>
  <c r="A1664" i="1"/>
  <c r="A1663" i="1"/>
  <c r="A1662" i="1"/>
  <c r="A1661" i="1"/>
  <c r="A1660" i="1"/>
  <c r="A1659" i="1"/>
  <c r="A1658" i="1"/>
  <c r="A1657" i="1"/>
  <c r="A1656" i="1"/>
  <c r="A1655" i="1"/>
  <c r="A1654" i="1"/>
  <c r="A1653" i="1"/>
  <c r="A1652" i="1"/>
  <c r="A1651" i="1"/>
  <c r="A1650" i="1"/>
  <c r="A1649" i="1"/>
  <c r="A1648" i="1"/>
  <c r="A1647" i="1"/>
  <c r="A1646" i="1"/>
  <c r="A1645" i="1"/>
  <c r="A1644" i="1"/>
  <c r="A1643" i="1"/>
  <c r="A1642" i="1"/>
  <c r="A1641" i="1"/>
  <c r="A1640" i="1"/>
  <c r="A1639" i="1"/>
  <c r="A1638" i="1"/>
  <c r="A1637" i="1"/>
  <c r="A1636" i="1"/>
  <c r="A1635" i="1"/>
  <c r="A1634" i="1"/>
  <c r="A1633" i="1"/>
  <c r="A1632" i="1"/>
  <c r="A1631" i="1"/>
  <c r="A1630" i="1"/>
  <c r="A1629" i="1"/>
  <c r="A1628" i="1"/>
  <c r="A1627" i="1"/>
  <c r="A1626" i="1"/>
  <c r="A1625" i="1"/>
  <c r="A1624" i="1"/>
  <c r="A1623" i="1"/>
  <c r="A1622" i="1"/>
  <c r="A1621" i="1"/>
  <c r="A1620" i="1"/>
  <c r="A1619" i="1"/>
  <c r="A1618" i="1"/>
  <c r="A1617" i="1"/>
  <c r="A1616" i="1"/>
  <c r="A1615" i="1"/>
  <c r="A1614" i="1"/>
  <c r="A1613" i="1"/>
  <c r="A1612" i="1"/>
  <c r="A1611" i="1"/>
  <c r="A1610" i="1"/>
  <c r="A1609" i="1"/>
  <c r="A1608" i="1"/>
  <c r="A1607" i="1"/>
  <c r="A1606" i="1"/>
  <c r="A1605" i="1"/>
  <c r="A1604" i="1"/>
  <c r="A1603" i="1"/>
  <c r="A1602" i="1"/>
  <c r="A1601" i="1"/>
  <c r="A1600" i="1"/>
  <c r="A1599" i="1"/>
  <c r="A1598" i="1"/>
  <c r="A1597" i="1"/>
  <c r="A1596" i="1"/>
  <c r="A1595" i="1"/>
  <c r="A1594" i="1"/>
  <c r="A1593" i="1"/>
  <c r="A1592" i="1"/>
  <c r="A1591" i="1"/>
  <c r="A1590" i="1"/>
  <c r="A1589" i="1"/>
  <c r="A1588" i="1"/>
  <c r="A1587" i="1"/>
  <c r="A1586" i="1"/>
  <c r="A1585" i="1"/>
  <c r="A1584" i="1"/>
  <c r="A1583" i="1"/>
  <c r="A1582" i="1"/>
  <c r="A1581" i="1"/>
  <c r="A1580" i="1"/>
  <c r="A1579" i="1"/>
  <c r="A1578" i="1"/>
  <c r="A1577" i="1"/>
  <c r="A1576" i="1"/>
  <c r="A1575" i="1"/>
  <c r="A1574" i="1"/>
  <c r="A1573" i="1"/>
  <c r="A1572" i="1"/>
  <c r="A1571" i="1"/>
  <c r="A1570" i="1"/>
  <c r="A1569" i="1"/>
  <c r="A1568" i="1"/>
  <c r="A1567" i="1"/>
  <c r="A1566" i="1"/>
  <c r="A1565" i="1"/>
  <c r="A1564" i="1"/>
  <c r="A1563" i="1"/>
  <c r="A1562" i="1"/>
  <c r="A1561" i="1"/>
  <c r="A1560" i="1"/>
  <c r="A1559" i="1"/>
  <c r="A1558" i="1"/>
  <c r="A1557" i="1"/>
  <c r="A1556" i="1"/>
  <c r="A1555" i="1"/>
  <c r="A1554" i="1"/>
  <c r="A1553" i="1"/>
  <c r="A1552" i="1"/>
  <c r="A1551" i="1"/>
  <c r="A1550" i="1"/>
  <c r="A1549" i="1"/>
  <c r="A1548" i="1"/>
  <c r="A1547" i="1"/>
  <c r="A1546" i="1"/>
  <c r="A1545" i="1"/>
  <c r="A1544" i="1"/>
  <c r="A1543" i="1"/>
  <c r="A1542" i="1"/>
  <c r="A1541" i="1"/>
  <c r="A1540" i="1"/>
  <c r="A1539" i="1"/>
  <c r="A1538" i="1"/>
  <c r="A1537" i="1"/>
  <c r="A1536" i="1"/>
  <c r="A1535" i="1"/>
  <c r="A1534" i="1"/>
  <c r="A1533" i="1"/>
  <c r="A1532" i="1"/>
  <c r="A1531" i="1"/>
  <c r="A1530" i="1"/>
  <c r="A1529" i="1"/>
  <c r="A1528" i="1"/>
  <c r="A1527" i="1"/>
  <c r="A1526" i="1"/>
  <c r="A1525" i="1"/>
  <c r="A1524" i="1"/>
  <c r="A1523" i="1"/>
  <c r="A1522" i="1"/>
  <c r="A1521" i="1"/>
  <c r="A1520" i="1"/>
  <c r="A1519" i="1"/>
  <c r="A1518" i="1"/>
  <c r="A1517" i="1"/>
  <c r="A1516" i="1"/>
  <c r="A1515" i="1"/>
  <c r="A1514" i="1"/>
  <c r="A1513" i="1"/>
  <c r="A1512" i="1"/>
  <c r="A1511" i="1"/>
  <c r="A1510" i="1"/>
  <c r="A1509" i="1"/>
  <c r="A1508" i="1"/>
  <c r="A1507" i="1"/>
  <c r="A1506" i="1"/>
  <c r="A1505" i="1"/>
  <c r="A1504" i="1"/>
  <c r="A1503" i="1"/>
  <c r="A1502" i="1"/>
  <c r="A1501" i="1"/>
  <c r="A1500" i="1"/>
  <c r="A1499" i="1"/>
  <c r="A1498" i="1"/>
  <c r="A1497" i="1"/>
  <c r="A1496" i="1"/>
  <c r="A1495" i="1"/>
  <c r="A1494" i="1"/>
  <c r="A1493" i="1"/>
  <c r="A1492" i="1"/>
  <c r="A1491" i="1"/>
  <c r="A1490" i="1"/>
  <c r="A1489" i="1"/>
  <c r="A1488" i="1"/>
  <c r="A1487" i="1"/>
  <c r="A1486" i="1"/>
  <c r="A1485" i="1"/>
  <c r="A1484" i="1"/>
  <c r="A1483" i="1"/>
  <c r="A1482" i="1"/>
  <c r="A1481" i="1"/>
  <c r="A1480" i="1"/>
  <c r="A1479" i="1"/>
  <c r="A1478" i="1"/>
  <c r="A1477" i="1"/>
  <c r="A1476" i="1"/>
  <c r="A1475" i="1"/>
  <c r="A1474" i="1"/>
  <c r="A1473" i="1"/>
  <c r="A1472" i="1"/>
  <c r="A1471" i="1"/>
  <c r="A1470" i="1"/>
  <c r="A1469" i="1"/>
  <c r="A1468" i="1"/>
  <c r="A1467" i="1"/>
  <c r="A1466" i="1"/>
  <c r="A1465" i="1"/>
  <c r="A1464" i="1"/>
  <c r="A1463" i="1"/>
  <c r="A1462" i="1"/>
  <c r="A1461" i="1"/>
  <c r="A1460" i="1"/>
  <c r="A1459" i="1"/>
  <c r="A1458" i="1"/>
  <c r="A1457" i="1"/>
  <c r="A1456" i="1"/>
  <c r="A1455" i="1"/>
  <c r="A1454" i="1"/>
  <c r="A1453" i="1"/>
  <c r="A1452" i="1"/>
  <c r="A1451" i="1"/>
  <c r="A1450" i="1"/>
  <c r="A1449" i="1"/>
  <c r="A1448" i="1"/>
  <c r="A1447" i="1"/>
  <c r="A1446" i="1"/>
  <c r="A1445" i="1"/>
  <c r="A1444" i="1"/>
  <c r="A1443" i="1"/>
  <c r="A1442" i="1"/>
  <c r="A1441" i="1"/>
  <c r="A1440" i="1"/>
  <c r="A1439" i="1"/>
  <c r="A1438" i="1"/>
  <c r="A1437" i="1"/>
  <c r="A1436" i="1"/>
  <c r="A1435" i="1"/>
  <c r="A1434" i="1"/>
  <c r="A1433" i="1"/>
  <c r="A1432" i="1"/>
  <c r="A1431" i="1"/>
  <c r="A1430" i="1"/>
  <c r="A1429" i="1"/>
  <c r="A1428" i="1"/>
  <c r="A1427" i="1"/>
  <c r="A1426" i="1"/>
  <c r="A1425" i="1"/>
  <c r="A1424" i="1"/>
  <c r="A1423" i="1"/>
  <c r="A1422" i="1"/>
  <c r="A1421" i="1"/>
  <c r="A1420" i="1"/>
  <c r="A1419" i="1"/>
  <c r="A1418" i="1"/>
  <c r="A1417" i="1"/>
  <c r="A1416" i="1"/>
  <c r="A1415" i="1"/>
  <c r="A1414" i="1"/>
  <c r="A1413" i="1"/>
  <c r="A1412" i="1"/>
  <c r="A1411" i="1"/>
  <c r="A1410" i="1"/>
  <c r="A1409" i="1"/>
  <c r="A1408" i="1"/>
  <c r="A1407" i="1"/>
  <c r="A1406" i="1"/>
  <c r="A1405" i="1"/>
  <c r="A1404" i="1"/>
  <c r="A1403" i="1"/>
  <c r="A1402" i="1"/>
  <c r="A1401" i="1"/>
  <c r="A1400" i="1"/>
  <c r="A1399" i="1"/>
  <c r="A1398" i="1"/>
  <c r="A1397" i="1"/>
  <c r="A1396" i="1"/>
  <c r="A1395" i="1"/>
  <c r="A1394" i="1"/>
  <c r="A1393" i="1"/>
  <c r="A1392" i="1"/>
  <c r="A1391" i="1"/>
  <c r="A1390" i="1"/>
  <c r="A1389" i="1"/>
  <c r="A1388" i="1"/>
  <c r="A1387" i="1"/>
  <c r="A1386" i="1"/>
  <c r="A1385" i="1"/>
  <c r="A1384" i="1"/>
  <c r="A1383" i="1"/>
  <c r="A1382" i="1"/>
  <c r="A1381" i="1"/>
  <c r="A1380" i="1"/>
  <c r="A1379" i="1"/>
  <c r="A1378" i="1"/>
  <c r="A1377" i="1"/>
  <c r="A1376" i="1"/>
  <c r="A1375" i="1"/>
  <c r="A1374" i="1"/>
  <c r="A1373" i="1"/>
  <c r="A1372" i="1"/>
  <c r="A1371" i="1"/>
  <c r="A1370" i="1"/>
  <c r="A1369" i="1"/>
  <c r="A1368" i="1"/>
  <c r="A1367" i="1"/>
  <c r="A1366" i="1"/>
  <c r="A1365" i="1"/>
  <c r="A1364" i="1"/>
  <c r="A1363" i="1"/>
  <c r="A1362" i="1"/>
  <c r="A1361" i="1"/>
  <c r="A1360" i="1"/>
  <c r="A1359" i="1"/>
  <c r="A1358" i="1"/>
  <c r="A1357" i="1"/>
  <c r="A1356" i="1"/>
  <c r="A1355" i="1"/>
  <c r="A1354" i="1"/>
  <c r="A1353" i="1"/>
  <c r="A1352" i="1"/>
  <c r="A1351" i="1"/>
  <c r="A1350" i="1"/>
  <c r="A1349" i="1"/>
  <c r="A1348" i="1"/>
  <c r="A1347" i="1"/>
  <c r="A1346" i="1"/>
  <c r="A1345" i="1"/>
  <c r="A1344" i="1"/>
  <c r="A1343" i="1"/>
  <c r="A1342" i="1"/>
  <c r="A1341" i="1"/>
  <c r="A1340" i="1"/>
  <c r="A1339" i="1"/>
  <c r="A1338" i="1"/>
  <c r="A1337" i="1"/>
  <c r="A1336" i="1"/>
  <c r="A1335" i="1"/>
  <c r="A1334" i="1"/>
  <c r="A1333" i="1"/>
  <c r="A1332" i="1"/>
  <c r="A1331" i="1"/>
  <c r="A1330" i="1"/>
  <c r="A1329" i="1"/>
  <c r="A1328" i="1"/>
  <c r="A1327" i="1"/>
  <c r="A1326" i="1"/>
  <c r="A1325" i="1"/>
  <c r="A1324" i="1"/>
  <c r="A1323" i="1"/>
  <c r="A1322" i="1"/>
  <c r="A1321" i="1"/>
  <c r="A1320" i="1"/>
  <c r="A1319" i="1"/>
  <c r="A1318" i="1"/>
  <c r="A1317" i="1"/>
  <c r="A1316" i="1"/>
  <c r="A1315" i="1"/>
  <c r="A1314" i="1"/>
  <c r="A1313" i="1"/>
  <c r="A1312" i="1"/>
  <c r="A1311" i="1"/>
  <c r="A1310" i="1"/>
  <c r="A1309" i="1"/>
  <c r="A1308" i="1"/>
  <c r="A1307" i="1"/>
  <c r="A1306" i="1"/>
  <c r="A1305" i="1"/>
  <c r="A1304" i="1"/>
  <c r="A1303" i="1"/>
  <c r="A1302" i="1"/>
  <c r="A1301" i="1"/>
  <c r="A1300" i="1"/>
  <c r="A1299" i="1"/>
  <c r="A1298" i="1"/>
  <c r="A1297" i="1"/>
  <c r="A1296" i="1"/>
  <c r="A1295" i="1"/>
  <c r="A1294" i="1"/>
  <c r="A1293" i="1"/>
  <c r="A1292" i="1"/>
  <c r="A1291" i="1"/>
  <c r="A1290" i="1"/>
  <c r="A1289" i="1"/>
  <c r="A1288" i="1"/>
  <c r="A1287" i="1"/>
  <c r="A1286" i="1"/>
  <c r="A1285" i="1"/>
  <c r="A1284" i="1"/>
  <c r="A1283" i="1"/>
  <c r="A1282" i="1"/>
  <c r="A1281" i="1"/>
  <c r="A1280" i="1"/>
  <c r="A1279" i="1"/>
  <c r="A1278" i="1"/>
  <c r="A1277" i="1"/>
  <c r="A1276" i="1"/>
  <c r="A1275" i="1"/>
  <c r="A1274" i="1"/>
  <c r="A1273" i="1"/>
  <c r="A1272" i="1"/>
  <c r="A1271" i="1"/>
  <c r="A1270" i="1"/>
  <c r="A1269" i="1"/>
  <c r="A1268" i="1"/>
  <c r="A1267" i="1"/>
  <c r="A1266" i="1"/>
  <c r="A1265" i="1"/>
  <c r="A1264" i="1"/>
  <c r="A1263" i="1"/>
  <c r="A1262" i="1"/>
  <c r="A1261" i="1"/>
  <c r="A1260" i="1"/>
  <c r="A1259" i="1"/>
  <c r="A1258" i="1"/>
  <c r="A1257" i="1"/>
  <c r="A1256" i="1"/>
  <c r="A1255" i="1"/>
  <c r="A1254" i="1"/>
  <c r="A1253" i="1"/>
  <c r="A1252" i="1"/>
  <c r="A1251" i="1"/>
  <c r="A1250" i="1"/>
  <c r="A1249" i="1"/>
  <c r="A1248" i="1"/>
  <c r="A1247" i="1"/>
  <c r="A1246" i="1"/>
  <c r="A1245" i="1"/>
  <c r="A1244" i="1"/>
  <c r="A1243" i="1"/>
  <c r="A1242" i="1"/>
  <c r="A1241" i="1"/>
  <c r="A1240" i="1"/>
  <c r="A1239" i="1"/>
  <c r="A1238" i="1"/>
  <c r="A1237" i="1"/>
  <c r="A1236" i="1"/>
  <c r="A1235" i="1"/>
  <c r="A1234" i="1"/>
  <c r="A1233" i="1"/>
  <c r="A1232" i="1"/>
  <c r="A1231" i="1"/>
  <c r="A1230" i="1"/>
  <c r="A1229" i="1"/>
  <c r="A1228" i="1"/>
  <c r="A1227" i="1"/>
  <c r="A1226" i="1"/>
  <c r="A1225" i="1"/>
  <c r="A1224" i="1"/>
  <c r="A1223" i="1"/>
  <c r="A1222" i="1"/>
  <c r="A1221" i="1"/>
  <c r="A1220" i="1"/>
  <c r="A1219" i="1"/>
  <c r="A1218" i="1"/>
  <c r="A1217" i="1"/>
  <c r="A1216" i="1"/>
  <c r="A1215" i="1"/>
  <c r="A1214" i="1"/>
  <c r="A1213" i="1"/>
  <c r="A1212" i="1"/>
  <c r="A1211" i="1"/>
  <c r="A1210" i="1"/>
  <c r="A1209" i="1"/>
  <c r="A1208" i="1"/>
  <c r="A1207" i="1"/>
  <c r="A1206" i="1"/>
  <c r="A1205" i="1"/>
  <c r="A1204" i="1"/>
  <c r="A1203" i="1"/>
  <c r="A1202" i="1"/>
  <c r="A1201" i="1"/>
  <c r="A1200" i="1"/>
  <c r="A1199" i="1"/>
  <c r="A1198" i="1"/>
  <c r="A1197" i="1"/>
  <c r="A1196" i="1"/>
  <c r="A1195" i="1"/>
  <c r="A1194" i="1"/>
  <c r="A1193" i="1"/>
  <c r="A1192" i="1"/>
  <c r="A1191" i="1"/>
  <c r="A1190" i="1"/>
  <c r="A1189" i="1"/>
  <c r="A1188" i="1"/>
  <c r="A1187" i="1"/>
  <c r="A1186" i="1"/>
  <c r="A1185" i="1"/>
  <c r="A1184" i="1"/>
  <c r="A1183" i="1"/>
  <c r="A1182" i="1"/>
  <c r="A1181" i="1"/>
  <c r="A1180" i="1"/>
  <c r="A1179" i="1"/>
  <c r="A1178" i="1"/>
  <c r="A1177" i="1"/>
  <c r="A1176" i="1"/>
  <c r="A1175" i="1"/>
  <c r="A1174" i="1"/>
  <c r="A1173" i="1"/>
  <c r="A1172" i="1"/>
  <c r="A1171" i="1"/>
  <c r="A1170" i="1"/>
  <c r="A1169" i="1"/>
  <c r="A1168" i="1"/>
  <c r="A1167" i="1"/>
  <c r="A1166" i="1"/>
  <c r="A1165" i="1"/>
  <c r="A1164" i="1"/>
  <c r="A1163" i="1"/>
  <c r="A1162" i="1"/>
  <c r="A1161" i="1"/>
  <c r="A1160" i="1"/>
  <c r="A1159" i="1"/>
  <c r="A1158" i="1"/>
  <c r="A1157" i="1"/>
  <c r="A1156" i="1"/>
  <c r="A1155" i="1"/>
  <c r="A1154" i="1"/>
  <c r="A1153" i="1"/>
  <c r="A1152" i="1"/>
  <c r="A1151" i="1"/>
  <c r="A1150" i="1"/>
  <c r="A1149" i="1"/>
  <c r="A1148" i="1"/>
  <c r="A1147" i="1"/>
  <c r="A1146" i="1"/>
  <c r="A1145" i="1"/>
  <c r="A1144" i="1"/>
  <c r="A1143" i="1"/>
  <c r="A1142" i="1"/>
  <c r="A1141" i="1"/>
  <c r="A1140" i="1"/>
  <c r="A1139" i="1"/>
  <c r="A1138" i="1"/>
  <c r="A1137" i="1"/>
  <c r="A1136" i="1"/>
  <c r="A1135" i="1"/>
  <c r="A1134" i="1"/>
  <c r="A1133" i="1"/>
  <c r="A1132" i="1"/>
  <c r="A1131" i="1"/>
  <c r="A1130" i="1"/>
  <c r="A1129" i="1"/>
  <c r="A1128" i="1"/>
  <c r="A1127" i="1"/>
  <c r="A1126" i="1"/>
  <c r="A1125" i="1"/>
  <c r="A1124" i="1"/>
  <c r="A1123" i="1"/>
  <c r="A1122" i="1"/>
  <c r="A1121" i="1"/>
  <c r="A1120" i="1"/>
  <c r="A1119" i="1"/>
  <c r="A1118" i="1"/>
  <c r="A1117" i="1"/>
  <c r="A1116" i="1"/>
  <c r="A1115" i="1"/>
  <c r="A1114" i="1"/>
  <c r="A1113" i="1"/>
  <c r="A1112" i="1"/>
  <c r="A1111" i="1"/>
  <c r="A1110" i="1"/>
  <c r="A1109" i="1"/>
  <c r="A1108" i="1"/>
  <c r="A1107" i="1"/>
  <c r="A1106" i="1"/>
  <c r="A1105" i="1"/>
  <c r="A1104" i="1"/>
  <c r="A1103" i="1"/>
  <c r="A1102" i="1"/>
  <c r="A1101" i="1"/>
  <c r="A1100" i="1"/>
  <c r="A1099" i="1"/>
  <c r="A1098" i="1"/>
  <c r="A1097" i="1"/>
  <c r="A1096" i="1"/>
  <c r="A1095" i="1"/>
  <c r="A1094" i="1"/>
  <c r="A1093" i="1"/>
  <c r="A1092" i="1"/>
  <c r="A1091" i="1"/>
  <c r="A1090" i="1"/>
  <c r="A1089" i="1"/>
  <c r="A1088" i="1"/>
  <c r="A1087" i="1"/>
  <c r="A1086" i="1"/>
  <c r="A1085" i="1"/>
  <c r="A1084" i="1"/>
  <c r="A1083" i="1"/>
  <c r="A1082" i="1"/>
  <c r="A1081" i="1"/>
  <c r="A1080" i="1"/>
  <c r="A1079" i="1"/>
  <c r="A1078" i="1"/>
  <c r="A1077" i="1"/>
  <c r="A1076" i="1"/>
  <c r="A1075" i="1"/>
  <c r="A1074" i="1"/>
  <c r="A1073" i="1"/>
  <c r="A1072" i="1"/>
  <c r="A1071" i="1"/>
  <c r="A1070" i="1"/>
  <c r="A1069" i="1"/>
  <c r="A1068" i="1"/>
  <c r="A1067" i="1"/>
  <c r="A1066" i="1"/>
  <c r="A1065" i="1"/>
  <c r="A1064" i="1"/>
  <c r="A1063" i="1"/>
  <c r="A1062" i="1"/>
  <c r="A1061" i="1"/>
  <c r="A1060" i="1"/>
  <c r="A1059" i="1"/>
  <c r="A1058" i="1"/>
  <c r="A1057" i="1"/>
  <c r="A1056" i="1"/>
  <c r="A1055" i="1"/>
  <c r="A1054" i="1"/>
  <c r="A1053" i="1"/>
  <c r="A1052" i="1"/>
  <c r="A1051" i="1"/>
  <c r="A1050" i="1"/>
  <c r="A1049" i="1"/>
  <c r="A1048" i="1"/>
  <c r="A1047" i="1"/>
  <c r="A1046" i="1"/>
  <c r="A1045" i="1"/>
  <c r="A1044" i="1"/>
  <c r="A1043" i="1"/>
  <c r="A1042" i="1"/>
  <c r="A1041" i="1"/>
  <c r="A1040" i="1"/>
  <c r="A1039" i="1"/>
  <c r="A1038" i="1"/>
  <c r="A1037" i="1"/>
  <c r="A1036" i="1"/>
  <c r="A1035" i="1"/>
  <c r="A1034" i="1"/>
  <c r="A1033" i="1"/>
  <c r="A1032" i="1"/>
  <c r="A1031" i="1"/>
  <c r="A1030" i="1"/>
  <c r="A1029" i="1"/>
  <c r="A1028" i="1"/>
  <c r="A1027" i="1"/>
  <c r="A1026" i="1"/>
  <c r="A1025" i="1"/>
  <c r="A1024" i="1"/>
  <c r="A1023" i="1"/>
  <c r="A1022" i="1"/>
  <c r="A1021" i="1"/>
  <c r="A1020" i="1"/>
  <c r="A1019" i="1"/>
  <c r="A1018" i="1"/>
  <c r="A1017" i="1"/>
  <c r="A1016" i="1"/>
  <c r="A1015" i="1"/>
  <c r="A1014" i="1"/>
  <c r="A1013" i="1"/>
  <c r="A1012" i="1"/>
  <c r="A1011" i="1"/>
  <c r="A1010" i="1"/>
  <c r="A1009" i="1"/>
  <c r="A1008" i="1"/>
  <c r="A1007" i="1"/>
  <c r="A1006" i="1"/>
  <c r="A1005" i="1"/>
  <c r="A1004" i="1"/>
  <c r="A1003" i="1"/>
  <c r="A1002" i="1"/>
  <c r="A1001" i="1"/>
  <c r="A1000" i="1"/>
  <c r="A999" i="1"/>
  <c r="A998" i="1"/>
  <c r="A997" i="1"/>
  <c r="A996" i="1"/>
  <c r="A995" i="1"/>
  <c r="A994" i="1"/>
  <c r="A993" i="1"/>
  <c r="A992" i="1"/>
  <c r="A991" i="1"/>
  <c r="A990" i="1"/>
  <c r="A989" i="1"/>
  <c r="A988" i="1"/>
  <c r="A987" i="1"/>
  <c r="A986" i="1"/>
  <c r="A985" i="1"/>
  <c r="A984" i="1"/>
  <c r="A983" i="1"/>
  <c r="A982" i="1"/>
  <c r="A981" i="1"/>
  <c r="A980" i="1"/>
  <c r="A979" i="1"/>
  <c r="A978" i="1"/>
  <c r="A977" i="1"/>
  <c r="A976" i="1"/>
  <c r="A975" i="1"/>
  <c r="A974" i="1"/>
  <c r="A973" i="1"/>
  <c r="A972" i="1"/>
  <c r="A971" i="1"/>
  <c r="A970" i="1"/>
  <c r="A969" i="1"/>
  <c r="A968" i="1"/>
  <c r="A967" i="1"/>
  <c r="A966" i="1"/>
  <c r="A965" i="1"/>
  <c r="A964" i="1"/>
  <c r="A963" i="1"/>
  <c r="A962" i="1"/>
  <c r="A961" i="1"/>
  <c r="A960" i="1"/>
  <c r="A959" i="1"/>
  <c r="A958" i="1"/>
  <c r="A957" i="1"/>
  <c r="A956" i="1"/>
  <c r="A955" i="1"/>
  <c r="A954" i="1"/>
  <c r="A953" i="1"/>
  <c r="A952" i="1"/>
  <c r="A951" i="1"/>
  <c r="A950" i="1"/>
  <c r="A949" i="1"/>
  <c r="A948" i="1"/>
  <c r="A947" i="1"/>
  <c r="A946" i="1"/>
  <c r="A945" i="1"/>
  <c r="A944" i="1"/>
  <c r="A943" i="1"/>
  <c r="A942" i="1"/>
  <c r="A941" i="1"/>
  <c r="A940" i="1"/>
  <c r="A939" i="1"/>
  <c r="A938" i="1"/>
  <c r="A937" i="1"/>
  <c r="A936" i="1"/>
  <c r="A935" i="1"/>
  <c r="A934" i="1"/>
  <c r="A933" i="1"/>
  <c r="A932" i="1"/>
  <c r="A931" i="1"/>
  <c r="A930" i="1"/>
  <c r="A929" i="1"/>
  <c r="A928" i="1"/>
  <c r="A927" i="1"/>
  <c r="A926" i="1"/>
  <c r="A925" i="1"/>
  <c r="A924" i="1"/>
  <c r="A923" i="1"/>
  <c r="A922" i="1"/>
  <c r="A921" i="1"/>
  <c r="A920" i="1"/>
  <c r="A919" i="1"/>
  <c r="A918" i="1"/>
  <c r="A917" i="1"/>
  <c r="A916" i="1"/>
  <c r="A915" i="1"/>
  <c r="A914" i="1"/>
  <c r="A913" i="1"/>
  <c r="A912" i="1"/>
  <c r="A911" i="1"/>
  <c r="A910" i="1"/>
  <c r="A909" i="1"/>
  <c r="A908" i="1"/>
  <c r="A907" i="1"/>
  <c r="A906" i="1"/>
  <c r="A905" i="1"/>
  <c r="A904" i="1"/>
  <c r="A903" i="1"/>
  <c r="A902" i="1"/>
  <c r="A901" i="1"/>
  <c r="A900" i="1"/>
  <c r="A899" i="1"/>
  <c r="A898" i="1"/>
  <c r="A897" i="1"/>
  <c r="A896" i="1"/>
  <c r="A895" i="1"/>
  <c r="A894" i="1"/>
  <c r="A893" i="1"/>
  <c r="A892" i="1"/>
  <c r="A891" i="1"/>
  <c r="A890" i="1"/>
  <c r="A889" i="1"/>
  <c r="A888" i="1"/>
  <c r="A887" i="1"/>
  <c r="A886" i="1"/>
  <c r="A885" i="1"/>
  <c r="A884" i="1"/>
  <c r="A883" i="1"/>
  <c r="A882" i="1"/>
  <c r="A881" i="1"/>
  <c r="A880" i="1"/>
  <c r="A879" i="1"/>
  <c r="A878" i="1"/>
  <c r="A877" i="1"/>
  <c r="A876" i="1"/>
  <c r="A875" i="1"/>
  <c r="A874" i="1"/>
  <c r="A873" i="1"/>
  <c r="A872" i="1"/>
  <c r="A871" i="1"/>
  <c r="A870" i="1"/>
  <c r="A869" i="1"/>
  <c r="A868" i="1"/>
  <c r="A867" i="1"/>
  <c r="A866" i="1"/>
  <c r="A865" i="1"/>
  <c r="A864" i="1"/>
  <c r="A863" i="1"/>
  <c r="A862" i="1"/>
  <c r="A861" i="1"/>
  <c r="A860" i="1"/>
  <c r="A859" i="1"/>
  <c r="A858" i="1"/>
  <c r="A857" i="1"/>
  <c r="A856" i="1"/>
  <c r="A855" i="1"/>
  <c r="A854" i="1"/>
  <c r="A853" i="1"/>
  <c r="A852" i="1"/>
  <c r="A851" i="1"/>
  <c r="A850" i="1"/>
  <c r="A849" i="1"/>
  <c r="A848" i="1"/>
  <c r="A847" i="1"/>
  <c r="A846" i="1"/>
  <c r="A845" i="1"/>
  <c r="A844" i="1"/>
  <c r="A843" i="1"/>
  <c r="A842" i="1"/>
  <c r="A841" i="1"/>
  <c r="A840" i="1"/>
  <c r="A839" i="1"/>
  <c r="A838" i="1"/>
  <c r="A837" i="1"/>
  <c r="A836" i="1"/>
  <c r="A835" i="1"/>
  <c r="A834" i="1"/>
  <c r="A833" i="1"/>
  <c r="A832" i="1"/>
  <c r="A831" i="1"/>
  <c r="A830" i="1"/>
  <c r="A829" i="1"/>
  <c r="A828" i="1"/>
  <c r="A827" i="1"/>
  <c r="A826" i="1"/>
  <c r="A825" i="1"/>
  <c r="A824" i="1"/>
  <c r="A823" i="1"/>
  <c r="A822" i="1"/>
  <c r="A821" i="1"/>
  <c r="A820" i="1"/>
  <c r="A819" i="1"/>
  <c r="A818" i="1"/>
  <c r="A817" i="1"/>
  <c r="A816" i="1"/>
  <c r="A815" i="1"/>
  <c r="A814" i="1"/>
  <c r="A813" i="1"/>
  <c r="A812" i="1"/>
  <c r="A811" i="1"/>
  <c r="A810" i="1"/>
  <c r="A809" i="1"/>
  <c r="A808" i="1"/>
  <c r="A807" i="1"/>
  <c r="A806" i="1"/>
  <c r="A805" i="1"/>
  <c r="A804" i="1"/>
  <c r="A803" i="1"/>
  <c r="A802" i="1"/>
  <c r="A801" i="1"/>
  <c r="A800" i="1"/>
  <c r="A799" i="1"/>
  <c r="A798" i="1"/>
  <c r="A797" i="1"/>
  <c r="A796" i="1"/>
  <c r="A795" i="1"/>
  <c r="A794" i="1"/>
  <c r="A793" i="1"/>
  <c r="A792" i="1"/>
  <c r="A791" i="1"/>
  <c r="A790" i="1"/>
  <c r="A789" i="1"/>
  <c r="A788" i="1"/>
  <c r="A787" i="1"/>
  <c r="A786" i="1"/>
  <c r="A785" i="1"/>
  <c r="A784" i="1"/>
  <c r="A783" i="1"/>
  <c r="A782" i="1"/>
  <c r="A781" i="1"/>
  <c r="A780" i="1"/>
  <c r="A779" i="1"/>
  <c r="A778" i="1"/>
  <c r="A777" i="1"/>
  <c r="A776" i="1"/>
  <c r="A775" i="1"/>
  <c r="A774" i="1"/>
  <c r="A773" i="1"/>
  <c r="A772" i="1"/>
  <c r="A771" i="1"/>
  <c r="A770" i="1"/>
  <c r="A769" i="1"/>
  <c r="A768" i="1"/>
  <c r="A767" i="1"/>
  <c r="A766" i="1"/>
  <c r="A765" i="1"/>
  <c r="A764" i="1"/>
  <c r="A763" i="1"/>
  <c r="A762" i="1"/>
  <c r="A761" i="1"/>
  <c r="A760" i="1"/>
  <c r="A759" i="1"/>
  <c r="A758" i="1"/>
  <c r="A757" i="1"/>
  <c r="A756" i="1"/>
  <c r="A755" i="1"/>
  <c r="A754" i="1"/>
  <c r="A753" i="1"/>
  <c r="A752" i="1"/>
  <c r="A751" i="1"/>
  <c r="A750" i="1"/>
  <c r="A749" i="1"/>
  <c r="A748" i="1"/>
  <c r="A747" i="1"/>
  <c r="A746" i="1"/>
  <c r="A745" i="1"/>
  <c r="A744" i="1"/>
  <c r="A743" i="1"/>
  <c r="A742" i="1"/>
  <c r="A741" i="1"/>
  <c r="A740" i="1"/>
  <c r="A739" i="1"/>
  <c r="A738" i="1"/>
  <c r="A737" i="1"/>
  <c r="A736" i="1"/>
  <c r="A735" i="1"/>
  <c r="A734" i="1"/>
  <c r="A733" i="1"/>
  <c r="A732" i="1"/>
  <c r="A731" i="1"/>
  <c r="A730" i="1"/>
  <c r="A729" i="1"/>
  <c r="A728" i="1"/>
  <c r="A727" i="1"/>
  <c r="A726" i="1"/>
  <c r="A725" i="1"/>
  <c r="A724" i="1"/>
  <c r="A723" i="1"/>
  <c r="A722" i="1"/>
  <c r="A721" i="1"/>
  <c r="A720" i="1"/>
  <c r="A719" i="1"/>
  <c r="A718" i="1"/>
  <c r="A717" i="1"/>
  <c r="A716" i="1"/>
  <c r="A715" i="1"/>
  <c r="A714" i="1"/>
  <c r="A713" i="1"/>
  <c r="A712" i="1"/>
  <c r="A711" i="1"/>
  <c r="A710" i="1"/>
  <c r="A709" i="1"/>
  <c r="A708" i="1"/>
  <c r="A707" i="1"/>
  <c r="A706" i="1"/>
  <c r="A705" i="1"/>
  <c r="A704" i="1"/>
  <c r="A703" i="1"/>
  <c r="A702" i="1"/>
  <c r="A701" i="1"/>
  <c r="A700" i="1"/>
  <c r="A699" i="1"/>
  <c r="A698" i="1"/>
  <c r="A697" i="1"/>
  <c r="A696" i="1"/>
  <c r="A695" i="1"/>
  <c r="A694" i="1"/>
  <c r="A693" i="1"/>
  <c r="A692" i="1"/>
  <c r="A691" i="1"/>
  <c r="A690" i="1"/>
  <c r="A689" i="1"/>
  <c r="A688" i="1"/>
  <c r="A687" i="1"/>
  <c r="A686" i="1"/>
  <c r="A685" i="1"/>
  <c r="A684" i="1"/>
  <c r="A683" i="1"/>
  <c r="A682" i="1"/>
  <c r="A681" i="1"/>
  <c r="A680" i="1"/>
  <c r="A679" i="1"/>
  <c r="A678" i="1"/>
  <c r="A677" i="1"/>
  <c r="A676" i="1"/>
  <c r="A675" i="1"/>
  <c r="A674" i="1"/>
  <c r="A673" i="1"/>
  <c r="A672" i="1"/>
  <c r="A671" i="1"/>
  <c r="A670" i="1"/>
  <c r="A669" i="1"/>
  <c r="A668" i="1"/>
  <c r="A667" i="1"/>
  <c r="A666" i="1"/>
  <c r="A665" i="1"/>
  <c r="A664" i="1"/>
  <c r="A663" i="1"/>
  <c r="A662" i="1"/>
  <c r="A661" i="1"/>
  <c r="A660" i="1"/>
  <c r="A659" i="1"/>
  <c r="A658" i="1"/>
  <c r="A657" i="1"/>
  <c r="A656" i="1"/>
  <c r="A655" i="1"/>
  <c r="A654" i="1"/>
  <c r="A653" i="1"/>
  <c r="A652" i="1"/>
  <c r="A651" i="1"/>
  <c r="A650" i="1"/>
  <c r="A649" i="1"/>
  <c r="A648" i="1"/>
  <c r="A647" i="1"/>
  <c r="A646" i="1"/>
  <c r="A645" i="1"/>
  <c r="A644" i="1"/>
  <c r="A643" i="1"/>
  <c r="A642" i="1"/>
  <c r="A641" i="1"/>
  <c r="A640" i="1"/>
  <c r="A639" i="1"/>
  <c r="A638" i="1"/>
  <c r="A637" i="1"/>
  <c r="A636" i="1"/>
  <c r="A635" i="1"/>
  <c r="A634" i="1"/>
  <c r="A633" i="1"/>
  <c r="A632" i="1"/>
  <c r="A631" i="1"/>
  <c r="A630" i="1"/>
  <c r="A629" i="1"/>
  <c r="A628" i="1"/>
  <c r="A627" i="1"/>
  <c r="A626" i="1"/>
  <c r="A625" i="1"/>
  <c r="A624" i="1"/>
  <c r="A623" i="1"/>
  <c r="A622" i="1"/>
  <c r="A621" i="1"/>
  <c r="A620" i="1"/>
  <c r="A619" i="1"/>
  <c r="A618" i="1"/>
  <c r="A617" i="1"/>
  <c r="A616" i="1"/>
  <c r="A615" i="1"/>
  <c r="A614" i="1"/>
  <c r="A613" i="1"/>
  <c r="A612" i="1"/>
  <c r="A611" i="1"/>
  <c r="A610" i="1"/>
  <c r="A609" i="1"/>
  <c r="A608" i="1"/>
  <c r="A607" i="1"/>
  <c r="A606" i="1"/>
  <c r="A605" i="1"/>
  <c r="A604" i="1"/>
  <c r="A603" i="1"/>
  <c r="A602" i="1"/>
  <c r="A601" i="1"/>
  <c r="A600" i="1"/>
  <c r="A599" i="1"/>
  <c r="A598" i="1"/>
  <c r="A597" i="1"/>
  <c r="A596" i="1"/>
  <c r="A595" i="1"/>
  <c r="A594" i="1"/>
  <c r="A593" i="1"/>
  <c r="A592" i="1"/>
  <c r="A591" i="1"/>
  <c r="A590" i="1"/>
  <c r="A589" i="1"/>
  <c r="A588" i="1"/>
  <c r="A587" i="1"/>
  <c r="A586" i="1"/>
  <c r="A585" i="1"/>
  <c r="A584" i="1"/>
  <c r="A583" i="1"/>
  <c r="A582" i="1"/>
  <c r="A581" i="1"/>
  <c r="A580" i="1"/>
  <c r="A579" i="1"/>
  <c r="A578" i="1"/>
  <c r="A577" i="1"/>
  <c r="A576" i="1"/>
  <c r="A575" i="1"/>
  <c r="A574" i="1"/>
  <c r="A573" i="1"/>
  <c r="A572" i="1"/>
  <c r="A571" i="1"/>
  <c r="A570" i="1"/>
  <c r="A569" i="1"/>
  <c r="A568" i="1"/>
  <c r="A567" i="1"/>
  <c r="A566" i="1"/>
  <c r="A565" i="1"/>
  <c r="A564" i="1"/>
  <c r="A563" i="1"/>
  <c r="A562" i="1"/>
  <c r="A561" i="1"/>
  <c r="A560" i="1"/>
  <c r="A559" i="1"/>
  <c r="A558" i="1"/>
  <c r="A557" i="1"/>
  <c r="A556" i="1"/>
  <c r="A555" i="1"/>
  <c r="A554" i="1"/>
  <c r="A553" i="1"/>
  <c r="A552" i="1"/>
  <c r="A551" i="1"/>
  <c r="A550" i="1"/>
  <c r="A549" i="1"/>
  <c r="A548" i="1"/>
  <c r="A547" i="1"/>
  <c r="A546" i="1"/>
  <c r="A545" i="1"/>
  <c r="A544" i="1"/>
  <c r="A543" i="1"/>
  <c r="A542" i="1"/>
  <c r="A541" i="1"/>
  <c r="A540" i="1"/>
  <c r="A539" i="1"/>
  <c r="A538" i="1"/>
  <c r="A537" i="1"/>
  <c r="A536" i="1"/>
  <c r="A535" i="1"/>
  <c r="A534" i="1"/>
  <c r="A533" i="1"/>
  <c r="A532" i="1"/>
  <c r="A531" i="1"/>
  <c r="A530" i="1"/>
  <c r="A529" i="1"/>
  <c r="A528" i="1"/>
  <c r="A527" i="1"/>
  <c r="A526" i="1"/>
  <c r="A525" i="1"/>
  <c r="A524" i="1"/>
  <c r="A523" i="1"/>
  <c r="A522" i="1"/>
  <c r="A521" i="1"/>
  <c r="A520" i="1"/>
  <c r="A519" i="1"/>
  <c r="A518" i="1"/>
  <c r="A517" i="1"/>
  <c r="A516" i="1"/>
  <c r="A515" i="1"/>
  <c r="A514" i="1"/>
  <c r="A513" i="1"/>
  <c r="A512" i="1"/>
  <c r="A511" i="1"/>
  <c r="A510" i="1"/>
  <c r="A509" i="1"/>
  <c r="A508" i="1"/>
  <c r="A507" i="1"/>
  <c r="A506" i="1"/>
  <c r="A505" i="1"/>
  <c r="A504" i="1"/>
  <c r="A503" i="1"/>
  <c r="A502" i="1"/>
  <c r="A501" i="1"/>
  <c r="A500" i="1"/>
  <c r="A499" i="1"/>
  <c r="A498" i="1"/>
  <c r="A497" i="1"/>
  <c r="A496" i="1"/>
  <c r="A495" i="1"/>
  <c r="A494" i="1"/>
  <c r="A493" i="1"/>
  <c r="A492" i="1"/>
  <c r="A491" i="1"/>
  <c r="A490" i="1"/>
  <c r="A489" i="1"/>
  <c r="A488" i="1"/>
  <c r="A487" i="1"/>
  <c r="A486" i="1"/>
  <c r="A485" i="1"/>
  <c r="A484" i="1"/>
  <c r="A483" i="1"/>
  <c r="A482" i="1"/>
  <c r="A481" i="1"/>
  <c r="A480" i="1"/>
  <c r="A479" i="1"/>
  <c r="A478" i="1"/>
  <c r="A477" i="1"/>
  <c r="A476" i="1"/>
  <c r="A475" i="1"/>
  <c r="A474" i="1"/>
  <c r="A473" i="1"/>
  <c r="A472" i="1"/>
  <c r="A471" i="1"/>
  <c r="A470" i="1"/>
  <c r="A469" i="1"/>
  <c r="A468" i="1"/>
  <c r="A467" i="1"/>
  <c r="A466" i="1"/>
  <c r="A465" i="1"/>
  <c r="A464" i="1"/>
  <c r="A463" i="1"/>
  <c r="A462" i="1"/>
  <c r="A461" i="1"/>
  <c r="A460" i="1"/>
  <c r="A459" i="1"/>
  <c r="A458" i="1"/>
  <c r="A457" i="1"/>
  <c r="A456" i="1"/>
  <c r="A455" i="1"/>
  <c r="A454" i="1"/>
  <c r="A453" i="1"/>
  <c r="A452" i="1"/>
  <c r="A451" i="1"/>
  <c r="A450" i="1"/>
  <c r="A449" i="1"/>
  <c r="A448" i="1"/>
  <c r="A447" i="1"/>
  <c r="A446" i="1"/>
  <c r="A445" i="1"/>
  <c r="A444" i="1"/>
  <c r="A443" i="1"/>
  <c r="A442" i="1"/>
  <c r="A441" i="1"/>
  <c r="A440" i="1"/>
  <c r="A439" i="1"/>
  <c r="A438" i="1"/>
  <c r="A437" i="1"/>
  <c r="A436" i="1"/>
  <c r="A435" i="1"/>
  <c r="A434" i="1"/>
  <c r="A433" i="1"/>
  <c r="A432" i="1"/>
  <c r="A431" i="1"/>
  <c r="A430" i="1"/>
  <c r="A429" i="1"/>
  <c r="A428" i="1"/>
  <c r="A427" i="1"/>
  <c r="A426" i="1"/>
  <c r="A425" i="1"/>
  <c r="A424" i="1"/>
  <c r="A423" i="1"/>
  <c r="A422" i="1"/>
  <c r="A421" i="1"/>
  <c r="A420" i="1"/>
  <c r="A419" i="1"/>
  <c r="A418" i="1"/>
  <c r="A417" i="1"/>
  <c r="A416" i="1"/>
  <c r="A415" i="1"/>
  <c r="A414" i="1"/>
  <c r="A413" i="1"/>
  <c r="A2" i="1"/>
  <c r="B43" i="3"/>
  <c r="B34" i="3"/>
  <c r="S3" i="3"/>
  <c r="R3" i="3"/>
  <c r="Q3" i="3"/>
  <c r="P3" i="3"/>
  <c r="O3" i="3"/>
  <c r="N3" i="3"/>
  <c r="M3" i="3"/>
  <c r="L3" i="3"/>
  <c r="C24" i="3" a="1"/>
  <c r="C26" i="3" s="1"/>
  <c r="C24" i="3"/>
  <c r="C25" i="3"/>
  <c r="C17" i="3" a="1"/>
  <c r="C17" i="3" s="1"/>
  <c r="C19" i="3"/>
  <c r="C20" i="3"/>
  <c r="C21" i="3"/>
  <c r="C10" i="3" a="1"/>
  <c r="C11" i="3" s="1"/>
  <c r="C5" i="3" a="1"/>
  <c r="C5" i="3"/>
  <c r="C6" i="3"/>
  <c r="C7" i="3"/>
  <c r="G38" i="3" l="1"/>
  <c r="C39" i="3"/>
  <c r="H38" i="3"/>
  <c r="E38" i="3"/>
  <c r="C10" i="3"/>
  <c r="F38" i="3"/>
  <c r="C18" i="3"/>
  <c r="H36" i="3"/>
  <c r="C12" i="3"/>
  <c r="E36" i="3"/>
  <c r="H37" i="3"/>
  <c r="H34" i="3"/>
  <c r="H35" i="3"/>
  <c r="E35" i="3"/>
</calcChain>
</file>

<file path=xl/sharedStrings.xml><?xml version="1.0" encoding="utf-8"?>
<sst xmlns="http://schemas.openxmlformats.org/spreadsheetml/2006/main" count="26791" uniqueCount="53">
  <si>
    <t>Date début</t>
  </si>
  <si>
    <t>Site</t>
  </si>
  <si>
    <t>Profondeur</t>
  </si>
  <si>
    <t>Famille</t>
  </si>
  <si>
    <t>Position sur plaque</t>
  </si>
  <si>
    <t>Nombre</t>
  </si>
  <si>
    <t>Observation</t>
  </si>
  <si>
    <t>Poritidae</t>
  </si>
  <si>
    <t>Dessous</t>
  </si>
  <si>
    <t>Plaque</t>
  </si>
  <si>
    <t>Pocilloporidae</t>
  </si>
  <si>
    <t>Dessus</t>
  </si>
  <si>
    <t>Cassés</t>
  </si>
  <si>
    <t>Bords</t>
  </si>
  <si>
    <t>Autres</t>
  </si>
  <si>
    <t>Somme sur Nombre</t>
  </si>
  <si>
    <t>Familles</t>
  </si>
  <si>
    <t>Acroporidae</t>
  </si>
  <si>
    <t>Positions</t>
  </si>
  <si>
    <t>Date de début</t>
  </si>
  <si>
    <t>(par ex. 09/2008 pour septembre 2008)</t>
  </si>
  <si>
    <t>Sites</t>
  </si>
  <si>
    <t>Profondeurs</t>
  </si>
  <si>
    <t>Vaipahu</t>
  </si>
  <si>
    <t>Tiahura</t>
  </si>
  <si>
    <t>Haapiti</t>
  </si>
  <si>
    <t>Recrutement Corail</t>
  </si>
  <si>
    <t/>
  </si>
  <si>
    <t>Clef</t>
  </si>
  <si>
    <t>Observation gle</t>
  </si>
  <si>
    <t>plaque absente</t>
  </si>
  <si>
    <t>Plaque absente</t>
  </si>
  <si>
    <t xml:space="preserve"> </t>
  </si>
  <si>
    <t>1 juv</t>
  </si>
  <si>
    <t>1 Juv</t>
  </si>
  <si>
    <t>Plaque absente (cassé)</t>
  </si>
  <si>
    <t>dessus</t>
  </si>
  <si>
    <t>Acroporitidae</t>
  </si>
  <si>
    <t>Column Labels</t>
  </si>
  <si>
    <t>Row Labels</t>
  </si>
  <si>
    <t>(blank)</t>
  </si>
  <si>
    <t>Grand Total</t>
  </si>
  <si>
    <t>plaque cassée</t>
  </si>
  <si>
    <t>plaqsue cassée</t>
  </si>
  <si>
    <t>plaque manquante</t>
  </si>
  <si>
    <t>PLAQUE CASSEE</t>
  </si>
  <si>
    <t>PLAQUE MANQUANTE</t>
  </si>
  <si>
    <t>absente</t>
  </si>
  <si>
    <t>,</t>
  </si>
  <si>
    <t>cassée</t>
  </si>
  <si>
    <t>abs</t>
  </si>
  <si>
    <t>pas de recrues</t>
  </si>
  <si>
    <t>marques de perroquets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</si>
</sst>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&quot;m&quot;"/>
    <numFmt numFmtId="165" formatCode="[$-40C]mmm\-yy;@"/>
  </numFmts>
  <fonts count="1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i/>
      <sz val="18"/>
      <color theme="1"/>
      <name val="Calibri"/>
      <family val="2"/>
      <scheme val="minor"/>
    </font>
    <font>
      <sz val="24"/>
      <color rgb="FFFF0000"/>
      <name val="Calibri"/>
      <family val="2"/>
      <scheme val="minor"/>
    </font>
    <font>
      <sz val="18"/>
      <color theme="9" tint="0.249977111117893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rgb="FFFFD566"/>
      <name val="Lucida Grande"/>
      <family val="2"/>
    </font>
    <font>
      <sz val="12"/>
      <color rgb="FFFF6F6F"/>
      <name val="Lucida Grande"/>
      <family val="2"/>
    </font>
    <font>
      <sz val="12"/>
      <color rgb="FF000000"/>
      <name val="Lucida Grande"/>
      <family val="2"/>
    </font>
    <font>
      <sz val="11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1"/>
      <name val="Cambria"/>
      <family val="1"/>
    </font>
  </fonts>
  <fills count="13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medium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307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75">
    <xf numFmtId="0" fontId="0" fillId="0" borderId="0" xfId="0"/>
    <xf numFmtId="17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2"/>
    </xf>
    <xf numFmtId="0" fontId="0" fillId="0" borderId="0" xfId="0" applyAlignment="1">
      <alignment horizontal="left" indent="3"/>
    </xf>
    <xf numFmtId="0" fontId="0" fillId="2" borderId="0" xfId="0" applyFill="1"/>
    <xf numFmtId="0" fontId="1" fillId="2" borderId="0" xfId="0" applyFont="1" applyFill="1"/>
    <xf numFmtId="0" fontId="1" fillId="0" borderId="0" xfId="0" applyFont="1"/>
    <xf numFmtId="0" fontId="1" fillId="3" borderId="0" xfId="0" applyFont="1" applyFill="1"/>
    <xf numFmtId="0" fontId="0" fillId="3" borderId="0" xfId="0" applyFill="1"/>
    <xf numFmtId="0" fontId="1" fillId="4" borderId="0" xfId="0" applyFont="1" applyFill="1"/>
    <xf numFmtId="0" fontId="0" fillId="4" borderId="0" xfId="0" applyFill="1"/>
    <xf numFmtId="0" fontId="1" fillId="5" borderId="0" xfId="0" applyFont="1" applyFill="1"/>
    <xf numFmtId="0" fontId="5" fillId="6" borderId="0" xfId="0" applyFont="1" applyFill="1"/>
    <xf numFmtId="0" fontId="6" fillId="6" borderId="0" xfId="0" applyFont="1" applyFill="1"/>
    <xf numFmtId="0" fontId="5" fillId="6" borderId="0" xfId="0" applyFont="1" applyFill="1" applyBorder="1"/>
    <xf numFmtId="164" fontId="0" fillId="5" borderId="0" xfId="0" applyNumberFormat="1" applyFill="1"/>
    <xf numFmtId="164" fontId="0" fillId="0" borderId="0" xfId="0" applyNumberFormat="1"/>
    <xf numFmtId="0" fontId="8" fillId="6" borderId="0" xfId="0" applyFont="1" applyFill="1"/>
    <xf numFmtId="165" fontId="8" fillId="6" borderId="0" xfId="0" applyNumberFormat="1" applyFont="1" applyFill="1"/>
    <xf numFmtId="164" fontId="8" fillId="6" borderId="0" xfId="0" applyNumberFormat="1" applyFont="1" applyFill="1"/>
    <xf numFmtId="17" fontId="9" fillId="9" borderId="6" xfId="0" applyNumberFormat="1" applyFont="1" applyFill="1" applyBorder="1" applyProtection="1">
      <protection locked="0"/>
    </xf>
    <xf numFmtId="0" fontId="9" fillId="9" borderId="6" xfId="0" applyFont="1" applyFill="1" applyBorder="1" applyProtection="1">
      <protection locked="0"/>
    </xf>
    <xf numFmtId="0" fontId="9" fillId="9" borderId="9" xfId="0" applyFont="1" applyFill="1" applyBorder="1" applyProtection="1">
      <protection locked="0"/>
    </xf>
    <xf numFmtId="164" fontId="9" fillId="9" borderId="5" xfId="0" applyNumberFormat="1" applyFont="1" applyFill="1" applyBorder="1" applyProtection="1">
      <protection locked="0"/>
    </xf>
    <xf numFmtId="0" fontId="9" fillId="10" borderId="6" xfId="0" applyFont="1" applyFill="1" applyBorder="1" applyProtection="1">
      <protection locked="0"/>
    </xf>
    <xf numFmtId="0" fontId="9" fillId="10" borderId="5" xfId="0" applyFont="1" applyFill="1" applyBorder="1" applyProtection="1">
      <protection locked="0"/>
    </xf>
    <xf numFmtId="0" fontId="9" fillId="11" borderId="5" xfId="0" applyFont="1" applyFill="1" applyBorder="1" applyProtection="1">
      <protection locked="0"/>
    </xf>
    <xf numFmtId="0" fontId="9" fillId="8" borderId="5" xfId="0" applyFont="1" applyFill="1" applyBorder="1" applyProtection="1">
      <protection locked="0"/>
    </xf>
    <xf numFmtId="0" fontId="4" fillId="9" borderId="3" xfId="0" applyFont="1" applyFill="1" applyBorder="1"/>
    <xf numFmtId="0" fontId="4" fillId="9" borderId="4" xfId="0" applyFont="1" applyFill="1" applyBorder="1"/>
    <xf numFmtId="0" fontId="4" fillId="9" borderId="7" xfId="0" applyFont="1" applyFill="1" applyBorder="1"/>
    <xf numFmtId="0" fontId="4" fillId="8" borderId="7" xfId="0" applyFont="1" applyFill="1" applyBorder="1"/>
    <xf numFmtId="0" fontId="4" fillId="10" borderId="3" xfId="0" applyFont="1" applyFill="1" applyBorder="1"/>
    <xf numFmtId="0" fontId="4" fillId="10" borderId="7" xfId="0" applyFont="1" applyFill="1" applyBorder="1"/>
    <xf numFmtId="0" fontId="4" fillId="11" borderId="7" xfId="0" applyFont="1" applyFill="1" applyBorder="1"/>
    <xf numFmtId="164" fontId="0" fillId="0" borderId="0" xfId="0" applyNumberFormat="1" applyAlignment="1">
      <alignment horizontal="left" indent="1"/>
    </xf>
    <xf numFmtId="17" fontId="0" fillId="0" borderId="0" xfId="0" applyNumberFormat="1" applyAlignment="1">
      <alignment horizontal="left"/>
    </xf>
    <xf numFmtId="0" fontId="5" fillId="6" borderId="3" xfId="0" applyFont="1" applyFill="1" applyBorder="1" applyAlignment="1">
      <alignment horizontal="right"/>
    </xf>
    <xf numFmtId="0" fontId="5" fillId="6" borderId="3" xfId="0" applyFont="1" applyFill="1" applyBorder="1"/>
    <xf numFmtId="0" fontId="5" fillId="6" borderId="10" xfId="0" applyFont="1" applyFill="1" applyBorder="1"/>
    <xf numFmtId="0" fontId="5" fillId="6" borderId="11" xfId="0" applyFont="1" applyFill="1" applyBorder="1"/>
    <xf numFmtId="0" fontId="5" fillId="6" borderId="12" xfId="0" applyFont="1" applyFill="1" applyBorder="1"/>
    <xf numFmtId="0" fontId="5" fillId="12" borderId="3" xfId="0" applyFont="1" applyFill="1" applyBorder="1" applyAlignment="1" applyProtection="1">
      <alignment horizontal="center"/>
    </xf>
    <xf numFmtId="0" fontId="5" fillId="10" borderId="3" xfId="0" applyFont="1" applyFill="1" applyBorder="1"/>
    <xf numFmtId="0" fontId="5" fillId="10" borderId="3" xfId="0" applyFont="1" applyFill="1" applyBorder="1" applyAlignment="1">
      <alignment horizontal="right"/>
    </xf>
    <xf numFmtId="0" fontId="5" fillId="11" borderId="3" xfId="0" applyFont="1" applyFill="1" applyBorder="1"/>
    <xf numFmtId="0" fontId="5" fillId="8" borderId="3" xfId="0" applyFont="1" applyFill="1" applyBorder="1" applyAlignment="1">
      <alignment horizontal="right"/>
    </xf>
    <xf numFmtId="0" fontId="5" fillId="12" borderId="3" xfId="0" applyFont="1" applyFill="1" applyBorder="1" applyAlignment="1" applyProtection="1">
      <alignment horizontal="left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15" xfId="0" applyFont="1" applyBorder="1" applyAlignment="1" applyProtection="1">
      <alignment horizontal="center" vertical="center"/>
      <protection locked="0"/>
    </xf>
    <xf numFmtId="0" fontId="13" fillId="0" borderId="12" xfId="0" applyFont="1" applyBorder="1" applyAlignment="1" applyProtection="1">
      <alignment vertical="center"/>
      <protection locked="0"/>
    </xf>
    <xf numFmtId="0" fontId="13" fillId="0" borderId="15" xfId="0" applyFont="1" applyBorder="1" applyAlignment="1" applyProtection="1">
      <alignment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14" fillId="0" borderId="0" xfId="0" applyFont="1" applyProtection="1">
      <protection locked="0"/>
    </xf>
    <xf numFmtId="0" fontId="0" fillId="7" borderId="0" xfId="0" applyFill="1"/>
    <xf numFmtId="17" fontId="0" fillId="7" borderId="0" xfId="0" applyNumberFormat="1" applyFill="1"/>
    <xf numFmtId="164" fontId="0" fillId="7" borderId="0" xfId="0" applyNumberFormat="1" applyFill="1"/>
    <xf numFmtId="17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7" fontId="14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7" fillId="7" borderId="1" xfId="0" applyFont="1" applyFill="1" applyBorder="1" applyAlignment="1">
      <alignment horizontal="center"/>
    </xf>
    <xf numFmtId="0" fontId="7" fillId="7" borderId="2" xfId="0" applyFont="1" applyFill="1" applyBorder="1" applyAlignment="1">
      <alignment horizontal="center"/>
    </xf>
    <xf numFmtId="0" fontId="7" fillId="7" borderId="8" xfId="0" applyFont="1" applyFill="1" applyBorder="1" applyAlignment="1">
      <alignment horizontal="center"/>
    </xf>
    <xf numFmtId="0" fontId="5" fillId="12" borderId="10" xfId="0" applyFont="1" applyFill="1" applyBorder="1" applyAlignment="1">
      <alignment horizontal="left"/>
    </xf>
    <xf numFmtId="0" fontId="5" fillId="12" borderId="13" xfId="0" applyFont="1" applyFill="1" applyBorder="1" applyAlignment="1">
      <alignment horizontal="left"/>
    </xf>
    <xf numFmtId="0" fontId="5" fillId="12" borderId="12" xfId="0" applyFont="1" applyFill="1" applyBorder="1" applyAlignment="1">
      <alignment horizontal="left"/>
    </xf>
    <xf numFmtId="0" fontId="5" fillId="12" borderId="10" xfId="0" applyFont="1" applyFill="1" applyBorder="1" applyAlignment="1" applyProtection="1">
      <alignment horizontal="left"/>
      <protection locked="0"/>
    </xf>
    <xf numFmtId="0" fontId="5" fillId="12" borderId="13" xfId="0" applyFont="1" applyFill="1" applyBorder="1" applyAlignment="1" applyProtection="1">
      <alignment horizontal="left"/>
      <protection locked="0"/>
    </xf>
    <xf numFmtId="0" fontId="5" fillId="12" borderId="12" xfId="0" applyFont="1" applyFill="1" applyBorder="1" applyAlignment="1" applyProtection="1">
      <alignment horizontal="left"/>
      <protection locked="0"/>
    </xf>
  </cellXfs>
  <cellStyles count="3307">
    <cellStyle name="Lien hypertexte" xfId="1" builtinId="8" hidden="1"/>
    <cellStyle name="Lien hypertexte" xfId="3" builtinId="8" hidden="1"/>
    <cellStyle name="Lien hypertexte" xfId="5" builtinId="8" hidden="1"/>
    <cellStyle name="Lien hypertexte" xfId="7" builtinId="8" hidden="1"/>
    <cellStyle name="Lien hypertexte" xfId="9" builtinId="8" hidden="1"/>
    <cellStyle name="Lien hypertexte" xfId="11" builtinId="8" hidden="1"/>
    <cellStyle name="Lien hypertexte" xfId="13" builtinId="8" hidden="1"/>
    <cellStyle name="Lien hypertexte" xfId="15" builtinId="8" hidden="1"/>
    <cellStyle name="Lien hypertexte" xfId="17" builtinId="8" hidden="1"/>
    <cellStyle name="Lien hypertexte" xfId="19" builtinId="8" hidden="1"/>
    <cellStyle name="Lien hypertexte" xfId="21" builtinId="8" hidden="1"/>
    <cellStyle name="Lien hypertexte" xfId="23" builtinId="8" hidden="1"/>
    <cellStyle name="Lien hypertexte" xfId="25" builtinId="8" hidden="1"/>
    <cellStyle name="Lien hypertexte" xfId="27" builtinId="8" hidden="1"/>
    <cellStyle name="Lien hypertexte" xfId="29" builtinId="8" hidden="1"/>
    <cellStyle name="Lien hypertexte" xfId="31" builtinId="8" hidden="1"/>
    <cellStyle name="Lien hypertexte" xfId="33" builtinId="8" hidden="1"/>
    <cellStyle name="Lien hypertexte" xfId="35" builtinId="8" hidden="1"/>
    <cellStyle name="Lien hypertexte" xfId="37" builtinId="8" hidden="1"/>
    <cellStyle name="Lien hypertexte" xfId="39" builtinId="8" hidden="1"/>
    <cellStyle name="Lien hypertexte" xfId="41" builtinId="8" hidden="1"/>
    <cellStyle name="Lien hypertexte" xfId="43" builtinId="8" hidden="1"/>
    <cellStyle name="Lien hypertexte" xfId="45" builtinId="8" hidden="1"/>
    <cellStyle name="Lien hypertexte" xfId="47" builtinId="8" hidden="1"/>
    <cellStyle name="Lien hypertexte" xfId="49" builtinId="8" hidden="1"/>
    <cellStyle name="Lien hypertexte" xfId="51" builtinId="8" hidden="1"/>
    <cellStyle name="Lien hypertexte" xfId="53" builtinId="8" hidden="1"/>
    <cellStyle name="Lien hypertexte" xfId="55" builtinId="8" hidden="1"/>
    <cellStyle name="Lien hypertexte" xfId="57" builtinId="8" hidden="1"/>
    <cellStyle name="Lien hypertexte" xfId="59" builtinId="8" hidden="1"/>
    <cellStyle name="Lien hypertexte" xfId="61" builtinId="8" hidden="1"/>
    <cellStyle name="Lien hypertexte" xfId="63" builtinId="8" hidden="1"/>
    <cellStyle name="Lien hypertexte" xfId="65" builtinId="8" hidden="1"/>
    <cellStyle name="Lien hypertexte" xfId="67" builtinId="8" hidden="1"/>
    <cellStyle name="Lien hypertexte" xfId="69" builtinId="8" hidden="1"/>
    <cellStyle name="Lien hypertexte" xfId="71" builtinId="8" hidden="1"/>
    <cellStyle name="Lien hypertexte" xfId="73" builtinId="8" hidden="1"/>
    <cellStyle name="Lien hypertexte" xfId="75" builtinId="8" hidden="1"/>
    <cellStyle name="Lien hypertexte" xfId="77" builtinId="8" hidden="1"/>
    <cellStyle name="Lien hypertexte" xfId="79" builtinId="8" hidden="1"/>
    <cellStyle name="Lien hypertexte" xfId="81" builtinId="8" hidden="1"/>
    <cellStyle name="Lien hypertexte" xfId="83" builtinId="8" hidden="1"/>
    <cellStyle name="Lien hypertexte" xfId="85" builtinId="8" hidden="1"/>
    <cellStyle name="Lien hypertexte" xfId="87" builtinId="8" hidden="1"/>
    <cellStyle name="Lien hypertexte" xfId="89" builtinId="8" hidden="1"/>
    <cellStyle name="Lien hypertexte" xfId="91" builtinId="8" hidden="1"/>
    <cellStyle name="Lien hypertexte" xfId="93" builtinId="8" hidden="1"/>
    <cellStyle name="Lien hypertexte" xfId="95" builtinId="8" hidden="1"/>
    <cellStyle name="Lien hypertexte" xfId="97" builtinId="8" hidden="1"/>
    <cellStyle name="Lien hypertexte" xfId="99" builtinId="8" hidden="1"/>
    <cellStyle name="Lien hypertexte" xfId="101" builtinId="8" hidden="1"/>
    <cellStyle name="Lien hypertexte" xfId="103" builtinId="8" hidden="1"/>
    <cellStyle name="Lien hypertexte" xfId="105" builtinId="8" hidden="1"/>
    <cellStyle name="Lien hypertexte" xfId="107" builtinId="8" hidden="1"/>
    <cellStyle name="Lien hypertexte" xfId="109" builtinId="8" hidden="1"/>
    <cellStyle name="Lien hypertexte" xfId="111" builtinId="8" hidden="1"/>
    <cellStyle name="Lien hypertexte" xfId="113" builtinId="8" hidden="1"/>
    <cellStyle name="Lien hypertexte" xfId="115" builtinId="8" hidden="1"/>
    <cellStyle name="Lien hypertexte" xfId="117" builtinId="8" hidden="1"/>
    <cellStyle name="Lien hypertexte" xfId="119" builtinId="8" hidden="1"/>
    <cellStyle name="Lien hypertexte" xfId="121" builtinId="8" hidden="1"/>
    <cellStyle name="Lien hypertexte" xfId="123" builtinId="8" hidden="1"/>
    <cellStyle name="Lien hypertexte" xfId="125" builtinId="8" hidden="1"/>
    <cellStyle name="Lien hypertexte" xfId="127" builtinId="8" hidden="1"/>
    <cellStyle name="Lien hypertexte" xfId="129" builtinId="8" hidden="1"/>
    <cellStyle name="Lien hypertexte" xfId="131" builtinId="8" hidden="1"/>
    <cellStyle name="Lien hypertexte" xfId="133" builtinId="8" hidden="1"/>
    <cellStyle name="Lien hypertexte" xfId="135" builtinId="8" hidden="1"/>
    <cellStyle name="Lien hypertexte" xfId="137" builtinId="8" hidden="1"/>
    <cellStyle name="Lien hypertexte" xfId="139" builtinId="8" hidden="1"/>
    <cellStyle name="Lien hypertexte" xfId="141" builtinId="8" hidden="1"/>
    <cellStyle name="Lien hypertexte" xfId="143" builtinId="8" hidden="1"/>
    <cellStyle name="Lien hypertexte" xfId="145" builtinId="8" hidden="1"/>
    <cellStyle name="Lien hypertexte" xfId="147" builtinId="8" hidden="1"/>
    <cellStyle name="Lien hypertexte" xfId="149" builtinId="8" hidden="1"/>
    <cellStyle name="Lien hypertexte" xfId="151" builtinId="8" hidden="1"/>
    <cellStyle name="Lien hypertexte" xfId="153" builtinId="8" hidden="1"/>
    <cellStyle name="Lien hypertexte" xfId="155" builtinId="8" hidden="1"/>
    <cellStyle name="Lien hypertexte" xfId="157" builtinId="8" hidden="1"/>
    <cellStyle name="Lien hypertexte" xfId="159" builtinId="8" hidden="1"/>
    <cellStyle name="Lien hypertexte" xfId="161" builtinId="8" hidden="1"/>
    <cellStyle name="Lien hypertexte" xfId="163" builtinId="8" hidden="1"/>
    <cellStyle name="Lien hypertexte" xfId="165" builtinId="8" hidden="1"/>
    <cellStyle name="Lien hypertexte" xfId="167" builtinId="8" hidden="1"/>
    <cellStyle name="Lien hypertexte" xfId="169" builtinId="8" hidden="1"/>
    <cellStyle name="Lien hypertexte" xfId="171" builtinId="8" hidden="1"/>
    <cellStyle name="Lien hypertexte" xfId="173" builtinId="8" hidden="1"/>
    <cellStyle name="Lien hypertexte" xfId="175" builtinId="8" hidden="1"/>
    <cellStyle name="Lien hypertexte" xfId="177" builtinId="8" hidden="1"/>
    <cellStyle name="Lien hypertexte" xfId="179" builtinId="8" hidden="1"/>
    <cellStyle name="Lien hypertexte" xfId="181" builtinId="8" hidden="1"/>
    <cellStyle name="Lien hypertexte" xfId="183" builtinId="8" hidden="1"/>
    <cellStyle name="Lien hypertexte" xfId="185" builtinId="8" hidden="1"/>
    <cellStyle name="Lien hypertexte" xfId="187" builtinId="8" hidden="1"/>
    <cellStyle name="Lien hypertexte" xfId="189" builtinId="8" hidden="1"/>
    <cellStyle name="Lien hypertexte" xfId="191" builtinId="8" hidden="1"/>
    <cellStyle name="Lien hypertexte" xfId="193" builtinId="8" hidden="1"/>
    <cellStyle name="Lien hypertexte" xfId="195" builtinId="8" hidden="1"/>
    <cellStyle name="Lien hypertexte" xfId="197" builtinId="8" hidden="1"/>
    <cellStyle name="Lien hypertexte" xfId="199" builtinId="8" hidden="1"/>
    <cellStyle name="Lien hypertexte" xfId="201" builtinId="8" hidden="1"/>
    <cellStyle name="Lien hypertexte" xfId="203" builtinId="8" hidden="1"/>
    <cellStyle name="Lien hypertexte" xfId="205" builtinId="8" hidden="1"/>
    <cellStyle name="Lien hypertexte" xfId="207" builtinId="8" hidden="1"/>
    <cellStyle name="Lien hypertexte" xfId="209" builtinId="8" hidden="1"/>
    <cellStyle name="Lien hypertexte" xfId="211" builtinId="8" hidden="1"/>
    <cellStyle name="Lien hypertexte" xfId="213" builtinId="8" hidden="1"/>
    <cellStyle name="Lien hypertexte" xfId="215" builtinId="8" hidden="1"/>
    <cellStyle name="Lien hypertexte" xfId="217" builtinId="8" hidden="1"/>
    <cellStyle name="Lien hypertexte" xfId="219" builtinId="8" hidden="1"/>
    <cellStyle name="Lien hypertexte" xfId="221" builtinId="8" hidden="1"/>
    <cellStyle name="Lien hypertexte" xfId="223" builtinId="8" hidden="1"/>
    <cellStyle name="Lien hypertexte" xfId="225" builtinId="8" hidden="1"/>
    <cellStyle name="Lien hypertexte" xfId="227" builtinId="8" hidden="1"/>
    <cellStyle name="Lien hypertexte" xfId="229" builtinId="8" hidden="1"/>
    <cellStyle name="Lien hypertexte" xfId="231" builtinId="8" hidden="1"/>
    <cellStyle name="Lien hypertexte" xfId="233" builtinId="8" hidden="1"/>
    <cellStyle name="Lien hypertexte" xfId="235" builtinId="8" hidden="1"/>
    <cellStyle name="Lien hypertexte" xfId="237" builtinId="8" hidden="1"/>
    <cellStyle name="Lien hypertexte" xfId="239" builtinId="8" hidden="1"/>
    <cellStyle name="Lien hypertexte" xfId="241" builtinId="8" hidden="1"/>
    <cellStyle name="Lien hypertexte" xfId="243" builtinId="8" hidden="1"/>
    <cellStyle name="Lien hypertexte" xfId="245" builtinId="8" hidden="1"/>
    <cellStyle name="Lien hypertexte" xfId="247" builtinId="8" hidden="1"/>
    <cellStyle name="Lien hypertexte" xfId="249" builtinId="8" hidden="1"/>
    <cellStyle name="Lien hypertexte" xfId="251" builtinId="8" hidden="1"/>
    <cellStyle name="Lien hypertexte" xfId="253" builtinId="8" hidden="1"/>
    <cellStyle name="Lien hypertexte" xfId="255" builtinId="8" hidden="1"/>
    <cellStyle name="Lien hypertexte" xfId="257" builtinId="8" hidden="1"/>
    <cellStyle name="Lien hypertexte" xfId="259" builtinId="8" hidden="1"/>
    <cellStyle name="Lien hypertexte" xfId="261" builtinId="8" hidden="1"/>
    <cellStyle name="Lien hypertexte" xfId="263" builtinId="8" hidden="1"/>
    <cellStyle name="Lien hypertexte" xfId="265" builtinId="8" hidden="1"/>
    <cellStyle name="Lien hypertexte" xfId="267" builtinId="8" hidden="1"/>
    <cellStyle name="Lien hypertexte" xfId="269" builtinId="8" hidden="1"/>
    <cellStyle name="Lien hypertexte" xfId="271" builtinId="8" hidden="1"/>
    <cellStyle name="Lien hypertexte" xfId="273" builtinId="8" hidden="1"/>
    <cellStyle name="Lien hypertexte" xfId="275" builtinId="8" hidden="1"/>
    <cellStyle name="Lien hypertexte" xfId="277" builtinId="8" hidden="1"/>
    <cellStyle name="Lien hypertexte" xfId="279" builtinId="8" hidden="1"/>
    <cellStyle name="Lien hypertexte" xfId="281" builtinId="8" hidden="1"/>
    <cellStyle name="Lien hypertexte" xfId="283" builtinId="8" hidden="1"/>
    <cellStyle name="Lien hypertexte" xfId="285" builtinId="8" hidden="1"/>
    <cellStyle name="Lien hypertexte" xfId="287" builtinId="8" hidden="1"/>
    <cellStyle name="Lien hypertexte" xfId="289" builtinId="8" hidden="1"/>
    <cellStyle name="Lien hypertexte" xfId="291" builtinId="8" hidden="1"/>
    <cellStyle name="Lien hypertexte" xfId="293" builtinId="8" hidden="1"/>
    <cellStyle name="Lien hypertexte" xfId="295" builtinId="8" hidden="1"/>
    <cellStyle name="Lien hypertexte" xfId="297" builtinId="8" hidden="1"/>
    <cellStyle name="Lien hypertexte" xfId="299" builtinId="8" hidden="1"/>
    <cellStyle name="Lien hypertexte" xfId="301" builtinId="8" hidden="1"/>
    <cellStyle name="Lien hypertexte" xfId="303" builtinId="8" hidden="1"/>
    <cellStyle name="Lien hypertexte" xfId="305" builtinId="8" hidden="1"/>
    <cellStyle name="Lien hypertexte" xfId="307" builtinId="8" hidden="1"/>
    <cellStyle name="Lien hypertexte" xfId="309" builtinId="8" hidden="1"/>
    <cellStyle name="Lien hypertexte" xfId="311" builtinId="8" hidden="1"/>
    <cellStyle name="Lien hypertexte" xfId="313" builtinId="8" hidden="1"/>
    <cellStyle name="Lien hypertexte" xfId="315" builtinId="8" hidden="1"/>
    <cellStyle name="Lien hypertexte" xfId="317" builtinId="8" hidden="1"/>
    <cellStyle name="Lien hypertexte" xfId="319" builtinId="8" hidden="1"/>
    <cellStyle name="Lien hypertexte" xfId="321" builtinId="8" hidden="1"/>
    <cellStyle name="Lien hypertexte" xfId="323" builtinId="8" hidden="1"/>
    <cellStyle name="Lien hypertexte" xfId="325" builtinId="8" hidden="1"/>
    <cellStyle name="Lien hypertexte" xfId="327" builtinId="8" hidden="1"/>
    <cellStyle name="Lien hypertexte" xfId="329" builtinId="8" hidden="1"/>
    <cellStyle name="Lien hypertexte" xfId="331" builtinId="8" hidden="1"/>
    <cellStyle name="Lien hypertexte" xfId="333" builtinId="8" hidden="1"/>
    <cellStyle name="Lien hypertexte" xfId="335" builtinId="8" hidden="1"/>
    <cellStyle name="Lien hypertexte" xfId="337" builtinId="8" hidden="1"/>
    <cellStyle name="Lien hypertexte" xfId="339" builtinId="8" hidden="1"/>
    <cellStyle name="Lien hypertexte" xfId="341" builtinId="8" hidden="1"/>
    <cellStyle name="Lien hypertexte" xfId="343" builtinId="8" hidden="1"/>
    <cellStyle name="Lien hypertexte" xfId="345" builtinId="8" hidden="1"/>
    <cellStyle name="Lien hypertexte" xfId="347" builtinId="8" hidden="1"/>
    <cellStyle name="Lien hypertexte" xfId="349" builtinId="8" hidden="1"/>
    <cellStyle name="Lien hypertexte" xfId="351" builtinId="8" hidden="1"/>
    <cellStyle name="Lien hypertexte" xfId="353" builtinId="8" hidden="1"/>
    <cellStyle name="Lien hypertexte" xfId="355" builtinId="8" hidden="1"/>
    <cellStyle name="Lien hypertexte" xfId="357" builtinId="8" hidden="1"/>
    <cellStyle name="Lien hypertexte" xfId="359" builtinId="8" hidden="1"/>
    <cellStyle name="Lien hypertexte" xfId="361" builtinId="8" hidden="1"/>
    <cellStyle name="Lien hypertexte" xfId="363" builtinId="8" hidden="1"/>
    <cellStyle name="Lien hypertexte" xfId="365" builtinId="8" hidden="1"/>
    <cellStyle name="Lien hypertexte" xfId="367" builtinId="8" hidden="1"/>
    <cellStyle name="Lien hypertexte" xfId="369" builtinId="8" hidden="1"/>
    <cellStyle name="Lien hypertexte" xfId="371" builtinId="8" hidden="1"/>
    <cellStyle name="Lien hypertexte" xfId="373" builtinId="8" hidden="1"/>
    <cellStyle name="Lien hypertexte" xfId="375" builtinId="8" hidden="1"/>
    <cellStyle name="Lien hypertexte" xfId="377" builtinId="8" hidden="1"/>
    <cellStyle name="Lien hypertexte" xfId="379" builtinId="8" hidden="1"/>
    <cellStyle name="Lien hypertexte" xfId="381" builtinId="8" hidden="1"/>
    <cellStyle name="Lien hypertexte" xfId="383" builtinId="8" hidden="1"/>
    <cellStyle name="Lien hypertexte" xfId="385" builtinId="8" hidden="1"/>
    <cellStyle name="Lien hypertexte" xfId="387" builtinId="8" hidden="1"/>
    <cellStyle name="Lien hypertexte" xfId="389" builtinId="8" hidden="1"/>
    <cellStyle name="Lien hypertexte" xfId="391" builtinId="8" hidden="1"/>
    <cellStyle name="Lien hypertexte" xfId="393" builtinId="8" hidden="1"/>
    <cellStyle name="Lien hypertexte" xfId="395" builtinId="8" hidden="1"/>
    <cellStyle name="Lien hypertexte" xfId="397" builtinId="8" hidden="1"/>
    <cellStyle name="Lien hypertexte" xfId="399" builtinId="8" hidden="1"/>
    <cellStyle name="Lien hypertexte" xfId="401" builtinId="8" hidden="1"/>
    <cellStyle name="Lien hypertexte" xfId="403" builtinId="8" hidden="1"/>
    <cellStyle name="Lien hypertexte" xfId="405" builtinId="8" hidden="1"/>
    <cellStyle name="Lien hypertexte" xfId="407" builtinId="8" hidden="1"/>
    <cellStyle name="Lien hypertexte" xfId="409" builtinId="8" hidden="1"/>
    <cellStyle name="Lien hypertexte" xfId="411" builtinId="8" hidden="1"/>
    <cellStyle name="Lien hypertexte" xfId="413" builtinId="8" hidden="1"/>
    <cellStyle name="Lien hypertexte" xfId="415" builtinId="8" hidden="1"/>
    <cellStyle name="Lien hypertexte" xfId="417" builtinId="8" hidden="1"/>
    <cellStyle name="Lien hypertexte" xfId="419" builtinId="8" hidden="1"/>
    <cellStyle name="Lien hypertexte" xfId="421" builtinId="8" hidden="1"/>
    <cellStyle name="Lien hypertexte" xfId="423" builtinId="8" hidden="1"/>
    <cellStyle name="Lien hypertexte" xfId="425" builtinId="8" hidden="1"/>
    <cellStyle name="Lien hypertexte" xfId="427" builtinId="8" hidden="1"/>
    <cellStyle name="Lien hypertexte" xfId="429" builtinId="8" hidden="1"/>
    <cellStyle name="Lien hypertexte" xfId="431" builtinId="8" hidden="1"/>
    <cellStyle name="Lien hypertexte" xfId="433" builtinId="8" hidden="1"/>
    <cellStyle name="Lien hypertexte" xfId="435" builtinId="8" hidden="1"/>
    <cellStyle name="Lien hypertexte" xfId="437" builtinId="8" hidden="1"/>
    <cellStyle name="Lien hypertexte" xfId="439" builtinId="8" hidden="1"/>
    <cellStyle name="Lien hypertexte" xfId="441" builtinId="8" hidden="1"/>
    <cellStyle name="Lien hypertexte" xfId="443" builtinId="8" hidden="1"/>
    <cellStyle name="Lien hypertexte" xfId="445" builtinId="8" hidden="1"/>
    <cellStyle name="Lien hypertexte" xfId="447" builtinId="8" hidden="1"/>
    <cellStyle name="Lien hypertexte" xfId="449" builtinId="8" hidden="1"/>
    <cellStyle name="Lien hypertexte" xfId="451" builtinId="8" hidden="1"/>
    <cellStyle name="Lien hypertexte" xfId="453" builtinId="8" hidden="1"/>
    <cellStyle name="Lien hypertexte" xfId="455" builtinId="8" hidden="1"/>
    <cellStyle name="Lien hypertexte" xfId="457" builtinId="8" hidden="1"/>
    <cellStyle name="Lien hypertexte" xfId="459" builtinId="8" hidden="1"/>
    <cellStyle name="Lien hypertexte" xfId="461" builtinId="8" hidden="1"/>
    <cellStyle name="Lien hypertexte" xfId="463" builtinId="8" hidden="1"/>
    <cellStyle name="Lien hypertexte" xfId="465" builtinId="8" hidden="1"/>
    <cellStyle name="Lien hypertexte" xfId="467" builtinId="8" hidden="1"/>
    <cellStyle name="Lien hypertexte" xfId="469" builtinId="8" hidden="1"/>
    <cellStyle name="Lien hypertexte" xfId="471" builtinId="8" hidden="1"/>
    <cellStyle name="Lien hypertexte" xfId="473" builtinId="8" hidden="1"/>
    <cellStyle name="Lien hypertexte" xfId="475" builtinId="8" hidden="1"/>
    <cellStyle name="Lien hypertexte" xfId="477" builtinId="8" hidden="1"/>
    <cellStyle name="Lien hypertexte" xfId="479" builtinId="8" hidden="1"/>
    <cellStyle name="Lien hypertexte" xfId="481" builtinId="8" hidden="1"/>
    <cellStyle name="Lien hypertexte" xfId="483" builtinId="8" hidden="1"/>
    <cellStyle name="Lien hypertexte" xfId="485" builtinId="8" hidden="1"/>
    <cellStyle name="Lien hypertexte" xfId="487" builtinId="8" hidden="1"/>
    <cellStyle name="Lien hypertexte" xfId="489" builtinId="8" hidden="1"/>
    <cellStyle name="Lien hypertexte" xfId="491" builtinId="8" hidden="1"/>
    <cellStyle name="Lien hypertexte" xfId="493" builtinId="8" hidden="1"/>
    <cellStyle name="Lien hypertexte" xfId="495" builtinId="8" hidden="1"/>
    <cellStyle name="Lien hypertexte" xfId="497" builtinId="8" hidden="1"/>
    <cellStyle name="Lien hypertexte" xfId="499" builtinId="8" hidden="1"/>
    <cellStyle name="Lien hypertexte" xfId="501" builtinId="8" hidden="1"/>
    <cellStyle name="Lien hypertexte" xfId="503" builtinId="8" hidden="1"/>
    <cellStyle name="Lien hypertexte" xfId="505" builtinId="8" hidden="1"/>
    <cellStyle name="Lien hypertexte" xfId="507" builtinId="8" hidden="1"/>
    <cellStyle name="Lien hypertexte" xfId="509" builtinId="8" hidden="1"/>
    <cellStyle name="Lien hypertexte" xfId="511" builtinId="8" hidden="1"/>
    <cellStyle name="Lien hypertexte" xfId="513" builtinId="8" hidden="1"/>
    <cellStyle name="Lien hypertexte" xfId="515" builtinId="8" hidden="1"/>
    <cellStyle name="Lien hypertexte" xfId="517" builtinId="8" hidden="1"/>
    <cellStyle name="Lien hypertexte" xfId="519" builtinId="8" hidden="1"/>
    <cellStyle name="Lien hypertexte" xfId="521" builtinId="8" hidden="1"/>
    <cellStyle name="Lien hypertexte" xfId="523" builtinId="8" hidden="1"/>
    <cellStyle name="Lien hypertexte" xfId="525" builtinId="8" hidden="1"/>
    <cellStyle name="Lien hypertexte" xfId="527" builtinId="8" hidden="1"/>
    <cellStyle name="Lien hypertexte" xfId="529" builtinId="8" hidden="1"/>
    <cellStyle name="Lien hypertexte" xfId="531" builtinId="8" hidden="1"/>
    <cellStyle name="Lien hypertexte" xfId="533" builtinId="8" hidden="1"/>
    <cellStyle name="Lien hypertexte" xfId="535" builtinId="8" hidden="1"/>
    <cellStyle name="Lien hypertexte" xfId="537" builtinId="8" hidden="1"/>
    <cellStyle name="Lien hypertexte" xfId="539" builtinId="8" hidden="1"/>
    <cellStyle name="Lien hypertexte" xfId="541" builtinId="8" hidden="1"/>
    <cellStyle name="Lien hypertexte" xfId="543" builtinId="8" hidden="1"/>
    <cellStyle name="Lien hypertexte" xfId="545" builtinId="8" hidden="1"/>
    <cellStyle name="Lien hypertexte" xfId="547" builtinId="8" hidden="1"/>
    <cellStyle name="Lien hypertexte" xfId="549" builtinId="8" hidden="1"/>
    <cellStyle name="Lien hypertexte" xfId="551" builtinId="8" hidden="1"/>
    <cellStyle name="Lien hypertexte" xfId="553" builtinId="8" hidden="1"/>
    <cellStyle name="Lien hypertexte" xfId="555" builtinId="8" hidden="1"/>
    <cellStyle name="Lien hypertexte" xfId="557" builtinId="8" hidden="1"/>
    <cellStyle name="Lien hypertexte" xfId="559" builtinId="8" hidden="1"/>
    <cellStyle name="Lien hypertexte" xfId="561" builtinId="8" hidden="1"/>
    <cellStyle name="Lien hypertexte" xfId="563" builtinId="8" hidden="1"/>
    <cellStyle name="Lien hypertexte" xfId="565" builtinId="8" hidden="1"/>
    <cellStyle name="Lien hypertexte" xfId="567" builtinId="8" hidden="1"/>
    <cellStyle name="Lien hypertexte" xfId="569" builtinId="8" hidden="1"/>
    <cellStyle name="Lien hypertexte" xfId="571" builtinId="8" hidden="1"/>
    <cellStyle name="Lien hypertexte" xfId="573" builtinId="8" hidden="1"/>
    <cellStyle name="Lien hypertexte" xfId="575" builtinId="8" hidden="1"/>
    <cellStyle name="Lien hypertexte" xfId="577" builtinId="8" hidden="1"/>
    <cellStyle name="Lien hypertexte" xfId="579" builtinId="8" hidden="1"/>
    <cellStyle name="Lien hypertexte" xfId="581" builtinId="8" hidden="1"/>
    <cellStyle name="Lien hypertexte" xfId="583" builtinId="8" hidden="1"/>
    <cellStyle name="Lien hypertexte" xfId="585" builtinId="8" hidden="1"/>
    <cellStyle name="Lien hypertexte" xfId="587" builtinId="8" hidden="1"/>
    <cellStyle name="Lien hypertexte" xfId="589" builtinId="8" hidden="1"/>
    <cellStyle name="Lien hypertexte" xfId="591" builtinId="8" hidden="1"/>
    <cellStyle name="Lien hypertexte" xfId="593" builtinId="8" hidden="1"/>
    <cellStyle name="Lien hypertexte" xfId="595" builtinId="8" hidden="1"/>
    <cellStyle name="Lien hypertexte" xfId="597" builtinId="8" hidden="1"/>
    <cellStyle name="Lien hypertexte" xfId="599" builtinId="8" hidden="1"/>
    <cellStyle name="Lien hypertexte" xfId="601" builtinId="8" hidden="1"/>
    <cellStyle name="Lien hypertexte" xfId="603" builtinId="8" hidden="1"/>
    <cellStyle name="Lien hypertexte" xfId="605" builtinId="8" hidden="1"/>
    <cellStyle name="Lien hypertexte" xfId="607" builtinId="8" hidden="1"/>
    <cellStyle name="Lien hypertexte" xfId="609" builtinId="8" hidden="1"/>
    <cellStyle name="Lien hypertexte" xfId="611" builtinId="8" hidden="1"/>
    <cellStyle name="Lien hypertexte" xfId="613" builtinId="8" hidden="1"/>
    <cellStyle name="Lien hypertexte" xfId="615" builtinId="8" hidden="1"/>
    <cellStyle name="Lien hypertexte" xfId="617" builtinId="8" hidden="1"/>
    <cellStyle name="Lien hypertexte" xfId="619" builtinId="8" hidden="1"/>
    <cellStyle name="Lien hypertexte" xfId="621" builtinId="8" hidden="1"/>
    <cellStyle name="Lien hypertexte" xfId="623" builtinId="8" hidden="1"/>
    <cellStyle name="Lien hypertexte" xfId="625" builtinId="8" hidden="1"/>
    <cellStyle name="Lien hypertexte" xfId="627" builtinId="8" hidden="1"/>
    <cellStyle name="Lien hypertexte" xfId="629" builtinId="8" hidden="1"/>
    <cellStyle name="Lien hypertexte" xfId="631" builtinId="8" hidden="1"/>
    <cellStyle name="Lien hypertexte" xfId="633" builtinId="8" hidden="1"/>
    <cellStyle name="Lien hypertexte" xfId="635" builtinId="8" hidden="1"/>
    <cellStyle name="Lien hypertexte" xfId="637" builtinId="8" hidden="1"/>
    <cellStyle name="Lien hypertexte" xfId="639" builtinId="8" hidden="1"/>
    <cellStyle name="Lien hypertexte" xfId="641" builtinId="8" hidden="1"/>
    <cellStyle name="Lien hypertexte" xfId="643" builtinId="8" hidden="1"/>
    <cellStyle name="Lien hypertexte" xfId="645" builtinId="8" hidden="1"/>
    <cellStyle name="Lien hypertexte" xfId="647" builtinId="8" hidden="1"/>
    <cellStyle name="Lien hypertexte" xfId="649" builtinId="8" hidden="1"/>
    <cellStyle name="Lien hypertexte" xfId="651" builtinId="8" hidden="1"/>
    <cellStyle name="Lien hypertexte" xfId="653" builtinId="8" hidden="1"/>
    <cellStyle name="Lien hypertexte" xfId="655" builtinId="8" hidden="1"/>
    <cellStyle name="Lien hypertexte" xfId="657" builtinId="8" hidden="1"/>
    <cellStyle name="Lien hypertexte" xfId="659" builtinId="8" hidden="1"/>
    <cellStyle name="Lien hypertexte" xfId="661" builtinId="8" hidden="1"/>
    <cellStyle name="Lien hypertexte" xfId="663" builtinId="8" hidden="1"/>
    <cellStyle name="Lien hypertexte" xfId="665" builtinId="8" hidden="1"/>
    <cellStyle name="Lien hypertexte" xfId="667" builtinId="8" hidden="1"/>
    <cellStyle name="Lien hypertexte" xfId="669" builtinId="8" hidden="1"/>
    <cellStyle name="Lien hypertexte" xfId="671" builtinId="8" hidden="1"/>
    <cellStyle name="Lien hypertexte" xfId="673" builtinId="8" hidden="1"/>
    <cellStyle name="Lien hypertexte" xfId="675" builtinId="8" hidden="1"/>
    <cellStyle name="Lien hypertexte" xfId="677" builtinId="8" hidden="1"/>
    <cellStyle name="Lien hypertexte" xfId="679" builtinId="8" hidden="1"/>
    <cellStyle name="Lien hypertexte" xfId="681" builtinId="8" hidden="1"/>
    <cellStyle name="Lien hypertexte" xfId="683" builtinId="8" hidden="1"/>
    <cellStyle name="Lien hypertexte" xfId="685" builtinId="8" hidden="1"/>
    <cellStyle name="Lien hypertexte" xfId="687" builtinId="8" hidden="1"/>
    <cellStyle name="Lien hypertexte" xfId="689" builtinId="8" hidden="1"/>
    <cellStyle name="Lien hypertexte" xfId="691" builtinId="8" hidden="1"/>
    <cellStyle name="Lien hypertexte" xfId="693" builtinId="8" hidden="1"/>
    <cellStyle name="Lien hypertexte" xfId="695" builtinId="8" hidden="1"/>
    <cellStyle name="Lien hypertexte" xfId="697" builtinId="8" hidden="1"/>
    <cellStyle name="Lien hypertexte" xfId="699" builtinId="8" hidden="1"/>
    <cellStyle name="Lien hypertexte" xfId="701" builtinId="8" hidden="1"/>
    <cellStyle name="Lien hypertexte" xfId="703" builtinId="8" hidden="1"/>
    <cellStyle name="Lien hypertexte" xfId="705" builtinId="8" hidden="1"/>
    <cellStyle name="Lien hypertexte" xfId="707" builtinId="8" hidden="1"/>
    <cellStyle name="Lien hypertexte" xfId="709" builtinId="8" hidden="1"/>
    <cellStyle name="Lien hypertexte" xfId="711" builtinId="8" hidden="1"/>
    <cellStyle name="Lien hypertexte" xfId="713" builtinId="8" hidden="1"/>
    <cellStyle name="Lien hypertexte" xfId="715" builtinId="8" hidden="1"/>
    <cellStyle name="Lien hypertexte" xfId="717" builtinId="8" hidden="1"/>
    <cellStyle name="Lien hypertexte" xfId="719" builtinId="8" hidden="1"/>
    <cellStyle name="Lien hypertexte" xfId="721" builtinId="8" hidden="1"/>
    <cellStyle name="Lien hypertexte" xfId="723" builtinId="8" hidden="1"/>
    <cellStyle name="Lien hypertexte" xfId="725" builtinId="8" hidden="1"/>
    <cellStyle name="Lien hypertexte" xfId="727" builtinId="8" hidden="1"/>
    <cellStyle name="Lien hypertexte" xfId="729" builtinId="8" hidden="1"/>
    <cellStyle name="Lien hypertexte" xfId="731" builtinId="8" hidden="1"/>
    <cellStyle name="Lien hypertexte" xfId="733" builtinId="8" hidden="1"/>
    <cellStyle name="Lien hypertexte" xfId="735" builtinId="8" hidden="1"/>
    <cellStyle name="Lien hypertexte" xfId="737" builtinId="8" hidden="1"/>
    <cellStyle name="Lien hypertexte" xfId="739" builtinId="8" hidden="1"/>
    <cellStyle name="Lien hypertexte" xfId="741" builtinId="8" hidden="1"/>
    <cellStyle name="Lien hypertexte" xfId="743" builtinId="8" hidden="1"/>
    <cellStyle name="Lien hypertexte" xfId="745" builtinId="8" hidden="1"/>
    <cellStyle name="Lien hypertexte" xfId="747" builtinId="8" hidden="1"/>
    <cellStyle name="Lien hypertexte" xfId="749" builtinId="8" hidden="1"/>
    <cellStyle name="Lien hypertexte" xfId="751" builtinId="8" hidden="1"/>
    <cellStyle name="Lien hypertexte" xfId="753" builtinId="8" hidden="1"/>
    <cellStyle name="Lien hypertexte" xfId="755" builtinId="8" hidden="1"/>
    <cellStyle name="Lien hypertexte" xfId="757" builtinId="8" hidden="1"/>
    <cellStyle name="Lien hypertexte" xfId="759" builtinId="8" hidden="1"/>
    <cellStyle name="Lien hypertexte" xfId="761" builtinId="8" hidden="1"/>
    <cellStyle name="Lien hypertexte" xfId="763" builtinId="8" hidden="1"/>
    <cellStyle name="Lien hypertexte" xfId="765" builtinId="8" hidden="1"/>
    <cellStyle name="Lien hypertexte" xfId="767" builtinId="8" hidden="1"/>
    <cellStyle name="Lien hypertexte" xfId="769" builtinId="8" hidden="1"/>
    <cellStyle name="Lien hypertexte" xfId="771" builtinId="8" hidden="1"/>
    <cellStyle name="Lien hypertexte" xfId="773" builtinId="8" hidden="1"/>
    <cellStyle name="Lien hypertexte" xfId="775" builtinId="8" hidden="1"/>
    <cellStyle name="Lien hypertexte" xfId="777" builtinId="8" hidden="1"/>
    <cellStyle name="Lien hypertexte" xfId="779" builtinId="8" hidden="1"/>
    <cellStyle name="Lien hypertexte" xfId="781" builtinId="8" hidden="1"/>
    <cellStyle name="Lien hypertexte" xfId="783" builtinId="8" hidden="1"/>
    <cellStyle name="Lien hypertexte" xfId="785" builtinId="8" hidden="1"/>
    <cellStyle name="Lien hypertexte" xfId="787" builtinId="8" hidden="1"/>
    <cellStyle name="Lien hypertexte" xfId="789" builtinId="8" hidden="1"/>
    <cellStyle name="Lien hypertexte" xfId="791" builtinId="8" hidden="1"/>
    <cellStyle name="Lien hypertexte" xfId="793" builtinId="8" hidden="1"/>
    <cellStyle name="Lien hypertexte" xfId="795" builtinId="8" hidden="1"/>
    <cellStyle name="Lien hypertexte" xfId="797" builtinId="8" hidden="1"/>
    <cellStyle name="Lien hypertexte" xfId="799" builtinId="8" hidden="1"/>
    <cellStyle name="Lien hypertexte" xfId="801" builtinId="8" hidden="1"/>
    <cellStyle name="Lien hypertexte" xfId="803" builtinId="8" hidden="1"/>
    <cellStyle name="Lien hypertexte" xfId="805" builtinId="8" hidden="1"/>
    <cellStyle name="Lien hypertexte" xfId="807" builtinId="8" hidden="1"/>
    <cellStyle name="Lien hypertexte" xfId="809" builtinId="8" hidden="1"/>
    <cellStyle name="Lien hypertexte" xfId="811" builtinId="8" hidden="1"/>
    <cellStyle name="Lien hypertexte" xfId="813" builtinId="8" hidden="1"/>
    <cellStyle name="Lien hypertexte" xfId="815" builtinId="8" hidden="1"/>
    <cellStyle name="Lien hypertexte" xfId="817" builtinId="8" hidden="1"/>
    <cellStyle name="Lien hypertexte" xfId="819" builtinId="8" hidden="1"/>
    <cellStyle name="Lien hypertexte" xfId="821" builtinId="8" hidden="1"/>
    <cellStyle name="Lien hypertexte" xfId="823" builtinId="8" hidden="1"/>
    <cellStyle name="Lien hypertexte" xfId="825" builtinId="8" hidden="1"/>
    <cellStyle name="Lien hypertexte" xfId="827" builtinId="8" hidden="1"/>
    <cellStyle name="Lien hypertexte" xfId="829" builtinId="8" hidden="1"/>
    <cellStyle name="Lien hypertexte" xfId="831" builtinId="8" hidden="1"/>
    <cellStyle name="Lien hypertexte" xfId="833" builtinId="8" hidden="1"/>
    <cellStyle name="Lien hypertexte" xfId="835" builtinId="8" hidden="1"/>
    <cellStyle name="Lien hypertexte" xfId="837" builtinId="8" hidden="1"/>
    <cellStyle name="Lien hypertexte" xfId="839" builtinId="8" hidden="1"/>
    <cellStyle name="Lien hypertexte" xfId="841" builtinId="8" hidden="1"/>
    <cellStyle name="Lien hypertexte" xfId="843" builtinId="8" hidden="1"/>
    <cellStyle name="Lien hypertexte" xfId="845" builtinId="8" hidden="1"/>
    <cellStyle name="Lien hypertexte" xfId="847" builtinId="8" hidden="1"/>
    <cellStyle name="Lien hypertexte" xfId="849" builtinId="8" hidden="1"/>
    <cellStyle name="Lien hypertexte" xfId="851" builtinId="8" hidden="1"/>
    <cellStyle name="Lien hypertexte" xfId="853" builtinId="8" hidden="1"/>
    <cellStyle name="Lien hypertexte" xfId="855" builtinId="8" hidden="1"/>
    <cellStyle name="Lien hypertexte" xfId="857" builtinId="8" hidden="1"/>
    <cellStyle name="Lien hypertexte" xfId="859" builtinId="8" hidden="1"/>
    <cellStyle name="Lien hypertexte" xfId="861" builtinId="8" hidden="1"/>
    <cellStyle name="Lien hypertexte" xfId="863" builtinId="8" hidden="1"/>
    <cellStyle name="Lien hypertexte" xfId="865" builtinId="8" hidden="1"/>
    <cellStyle name="Lien hypertexte" xfId="867" builtinId="8" hidden="1"/>
    <cellStyle name="Lien hypertexte" xfId="869" builtinId="8" hidden="1"/>
    <cellStyle name="Lien hypertexte" xfId="871" builtinId="8" hidden="1"/>
    <cellStyle name="Lien hypertexte" xfId="873" builtinId="8" hidden="1"/>
    <cellStyle name="Lien hypertexte" xfId="875" builtinId="8" hidden="1"/>
    <cellStyle name="Lien hypertexte" xfId="877" builtinId="8" hidden="1"/>
    <cellStyle name="Lien hypertexte" xfId="879" builtinId="8" hidden="1"/>
    <cellStyle name="Lien hypertexte" xfId="881" builtinId="8" hidden="1"/>
    <cellStyle name="Lien hypertexte" xfId="883" builtinId="8" hidden="1"/>
    <cellStyle name="Lien hypertexte" xfId="885" builtinId="8" hidden="1"/>
    <cellStyle name="Lien hypertexte" xfId="887" builtinId="8" hidden="1"/>
    <cellStyle name="Lien hypertexte" xfId="889" builtinId="8" hidden="1"/>
    <cellStyle name="Lien hypertexte" xfId="891" builtinId="8" hidden="1"/>
    <cellStyle name="Lien hypertexte" xfId="893" builtinId="8" hidden="1"/>
    <cellStyle name="Lien hypertexte" xfId="895" builtinId="8" hidden="1"/>
    <cellStyle name="Lien hypertexte" xfId="897" builtinId="8" hidden="1"/>
    <cellStyle name="Lien hypertexte" xfId="899" builtinId="8" hidden="1"/>
    <cellStyle name="Lien hypertexte" xfId="901" builtinId="8" hidden="1"/>
    <cellStyle name="Lien hypertexte" xfId="903" builtinId="8" hidden="1"/>
    <cellStyle name="Lien hypertexte" xfId="905" builtinId="8" hidden="1"/>
    <cellStyle name="Lien hypertexte" xfId="907" builtinId="8" hidden="1"/>
    <cellStyle name="Lien hypertexte" xfId="909" builtinId="8" hidden="1"/>
    <cellStyle name="Lien hypertexte" xfId="911" builtinId="8" hidden="1"/>
    <cellStyle name="Lien hypertexte" xfId="913" builtinId="8" hidden="1"/>
    <cellStyle name="Lien hypertexte" xfId="915" builtinId="8" hidden="1"/>
    <cellStyle name="Lien hypertexte" xfId="917" builtinId="8" hidden="1"/>
    <cellStyle name="Lien hypertexte" xfId="919" builtinId="8" hidden="1"/>
    <cellStyle name="Lien hypertexte" xfId="921" builtinId="8" hidden="1"/>
    <cellStyle name="Lien hypertexte" xfId="923" builtinId="8" hidden="1"/>
    <cellStyle name="Lien hypertexte" xfId="925" builtinId="8" hidden="1"/>
    <cellStyle name="Lien hypertexte" xfId="927" builtinId="8" hidden="1"/>
    <cellStyle name="Lien hypertexte" xfId="929" builtinId="8" hidden="1"/>
    <cellStyle name="Lien hypertexte" xfId="931" builtinId="8" hidden="1"/>
    <cellStyle name="Lien hypertexte" xfId="933" builtinId="8" hidden="1"/>
    <cellStyle name="Lien hypertexte" xfId="935" builtinId="8" hidden="1"/>
    <cellStyle name="Lien hypertexte" xfId="937" builtinId="8" hidden="1"/>
    <cellStyle name="Lien hypertexte" xfId="939" builtinId="8" hidden="1"/>
    <cellStyle name="Lien hypertexte" xfId="941" builtinId="8" hidden="1"/>
    <cellStyle name="Lien hypertexte" xfId="943" builtinId="8" hidden="1"/>
    <cellStyle name="Lien hypertexte" xfId="945" builtinId="8" hidden="1"/>
    <cellStyle name="Lien hypertexte" xfId="947" builtinId="8" hidden="1"/>
    <cellStyle name="Lien hypertexte" xfId="949" builtinId="8" hidden="1"/>
    <cellStyle name="Lien hypertexte" xfId="951" builtinId="8" hidden="1"/>
    <cellStyle name="Lien hypertexte" xfId="953" builtinId="8" hidden="1"/>
    <cellStyle name="Lien hypertexte" xfId="955" builtinId="8" hidden="1"/>
    <cellStyle name="Lien hypertexte" xfId="957" builtinId="8" hidden="1"/>
    <cellStyle name="Lien hypertexte" xfId="959" builtinId="8" hidden="1"/>
    <cellStyle name="Lien hypertexte" xfId="961" builtinId="8" hidden="1"/>
    <cellStyle name="Lien hypertexte" xfId="963" builtinId="8" hidden="1"/>
    <cellStyle name="Lien hypertexte" xfId="965" builtinId="8" hidden="1"/>
    <cellStyle name="Lien hypertexte" xfId="967" builtinId="8" hidden="1"/>
    <cellStyle name="Lien hypertexte" xfId="969" builtinId="8" hidden="1"/>
    <cellStyle name="Lien hypertexte" xfId="971" builtinId="8" hidden="1"/>
    <cellStyle name="Lien hypertexte" xfId="973" builtinId="8" hidden="1"/>
    <cellStyle name="Lien hypertexte" xfId="975" builtinId="8" hidden="1"/>
    <cellStyle name="Lien hypertexte" xfId="977" builtinId="8" hidden="1"/>
    <cellStyle name="Lien hypertexte" xfId="979" builtinId="8" hidden="1"/>
    <cellStyle name="Lien hypertexte" xfId="981" builtinId="8" hidden="1"/>
    <cellStyle name="Lien hypertexte" xfId="983" builtinId="8" hidden="1"/>
    <cellStyle name="Lien hypertexte" xfId="985" builtinId="8" hidden="1"/>
    <cellStyle name="Lien hypertexte" xfId="987" builtinId="8" hidden="1"/>
    <cellStyle name="Lien hypertexte" xfId="989" builtinId="8" hidden="1"/>
    <cellStyle name="Lien hypertexte" xfId="991" builtinId="8" hidden="1"/>
    <cellStyle name="Lien hypertexte" xfId="993" builtinId="8" hidden="1"/>
    <cellStyle name="Lien hypertexte" xfId="995" builtinId="8" hidden="1"/>
    <cellStyle name="Lien hypertexte" xfId="997" builtinId="8" hidden="1"/>
    <cellStyle name="Lien hypertexte" xfId="999" builtinId="8" hidden="1"/>
    <cellStyle name="Lien hypertexte" xfId="1001" builtinId="8" hidden="1"/>
    <cellStyle name="Lien hypertexte" xfId="1003" builtinId="8" hidden="1"/>
    <cellStyle name="Lien hypertexte" xfId="1005" builtinId="8" hidden="1"/>
    <cellStyle name="Lien hypertexte" xfId="1007" builtinId="8" hidden="1"/>
    <cellStyle name="Lien hypertexte" xfId="1009" builtinId="8" hidden="1"/>
    <cellStyle name="Lien hypertexte" xfId="1011" builtinId="8" hidden="1"/>
    <cellStyle name="Lien hypertexte" xfId="1013" builtinId="8" hidden="1"/>
    <cellStyle name="Lien hypertexte" xfId="1015" builtinId="8" hidden="1"/>
    <cellStyle name="Lien hypertexte" xfId="1017" builtinId="8" hidden="1"/>
    <cellStyle name="Lien hypertexte" xfId="1019" builtinId="8" hidden="1"/>
    <cellStyle name="Lien hypertexte" xfId="1021" builtinId="8" hidden="1"/>
    <cellStyle name="Lien hypertexte" xfId="1023" builtinId="8" hidden="1"/>
    <cellStyle name="Lien hypertexte" xfId="1025" builtinId="8" hidden="1"/>
    <cellStyle name="Lien hypertexte" xfId="1027" builtinId="8" hidden="1"/>
    <cellStyle name="Lien hypertexte" xfId="1029" builtinId="8" hidden="1"/>
    <cellStyle name="Lien hypertexte" xfId="1031" builtinId="8" hidden="1"/>
    <cellStyle name="Lien hypertexte" xfId="1033" builtinId="8" hidden="1"/>
    <cellStyle name="Lien hypertexte" xfId="1035" builtinId="8" hidden="1"/>
    <cellStyle name="Lien hypertexte" xfId="1037" builtinId="8" hidden="1"/>
    <cellStyle name="Lien hypertexte" xfId="1039" builtinId="8" hidden="1"/>
    <cellStyle name="Lien hypertexte" xfId="1041" builtinId="8" hidden="1"/>
    <cellStyle name="Lien hypertexte" xfId="1043" builtinId="8" hidden="1"/>
    <cellStyle name="Lien hypertexte" xfId="1045" builtinId="8" hidden="1"/>
    <cellStyle name="Lien hypertexte" xfId="1047" builtinId="8" hidden="1"/>
    <cellStyle name="Lien hypertexte" xfId="1049" builtinId="8" hidden="1"/>
    <cellStyle name="Lien hypertexte" xfId="1051" builtinId="8" hidden="1"/>
    <cellStyle name="Lien hypertexte" xfId="1053" builtinId="8" hidden="1"/>
    <cellStyle name="Lien hypertexte" xfId="1055" builtinId="8" hidden="1"/>
    <cellStyle name="Lien hypertexte" xfId="1057" builtinId="8" hidden="1"/>
    <cellStyle name="Lien hypertexte" xfId="1059" builtinId="8" hidden="1"/>
    <cellStyle name="Lien hypertexte" xfId="1061" builtinId="8" hidden="1"/>
    <cellStyle name="Lien hypertexte" xfId="1063" builtinId="8" hidden="1"/>
    <cellStyle name="Lien hypertexte" xfId="1065" builtinId="8" hidden="1"/>
    <cellStyle name="Lien hypertexte" xfId="1067" builtinId="8" hidden="1"/>
    <cellStyle name="Lien hypertexte" xfId="1069" builtinId="8" hidden="1"/>
    <cellStyle name="Lien hypertexte" xfId="1071" builtinId="8" hidden="1"/>
    <cellStyle name="Lien hypertexte" xfId="1073" builtinId="8" hidden="1"/>
    <cellStyle name="Lien hypertexte" xfId="1075" builtinId="8" hidden="1"/>
    <cellStyle name="Lien hypertexte" xfId="1077" builtinId="8" hidden="1"/>
    <cellStyle name="Lien hypertexte" xfId="1079" builtinId="8" hidden="1"/>
    <cellStyle name="Lien hypertexte" xfId="1081" builtinId="8" hidden="1"/>
    <cellStyle name="Lien hypertexte" xfId="1083" builtinId="8" hidden="1"/>
    <cellStyle name="Lien hypertexte" xfId="1085" builtinId="8" hidden="1"/>
    <cellStyle name="Lien hypertexte" xfId="1087" builtinId="8" hidden="1"/>
    <cellStyle name="Lien hypertexte" xfId="1089" builtinId="8" hidden="1"/>
    <cellStyle name="Lien hypertexte" xfId="1091" builtinId="8" hidden="1"/>
    <cellStyle name="Lien hypertexte" xfId="1093" builtinId="8" hidden="1"/>
    <cellStyle name="Lien hypertexte" xfId="1095" builtinId="8" hidden="1"/>
    <cellStyle name="Lien hypertexte" xfId="1097" builtinId="8" hidden="1"/>
    <cellStyle name="Lien hypertexte" xfId="1099" builtinId="8" hidden="1"/>
    <cellStyle name="Lien hypertexte" xfId="1101" builtinId="8" hidden="1"/>
    <cellStyle name="Lien hypertexte" xfId="1103" builtinId="8" hidden="1"/>
    <cellStyle name="Lien hypertexte" xfId="1105" builtinId="8" hidden="1"/>
    <cellStyle name="Lien hypertexte" xfId="1107" builtinId="8" hidden="1"/>
    <cellStyle name="Lien hypertexte" xfId="1109" builtinId="8" hidden="1"/>
    <cellStyle name="Lien hypertexte" xfId="1111" builtinId="8" hidden="1"/>
    <cellStyle name="Lien hypertexte" xfId="1113" builtinId="8" hidden="1"/>
    <cellStyle name="Lien hypertexte" xfId="1115" builtinId="8" hidden="1"/>
    <cellStyle name="Lien hypertexte" xfId="1117" builtinId="8" hidden="1"/>
    <cellStyle name="Lien hypertexte" xfId="1119" builtinId="8" hidden="1"/>
    <cellStyle name="Lien hypertexte" xfId="1121" builtinId="8" hidden="1"/>
    <cellStyle name="Lien hypertexte" xfId="1123" builtinId="8" hidden="1"/>
    <cellStyle name="Lien hypertexte" xfId="1125" builtinId="8" hidden="1"/>
    <cellStyle name="Lien hypertexte" xfId="1127" builtinId="8" hidden="1"/>
    <cellStyle name="Lien hypertexte" xfId="1129" builtinId="8" hidden="1"/>
    <cellStyle name="Lien hypertexte" xfId="1131" builtinId="8" hidden="1"/>
    <cellStyle name="Lien hypertexte" xfId="1133" builtinId="8" hidden="1"/>
    <cellStyle name="Lien hypertexte" xfId="1135" builtinId="8" hidden="1"/>
    <cellStyle name="Lien hypertexte" xfId="1137" builtinId="8" hidden="1"/>
    <cellStyle name="Lien hypertexte" xfId="1139" builtinId="8" hidden="1"/>
    <cellStyle name="Lien hypertexte" xfId="1141" builtinId="8" hidden="1"/>
    <cellStyle name="Lien hypertexte" xfId="1143" builtinId="8" hidden="1"/>
    <cellStyle name="Lien hypertexte" xfId="1145" builtinId="8" hidden="1"/>
    <cellStyle name="Lien hypertexte" xfId="1147" builtinId="8" hidden="1"/>
    <cellStyle name="Lien hypertexte" xfId="1149" builtinId="8" hidden="1"/>
    <cellStyle name="Lien hypertexte" xfId="1151" builtinId="8" hidden="1"/>
    <cellStyle name="Lien hypertexte" xfId="1153" builtinId="8" hidden="1"/>
    <cellStyle name="Lien hypertexte" xfId="1155" builtinId="8" hidden="1"/>
    <cellStyle name="Lien hypertexte" xfId="1157" builtinId="8" hidden="1"/>
    <cellStyle name="Lien hypertexte" xfId="1159" builtinId="8" hidden="1"/>
    <cellStyle name="Lien hypertexte" xfId="1161" builtinId="8" hidden="1"/>
    <cellStyle name="Lien hypertexte" xfId="1163" builtinId="8" hidden="1"/>
    <cellStyle name="Lien hypertexte" xfId="1165" builtinId="8" hidden="1"/>
    <cellStyle name="Lien hypertexte" xfId="1167" builtinId="8" hidden="1"/>
    <cellStyle name="Lien hypertexte" xfId="1169" builtinId="8" hidden="1"/>
    <cellStyle name="Lien hypertexte" xfId="1171" builtinId="8" hidden="1"/>
    <cellStyle name="Lien hypertexte" xfId="1173" builtinId="8" hidden="1"/>
    <cellStyle name="Lien hypertexte" xfId="1175" builtinId="8" hidden="1"/>
    <cellStyle name="Lien hypertexte" xfId="1177" builtinId="8" hidden="1"/>
    <cellStyle name="Lien hypertexte" xfId="1179" builtinId="8" hidden="1"/>
    <cellStyle name="Lien hypertexte" xfId="1181" builtinId="8" hidden="1"/>
    <cellStyle name="Lien hypertexte" xfId="1183" builtinId="8" hidden="1"/>
    <cellStyle name="Lien hypertexte" xfId="1185" builtinId="8" hidden="1"/>
    <cellStyle name="Lien hypertexte" xfId="1187" builtinId="8" hidden="1"/>
    <cellStyle name="Lien hypertexte" xfId="1189" builtinId="8" hidden="1"/>
    <cellStyle name="Lien hypertexte" xfId="1191" builtinId="8" hidden="1"/>
    <cellStyle name="Lien hypertexte" xfId="1193" builtinId="8" hidden="1"/>
    <cellStyle name="Lien hypertexte" xfId="1195" builtinId="8" hidden="1"/>
    <cellStyle name="Lien hypertexte" xfId="1197" builtinId="8" hidden="1"/>
    <cellStyle name="Lien hypertexte" xfId="1199" builtinId="8" hidden="1"/>
    <cellStyle name="Lien hypertexte" xfId="1201" builtinId="8" hidden="1"/>
    <cellStyle name="Lien hypertexte" xfId="1203" builtinId="8" hidden="1"/>
    <cellStyle name="Lien hypertexte" xfId="1205" builtinId="8" hidden="1"/>
    <cellStyle name="Lien hypertexte" xfId="1207" builtinId="8" hidden="1"/>
    <cellStyle name="Lien hypertexte" xfId="1209" builtinId="8" hidden="1"/>
    <cellStyle name="Lien hypertexte" xfId="1211" builtinId="8" hidden="1"/>
    <cellStyle name="Lien hypertexte" xfId="1213" builtinId="8" hidden="1"/>
    <cellStyle name="Lien hypertexte" xfId="1215" builtinId="8" hidden="1"/>
    <cellStyle name="Lien hypertexte" xfId="1217" builtinId="8" hidden="1"/>
    <cellStyle name="Lien hypertexte" xfId="1219" builtinId="8" hidden="1"/>
    <cellStyle name="Lien hypertexte" xfId="1221" builtinId="8" hidden="1"/>
    <cellStyle name="Lien hypertexte" xfId="1223" builtinId="8" hidden="1"/>
    <cellStyle name="Lien hypertexte" xfId="1225" builtinId="8" hidden="1"/>
    <cellStyle name="Lien hypertexte" xfId="1227" builtinId="8" hidden="1"/>
    <cellStyle name="Lien hypertexte" xfId="1229" builtinId="8" hidden="1"/>
    <cellStyle name="Lien hypertexte" xfId="1231" builtinId="8" hidden="1"/>
    <cellStyle name="Lien hypertexte" xfId="1233" builtinId="8" hidden="1"/>
    <cellStyle name="Lien hypertexte" xfId="1235" builtinId="8" hidden="1"/>
    <cellStyle name="Lien hypertexte" xfId="1237" builtinId="8" hidden="1"/>
    <cellStyle name="Lien hypertexte" xfId="1239" builtinId="8" hidden="1"/>
    <cellStyle name="Lien hypertexte" xfId="1241" builtinId="8" hidden="1"/>
    <cellStyle name="Lien hypertexte" xfId="1243" builtinId="8" hidden="1"/>
    <cellStyle name="Lien hypertexte" xfId="1245" builtinId="8" hidden="1"/>
    <cellStyle name="Lien hypertexte" xfId="1247" builtinId="8" hidden="1"/>
    <cellStyle name="Lien hypertexte" xfId="1249" builtinId="8" hidden="1"/>
    <cellStyle name="Lien hypertexte" xfId="1251" builtinId="8" hidden="1"/>
    <cellStyle name="Lien hypertexte" xfId="1253" builtinId="8" hidden="1"/>
    <cellStyle name="Lien hypertexte" xfId="1255" builtinId="8" hidden="1"/>
    <cellStyle name="Lien hypertexte" xfId="1257" builtinId="8" hidden="1"/>
    <cellStyle name="Lien hypertexte" xfId="1259" builtinId="8" hidden="1"/>
    <cellStyle name="Lien hypertexte" xfId="1261" builtinId="8" hidden="1"/>
    <cellStyle name="Lien hypertexte" xfId="1263" builtinId="8" hidden="1"/>
    <cellStyle name="Lien hypertexte" xfId="1265" builtinId="8" hidden="1"/>
    <cellStyle name="Lien hypertexte" xfId="1267" builtinId="8" hidden="1"/>
    <cellStyle name="Lien hypertexte" xfId="1269" builtinId="8" hidden="1"/>
    <cellStyle name="Lien hypertexte" xfId="1271" builtinId="8" hidden="1"/>
    <cellStyle name="Lien hypertexte" xfId="1273" builtinId="8" hidden="1"/>
    <cellStyle name="Lien hypertexte" xfId="1275" builtinId="8" hidden="1"/>
    <cellStyle name="Lien hypertexte" xfId="1277" builtinId="8" hidden="1"/>
    <cellStyle name="Lien hypertexte" xfId="1279" builtinId="8" hidden="1"/>
    <cellStyle name="Lien hypertexte" xfId="1281" builtinId="8" hidden="1"/>
    <cellStyle name="Lien hypertexte" xfId="1283" builtinId="8" hidden="1"/>
    <cellStyle name="Lien hypertexte" xfId="1285" builtinId="8" hidden="1"/>
    <cellStyle name="Lien hypertexte" xfId="1287" builtinId="8" hidden="1"/>
    <cellStyle name="Lien hypertexte" xfId="1289" builtinId="8" hidden="1"/>
    <cellStyle name="Lien hypertexte" xfId="1291" builtinId="8" hidden="1"/>
    <cellStyle name="Lien hypertexte" xfId="1293" builtinId="8" hidden="1"/>
    <cellStyle name="Lien hypertexte" xfId="1295" builtinId="8" hidden="1"/>
    <cellStyle name="Lien hypertexte" xfId="1297" builtinId="8" hidden="1"/>
    <cellStyle name="Lien hypertexte" xfId="1299" builtinId="8" hidden="1"/>
    <cellStyle name="Lien hypertexte" xfId="1301" builtinId="8" hidden="1"/>
    <cellStyle name="Lien hypertexte" xfId="1303" builtinId="8" hidden="1"/>
    <cellStyle name="Lien hypertexte" xfId="1305" builtinId="8" hidden="1"/>
    <cellStyle name="Lien hypertexte" xfId="1307" builtinId="8" hidden="1"/>
    <cellStyle name="Lien hypertexte" xfId="1309" builtinId="8" hidden="1"/>
    <cellStyle name="Lien hypertexte" xfId="1311" builtinId="8" hidden="1"/>
    <cellStyle name="Lien hypertexte" xfId="1313" builtinId="8" hidden="1"/>
    <cellStyle name="Lien hypertexte" xfId="1315" builtinId="8" hidden="1"/>
    <cellStyle name="Lien hypertexte" xfId="1317" builtinId="8" hidden="1"/>
    <cellStyle name="Lien hypertexte" xfId="1319" builtinId="8" hidden="1"/>
    <cellStyle name="Lien hypertexte" xfId="1321" builtinId="8" hidden="1"/>
    <cellStyle name="Lien hypertexte" xfId="1323" builtinId="8" hidden="1"/>
    <cellStyle name="Lien hypertexte" xfId="1325" builtinId="8" hidden="1"/>
    <cellStyle name="Lien hypertexte" xfId="1327" builtinId="8" hidden="1"/>
    <cellStyle name="Lien hypertexte" xfId="1329" builtinId="8" hidden="1"/>
    <cellStyle name="Lien hypertexte" xfId="1331" builtinId="8" hidden="1"/>
    <cellStyle name="Lien hypertexte" xfId="1333" builtinId="8" hidden="1"/>
    <cellStyle name="Lien hypertexte" xfId="1335" builtinId="8" hidden="1"/>
    <cellStyle name="Lien hypertexte" xfId="1337" builtinId="8" hidden="1"/>
    <cellStyle name="Lien hypertexte" xfId="1339" builtinId="8" hidden="1"/>
    <cellStyle name="Lien hypertexte" xfId="1341" builtinId="8" hidden="1"/>
    <cellStyle name="Lien hypertexte" xfId="1343" builtinId="8" hidden="1"/>
    <cellStyle name="Lien hypertexte" xfId="1345" builtinId="8" hidden="1"/>
    <cellStyle name="Lien hypertexte" xfId="1347" builtinId="8" hidden="1"/>
    <cellStyle name="Lien hypertexte" xfId="1349" builtinId="8" hidden="1"/>
    <cellStyle name="Lien hypertexte" xfId="1351" builtinId="8" hidden="1"/>
    <cellStyle name="Lien hypertexte" xfId="1353" builtinId="8" hidden="1"/>
    <cellStyle name="Lien hypertexte" xfId="1355" builtinId="8" hidden="1"/>
    <cellStyle name="Lien hypertexte" xfId="1357" builtinId="8" hidden="1"/>
    <cellStyle name="Lien hypertexte" xfId="1359" builtinId="8" hidden="1"/>
    <cellStyle name="Lien hypertexte" xfId="1361" builtinId="8" hidden="1"/>
    <cellStyle name="Lien hypertexte" xfId="1363" builtinId="8" hidden="1"/>
    <cellStyle name="Lien hypertexte" xfId="1365" builtinId="8" hidden="1"/>
    <cellStyle name="Lien hypertexte" xfId="1367" builtinId="8" hidden="1"/>
    <cellStyle name="Lien hypertexte" xfId="1369" builtinId="8" hidden="1"/>
    <cellStyle name="Lien hypertexte" xfId="1371" builtinId="8" hidden="1"/>
    <cellStyle name="Lien hypertexte" xfId="1373" builtinId="8" hidden="1"/>
    <cellStyle name="Lien hypertexte" xfId="1375" builtinId="8" hidden="1"/>
    <cellStyle name="Lien hypertexte" xfId="1377" builtinId="8" hidden="1"/>
    <cellStyle name="Lien hypertexte" xfId="1379" builtinId="8" hidden="1"/>
    <cellStyle name="Lien hypertexte" xfId="1381" builtinId="8" hidden="1"/>
    <cellStyle name="Lien hypertexte" xfId="1383" builtinId="8" hidden="1"/>
    <cellStyle name="Lien hypertexte" xfId="1385" builtinId="8" hidden="1"/>
    <cellStyle name="Lien hypertexte" xfId="1387" builtinId="8" hidden="1"/>
    <cellStyle name="Lien hypertexte" xfId="1389" builtinId="8" hidden="1"/>
    <cellStyle name="Lien hypertexte" xfId="1391" builtinId="8" hidden="1"/>
    <cellStyle name="Lien hypertexte" xfId="1393" builtinId="8" hidden="1"/>
    <cellStyle name="Lien hypertexte" xfId="1395" builtinId="8" hidden="1"/>
    <cellStyle name="Lien hypertexte" xfId="1397" builtinId="8" hidden="1"/>
    <cellStyle name="Lien hypertexte" xfId="1399" builtinId="8" hidden="1"/>
    <cellStyle name="Lien hypertexte" xfId="1401" builtinId="8" hidden="1"/>
    <cellStyle name="Lien hypertexte" xfId="1403" builtinId="8" hidden="1"/>
    <cellStyle name="Lien hypertexte" xfId="1405" builtinId="8" hidden="1"/>
    <cellStyle name="Lien hypertexte" xfId="1407" builtinId="8" hidden="1"/>
    <cellStyle name="Lien hypertexte" xfId="1409" builtinId="8" hidden="1"/>
    <cellStyle name="Lien hypertexte" xfId="1411" builtinId="8" hidden="1"/>
    <cellStyle name="Lien hypertexte" xfId="1413" builtinId="8" hidden="1"/>
    <cellStyle name="Lien hypertexte" xfId="1415" builtinId="8" hidden="1"/>
    <cellStyle name="Lien hypertexte" xfId="1417" builtinId="8" hidden="1"/>
    <cellStyle name="Lien hypertexte" xfId="1419" builtinId="8" hidden="1"/>
    <cellStyle name="Lien hypertexte" xfId="1421" builtinId="8" hidden="1"/>
    <cellStyle name="Lien hypertexte" xfId="1423" builtinId="8" hidden="1"/>
    <cellStyle name="Lien hypertexte" xfId="1425" builtinId="8" hidden="1"/>
    <cellStyle name="Lien hypertexte" xfId="1427" builtinId="8" hidden="1"/>
    <cellStyle name="Lien hypertexte" xfId="1429" builtinId="8" hidden="1"/>
    <cellStyle name="Lien hypertexte" xfId="1431" builtinId="8" hidden="1"/>
    <cellStyle name="Lien hypertexte" xfId="1433" builtinId="8" hidden="1"/>
    <cellStyle name="Lien hypertexte" xfId="1435" builtinId="8" hidden="1"/>
    <cellStyle name="Lien hypertexte" xfId="1437" builtinId="8" hidden="1"/>
    <cellStyle name="Lien hypertexte" xfId="1439" builtinId="8" hidden="1"/>
    <cellStyle name="Lien hypertexte" xfId="1441" builtinId="8" hidden="1"/>
    <cellStyle name="Lien hypertexte" xfId="1443" builtinId="8" hidden="1"/>
    <cellStyle name="Lien hypertexte" xfId="1445" builtinId="8" hidden="1"/>
    <cellStyle name="Lien hypertexte" xfId="1447" builtinId="8" hidden="1"/>
    <cellStyle name="Lien hypertexte" xfId="1449" builtinId="8" hidden="1"/>
    <cellStyle name="Lien hypertexte" xfId="1451" builtinId="8" hidden="1"/>
    <cellStyle name="Lien hypertexte" xfId="1453" builtinId="8" hidden="1"/>
    <cellStyle name="Lien hypertexte" xfId="1455" builtinId="8" hidden="1"/>
    <cellStyle name="Lien hypertexte" xfId="1457" builtinId="8" hidden="1"/>
    <cellStyle name="Lien hypertexte" xfId="1459" builtinId="8" hidden="1"/>
    <cellStyle name="Lien hypertexte" xfId="1461" builtinId="8" hidden="1"/>
    <cellStyle name="Lien hypertexte" xfId="1463" builtinId="8" hidden="1"/>
    <cellStyle name="Lien hypertexte" xfId="1465" builtinId="8" hidden="1"/>
    <cellStyle name="Lien hypertexte" xfId="1467" builtinId="8" hidden="1"/>
    <cellStyle name="Lien hypertexte" xfId="1469" builtinId="8" hidden="1"/>
    <cellStyle name="Lien hypertexte" xfId="1471" builtinId="8" hidden="1"/>
    <cellStyle name="Lien hypertexte" xfId="1473" builtinId="8" hidden="1"/>
    <cellStyle name="Lien hypertexte" xfId="1475" builtinId="8" hidden="1"/>
    <cellStyle name="Lien hypertexte" xfId="1477" builtinId="8" hidden="1"/>
    <cellStyle name="Lien hypertexte" xfId="1479" builtinId="8" hidden="1"/>
    <cellStyle name="Lien hypertexte" xfId="1481" builtinId="8" hidden="1"/>
    <cellStyle name="Lien hypertexte" xfId="1483" builtinId="8" hidden="1"/>
    <cellStyle name="Lien hypertexte" xfId="1485" builtinId="8" hidden="1"/>
    <cellStyle name="Lien hypertexte" xfId="1487" builtinId="8" hidden="1"/>
    <cellStyle name="Lien hypertexte" xfId="1489" builtinId="8" hidden="1"/>
    <cellStyle name="Lien hypertexte" xfId="1491" builtinId="8" hidden="1"/>
    <cellStyle name="Lien hypertexte" xfId="1493" builtinId="8" hidden="1"/>
    <cellStyle name="Lien hypertexte" xfId="1495" builtinId="8" hidden="1"/>
    <cellStyle name="Lien hypertexte" xfId="1497" builtinId="8" hidden="1"/>
    <cellStyle name="Lien hypertexte" xfId="1499" builtinId="8" hidden="1"/>
    <cellStyle name="Lien hypertexte" xfId="1501" builtinId="8" hidden="1"/>
    <cellStyle name="Lien hypertexte" xfId="1503" builtinId="8" hidden="1"/>
    <cellStyle name="Lien hypertexte" xfId="1505" builtinId="8" hidden="1"/>
    <cellStyle name="Lien hypertexte" xfId="1507" builtinId="8" hidden="1"/>
    <cellStyle name="Lien hypertexte" xfId="1509" builtinId="8" hidden="1"/>
    <cellStyle name="Lien hypertexte" xfId="1511" builtinId="8" hidden="1"/>
    <cellStyle name="Lien hypertexte" xfId="1513" builtinId="8" hidden="1"/>
    <cellStyle name="Lien hypertexte" xfId="1515" builtinId="8" hidden="1"/>
    <cellStyle name="Lien hypertexte" xfId="1517" builtinId="8" hidden="1"/>
    <cellStyle name="Lien hypertexte" xfId="1519" builtinId="8" hidden="1"/>
    <cellStyle name="Lien hypertexte" xfId="1521" builtinId="8" hidden="1"/>
    <cellStyle name="Lien hypertexte" xfId="1523" builtinId="8" hidden="1"/>
    <cellStyle name="Lien hypertexte" xfId="1525" builtinId="8" hidden="1"/>
    <cellStyle name="Lien hypertexte" xfId="1527" builtinId="8" hidden="1"/>
    <cellStyle name="Lien hypertexte" xfId="1529" builtinId="8" hidden="1"/>
    <cellStyle name="Lien hypertexte" xfId="1531" builtinId="8" hidden="1"/>
    <cellStyle name="Lien hypertexte" xfId="1533" builtinId="8" hidden="1"/>
    <cellStyle name="Lien hypertexte" xfId="1535" builtinId="8" hidden="1"/>
    <cellStyle name="Lien hypertexte" xfId="1537" builtinId="8" hidden="1"/>
    <cellStyle name="Lien hypertexte" xfId="1539" builtinId="8" hidden="1"/>
    <cellStyle name="Lien hypertexte" xfId="1541" builtinId="8" hidden="1"/>
    <cellStyle name="Lien hypertexte" xfId="1543" builtinId="8" hidden="1"/>
    <cellStyle name="Lien hypertexte" xfId="1545" builtinId="8" hidden="1"/>
    <cellStyle name="Lien hypertexte" xfId="1547" builtinId="8" hidden="1"/>
    <cellStyle name="Lien hypertexte" xfId="1549" builtinId="8" hidden="1"/>
    <cellStyle name="Lien hypertexte" xfId="1551" builtinId="8" hidden="1"/>
    <cellStyle name="Lien hypertexte" xfId="1553" builtinId="8" hidden="1"/>
    <cellStyle name="Lien hypertexte" xfId="1555" builtinId="8" hidden="1"/>
    <cellStyle name="Lien hypertexte" xfId="1557" builtinId="8" hidden="1"/>
    <cellStyle name="Lien hypertexte" xfId="1559" builtinId="8" hidden="1"/>
    <cellStyle name="Lien hypertexte" xfId="1561" builtinId="8" hidden="1"/>
    <cellStyle name="Lien hypertexte" xfId="1563" builtinId="8" hidden="1"/>
    <cellStyle name="Lien hypertexte" xfId="1565" builtinId="8" hidden="1"/>
    <cellStyle name="Lien hypertexte" xfId="1567" builtinId="8" hidden="1"/>
    <cellStyle name="Lien hypertexte" xfId="1569" builtinId="8" hidden="1"/>
    <cellStyle name="Lien hypertexte" xfId="1571" builtinId="8" hidden="1"/>
    <cellStyle name="Lien hypertexte" xfId="1573" builtinId="8" hidden="1"/>
    <cellStyle name="Lien hypertexte" xfId="1575" builtinId="8" hidden="1"/>
    <cellStyle name="Lien hypertexte" xfId="1577" builtinId="8" hidden="1"/>
    <cellStyle name="Lien hypertexte" xfId="1579" builtinId="8" hidden="1"/>
    <cellStyle name="Lien hypertexte" xfId="1581" builtinId="8" hidden="1"/>
    <cellStyle name="Lien hypertexte" xfId="1583" builtinId="8" hidden="1"/>
    <cellStyle name="Lien hypertexte" xfId="1585" builtinId="8" hidden="1"/>
    <cellStyle name="Lien hypertexte" xfId="1587" builtinId="8" hidden="1"/>
    <cellStyle name="Lien hypertexte" xfId="1589" builtinId="8" hidden="1"/>
    <cellStyle name="Lien hypertexte" xfId="1591" builtinId="8" hidden="1"/>
    <cellStyle name="Lien hypertexte" xfId="1593" builtinId="8" hidden="1"/>
    <cellStyle name="Lien hypertexte" xfId="1595" builtinId="8" hidden="1"/>
    <cellStyle name="Lien hypertexte" xfId="1597" builtinId="8" hidden="1"/>
    <cellStyle name="Lien hypertexte" xfId="1599" builtinId="8" hidden="1"/>
    <cellStyle name="Lien hypertexte" xfId="1601" builtinId="8" hidden="1"/>
    <cellStyle name="Lien hypertexte" xfId="1603" builtinId="8" hidden="1"/>
    <cellStyle name="Lien hypertexte" xfId="1605" builtinId="8" hidden="1"/>
    <cellStyle name="Lien hypertexte" xfId="1607" builtinId="8" hidden="1"/>
    <cellStyle name="Lien hypertexte" xfId="1609" builtinId="8" hidden="1"/>
    <cellStyle name="Lien hypertexte" xfId="1611" builtinId="8" hidden="1"/>
    <cellStyle name="Lien hypertexte" xfId="1613" builtinId="8" hidden="1"/>
    <cellStyle name="Lien hypertexte" xfId="1615" builtinId="8" hidden="1"/>
    <cellStyle name="Lien hypertexte" xfId="1617" builtinId="8" hidden="1"/>
    <cellStyle name="Lien hypertexte" xfId="1619" builtinId="8" hidden="1"/>
    <cellStyle name="Lien hypertexte" xfId="1621" builtinId="8" hidden="1"/>
    <cellStyle name="Lien hypertexte" xfId="1623" builtinId="8" hidden="1"/>
    <cellStyle name="Lien hypertexte" xfId="1625" builtinId="8" hidden="1"/>
    <cellStyle name="Lien hypertexte" xfId="1627" builtinId="8" hidden="1"/>
    <cellStyle name="Lien hypertexte" xfId="1629" builtinId="8" hidden="1"/>
    <cellStyle name="Lien hypertexte" xfId="1631" builtinId="8" hidden="1"/>
    <cellStyle name="Lien hypertexte" xfId="1633" builtinId="8" hidden="1"/>
    <cellStyle name="Lien hypertexte" xfId="1635" builtinId="8" hidden="1"/>
    <cellStyle name="Lien hypertexte" xfId="1637" builtinId="8" hidden="1"/>
    <cellStyle name="Lien hypertexte" xfId="1639" builtinId="8" hidden="1"/>
    <cellStyle name="Lien hypertexte" xfId="1641" builtinId="8" hidden="1"/>
    <cellStyle name="Lien hypertexte" xfId="1643" builtinId="8" hidden="1"/>
    <cellStyle name="Lien hypertexte" xfId="1645" builtinId="8" hidden="1"/>
    <cellStyle name="Lien hypertexte" xfId="1647" builtinId="8" hidden="1"/>
    <cellStyle name="Lien hypertexte" xfId="1649" builtinId="8" hidden="1"/>
    <cellStyle name="Lien hypertexte" xfId="1651" builtinId="8" hidden="1"/>
    <cellStyle name="Lien hypertexte" xfId="1653" builtinId="8" hidden="1"/>
    <cellStyle name="Lien hypertexte" xfId="1655" builtinId="8" hidden="1"/>
    <cellStyle name="Lien hypertexte" xfId="1657" builtinId="8" hidden="1"/>
    <cellStyle name="Lien hypertexte" xfId="1659" builtinId="8" hidden="1"/>
    <cellStyle name="Lien hypertexte" xfId="1661" builtinId="8" hidden="1"/>
    <cellStyle name="Lien hypertexte" xfId="1663" builtinId="8" hidden="1"/>
    <cellStyle name="Lien hypertexte" xfId="1665" builtinId="8" hidden="1"/>
    <cellStyle name="Lien hypertexte" xfId="1667" builtinId="8" hidden="1"/>
    <cellStyle name="Lien hypertexte" xfId="1669" builtinId="8" hidden="1"/>
    <cellStyle name="Lien hypertexte" xfId="1671" builtinId="8" hidden="1"/>
    <cellStyle name="Lien hypertexte" xfId="1673" builtinId="8" hidden="1"/>
    <cellStyle name="Lien hypertexte" xfId="1675" builtinId="8" hidden="1"/>
    <cellStyle name="Lien hypertexte" xfId="1677" builtinId="8" hidden="1"/>
    <cellStyle name="Lien hypertexte" xfId="1679" builtinId="8" hidden="1"/>
    <cellStyle name="Lien hypertexte" xfId="1681" builtinId="8" hidden="1"/>
    <cellStyle name="Lien hypertexte" xfId="1683" builtinId="8" hidden="1"/>
    <cellStyle name="Lien hypertexte" xfId="1685" builtinId="8" hidden="1"/>
    <cellStyle name="Lien hypertexte" xfId="1687" builtinId="8" hidden="1"/>
    <cellStyle name="Lien hypertexte" xfId="1689" builtinId="8" hidden="1"/>
    <cellStyle name="Lien hypertexte" xfId="1691" builtinId="8" hidden="1"/>
    <cellStyle name="Lien hypertexte" xfId="1693" builtinId="8" hidden="1"/>
    <cellStyle name="Lien hypertexte" xfId="1695" builtinId="8" hidden="1"/>
    <cellStyle name="Lien hypertexte" xfId="1697" builtinId="8" hidden="1"/>
    <cellStyle name="Lien hypertexte" xfId="1699" builtinId="8" hidden="1"/>
    <cellStyle name="Lien hypertexte" xfId="1701" builtinId="8" hidden="1"/>
    <cellStyle name="Lien hypertexte" xfId="1703" builtinId="8" hidden="1"/>
    <cellStyle name="Lien hypertexte" xfId="1705" builtinId="8" hidden="1"/>
    <cellStyle name="Lien hypertexte" xfId="1707" builtinId="8" hidden="1"/>
    <cellStyle name="Lien hypertexte" xfId="1709" builtinId="8" hidden="1"/>
    <cellStyle name="Lien hypertexte" xfId="1711" builtinId="8" hidden="1"/>
    <cellStyle name="Lien hypertexte" xfId="1713" builtinId="8" hidden="1"/>
    <cellStyle name="Lien hypertexte" xfId="1715" builtinId="8" hidden="1"/>
    <cellStyle name="Lien hypertexte" xfId="1717" builtinId="8" hidden="1"/>
    <cellStyle name="Lien hypertexte" xfId="1719" builtinId="8" hidden="1"/>
    <cellStyle name="Lien hypertexte" xfId="1721" builtinId="8" hidden="1"/>
    <cellStyle name="Lien hypertexte" xfId="1723" builtinId="8" hidden="1"/>
    <cellStyle name="Lien hypertexte" xfId="1725" builtinId="8" hidden="1"/>
    <cellStyle name="Lien hypertexte" xfId="1727" builtinId="8" hidden="1"/>
    <cellStyle name="Lien hypertexte" xfId="1729" builtinId="8" hidden="1"/>
    <cellStyle name="Lien hypertexte" xfId="1731" builtinId="8" hidden="1"/>
    <cellStyle name="Lien hypertexte" xfId="1733" builtinId="8" hidden="1"/>
    <cellStyle name="Lien hypertexte" xfId="1735" builtinId="8" hidden="1"/>
    <cellStyle name="Lien hypertexte" xfId="1737" builtinId="8" hidden="1"/>
    <cellStyle name="Lien hypertexte" xfId="1739" builtinId="8" hidden="1"/>
    <cellStyle name="Lien hypertexte" xfId="1741" builtinId="8" hidden="1"/>
    <cellStyle name="Lien hypertexte" xfId="1743" builtinId="8" hidden="1"/>
    <cellStyle name="Lien hypertexte" xfId="1745" builtinId="8" hidden="1"/>
    <cellStyle name="Lien hypertexte" xfId="1747" builtinId="8" hidden="1"/>
    <cellStyle name="Lien hypertexte" xfId="1749" builtinId="8" hidden="1"/>
    <cellStyle name="Lien hypertexte" xfId="1751" builtinId="8" hidden="1"/>
    <cellStyle name="Lien hypertexte" xfId="1753" builtinId="8" hidden="1"/>
    <cellStyle name="Lien hypertexte" xfId="1755" builtinId="8" hidden="1"/>
    <cellStyle name="Lien hypertexte" xfId="1757" builtinId="8" hidden="1"/>
    <cellStyle name="Lien hypertexte" xfId="1759" builtinId="8" hidden="1"/>
    <cellStyle name="Lien hypertexte" xfId="1761" builtinId="8" hidden="1"/>
    <cellStyle name="Lien hypertexte" xfId="1763" builtinId="8" hidden="1"/>
    <cellStyle name="Lien hypertexte" xfId="1765" builtinId="8" hidden="1"/>
    <cellStyle name="Lien hypertexte" xfId="1767" builtinId="8" hidden="1"/>
    <cellStyle name="Lien hypertexte" xfId="1769" builtinId="8" hidden="1"/>
    <cellStyle name="Lien hypertexte" xfId="1771" builtinId="8" hidden="1"/>
    <cellStyle name="Lien hypertexte" xfId="1773" builtinId="8" hidden="1"/>
    <cellStyle name="Lien hypertexte" xfId="1775" builtinId="8" hidden="1"/>
    <cellStyle name="Lien hypertexte" xfId="1777" builtinId="8" hidden="1"/>
    <cellStyle name="Lien hypertexte" xfId="1779" builtinId="8" hidden="1"/>
    <cellStyle name="Lien hypertexte" xfId="1781" builtinId="8" hidden="1"/>
    <cellStyle name="Lien hypertexte" xfId="1783" builtinId="8" hidden="1"/>
    <cellStyle name="Lien hypertexte" xfId="1785" builtinId="8" hidden="1"/>
    <cellStyle name="Lien hypertexte" xfId="1787" builtinId="8" hidden="1"/>
    <cellStyle name="Lien hypertexte" xfId="1789" builtinId="8" hidden="1"/>
    <cellStyle name="Lien hypertexte" xfId="1791" builtinId="8" hidden="1"/>
    <cellStyle name="Lien hypertexte" xfId="1793" builtinId="8" hidden="1"/>
    <cellStyle name="Lien hypertexte" xfId="1795" builtinId="8" hidden="1"/>
    <cellStyle name="Lien hypertexte" xfId="1797" builtinId="8" hidden="1"/>
    <cellStyle name="Lien hypertexte" xfId="1799" builtinId="8" hidden="1"/>
    <cellStyle name="Lien hypertexte" xfId="1801" builtinId="8" hidden="1"/>
    <cellStyle name="Lien hypertexte" xfId="1803" builtinId="8" hidden="1"/>
    <cellStyle name="Lien hypertexte" xfId="1805" builtinId="8" hidden="1"/>
    <cellStyle name="Lien hypertexte" xfId="1807" builtinId="8" hidden="1"/>
    <cellStyle name="Lien hypertexte" xfId="1809" builtinId="8" hidden="1"/>
    <cellStyle name="Lien hypertexte" xfId="1811" builtinId="8" hidden="1"/>
    <cellStyle name="Lien hypertexte" xfId="1813" builtinId="8" hidden="1"/>
    <cellStyle name="Lien hypertexte" xfId="1815" builtinId="8" hidden="1"/>
    <cellStyle name="Lien hypertexte" xfId="1817" builtinId="8" hidden="1"/>
    <cellStyle name="Lien hypertexte" xfId="1819" builtinId="8" hidden="1"/>
    <cellStyle name="Lien hypertexte" xfId="1821" builtinId="8" hidden="1"/>
    <cellStyle name="Lien hypertexte" xfId="1823" builtinId="8" hidden="1"/>
    <cellStyle name="Lien hypertexte" xfId="1825" builtinId="8" hidden="1"/>
    <cellStyle name="Lien hypertexte" xfId="1827" builtinId="8" hidden="1"/>
    <cellStyle name="Lien hypertexte" xfId="1829" builtinId="8" hidden="1"/>
    <cellStyle name="Lien hypertexte" xfId="1831" builtinId="8" hidden="1"/>
    <cellStyle name="Lien hypertexte" xfId="1833" builtinId="8" hidden="1"/>
    <cellStyle name="Lien hypertexte" xfId="1835" builtinId="8" hidden="1"/>
    <cellStyle name="Lien hypertexte" xfId="1837" builtinId="8" hidden="1"/>
    <cellStyle name="Lien hypertexte" xfId="1839" builtinId="8" hidden="1"/>
    <cellStyle name="Lien hypertexte" xfId="1841" builtinId="8" hidden="1"/>
    <cellStyle name="Lien hypertexte" xfId="1843" builtinId="8" hidden="1"/>
    <cellStyle name="Lien hypertexte" xfId="1845" builtinId="8" hidden="1"/>
    <cellStyle name="Lien hypertexte" xfId="1847" builtinId="8" hidden="1"/>
    <cellStyle name="Lien hypertexte" xfId="1849" builtinId="8" hidden="1"/>
    <cellStyle name="Lien hypertexte" xfId="1851" builtinId="8" hidden="1"/>
    <cellStyle name="Lien hypertexte" xfId="1853" builtinId="8" hidden="1"/>
    <cellStyle name="Lien hypertexte" xfId="1855" builtinId="8" hidden="1"/>
    <cellStyle name="Lien hypertexte" xfId="1857" builtinId="8" hidden="1"/>
    <cellStyle name="Lien hypertexte" xfId="1859" builtinId="8" hidden="1"/>
    <cellStyle name="Lien hypertexte" xfId="1861" builtinId="8" hidden="1"/>
    <cellStyle name="Lien hypertexte" xfId="1863" builtinId="8" hidden="1"/>
    <cellStyle name="Lien hypertexte" xfId="1865" builtinId="8" hidden="1"/>
    <cellStyle name="Lien hypertexte" xfId="1867" builtinId="8" hidden="1"/>
    <cellStyle name="Lien hypertexte" xfId="1869" builtinId="8" hidden="1"/>
    <cellStyle name="Lien hypertexte" xfId="1871" builtinId="8" hidden="1"/>
    <cellStyle name="Lien hypertexte" xfId="1873" builtinId="8" hidden="1"/>
    <cellStyle name="Lien hypertexte" xfId="1875" builtinId="8" hidden="1"/>
    <cellStyle name="Lien hypertexte" xfId="1877" builtinId="8" hidden="1"/>
    <cellStyle name="Lien hypertexte" xfId="1879" builtinId="8" hidden="1"/>
    <cellStyle name="Lien hypertexte" xfId="1881" builtinId="8" hidden="1"/>
    <cellStyle name="Lien hypertexte" xfId="1883" builtinId="8" hidden="1"/>
    <cellStyle name="Lien hypertexte" xfId="1885" builtinId="8" hidden="1"/>
    <cellStyle name="Lien hypertexte" xfId="1887" builtinId="8" hidden="1"/>
    <cellStyle name="Lien hypertexte" xfId="1889" builtinId="8" hidden="1"/>
    <cellStyle name="Lien hypertexte" xfId="1891" builtinId="8" hidden="1"/>
    <cellStyle name="Lien hypertexte" xfId="1893" builtinId="8" hidden="1"/>
    <cellStyle name="Lien hypertexte" xfId="1895" builtinId="8" hidden="1"/>
    <cellStyle name="Lien hypertexte" xfId="1897" builtinId="8" hidden="1"/>
    <cellStyle name="Lien hypertexte" xfId="1899" builtinId="8" hidden="1"/>
    <cellStyle name="Lien hypertexte" xfId="1901" builtinId="8" hidden="1"/>
    <cellStyle name="Lien hypertexte" xfId="1903" builtinId="8" hidden="1"/>
    <cellStyle name="Lien hypertexte" xfId="1905" builtinId="8" hidden="1"/>
    <cellStyle name="Lien hypertexte" xfId="1907" builtinId="8" hidden="1"/>
    <cellStyle name="Lien hypertexte" xfId="1909" builtinId="8" hidden="1"/>
    <cellStyle name="Lien hypertexte" xfId="1911" builtinId="8" hidden="1"/>
    <cellStyle name="Lien hypertexte" xfId="1913" builtinId="8" hidden="1"/>
    <cellStyle name="Lien hypertexte" xfId="1915" builtinId="8" hidden="1"/>
    <cellStyle name="Lien hypertexte" xfId="1917" builtinId="8" hidden="1"/>
    <cellStyle name="Lien hypertexte" xfId="1919" builtinId="8" hidden="1"/>
    <cellStyle name="Lien hypertexte" xfId="1921" builtinId="8" hidden="1"/>
    <cellStyle name="Lien hypertexte" xfId="1923" builtinId="8" hidden="1"/>
    <cellStyle name="Lien hypertexte" xfId="1925" builtinId="8" hidden="1"/>
    <cellStyle name="Lien hypertexte" xfId="1927" builtinId="8" hidden="1"/>
    <cellStyle name="Lien hypertexte" xfId="1929" builtinId="8" hidden="1"/>
    <cellStyle name="Lien hypertexte" xfId="1931" builtinId="8" hidden="1"/>
    <cellStyle name="Lien hypertexte" xfId="1933" builtinId="8" hidden="1"/>
    <cellStyle name="Lien hypertexte" xfId="1935" builtinId="8" hidden="1"/>
    <cellStyle name="Lien hypertexte" xfId="1937" builtinId="8" hidden="1"/>
    <cellStyle name="Lien hypertexte" xfId="1939" builtinId="8" hidden="1"/>
    <cellStyle name="Lien hypertexte" xfId="1941" builtinId="8" hidden="1"/>
    <cellStyle name="Lien hypertexte" xfId="1943" builtinId="8" hidden="1"/>
    <cellStyle name="Lien hypertexte" xfId="1945" builtinId="8" hidden="1"/>
    <cellStyle name="Lien hypertexte" xfId="1947" builtinId="8" hidden="1"/>
    <cellStyle name="Lien hypertexte" xfId="1949" builtinId="8" hidden="1"/>
    <cellStyle name="Lien hypertexte" xfId="1951" builtinId="8" hidden="1"/>
    <cellStyle name="Lien hypertexte" xfId="1953" builtinId="8" hidden="1"/>
    <cellStyle name="Lien hypertexte" xfId="1955" builtinId="8" hidden="1"/>
    <cellStyle name="Lien hypertexte" xfId="1957" builtinId="8" hidden="1"/>
    <cellStyle name="Lien hypertexte" xfId="1959" builtinId="8" hidden="1"/>
    <cellStyle name="Lien hypertexte" xfId="1961" builtinId="8" hidden="1"/>
    <cellStyle name="Lien hypertexte" xfId="1963" builtinId="8" hidden="1"/>
    <cellStyle name="Lien hypertexte" xfId="1965" builtinId="8" hidden="1"/>
    <cellStyle name="Lien hypertexte" xfId="1967" builtinId="8" hidden="1"/>
    <cellStyle name="Lien hypertexte" xfId="1969" builtinId="8" hidden="1"/>
    <cellStyle name="Lien hypertexte" xfId="1971" builtinId="8" hidden="1"/>
    <cellStyle name="Lien hypertexte" xfId="1973" builtinId="8" hidden="1"/>
    <cellStyle name="Lien hypertexte" xfId="1975" builtinId="8" hidden="1"/>
    <cellStyle name="Lien hypertexte" xfId="1977" builtinId="8" hidden="1"/>
    <cellStyle name="Lien hypertexte" xfId="1979" builtinId="8" hidden="1"/>
    <cellStyle name="Lien hypertexte" xfId="1981" builtinId="8" hidden="1"/>
    <cellStyle name="Lien hypertexte" xfId="1983" builtinId="8" hidden="1"/>
    <cellStyle name="Lien hypertexte" xfId="1985" builtinId="8" hidden="1"/>
    <cellStyle name="Lien hypertexte" xfId="1987" builtinId="8" hidden="1"/>
    <cellStyle name="Lien hypertexte" xfId="1989" builtinId="8" hidden="1"/>
    <cellStyle name="Lien hypertexte" xfId="1991" builtinId="8" hidden="1"/>
    <cellStyle name="Lien hypertexte" xfId="1993" builtinId="8" hidden="1"/>
    <cellStyle name="Lien hypertexte" xfId="1995" builtinId="8" hidden="1"/>
    <cellStyle name="Lien hypertexte" xfId="1997" builtinId="8" hidden="1"/>
    <cellStyle name="Lien hypertexte" xfId="1999" builtinId="8" hidden="1"/>
    <cellStyle name="Lien hypertexte" xfId="2001" builtinId="8" hidden="1"/>
    <cellStyle name="Lien hypertexte" xfId="2003" builtinId="8" hidden="1"/>
    <cellStyle name="Lien hypertexte" xfId="2005" builtinId="8" hidden="1"/>
    <cellStyle name="Lien hypertexte" xfId="2007" builtinId="8" hidden="1"/>
    <cellStyle name="Lien hypertexte" xfId="2009" builtinId="8" hidden="1"/>
    <cellStyle name="Lien hypertexte" xfId="2011" builtinId="8" hidden="1"/>
    <cellStyle name="Lien hypertexte" xfId="2013" builtinId="8" hidden="1"/>
    <cellStyle name="Lien hypertexte" xfId="2015" builtinId="8" hidden="1"/>
    <cellStyle name="Lien hypertexte" xfId="2017" builtinId="8" hidden="1"/>
    <cellStyle name="Lien hypertexte" xfId="2019" builtinId="8" hidden="1"/>
    <cellStyle name="Lien hypertexte" xfId="2021" builtinId="8" hidden="1"/>
    <cellStyle name="Lien hypertexte" xfId="2023" builtinId="8" hidden="1"/>
    <cellStyle name="Lien hypertexte" xfId="2025" builtinId="8" hidden="1"/>
    <cellStyle name="Lien hypertexte" xfId="2027" builtinId="8" hidden="1"/>
    <cellStyle name="Lien hypertexte" xfId="2029" builtinId="8" hidden="1"/>
    <cellStyle name="Lien hypertexte" xfId="2031" builtinId="8" hidden="1"/>
    <cellStyle name="Lien hypertexte" xfId="2033" builtinId="8" hidden="1"/>
    <cellStyle name="Lien hypertexte" xfId="2035" builtinId="8" hidden="1"/>
    <cellStyle name="Lien hypertexte" xfId="2037" builtinId="8" hidden="1"/>
    <cellStyle name="Lien hypertexte" xfId="2039" builtinId="8" hidden="1"/>
    <cellStyle name="Lien hypertexte" xfId="2041" builtinId="8" hidden="1"/>
    <cellStyle name="Lien hypertexte" xfId="2043" builtinId="8" hidden="1"/>
    <cellStyle name="Lien hypertexte" xfId="2045" builtinId="8" hidden="1"/>
    <cellStyle name="Lien hypertexte" xfId="2047" builtinId="8" hidden="1"/>
    <cellStyle name="Lien hypertexte" xfId="2049" builtinId="8" hidden="1"/>
    <cellStyle name="Lien hypertexte" xfId="2051" builtinId="8" hidden="1"/>
    <cellStyle name="Lien hypertexte" xfId="2053" builtinId="8" hidden="1"/>
    <cellStyle name="Lien hypertexte" xfId="2055" builtinId="8" hidden="1"/>
    <cellStyle name="Lien hypertexte" xfId="2057" builtinId="8" hidden="1"/>
    <cellStyle name="Lien hypertexte" xfId="2059" builtinId="8" hidden="1"/>
    <cellStyle name="Lien hypertexte" xfId="2061" builtinId="8" hidden="1"/>
    <cellStyle name="Lien hypertexte" xfId="2063" builtinId="8" hidden="1"/>
    <cellStyle name="Lien hypertexte" xfId="2065" builtinId="8" hidden="1"/>
    <cellStyle name="Lien hypertexte" xfId="2067" builtinId="8" hidden="1"/>
    <cellStyle name="Lien hypertexte" xfId="2069" builtinId="8" hidden="1"/>
    <cellStyle name="Lien hypertexte" xfId="2071" builtinId="8" hidden="1"/>
    <cellStyle name="Lien hypertexte" xfId="2073" builtinId="8" hidden="1"/>
    <cellStyle name="Lien hypertexte" xfId="2075" builtinId="8" hidden="1"/>
    <cellStyle name="Lien hypertexte" xfId="2077" builtinId="8" hidden="1"/>
    <cellStyle name="Lien hypertexte" xfId="2079" builtinId="8" hidden="1"/>
    <cellStyle name="Lien hypertexte" xfId="2081" builtinId="8" hidden="1"/>
    <cellStyle name="Lien hypertexte" xfId="2083" builtinId="8" hidden="1"/>
    <cellStyle name="Lien hypertexte" xfId="2085" builtinId="8" hidden="1"/>
    <cellStyle name="Lien hypertexte" xfId="2087" builtinId="8" hidden="1"/>
    <cellStyle name="Lien hypertexte" xfId="2089" builtinId="8" hidden="1"/>
    <cellStyle name="Lien hypertexte" xfId="2091" builtinId="8" hidden="1"/>
    <cellStyle name="Lien hypertexte" xfId="2093" builtinId="8" hidden="1"/>
    <cellStyle name="Lien hypertexte" xfId="2095" builtinId="8" hidden="1"/>
    <cellStyle name="Lien hypertexte" xfId="2097" builtinId="8" hidden="1"/>
    <cellStyle name="Lien hypertexte" xfId="2099" builtinId="8" hidden="1"/>
    <cellStyle name="Lien hypertexte" xfId="2101" builtinId="8" hidden="1"/>
    <cellStyle name="Lien hypertexte" xfId="2103" builtinId="8" hidden="1"/>
    <cellStyle name="Lien hypertexte" xfId="2105" builtinId="8" hidden="1"/>
    <cellStyle name="Lien hypertexte" xfId="2107" builtinId="8" hidden="1"/>
    <cellStyle name="Lien hypertexte" xfId="2109" builtinId="8" hidden="1"/>
    <cellStyle name="Lien hypertexte" xfId="2111" builtinId="8" hidden="1"/>
    <cellStyle name="Lien hypertexte" xfId="2113" builtinId="8" hidden="1"/>
    <cellStyle name="Lien hypertexte" xfId="2115" builtinId="8" hidden="1"/>
    <cellStyle name="Lien hypertexte" xfId="2117" builtinId="8" hidden="1"/>
    <cellStyle name="Lien hypertexte" xfId="2119" builtinId="8" hidden="1"/>
    <cellStyle name="Lien hypertexte" xfId="2121" builtinId="8" hidden="1"/>
    <cellStyle name="Lien hypertexte" xfId="2123" builtinId="8" hidden="1"/>
    <cellStyle name="Lien hypertexte" xfId="2125" builtinId="8" hidden="1"/>
    <cellStyle name="Lien hypertexte" xfId="2127" builtinId="8" hidden="1"/>
    <cellStyle name="Lien hypertexte" xfId="2129" builtinId="8" hidden="1"/>
    <cellStyle name="Lien hypertexte" xfId="2131" builtinId="8" hidden="1"/>
    <cellStyle name="Lien hypertexte" xfId="2133" builtinId="8" hidden="1"/>
    <cellStyle name="Lien hypertexte" xfId="2135" builtinId="8" hidden="1"/>
    <cellStyle name="Lien hypertexte" xfId="2137" builtinId="8" hidden="1"/>
    <cellStyle name="Lien hypertexte" xfId="2139" builtinId="8" hidden="1"/>
    <cellStyle name="Lien hypertexte" xfId="2141" builtinId="8" hidden="1"/>
    <cellStyle name="Lien hypertexte" xfId="2143" builtinId="8" hidden="1"/>
    <cellStyle name="Lien hypertexte" xfId="2145" builtinId="8" hidden="1"/>
    <cellStyle name="Lien hypertexte" xfId="2147" builtinId="8" hidden="1"/>
    <cellStyle name="Lien hypertexte" xfId="2149" builtinId="8" hidden="1"/>
    <cellStyle name="Lien hypertexte" xfId="2151" builtinId="8" hidden="1"/>
    <cellStyle name="Lien hypertexte" xfId="2153" builtinId="8" hidden="1"/>
    <cellStyle name="Lien hypertexte" xfId="2155" builtinId="8" hidden="1"/>
    <cellStyle name="Lien hypertexte" xfId="2157" builtinId="8" hidden="1"/>
    <cellStyle name="Lien hypertexte" xfId="2159" builtinId="8" hidden="1"/>
    <cellStyle name="Lien hypertexte" xfId="2161" builtinId="8" hidden="1"/>
    <cellStyle name="Lien hypertexte" xfId="2163" builtinId="8" hidden="1"/>
    <cellStyle name="Lien hypertexte" xfId="2165" builtinId="8" hidden="1"/>
    <cellStyle name="Lien hypertexte" xfId="2167" builtinId="8" hidden="1"/>
    <cellStyle name="Lien hypertexte" xfId="2169" builtinId="8" hidden="1"/>
    <cellStyle name="Lien hypertexte" xfId="2171" builtinId="8" hidden="1"/>
    <cellStyle name="Lien hypertexte" xfId="2173" builtinId="8" hidden="1"/>
    <cellStyle name="Lien hypertexte" xfId="2175" builtinId="8" hidden="1"/>
    <cellStyle name="Lien hypertexte" xfId="2177" builtinId="8" hidden="1"/>
    <cellStyle name="Lien hypertexte" xfId="2179" builtinId="8" hidden="1"/>
    <cellStyle name="Lien hypertexte" xfId="2181" builtinId="8" hidden="1"/>
    <cellStyle name="Lien hypertexte" xfId="2183" builtinId="8" hidden="1"/>
    <cellStyle name="Lien hypertexte" xfId="2185" builtinId="8" hidden="1"/>
    <cellStyle name="Lien hypertexte" xfId="2187" builtinId="8" hidden="1"/>
    <cellStyle name="Lien hypertexte" xfId="2189" builtinId="8" hidden="1"/>
    <cellStyle name="Lien hypertexte" xfId="2191" builtinId="8" hidden="1"/>
    <cellStyle name="Lien hypertexte" xfId="2193" builtinId="8" hidden="1"/>
    <cellStyle name="Lien hypertexte" xfId="2195" builtinId="8" hidden="1"/>
    <cellStyle name="Lien hypertexte" xfId="2197" builtinId="8" hidden="1"/>
    <cellStyle name="Lien hypertexte" xfId="2199" builtinId="8" hidden="1"/>
    <cellStyle name="Lien hypertexte" xfId="2201" builtinId="8" hidden="1"/>
    <cellStyle name="Lien hypertexte" xfId="2203" builtinId="8" hidden="1"/>
    <cellStyle name="Lien hypertexte" xfId="2205" builtinId="8" hidden="1"/>
    <cellStyle name="Lien hypertexte" xfId="2207" builtinId="8" hidden="1"/>
    <cellStyle name="Lien hypertexte" xfId="2209" builtinId="8" hidden="1"/>
    <cellStyle name="Lien hypertexte" xfId="2211" builtinId="8" hidden="1"/>
    <cellStyle name="Lien hypertexte" xfId="2213" builtinId="8" hidden="1"/>
    <cellStyle name="Lien hypertexte" xfId="2215" builtinId="8" hidden="1"/>
    <cellStyle name="Lien hypertexte" xfId="2217" builtinId="8" hidden="1"/>
    <cellStyle name="Lien hypertexte" xfId="2219" builtinId="8" hidden="1"/>
    <cellStyle name="Lien hypertexte" xfId="2221" builtinId="8" hidden="1"/>
    <cellStyle name="Lien hypertexte" xfId="2223" builtinId="8" hidden="1"/>
    <cellStyle name="Lien hypertexte" xfId="2225" builtinId="8" hidden="1"/>
    <cellStyle name="Lien hypertexte" xfId="2227" builtinId="8" hidden="1"/>
    <cellStyle name="Lien hypertexte" xfId="2229" builtinId="8" hidden="1"/>
    <cellStyle name="Lien hypertexte" xfId="2231" builtinId="8" hidden="1"/>
    <cellStyle name="Lien hypertexte" xfId="2233" builtinId="8" hidden="1"/>
    <cellStyle name="Lien hypertexte" xfId="2235" builtinId="8" hidden="1"/>
    <cellStyle name="Lien hypertexte" xfId="2237" builtinId="8" hidden="1"/>
    <cellStyle name="Lien hypertexte" xfId="2239" builtinId="8" hidden="1"/>
    <cellStyle name="Lien hypertexte" xfId="2241" builtinId="8" hidden="1"/>
    <cellStyle name="Lien hypertexte" xfId="2243" builtinId="8" hidden="1"/>
    <cellStyle name="Lien hypertexte" xfId="2245" builtinId="8" hidden="1"/>
    <cellStyle name="Lien hypertexte" xfId="2247" builtinId="8" hidden="1"/>
    <cellStyle name="Lien hypertexte" xfId="2249" builtinId="8" hidden="1"/>
    <cellStyle name="Lien hypertexte" xfId="2251" builtinId="8" hidden="1"/>
    <cellStyle name="Lien hypertexte" xfId="2253" builtinId="8" hidden="1"/>
    <cellStyle name="Lien hypertexte" xfId="2255" builtinId="8" hidden="1"/>
    <cellStyle name="Lien hypertexte" xfId="2257" builtinId="8" hidden="1"/>
    <cellStyle name="Lien hypertexte" xfId="2259" builtinId="8" hidden="1"/>
    <cellStyle name="Lien hypertexte" xfId="2261" builtinId="8" hidden="1"/>
    <cellStyle name="Lien hypertexte" xfId="2263" builtinId="8" hidden="1"/>
    <cellStyle name="Lien hypertexte" xfId="2265" builtinId="8" hidden="1"/>
    <cellStyle name="Lien hypertexte" xfId="2267" builtinId="8" hidden="1"/>
    <cellStyle name="Lien hypertexte" xfId="2269" builtinId="8" hidden="1"/>
    <cellStyle name="Lien hypertexte" xfId="2271" builtinId="8" hidden="1"/>
    <cellStyle name="Lien hypertexte" xfId="2273" builtinId="8" hidden="1"/>
    <cellStyle name="Lien hypertexte" xfId="2275" builtinId="8" hidden="1"/>
    <cellStyle name="Lien hypertexte" xfId="2277" builtinId="8" hidden="1"/>
    <cellStyle name="Lien hypertexte" xfId="2279" builtinId="8" hidden="1"/>
    <cellStyle name="Lien hypertexte" xfId="2281" builtinId="8" hidden="1"/>
    <cellStyle name="Lien hypertexte" xfId="2283" builtinId="8" hidden="1"/>
    <cellStyle name="Lien hypertexte" xfId="2285" builtinId="8" hidden="1"/>
    <cellStyle name="Lien hypertexte" xfId="2287" builtinId="8" hidden="1"/>
    <cellStyle name="Lien hypertexte" xfId="2289" builtinId="8" hidden="1"/>
    <cellStyle name="Lien hypertexte" xfId="2291" builtinId="8" hidden="1"/>
    <cellStyle name="Lien hypertexte" xfId="2293" builtinId="8" hidden="1"/>
    <cellStyle name="Lien hypertexte" xfId="2295" builtinId="8" hidden="1"/>
    <cellStyle name="Lien hypertexte" xfId="2297" builtinId="8" hidden="1"/>
    <cellStyle name="Lien hypertexte" xfId="2299" builtinId="8" hidden="1"/>
    <cellStyle name="Lien hypertexte" xfId="2301" builtinId="8" hidden="1"/>
    <cellStyle name="Lien hypertexte" xfId="2303" builtinId="8" hidden="1"/>
    <cellStyle name="Lien hypertexte" xfId="2305" builtinId="8" hidden="1"/>
    <cellStyle name="Lien hypertexte" xfId="2307" builtinId="8" hidden="1"/>
    <cellStyle name="Lien hypertexte" xfId="2309" builtinId="8" hidden="1"/>
    <cellStyle name="Lien hypertexte" xfId="2311" builtinId="8" hidden="1"/>
    <cellStyle name="Lien hypertexte" xfId="2313" builtinId="8" hidden="1"/>
    <cellStyle name="Lien hypertexte" xfId="2315" builtinId="8" hidden="1"/>
    <cellStyle name="Lien hypertexte" xfId="2317" builtinId="8" hidden="1"/>
    <cellStyle name="Lien hypertexte" xfId="2319" builtinId="8" hidden="1"/>
    <cellStyle name="Lien hypertexte" xfId="2321" builtinId="8" hidden="1"/>
    <cellStyle name="Lien hypertexte" xfId="2323" builtinId="8" hidden="1"/>
    <cellStyle name="Lien hypertexte" xfId="2325" builtinId="8" hidden="1"/>
    <cellStyle name="Lien hypertexte" xfId="2327" builtinId="8" hidden="1"/>
    <cellStyle name="Lien hypertexte" xfId="2329" builtinId="8" hidden="1"/>
    <cellStyle name="Lien hypertexte" xfId="2331" builtinId="8" hidden="1"/>
    <cellStyle name="Lien hypertexte" xfId="2333" builtinId="8" hidden="1"/>
    <cellStyle name="Lien hypertexte" xfId="2335" builtinId="8" hidden="1"/>
    <cellStyle name="Lien hypertexte" xfId="2337" builtinId="8" hidden="1"/>
    <cellStyle name="Lien hypertexte" xfId="2339" builtinId="8" hidden="1"/>
    <cellStyle name="Lien hypertexte" xfId="2341" builtinId="8" hidden="1"/>
    <cellStyle name="Lien hypertexte" xfId="2343" builtinId="8" hidden="1"/>
    <cellStyle name="Lien hypertexte" xfId="2345" builtinId="8" hidden="1"/>
    <cellStyle name="Lien hypertexte" xfId="2347" builtinId="8" hidden="1"/>
    <cellStyle name="Lien hypertexte" xfId="2349" builtinId="8" hidden="1"/>
    <cellStyle name="Lien hypertexte" xfId="2351" builtinId="8" hidden="1"/>
    <cellStyle name="Lien hypertexte" xfId="2353" builtinId="8" hidden="1"/>
    <cellStyle name="Lien hypertexte" xfId="2355" builtinId="8" hidden="1"/>
    <cellStyle name="Lien hypertexte" xfId="2357" builtinId="8" hidden="1"/>
    <cellStyle name="Lien hypertexte" xfId="2359" builtinId="8" hidden="1"/>
    <cellStyle name="Lien hypertexte" xfId="2361" builtinId="8" hidden="1"/>
    <cellStyle name="Lien hypertexte" xfId="2363" builtinId="8" hidden="1"/>
    <cellStyle name="Lien hypertexte" xfId="2365" builtinId="8" hidden="1"/>
    <cellStyle name="Lien hypertexte" xfId="2367" builtinId="8" hidden="1"/>
    <cellStyle name="Lien hypertexte" xfId="2369" builtinId="8" hidden="1"/>
    <cellStyle name="Lien hypertexte" xfId="2371" builtinId="8" hidden="1"/>
    <cellStyle name="Lien hypertexte" xfId="2373" builtinId="8" hidden="1"/>
    <cellStyle name="Lien hypertexte" xfId="2375" builtinId="8" hidden="1"/>
    <cellStyle name="Lien hypertexte" xfId="2377" builtinId="8" hidden="1"/>
    <cellStyle name="Lien hypertexte" xfId="2379" builtinId="8" hidden="1"/>
    <cellStyle name="Lien hypertexte" xfId="2381" builtinId="8" hidden="1"/>
    <cellStyle name="Lien hypertexte" xfId="2383" builtinId="8" hidden="1"/>
    <cellStyle name="Lien hypertexte" xfId="2385" builtinId="8" hidden="1"/>
    <cellStyle name="Lien hypertexte" xfId="2387" builtinId="8" hidden="1"/>
    <cellStyle name="Lien hypertexte" xfId="2389" builtinId="8" hidden="1"/>
    <cellStyle name="Lien hypertexte" xfId="2391" builtinId="8" hidden="1"/>
    <cellStyle name="Lien hypertexte" xfId="2393" builtinId="8" hidden="1"/>
    <cellStyle name="Lien hypertexte" xfId="2395" builtinId="8" hidden="1"/>
    <cellStyle name="Lien hypertexte" xfId="2397" builtinId="8" hidden="1"/>
    <cellStyle name="Lien hypertexte" xfId="2399" builtinId="8" hidden="1"/>
    <cellStyle name="Lien hypertexte" xfId="2401" builtinId="8" hidden="1"/>
    <cellStyle name="Lien hypertexte" xfId="2403" builtinId="8" hidden="1"/>
    <cellStyle name="Lien hypertexte" xfId="2405" builtinId="8" hidden="1"/>
    <cellStyle name="Lien hypertexte" xfId="2407" builtinId="8" hidden="1"/>
    <cellStyle name="Lien hypertexte" xfId="2409" builtinId="8" hidden="1"/>
    <cellStyle name="Lien hypertexte" xfId="2411" builtinId="8" hidden="1"/>
    <cellStyle name="Lien hypertexte" xfId="2413" builtinId="8" hidden="1"/>
    <cellStyle name="Lien hypertexte" xfId="2415" builtinId="8" hidden="1"/>
    <cellStyle name="Lien hypertexte" xfId="2417" builtinId="8" hidden="1"/>
    <cellStyle name="Lien hypertexte" xfId="2419" builtinId="8" hidden="1"/>
    <cellStyle name="Lien hypertexte" xfId="2421" builtinId="8" hidden="1"/>
    <cellStyle name="Lien hypertexte" xfId="2423" builtinId="8" hidden="1"/>
    <cellStyle name="Lien hypertexte" xfId="2425" builtinId="8" hidden="1"/>
    <cellStyle name="Lien hypertexte" xfId="2427" builtinId="8" hidden="1"/>
    <cellStyle name="Lien hypertexte" xfId="2429" builtinId="8" hidden="1"/>
    <cellStyle name="Lien hypertexte" xfId="2431" builtinId="8" hidden="1"/>
    <cellStyle name="Lien hypertexte" xfId="2433" builtinId="8" hidden="1"/>
    <cellStyle name="Lien hypertexte" xfId="2435" builtinId="8" hidden="1"/>
    <cellStyle name="Lien hypertexte" xfId="2437" builtinId="8" hidden="1"/>
    <cellStyle name="Lien hypertexte" xfId="2439" builtinId="8" hidden="1"/>
    <cellStyle name="Lien hypertexte" xfId="2441" builtinId="8" hidden="1"/>
    <cellStyle name="Lien hypertexte" xfId="2443" builtinId="8" hidden="1"/>
    <cellStyle name="Lien hypertexte" xfId="2445" builtinId="8" hidden="1"/>
    <cellStyle name="Lien hypertexte" xfId="2447" builtinId="8" hidden="1"/>
    <cellStyle name="Lien hypertexte" xfId="2449" builtinId="8" hidden="1"/>
    <cellStyle name="Lien hypertexte" xfId="2451" builtinId="8" hidden="1"/>
    <cellStyle name="Lien hypertexte" xfId="2453" builtinId="8" hidden="1"/>
    <cellStyle name="Lien hypertexte" xfId="2455" builtinId="8" hidden="1"/>
    <cellStyle name="Lien hypertexte" xfId="2457" builtinId="8" hidden="1"/>
    <cellStyle name="Lien hypertexte" xfId="2459" builtinId="8" hidden="1"/>
    <cellStyle name="Lien hypertexte" xfId="2461" builtinId="8" hidden="1"/>
    <cellStyle name="Lien hypertexte" xfId="2463" builtinId="8" hidden="1"/>
    <cellStyle name="Lien hypertexte" xfId="2465" builtinId="8" hidden="1"/>
    <cellStyle name="Lien hypertexte" xfId="2467" builtinId="8" hidden="1"/>
    <cellStyle name="Lien hypertexte" xfId="2469" builtinId="8" hidden="1"/>
    <cellStyle name="Lien hypertexte" xfId="2471" builtinId="8" hidden="1"/>
    <cellStyle name="Lien hypertexte" xfId="2473" builtinId="8" hidden="1"/>
    <cellStyle name="Lien hypertexte" xfId="2475" builtinId="8" hidden="1"/>
    <cellStyle name="Lien hypertexte" xfId="2477" builtinId="8" hidden="1"/>
    <cellStyle name="Lien hypertexte" xfId="2479" builtinId="8" hidden="1"/>
    <cellStyle name="Lien hypertexte" xfId="2481" builtinId="8" hidden="1"/>
    <cellStyle name="Lien hypertexte" xfId="2483" builtinId="8" hidden="1"/>
    <cellStyle name="Lien hypertexte" xfId="2485" builtinId="8" hidden="1"/>
    <cellStyle name="Lien hypertexte" xfId="2487" builtinId="8" hidden="1"/>
    <cellStyle name="Lien hypertexte" xfId="2489" builtinId="8" hidden="1"/>
    <cellStyle name="Lien hypertexte" xfId="2491" builtinId="8" hidden="1"/>
    <cellStyle name="Lien hypertexte" xfId="2493" builtinId="8" hidden="1"/>
    <cellStyle name="Lien hypertexte" xfId="2495" builtinId="8" hidden="1"/>
    <cellStyle name="Lien hypertexte" xfId="2497" builtinId="8" hidden="1"/>
    <cellStyle name="Lien hypertexte" xfId="2499" builtinId="8" hidden="1"/>
    <cellStyle name="Lien hypertexte" xfId="2501" builtinId="8" hidden="1"/>
    <cellStyle name="Lien hypertexte" xfId="2503" builtinId="8" hidden="1"/>
    <cellStyle name="Lien hypertexte" xfId="2505" builtinId="8" hidden="1"/>
    <cellStyle name="Lien hypertexte" xfId="2507" builtinId="8" hidden="1"/>
    <cellStyle name="Lien hypertexte" xfId="2509" builtinId="8" hidden="1"/>
    <cellStyle name="Lien hypertexte" xfId="2511" builtinId="8" hidden="1"/>
    <cellStyle name="Lien hypertexte" xfId="2513" builtinId="8" hidden="1"/>
    <cellStyle name="Lien hypertexte" xfId="2515" builtinId="8" hidden="1"/>
    <cellStyle name="Lien hypertexte" xfId="2517" builtinId="8" hidden="1"/>
    <cellStyle name="Lien hypertexte" xfId="2519" builtinId="8" hidden="1"/>
    <cellStyle name="Lien hypertexte" xfId="2521" builtinId="8" hidden="1"/>
    <cellStyle name="Lien hypertexte" xfId="2523" builtinId="8" hidden="1"/>
    <cellStyle name="Lien hypertexte" xfId="2525" builtinId="8" hidden="1"/>
    <cellStyle name="Lien hypertexte" xfId="2527" builtinId="8" hidden="1"/>
    <cellStyle name="Lien hypertexte" xfId="2529" builtinId="8" hidden="1"/>
    <cellStyle name="Lien hypertexte" xfId="2531" builtinId="8" hidden="1"/>
    <cellStyle name="Lien hypertexte" xfId="2533" builtinId="8" hidden="1"/>
    <cellStyle name="Lien hypertexte" xfId="2535" builtinId="8" hidden="1"/>
    <cellStyle name="Lien hypertexte" xfId="2537" builtinId="8" hidden="1"/>
    <cellStyle name="Lien hypertexte" xfId="2539" builtinId="8" hidden="1"/>
    <cellStyle name="Lien hypertexte" xfId="2541" builtinId="8" hidden="1"/>
    <cellStyle name="Lien hypertexte" xfId="2543" builtinId="8" hidden="1"/>
    <cellStyle name="Lien hypertexte" xfId="2545" builtinId="8" hidden="1"/>
    <cellStyle name="Lien hypertexte" xfId="2547" builtinId="8" hidden="1"/>
    <cellStyle name="Lien hypertexte" xfId="2549" builtinId="8" hidden="1"/>
    <cellStyle name="Lien hypertexte" xfId="2551" builtinId="8" hidden="1"/>
    <cellStyle name="Lien hypertexte" xfId="2553" builtinId="8" hidden="1"/>
    <cellStyle name="Lien hypertexte" xfId="2555" builtinId="8" hidden="1"/>
    <cellStyle name="Lien hypertexte" xfId="2557" builtinId="8" hidden="1"/>
    <cellStyle name="Lien hypertexte" xfId="2559" builtinId="8" hidden="1"/>
    <cellStyle name="Lien hypertexte" xfId="2561" builtinId="8" hidden="1"/>
    <cellStyle name="Lien hypertexte" xfId="2563" builtinId="8" hidden="1"/>
    <cellStyle name="Lien hypertexte" xfId="2565" builtinId="8" hidden="1"/>
    <cellStyle name="Lien hypertexte" xfId="2567" builtinId="8" hidden="1"/>
    <cellStyle name="Lien hypertexte" xfId="2569" builtinId="8" hidden="1"/>
    <cellStyle name="Lien hypertexte" xfId="2571" builtinId="8" hidden="1"/>
    <cellStyle name="Lien hypertexte" xfId="2573" builtinId="8" hidden="1"/>
    <cellStyle name="Lien hypertexte" xfId="2575" builtinId="8" hidden="1"/>
    <cellStyle name="Lien hypertexte" xfId="2577" builtinId="8" hidden="1"/>
    <cellStyle name="Lien hypertexte" xfId="2579" builtinId="8" hidden="1"/>
    <cellStyle name="Lien hypertexte" xfId="2581" builtinId="8" hidden="1"/>
    <cellStyle name="Lien hypertexte" xfId="2583" builtinId="8" hidden="1"/>
    <cellStyle name="Lien hypertexte" xfId="2585" builtinId="8" hidden="1"/>
    <cellStyle name="Lien hypertexte" xfId="2587" builtinId="8" hidden="1"/>
    <cellStyle name="Lien hypertexte" xfId="2589" builtinId="8" hidden="1"/>
    <cellStyle name="Lien hypertexte" xfId="2591" builtinId="8" hidden="1"/>
    <cellStyle name="Lien hypertexte" xfId="2593" builtinId="8" hidden="1"/>
    <cellStyle name="Lien hypertexte" xfId="2595" builtinId="8" hidden="1"/>
    <cellStyle name="Lien hypertexte" xfId="2597" builtinId="8" hidden="1"/>
    <cellStyle name="Lien hypertexte" xfId="2599" builtinId="8" hidden="1"/>
    <cellStyle name="Lien hypertexte" xfId="2601" builtinId="8" hidden="1"/>
    <cellStyle name="Lien hypertexte" xfId="2603" builtinId="8" hidden="1"/>
    <cellStyle name="Lien hypertexte" xfId="2605" builtinId="8" hidden="1"/>
    <cellStyle name="Lien hypertexte" xfId="2607" builtinId="8" hidden="1"/>
    <cellStyle name="Lien hypertexte" xfId="2609" builtinId="8" hidden="1"/>
    <cellStyle name="Lien hypertexte" xfId="2611" builtinId="8" hidden="1"/>
    <cellStyle name="Lien hypertexte" xfId="2613" builtinId="8" hidden="1"/>
    <cellStyle name="Lien hypertexte" xfId="2615" builtinId="8" hidden="1"/>
    <cellStyle name="Lien hypertexte" xfId="2617" builtinId="8" hidden="1"/>
    <cellStyle name="Lien hypertexte" xfId="2619" builtinId="8" hidden="1"/>
    <cellStyle name="Lien hypertexte" xfId="2621" builtinId="8" hidden="1"/>
    <cellStyle name="Lien hypertexte" xfId="2623" builtinId="8" hidden="1"/>
    <cellStyle name="Lien hypertexte" xfId="2625" builtinId="8" hidden="1"/>
    <cellStyle name="Lien hypertexte" xfId="2627" builtinId="8" hidden="1"/>
    <cellStyle name="Lien hypertexte" xfId="2629" builtinId="8" hidden="1"/>
    <cellStyle name="Lien hypertexte" xfId="2631" builtinId="8" hidden="1"/>
    <cellStyle name="Lien hypertexte" xfId="2633" builtinId="8" hidden="1"/>
    <cellStyle name="Lien hypertexte" xfId="2635" builtinId="8" hidden="1"/>
    <cellStyle name="Lien hypertexte" xfId="2637" builtinId="8" hidden="1"/>
    <cellStyle name="Lien hypertexte" xfId="2639" builtinId="8" hidden="1"/>
    <cellStyle name="Lien hypertexte" xfId="2641" builtinId="8" hidden="1"/>
    <cellStyle name="Lien hypertexte" xfId="2643" builtinId="8" hidden="1"/>
    <cellStyle name="Lien hypertexte" xfId="2645" builtinId="8" hidden="1"/>
    <cellStyle name="Lien hypertexte" xfId="2647" builtinId="8" hidden="1"/>
    <cellStyle name="Lien hypertexte" xfId="2649" builtinId="8" hidden="1"/>
    <cellStyle name="Lien hypertexte" xfId="2651" builtinId="8" hidden="1"/>
    <cellStyle name="Lien hypertexte" xfId="2653" builtinId="8" hidden="1"/>
    <cellStyle name="Lien hypertexte" xfId="2655" builtinId="8" hidden="1"/>
    <cellStyle name="Lien hypertexte" xfId="2657" builtinId="8" hidden="1"/>
    <cellStyle name="Lien hypertexte" xfId="2659" builtinId="8" hidden="1"/>
    <cellStyle name="Lien hypertexte" xfId="2661" builtinId="8" hidden="1"/>
    <cellStyle name="Lien hypertexte" xfId="2663" builtinId="8" hidden="1"/>
    <cellStyle name="Lien hypertexte" xfId="2665" builtinId="8" hidden="1"/>
    <cellStyle name="Lien hypertexte" xfId="2667" builtinId="8" hidden="1"/>
    <cellStyle name="Lien hypertexte" xfId="2669" builtinId="8" hidden="1"/>
    <cellStyle name="Lien hypertexte" xfId="2671" builtinId="8" hidden="1"/>
    <cellStyle name="Lien hypertexte" xfId="2673" builtinId="8" hidden="1"/>
    <cellStyle name="Lien hypertexte" xfId="2675" builtinId="8" hidden="1"/>
    <cellStyle name="Lien hypertexte" xfId="2677" builtinId="8" hidden="1"/>
    <cellStyle name="Lien hypertexte" xfId="2679" builtinId="8" hidden="1"/>
    <cellStyle name="Lien hypertexte" xfId="2681" builtinId="8" hidden="1"/>
    <cellStyle name="Lien hypertexte" xfId="2683" builtinId="8" hidden="1"/>
    <cellStyle name="Lien hypertexte" xfId="2685" builtinId="8" hidden="1"/>
    <cellStyle name="Lien hypertexte" xfId="2687" builtinId="8" hidden="1"/>
    <cellStyle name="Lien hypertexte" xfId="2689" builtinId="8" hidden="1"/>
    <cellStyle name="Lien hypertexte" xfId="2691" builtinId="8" hidden="1"/>
    <cellStyle name="Lien hypertexte" xfId="2693" builtinId="8" hidden="1"/>
    <cellStyle name="Lien hypertexte" xfId="2695" builtinId="8" hidden="1"/>
    <cellStyle name="Lien hypertexte" xfId="2697" builtinId="8" hidden="1"/>
    <cellStyle name="Lien hypertexte" xfId="2699" builtinId="8" hidden="1"/>
    <cellStyle name="Lien hypertexte" xfId="2701" builtinId="8" hidden="1"/>
    <cellStyle name="Lien hypertexte" xfId="2703" builtinId="8" hidden="1"/>
    <cellStyle name="Lien hypertexte" xfId="2705" builtinId="8" hidden="1"/>
    <cellStyle name="Lien hypertexte" xfId="2707" builtinId="8" hidden="1"/>
    <cellStyle name="Lien hypertexte" xfId="2709" builtinId="8" hidden="1"/>
    <cellStyle name="Lien hypertexte" xfId="2711" builtinId="8" hidden="1"/>
    <cellStyle name="Lien hypertexte" xfId="2713" builtinId="8" hidden="1"/>
    <cellStyle name="Lien hypertexte" xfId="2715" builtinId="8" hidden="1"/>
    <cellStyle name="Lien hypertexte" xfId="2717" builtinId="8" hidden="1"/>
    <cellStyle name="Lien hypertexte" xfId="2719" builtinId="8" hidden="1"/>
    <cellStyle name="Lien hypertexte" xfId="2721" builtinId="8" hidden="1"/>
    <cellStyle name="Lien hypertexte" xfId="2723" builtinId="8" hidden="1"/>
    <cellStyle name="Lien hypertexte" xfId="2725" builtinId="8" hidden="1"/>
    <cellStyle name="Lien hypertexte" xfId="2727" builtinId="8" hidden="1"/>
    <cellStyle name="Lien hypertexte" xfId="2729" builtinId="8" hidden="1"/>
    <cellStyle name="Lien hypertexte" xfId="2731" builtinId="8" hidden="1"/>
    <cellStyle name="Lien hypertexte" xfId="2733" builtinId="8" hidden="1"/>
    <cellStyle name="Lien hypertexte" xfId="2735" builtinId="8" hidden="1"/>
    <cellStyle name="Lien hypertexte" xfId="2737" builtinId="8" hidden="1"/>
    <cellStyle name="Lien hypertexte" xfId="2739" builtinId="8" hidden="1"/>
    <cellStyle name="Lien hypertexte" xfId="2741" builtinId="8" hidden="1"/>
    <cellStyle name="Lien hypertexte" xfId="2743" builtinId="8" hidden="1"/>
    <cellStyle name="Lien hypertexte" xfId="2745" builtinId="8" hidden="1"/>
    <cellStyle name="Lien hypertexte" xfId="2747" builtinId="8" hidden="1"/>
    <cellStyle name="Lien hypertexte" xfId="2749" builtinId="8" hidden="1"/>
    <cellStyle name="Lien hypertexte" xfId="2751" builtinId="8" hidden="1"/>
    <cellStyle name="Lien hypertexte" xfId="2753" builtinId="8" hidden="1"/>
    <cellStyle name="Lien hypertexte" xfId="2755" builtinId="8" hidden="1"/>
    <cellStyle name="Lien hypertexte" xfId="2757" builtinId="8" hidden="1"/>
    <cellStyle name="Lien hypertexte" xfId="2759" builtinId="8" hidden="1"/>
    <cellStyle name="Lien hypertexte" xfId="2761" builtinId="8" hidden="1"/>
    <cellStyle name="Lien hypertexte" xfId="2763" builtinId="8" hidden="1"/>
    <cellStyle name="Lien hypertexte" xfId="2765" builtinId="8" hidden="1"/>
    <cellStyle name="Lien hypertexte" xfId="2767" builtinId="8" hidden="1"/>
    <cellStyle name="Lien hypertexte" xfId="2769" builtinId="8" hidden="1"/>
    <cellStyle name="Lien hypertexte" xfId="2771" builtinId="8" hidden="1"/>
    <cellStyle name="Lien hypertexte" xfId="2773" builtinId="8" hidden="1"/>
    <cellStyle name="Lien hypertexte" xfId="2775" builtinId="8" hidden="1"/>
    <cellStyle name="Lien hypertexte" xfId="2777" builtinId="8" hidden="1"/>
    <cellStyle name="Lien hypertexte" xfId="2779" builtinId="8" hidden="1"/>
    <cellStyle name="Lien hypertexte" xfId="2781" builtinId="8" hidden="1"/>
    <cellStyle name="Lien hypertexte" xfId="2783" builtinId="8" hidden="1"/>
    <cellStyle name="Lien hypertexte" xfId="2785" builtinId="8" hidden="1"/>
    <cellStyle name="Lien hypertexte" xfId="2787" builtinId="8" hidden="1"/>
    <cellStyle name="Lien hypertexte" xfId="2789" builtinId="8" hidden="1"/>
    <cellStyle name="Lien hypertexte" xfId="2791" builtinId="8" hidden="1"/>
    <cellStyle name="Lien hypertexte" xfId="2793" builtinId="8" hidden="1"/>
    <cellStyle name="Lien hypertexte" xfId="2795" builtinId="8" hidden="1"/>
    <cellStyle name="Lien hypertexte" xfId="2797" builtinId="8" hidden="1"/>
    <cellStyle name="Lien hypertexte" xfId="2799" builtinId="8" hidden="1"/>
    <cellStyle name="Lien hypertexte" xfId="2801" builtinId="8" hidden="1"/>
    <cellStyle name="Lien hypertexte" xfId="2803" builtinId="8" hidden="1"/>
    <cellStyle name="Lien hypertexte" xfId="2805" builtinId="8" hidden="1"/>
    <cellStyle name="Lien hypertexte" xfId="2807" builtinId="8" hidden="1"/>
    <cellStyle name="Lien hypertexte" xfId="2809" builtinId="8" hidden="1"/>
    <cellStyle name="Lien hypertexte" xfId="2811" builtinId="8" hidden="1"/>
    <cellStyle name="Lien hypertexte" xfId="2813" builtinId="8" hidden="1"/>
    <cellStyle name="Lien hypertexte" xfId="2815" builtinId="8" hidden="1"/>
    <cellStyle name="Lien hypertexte" xfId="2817" builtinId="8" hidden="1"/>
    <cellStyle name="Lien hypertexte" xfId="2819" builtinId="8" hidden="1"/>
    <cellStyle name="Lien hypertexte" xfId="2821" builtinId="8" hidden="1"/>
    <cellStyle name="Lien hypertexte" xfId="2823" builtinId="8" hidden="1"/>
    <cellStyle name="Lien hypertexte" xfId="2825" builtinId="8" hidden="1"/>
    <cellStyle name="Lien hypertexte" xfId="2827" builtinId="8" hidden="1"/>
    <cellStyle name="Lien hypertexte" xfId="2829" builtinId="8" hidden="1"/>
    <cellStyle name="Lien hypertexte" xfId="2831" builtinId="8" hidden="1"/>
    <cellStyle name="Lien hypertexte" xfId="2833" builtinId="8" hidden="1"/>
    <cellStyle name="Lien hypertexte" xfId="2835" builtinId="8" hidden="1"/>
    <cellStyle name="Lien hypertexte" xfId="2837" builtinId="8" hidden="1"/>
    <cellStyle name="Lien hypertexte" xfId="2839" builtinId="8" hidden="1"/>
    <cellStyle name="Lien hypertexte" xfId="2841" builtinId="8" hidden="1"/>
    <cellStyle name="Lien hypertexte" xfId="2843" builtinId="8" hidden="1"/>
    <cellStyle name="Lien hypertexte" xfId="2845" builtinId="8" hidden="1"/>
    <cellStyle name="Lien hypertexte" xfId="2847" builtinId="8" hidden="1"/>
    <cellStyle name="Lien hypertexte" xfId="2849" builtinId="8" hidden="1"/>
    <cellStyle name="Lien hypertexte" xfId="2851" builtinId="8" hidden="1"/>
    <cellStyle name="Lien hypertexte" xfId="2853" builtinId="8" hidden="1"/>
    <cellStyle name="Lien hypertexte" xfId="2855" builtinId="8" hidden="1"/>
    <cellStyle name="Lien hypertexte" xfId="2857" builtinId="8" hidden="1"/>
    <cellStyle name="Lien hypertexte" xfId="2859" builtinId="8" hidden="1"/>
    <cellStyle name="Lien hypertexte" xfId="2861" builtinId="8" hidden="1"/>
    <cellStyle name="Lien hypertexte" xfId="2863" builtinId="8" hidden="1"/>
    <cellStyle name="Lien hypertexte" xfId="2865" builtinId="8" hidden="1"/>
    <cellStyle name="Lien hypertexte" xfId="2867" builtinId="8" hidden="1"/>
    <cellStyle name="Lien hypertexte" xfId="2869" builtinId="8" hidden="1"/>
    <cellStyle name="Lien hypertexte" xfId="2871" builtinId="8" hidden="1"/>
    <cellStyle name="Lien hypertexte" xfId="2873" builtinId="8" hidden="1"/>
    <cellStyle name="Lien hypertexte" xfId="2875" builtinId="8" hidden="1"/>
    <cellStyle name="Lien hypertexte" xfId="2877" builtinId="8" hidden="1"/>
    <cellStyle name="Lien hypertexte" xfId="2879" builtinId="8" hidden="1"/>
    <cellStyle name="Lien hypertexte" xfId="2881" builtinId="8" hidden="1"/>
    <cellStyle name="Lien hypertexte" xfId="2883" builtinId="8" hidden="1"/>
    <cellStyle name="Lien hypertexte" xfId="2885" builtinId="8" hidden="1"/>
    <cellStyle name="Lien hypertexte" xfId="2887" builtinId="8" hidden="1"/>
    <cellStyle name="Lien hypertexte" xfId="2889" builtinId="8" hidden="1"/>
    <cellStyle name="Lien hypertexte" xfId="2891" builtinId="8" hidden="1"/>
    <cellStyle name="Lien hypertexte" xfId="2893" builtinId="8" hidden="1"/>
    <cellStyle name="Lien hypertexte" xfId="2895" builtinId="8" hidden="1"/>
    <cellStyle name="Lien hypertexte" xfId="2897" builtinId="8" hidden="1"/>
    <cellStyle name="Lien hypertexte" xfId="2899" builtinId="8" hidden="1"/>
    <cellStyle name="Lien hypertexte" xfId="2901" builtinId="8" hidden="1"/>
    <cellStyle name="Lien hypertexte" xfId="2903" builtinId="8" hidden="1"/>
    <cellStyle name="Lien hypertexte" xfId="2905" builtinId="8" hidden="1"/>
    <cellStyle name="Lien hypertexte" xfId="2907" builtinId="8" hidden="1"/>
    <cellStyle name="Lien hypertexte" xfId="2909" builtinId="8" hidden="1"/>
    <cellStyle name="Lien hypertexte" xfId="2911" builtinId="8" hidden="1"/>
    <cellStyle name="Lien hypertexte" xfId="2913" builtinId="8" hidden="1"/>
    <cellStyle name="Lien hypertexte" xfId="2915" builtinId="8" hidden="1"/>
    <cellStyle name="Lien hypertexte" xfId="2917" builtinId="8" hidden="1"/>
    <cellStyle name="Lien hypertexte" xfId="2919" builtinId="8" hidden="1"/>
    <cellStyle name="Lien hypertexte" xfId="2921" builtinId="8" hidden="1"/>
    <cellStyle name="Lien hypertexte" xfId="2923" builtinId="8" hidden="1"/>
    <cellStyle name="Lien hypertexte" xfId="2925" builtinId="8" hidden="1"/>
    <cellStyle name="Lien hypertexte" xfId="2927" builtinId="8" hidden="1"/>
    <cellStyle name="Lien hypertexte" xfId="2929" builtinId="8" hidden="1"/>
    <cellStyle name="Lien hypertexte" xfId="2931" builtinId="8" hidden="1"/>
    <cellStyle name="Lien hypertexte" xfId="2933" builtinId="8" hidden="1"/>
    <cellStyle name="Lien hypertexte" xfId="2935" builtinId="8" hidden="1"/>
    <cellStyle name="Lien hypertexte" xfId="2937" builtinId="8" hidden="1"/>
    <cellStyle name="Lien hypertexte" xfId="2939" builtinId="8" hidden="1"/>
    <cellStyle name="Lien hypertexte" xfId="2941" builtinId="8" hidden="1"/>
    <cellStyle name="Lien hypertexte" xfId="2943" builtinId="8" hidden="1"/>
    <cellStyle name="Lien hypertexte" xfId="2945" builtinId="8" hidden="1"/>
    <cellStyle name="Lien hypertexte" xfId="2947" builtinId="8" hidden="1"/>
    <cellStyle name="Lien hypertexte" xfId="2949" builtinId="8" hidden="1"/>
    <cellStyle name="Lien hypertexte" xfId="2951" builtinId="8" hidden="1"/>
    <cellStyle name="Lien hypertexte" xfId="2953" builtinId="8" hidden="1"/>
    <cellStyle name="Lien hypertexte" xfId="2955" builtinId="8" hidden="1"/>
    <cellStyle name="Lien hypertexte" xfId="2957" builtinId="8" hidden="1"/>
    <cellStyle name="Lien hypertexte" xfId="2959" builtinId="8" hidden="1"/>
    <cellStyle name="Lien hypertexte" xfId="2961" builtinId="8" hidden="1"/>
    <cellStyle name="Lien hypertexte" xfId="2963" builtinId="8" hidden="1"/>
    <cellStyle name="Lien hypertexte" xfId="2965" builtinId="8" hidden="1"/>
    <cellStyle name="Lien hypertexte" xfId="2967" builtinId="8" hidden="1"/>
    <cellStyle name="Lien hypertexte" xfId="2969" builtinId="8" hidden="1"/>
    <cellStyle name="Lien hypertexte" xfId="2971" builtinId="8" hidden="1"/>
    <cellStyle name="Lien hypertexte" xfId="2973" builtinId="8" hidden="1"/>
    <cellStyle name="Lien hypertexte" xfId="2975" builtinId="8" hidden="1"/>
    <cellStyle name="Lien hypertexte" xfId="2977" builtinId="8" hidden="1"/>
    <cellStyle name="Lien hypertexte" xfId="2979" builtinId="8" hidden="1"/>
    <cellStyle name="Lien hypertexte" xfId="2981" builtinId="8" hidden="1"/>
    <cellStyle name="Lien hypertexte" xfId="2983" builtinId="8" hidden="1"/>
    <cellStyle name="Lien hypertexte" xfId="2985" builtinId="8" hidden="1"/>
    <cellStyle name="Lien hypertexte" xfId="2987" builtinId="8" hidden="1"/>
    <cellStyle name="Lien hypertexte" xfId="2989" builtinId="8" hidden="1"/>
    <cellStyle name="Lien hypertexte" xfId="2991" builtinId="8" hidden="1"/>
    <cellStyle name="Lien hypertexte" xfId="2993" builtinId="8" hidden="1"/>
    <cellStyle name="Lien hypertexte" xfId="2995" builtinId="8" hidden="1"/>
    <cellStyle name="Lien hypertexte" xfId="2997" builtinId="8" hidden="1"/>
    <cellStyle name="Lien hypertexte" xfId="2999" builtinId="8" hidden="1"/>
    <cellStyle name="Lien hypertexte" xfId="3001" builtinId="8" hidden="1"/>
    <cellStyle name="Lien hypertexte" xfId="3003" builtinId="8" hidden="1"/>
    <cellStyle name="Lien hypertexte" xfId="3005" builtinId="8" hidden="1"/>
    <cellStyle name="Lien hypertexte" xfId="3007" builtinId="8" hidden="1"/>
    <cellStyle name="Lien hypertexte" xfId="3009" builtinId="8" hidden="1"/>
    <cellStyle name="Lien hypertexte" xfId="3011" builtinId="8" hidden="1"/>
    <cellStyle name="Lien hypertexte" xfId="3013" builtinId="8" hidden="1"/>
    <cellStyle name="Lien hypertexte" xfId="3015" builtinId="8" hidden="1"/>
    <cellStyle name="Lien hypertexte" xfId="3017" builtinId="8" hidden="1"/>
    <cellStyle name="Lien hypertexte" xfId="3019" builtinId="8" hidden="1"/>
    <cellStyle name="Lien hypertexte" xfId="3021" builtinId="8" hidden="1"/>
    <cellStyle name="Lien hypertexte" xfId="3023" builtinId="8" hidden="1"/>
    <cellStyle name="Lien hypertexte" xfId="3025" builtinId="8" hidden="1"/>
    <cellStyle name="Lien hypertexte" xfId="3027" builtinId="8" hidden="1"/>
    <cellStyle name="Lien hypertexte" xfId="3029" builtinId="8" hidden="1"/>
    <cellStyle name="Lien hypertexte" xfId="3031" builtinId="8" hidden="1"/>
    <cellStyle name="Lien hypertexte" xfId="3033" builtinId="8" hidden="1"/>
    <cellStyle name="Lien hypertexte" xfId="3035" builtinId="8" hidden="1"/>
    <cellStyle name="Lien hypertexte" xfId="3037" builtinId="8" hidden="1"/>
    <cellStyle name="Lien hypertexte" xfId="3039" builtinId="8" hidden="1"/>
    <cellStyle name="Lien hypertexte" xfId="3041" builtinId="8" hidden="1"/>
    <cellStyle name="Lien hypertexte" xfId="3043" builtinId="8" hidden="1"/>
    <cellStyle name="Lien hypertexte" xfId="3045" builtinId="8" hidden="1"/>
    <cellStyle name="Lien hypertexte" xfId="3047" builtinId="8" hidden="1"/>
    <cellStyle name="Lien hypertexte" xfId="3049" builtinId="8" hidden="1"/>
    <cellStyle name="Lien hypertexte" xfId="3051" builtinId="8" hidden="1"/>
    <cellStyle name="Lien hypertexte" xfId="3053" builtinId="8" hidden="1"/>
    <cellStyle name="Lien hypertexte" xfId="3055" builtinId="8" hidden="1"/>
    <cellStyle name="Lien hypertexte" xfId="3057" builtinId="8" hidden="1"/>
    <cellStyle name="Lien hypertexte" xfId="3059" builtinId="8" hidden="1"/>
    <cellStyle name="Lien hypertexte" xfId="3061" builtinId="8" hidden="1"/>
    <cellStyle name="Lien hypertexte" xfId="3063" builtinId="8" hidden="1"/>
    <cellStyle name="Lien hypertexte" xfId="3065" builtinId="8" hidden="1"/>
    <cellStyle name="Lien hypertexte" xfId="3067" builtinId="8" hidden="1"/>
    <cellStyle name="Lien hypertexte" xfId="3069" builtinId="8" hidden="1"/>
    <cellStyle name="Lien hypertexte" xfId="3071" builtinId="8" hidden="1"/>
    <cellStyle name="Lien hypertexte" xfId="3073" builtinId="8" hidden="1"/>
    <cellStyle name="Lien hypertexte" xfId="3075" builtinId="8" hidden="1"/>
    <cellStyle name="Lien hypertexte" xfId="3077" builtinId="8" hidden="1"/>
    <cellStyle name="Lien hypertexte" xfId="3079" builtinId="8" hidden="1"/>
    <cellStyle name="Lien hypertexte" xfId="3081" builtinId="8" hidden="1"/>
    <cellStyle name="Lien hypertexte" xfId="3083" builtinId="8" hidden="1"/>
    <cellStyle name="Lien hypertexte" xfId="3085" builtinId="8" hidden="1"/>
    <cellStyle name="Lien hypertexte" xfId="3087" builtinId="8" hidden="1"/>
    <cellStyle name="Lien hypertexte" xfId="3089" builtinId="8" hidden="1"/>
    <cellStyle name="Lien hypertexte" xfId="3091" builtinId="8" hidden="1"/>
    <cellStyle name="Lien hypertexte" xfId="3093" builtinId="8" hidden="1"/>
    <cellStyle name="Lien hypertexte" xfId="3095" builtinId="8" hidden="1"/>
    <cellStyle name="Lien hypertexte" xfId="3097" builtinId="8" hidden="1"/>
    <cellStyle name="Lien hypertexte" xfId="3099" builtinId="8" hidden="1"/>
    <cellStyle name="Lien hypertexte" xfId="3101" builtinId="8" hidden="1"/>
    <cellStyle name="Lien hypertexte" xfId="3103" builtinId="8" hidden="1"/>
    <cellStyle name="Lien hypertexte" xfId="3105" builtinId="8" hidden="1"/>
    <cellStyle name="Lien hypertexte" xfId="3107" builtinId="8" hidden="1"/>
    <cellStyle name="Lien hypertexte" xfId="3109" builtinId="8" hidden="1"/>
    <cellStyle name="Lien hypertexte" xfId="3111" builtinId="8" hidden="1"/>
    <cellStyle name="Lien hypertexte" xfId="3113" builtinId="8" hidden="1"/>
    <cellStyle name="Lien hypertexte" xfId="3115" builtinId="8" hidden="1"/>
    <cellStyle name="Lien hypertexte" xfId="3117" builtinId="8" hidden="1"/>
    <cellStyle name="Lien hypertexte" xfId="3119" builtinId="8" hidden="1"/>
    <cellStyle name="Lien hypertexte" xfId="3121" builtinId="8" hidden="1"/>
    <cellStyle name="Lien hypertexte" xfId="3123" builtinId="8" hidden="1"/>
    <cellStyle name="Lien hypertexte" xfId="3125" builtinId="8" hidden="1"/>
    <cellStyle name="Lien hypertexte" xfId="3127" builtinId="8" hidden="1"/>
    <cellStyle name="Lien hypertexte" xfId="3129" builtinId="8" hidden="1"/>
    <cellStyle name="Lien hypertexte" xfId="3131" builtinId="8" hidden="1"/>
    <cellStyle name="Lien hypertexte" xfId="3133" builtinId="8" hidden="1"/>
    <cellStyle name="Lien hypertexte" xfId="3135" builtinId="8" hidden="1"/>
    <cellStyle name="Lien hypertexte" xfId="3137" builtinId="8" hidden="1"/>
    <cellStyle name="Lien hypertexte" xfId="3139" builtinId="8" hidden="1"/>
    <cellStyle name="Lien hypertexte" xfId="3141" builtinId="8" hidden="1"/>
    <cellStyle name="Lien hypertexte" xfId="3143" builtinId="8" hidden="1"/>
    <cellStyle name="Lien hypertexte" xfId="3145" builtinId="8" hidden="1"/>
    <cellStyle name="Lien hypertexte" xfId="3147" builtinId="8" hidden="1"/>
    <cellStyle name="Lien hypertexte" xfId="3149" builtinId="8" hidden="1"/>
    <cellStyle name="Lien hypertexte" xfId="3151" builtinId="8" hidden="1"/>
    <cellStyle name="Lien hypertexte" xfId="3153" builtinId="8" hidden="1"/>
    <cellStyle name="Lien hypertexte" xfId="3155" builtinId="8" hidden="1"/>
    <cellStyle name="Lien hypertexte" xfId="3157" builtinId="8" hidden="1"/>
    <cellStyle name="Lien hypertexte" xfId="3159" builtinId="8" hidden="1"/>
    <cellStyle name="Lien hypertexte" xfId="3161" builtinId="8" hidden="1"/>
    <cellStyle name="Lien hypertexte" xfId="3163" builtinId="8" hidden="1"/>
    <cellStyle name="Lien hypertexte" xfId="3165" builtinId="8" hidden="1"/>
    <cellStyle name="Lien hypertexte" xfId="3167" builtinId="8" hidden="1"/>
    <cellStyle name="Lien hypertexte" xfId="3169" builtinId="8" hidden="1"/>
    <cellStyle name="Lien hypertexte" xfId="3171" builtinId="8" hidden="1"/>
    <cellStyle name="Lien hypertexte" xfId="3173" builtinId="8" hidden="1"/>
    <cellStyle name="Lien hypertexte" xfId="3175" builtinId="8" hidden="1"/>
    <cellStyle name="Lien hypertexte" xfId="3177" builtinId="8" hidden="1"/>
    <cellStyle name="Lien hypertexte" xfId="3179" builtinId="8" hidden="1"/>
    <cellStyle name="Lien hypertexte" xfId="3181" builtinId="8" hidden="1"/>
    <cellStyle name="Lien hypertexte" xfId="3183" builtinId="8" hidden="1"/>
    <cellStyle name="Lien hypertexte" xfId="3185" builtinId="8" hidden="1"/>
    <cellStyle name="Lien hypertexte" xfId="3187" builtinId="8" hidden="1"/>
    <cellStyle name="Lien hypertexte" xfId="3189" builtinId="8" hidden="1"/>
    <cellStyle name="Lien hypertexte" xfId="3191" builtinId="8" hidden="1"/>
    <cellStyle name="Lien hypertexte" xfId="3193" builtinId="8" hidden="1"/>
    <cellStyle name="Lien hypertexte" xfId="3195" builtinId="8" hidden="1"/>
    <cellStyle name="Lien hypertexte" xfId="3197" builtinId="8" hidden="1"/>
    <cellStyle name="Lien hypertexte" xfId="3199" builtinId="8" hidden="1"/>
    <cellStyle name="Lien hypertexte" xfId="3201" builtinId="8" hidden="1"/>
    <cellStyle name="Lien hypertexte" xfId="3203" builtinId="8" hidden="1"/>
    <cellStyle name="Lien hypertexte" xfId="3205" builtinId="8" hidden="1"/>
    <cellStyle name="Lien hypertexte" xfId="3207" builtinId="8" hidden="1"/>
    <cellStyle name="Lien hypertexte" xfId="3209" builtinId="8" hidden="1"/>
    <cellStyle name="Lien hypertexte" xfId="3211" builtinId="8" hidden="1"/>
    <cellStyle name="Lien hypertexte" xfId="3213" builtinId="8" hidden="1"/>
    <cellStyle name="Lien hypertexte" xfId="3215" builtinId="8" hidden="1"/>
    <cellStyle name="Lien hypertexte" xfId="3217" builtinId="8" hidden="1"/>
    <cellStyle name="Lien hypertexte" xfId="3219" builtinId="8" hidden="1"/>
    <cellStyle name="Lien hypertexte" xfId="3221" builtinId="8" hidden="1"/>
    <cellStyle name="Lien hypertexte" xfId="3223" builtinId="8" hidden="1"/>
    <cellStyle name="Lien hypertexte" xfId="3225" builtinId="8" hidden="1"/>
    <cellStyle name="Lien hypertexte" xfId="3227" builtinId="8" hidden="1"/>
    <cellStyle name="Lien hypertexte" xfId="3229" builtinId="8" hidden="1"/>
    <cellStyle name="Lien hypertexte" xfId="3231" builtinId="8" hidden="1"/>
    <cellStyle name="Lien hypertexte" xfId="3233" builtinId="8" hidden="1"/>
    <cellStyle name="Lien hypertexte" xfId="3235" builtinId="8" hidden="1"/>
    <cellStyle name="Lien hypertexte" xfId="3237" builtinId="8" hidden="1"/>
    <cellStyle name="Lien hypertexte" xfId="3239" builtinId="8" hidden="1"/>
    <cellStyle name="Lien hypertexte" xfId="3241" builtinId="8" hidden="1"/>
    <cellStyle name="Lien hypertexte" xfId="3243" builtinId="8" hidden="1"/>
    <cellStyle name="Lien hypertexte" xfId="3245" builtinId="8" hidden="1"/>
    <cellStyle name="Lien hypertexte" xfId="3247" builtinId="8" hidden="1"/>
    <cellStyle name="Lien hypertexte" xfId="3249" builtinId="8" hidden="1"/>
    <cellStyle name="Lien hypertexte" xfId="3251" builtinId="8" hidden="1"/>
    <cellStyle name="Lien hypertexte" xfId="3253" builtinId="8" hidden="1"/>
    <cellStyle name="Lien hypertexte" xfId="3255" builtinId="8" hidden="1"/>
    <cellStyle name="Lien hypertexte" xfId="3257" builtinId="8" hidden="1"/>
    <cellStyle name="Lien hypertexte" xfId="3259" builtinId="8" hidden="1"/>
    <cellStyle name="Lien hypertexte" xfId="3261" builtinId="8" hidden="1"/>
    <cellStyle name="Lien hypertexte" xfId="3263" builtinId="8" hidden="1"/>
    <cellStyle name="Lien hypertexte" xfId="3265" builtinId="8" hidden="1"/>
    <cellStyle name="Lien hypertexte" xfId="3267" builtinId="8" hidden="1"/>
    <cellStyle name="Lien hypertexte" xfId="3269" builtinId="8" hidden="1"/>
    <cellStyle name="Lien hypertexte" xfId="3271" builtinId="8" hidden="1"/>
    <cellStyle name="Lien hypertexte" xfId="3273" builtinId="8" hidden="1"/>
    <cellStyle name="Lien hypertexte" xfId="3275" builtinId="8" hidden="1"/>
    <cellStyle name="Lien hypertexte" xfId="3277" builtinId="8" hidden="1"/>
    <cellStyle name="Lien hypertexte" xfId="3279" builtinId="8" hidden="1"/>
    <cellStyle name="Lien hypertexte" xfId="3281" builtinId="8" hidden="1"/>
    <cellStyle name="Lien hypertexte" xfId="3283" builtinId="8" hidden="1"/>
    <cellStyle name="Lien hypertexte" xfId="3285" builtinId="8" hidden="1"/>
    <cellStyle name="Lien hypertexte" xfId="3287" builtinId="8" hidden="1"/>
    <cellStyle name="Lien hypertexte" xfId="3289" builtinId="8" hidden="1"/>
    <cellStyle name="Lien hypertexte" xfId="3291" builtinId="8" hidden="1"/>
    <cellStyle name="Lien hypertexte" xfId="3293" builtinId="8" hidden="1"/>
    <cellStyle name="Lien hypertexte" xfId="3295" builtinId="8" hidden="1"/>
    <cellStyle name="Lien hypertexte" xfId="3297" builtinId="8" hidden="1"/>
    <cellStyle name="Lien hypertexte" xfId="3299" builtinId="8" hidden="1"/>
    <cellStyle name="Lien hypertexte" xfId="3301" builtinId="8" hidden="1"/>
    <cellStyle name="Lien hypertexte" xfId="3303" builtinId="8" hidden="1"/>
    <cellStyle name="Lien hypertexte" xfId="3305" builtinId="8" hidden="1"/>
    <cellStyle name="Lien hypertexte visité" xfId="2" builtinId="9" hidden="1"/>
    <cellStyle name="Lien hypertexte visité" xfId="4" builtinId="9" hidden="1"/>
    <cellStyle name="Lien hypertexte visité" xfId="6" builtinId="9" hidden="1"/>
    <cellStyle name="Lien hypertexte visité" xfId="8" builtinId="9" hidden="1"/>
    <cellStyle name="Lien hypertexte visité" xfId="10" builtinId="9" hidden="1"/>
    <cellStyle name="Lien hypertexte visité" xfId="12" builtinId="9" hidden="1"/>
    <cellStyle name="Lien hypertexte visité" xfId="14" builtinId="9" hidden="1"/>
    <cellStyle name="Lien hypertexte visité" xfId="16" builtinId="9" hidden="1"/>
    <cellStyle name="Lien hypertexte visité" xfId="18" builtinId="9" hidden="1"/>
    <cellStyle name="Lien hypertexte visité" xfId="20" builtinId="9" hidden="1"/>
    <cellStyle name="Lien hypertexte visité" xfId="22" builtinId="9" hidden="1"/>
    <cellStyle name="Lien hypertexte visité" xfId="24" builtinId="9" hidden="1"/>
    <cellStyle name="Lien hypertexte visité" xfId="26" builtinId="9" hidden="1"/>
    <cellStyle name="Lien hypertexte visité" xfId="28" builtinId="9" hidden="1"/>
    <cellStyle name="Lien hypertexte visité" xfId="30" builtinId="9" hidden="1"/>
    <cellStyle name="Lien hypertexte visité" xfId="32" builtinId="9" hidden="1"/>
    <cellStyle name="Lien hypertexte visité" xfId="34" builtinId="9" hidden="1"/>
    <cellStyle name="Lien hypertexte visité" xfId="36" builtinId="9" hidden="1"/>
    <cellStyle name="Lien hypertexte visité" xfId="38" builtinId="9" hidden="1"/>
    <cellStyle name="Lien hypertexte visité" xfId="40" builtinId="9" hidden="1"/>
    <cellStyle name="Lien hypertexte visité" xfId="42" builtinId="9" hidden="1"/>
    <cellStyle name="Lien hypertexte visité" xfId="44" builtinId="9" hidden="1"/>
    <cellStyle name="Lien hypertexte visité" xfId="46" builtinId="9" hidden="1"/>
    <cellStyle name="Lien hypertexte visité" xfId="48" builtinId="9" hidden="1"/>
    <cellStyle name="Lien hypertexte visité" xfId="50" builtinId="9" hidden="1"/>
    <cellStyle name="Lien hypertexte visité" xfId="52" builtinId="9" hidden="1"/>
    <cellStyle name="Lien hypertexte visité" xfId="54" builtinId="9" hidden="1"/>
    <cellStyle name="Lien hypertexte visité" xfId="56" builtinId="9" hidden="1"/>
    <cellStyle name="Lien hypertexte visité" xfId="58" builtinId="9" hidden="1"/>
    <cellStyle name="Lien hypertexte visité" xfId="60" builtinId="9" hidden="1"/>
    <cellStyle name="Lien hypertexte visité" xfId="62" builtinId="9" hidden="1"/>
    <cellStyle name="Lien hypertexte visité" xfId="64" builtinId="9" hidden="1"/>
    <cellStyle name="Lien hypertexte visité" xfId="66" builtinId="9" hidden="1"/>
    <cellStyle name="Lien hypertexte visité" xfId="68" builtinId="9" hidden="1"/>
    <cellStyle name="Lien hypertexte visité" xfId="70" builtinId="9" hidden="1"/>
    <cellStyle name="Lien hypertexte visité" xfId="72" builtinId="9" hidden="1"/>
    <cellStyle name="Lien hypertexte visité" xfId="74" builtinId="9" hidden="1"/>
    <cellStyle name="Lien hypertexte visité" xfId="76" builtinId="9" hidden="1"/>
    <cellStyle name="Lien hypertexte visité" xfId="78" builtinId="9" hidden="1"/>
    <cellStyle name="Lien hypertexte visité" xfId="80" builtinId="9" hidden="1"/>
    <cellStyle name="Lien hypertexte visité" xfId="82" builtinId="9" hidden="1"/>
    <cellStyle name="Lien hypertexte visité" xfId="84" builtinId="9" hidden="1"/>
    <cellStyle name="Lien hypertexte visité" xfId="86" builtinId="9" hidden="1"/>
    <cellStyle name="Lien hypertexte visité" xfId="88" builtinId="9" hidden="1"/>
    <cellStyle name="Lien hypertexte visité" xfId="90" builtinId="9" hidden="1"/>
    <cellStyle name="Lien hypertexte visité" xfId="92" builtinId="9" hidden="1"/>
    <cellStyle name="Lien hypertexte visité" xfId="94" builtinId="9" hidden="1"/>
    <cellStyle name="Lien hypertexte visité" xfId="96" builtinId="9" hidden="1"/>
    <cellStyle name="Lien hypertexte visité" xfId="98" builtinId="9" hidden="1"/>
    <cellStyle name="Lien hypertexte visité" xfId="100" builtinId="9" hidden="1"/>
    <cellStyle name="Lien hypertexte visité" xfId="102" builtinId="9" hidden="1"/>
    <cellStyle name="Lien hypertexte visité" xfId="104" builtinId="9" hidden="1"/>
    <cellStyle name="Lien hypertexte visité" xfId="106" builtinId="9" hidden="1"/>
    <cellStyle name="Lien hypertexte visité" xfId="108" builtinId="9" hidden="1"/>
    <cellStyle name="Lien hypertexte visité" xfId="110" builtinId="9" hidden="1"/>
    <cellStyle name="Lien hypertexte visité" xfId="112" builtinId="9" hidden="1"/>
    <cellStyle name="Lien hypertexte visité" xfId="114" builtinId="9" hidden="1"/>
    <cellStyle name="Lien hypertexte visité" xfId="116" builtinId="9" hidden="1"/>
    <cellStyle name="Lien hypertexte visité" xfId="118" builtinId="9" hidden="1"/>
    <cellStyle name="Lien hypertexte visité" xfId="120" builtinId="9" hidden="1"/>
    <cellStyle name="Lien hypertexte visité" xfId="122" builtinId="9" hidden="1"/>
    <cellStyle name="Lien hypertexte visité" xfId="124" builtinId="9" hidden="1"/>
    <cellStyle name="Lien hypertexte visité" xfId="126" builtinId="9" hidden="1"/>
    <cellStyle name="Lien hypertexte visité" xfId="128" builtinId="9" hidden="1"/>
    <cellStyle name="Lien hypertexte visité" xfId="130" builtinId="9" hidden="1"/>
    <cellStyle name="Lien hypertexte visité" xfId="132" builtinId="9" hidden="1"/>
    <cellStyle name="Lien hypertexte visité" xfId="134" builtinId="9" hidden="1"/>
    <cellStyle name="Lien hypertexte visité" xfId="136" builtinId="9" hidden="1"/>
    <cellStyle name="Lien hypertexte visité" xfId="138" builtinId="9" hidden="1"/>
    <cellStyle name="Lien hypertexte visité" xfId="140" builtinId="9" hidden="1"/>
    <cellStyle name="Lien hypertexte visité" xfId="142" builtinId="9" hidden="1"/>
    <cellStyle name="Lien hypertexte visité" xfId="144" builtinId="9" hidden="1"/>
    <cellStyle name="Lien hypertexte visité" xfId="146" builtinId="9" hidden="1"/>
    <cellStyle name="Lien hypertexte visité" xfId="148" builtinId="9" hidden="1"/>
    <cellStyle name="Lien hypertexte visité" xfId="150" builtinId="9" hidden="1"/>
    <cellStyle name="Lien hypertexte visité" xfId="152" builtinId="9" hidden="1"/>
    <cellStyle name="Lien hypertexte visité" xfId="154" builtinId="9" hidden="1"/>
    <cellStyle name="Lien hypertexte visité" xfId="156" builtinId="9" hidden="1"/>
    <cellStyle name="Lien hypertexte visité" xfId="158" builtinId="9" hidden="1"/>
    <cellStyle name="Lien hypertexte visité" xfId="160" builtinId="9" hidden="1"/>
    <cellStyle name="Lien hypertexte visité" xfId="162" builtinId="9" hidden="1"/>
    <cellStyle name="Lien hypertexte visité" xfId="164" builtinId="9" hidden="1"/>
    <cellStyle name="Lien hypertexte visité" xfId="166" builtinId="9" hidden="1"/>
    <cellStyle name="Lien hypertexte visité" xfId="168" builtinId="9" hidden="1"/>
    <cellStyle name="Lien hypertexte visité" xfId="170" builtinId="9" hidden="1"/>
    <cellStyle name="Lien hypertexte visité" xfId="172" builtinId="9" hidden="1"/>
    <cellStyle name="Lien hypertexte visité" xfId="174" builtinId="9" hidden="1"/>
    <cellStyle name="Lien hypertexte visité" xfId="176" builtinId="9" hidden="1"/>
    <cellStyle name="Lien hypertexte visité" xfId="178" builtinId="9" hidden="1"/>
    <cellStyle name="Lien hypertexte visité" xfId="180" builtinId="9" hidden="1"/>
    <cellStyle name="Lien hypertexte visité" xfId="182" builtinId="9" hidden="1"/>
    <cellStyle name="Lien hypertexte visité" xfId="184" builtinId="9" hidden="1"/>
    <cellStyle name="Lien hypertexte visité" xfId="186" builtinId="9" hidden="1"/>
    <cellStyle name="Lien hypertexte visité" xfId="188" builtinId="9" hidden="1"/>
    <cellStyle name="Lien hypertexte visité" xfId="190" builtinId="9" hidden="1"/>
    <cellStyle name="Lien hypertexte visité" xfId="192" builtinId="9" hidden="1"/>
    <cellStyle name="Lien hypertexte visité" xfId="194" builtinId="9" hidden="1"/>
    <cellStyle name="Lien hypertexte visité" xfId="196" builtinId="9" hidden="1"/>
    <cellStyle name="Lien hypertexte visité" xfId="198" builtinId="9" hidden="1"/>
    <cellStyle name="Lien hypertexte visité" xfId="200" builtinId="9" hidden="1"/>
    <cellStyle name="Lien hypertexte visité" xfId="202" builtinId="9" hidden="1"/>
    <cellStyle name="Lien hypertexte visité" xfId="204" builtinId="9" hidden="1"/>
    <cellStyle name="Lien hypertexte visité" xfId="206" builtinId="9" hidden="1"/>
    <cellStyle name="Lien hypertexte visité" xfId="208" builtinId="9" hidden="1"/>
    <cellStyle name="Lien hypertexte visité" xfId="210" builtinId="9" hidden="1"/>
    <cellStyle name="Lien hypertexte visité" xfId="212" builtinId="9" hidden="1"/>
    <cellStyle name="Lien hypertexte visité" xfId="214" builtinId="9" hidden="1"/>
    <cellStyle name="Lien hypertexte visité" xfId="216" builtinId="9" hidden="1"/>
    <cellStyle name="Lien hypertexte visité" xfId="218" builtinId="9" hidden="1"/>
    <cellStyle name="Lien hypertexte visité" xfId="220" builtinId="9" hidden="1"/>
    <cellStyle name="Lien hypertexte visité" xfId="222" builtinId="9" hidden="1"/>
    <cellStyle name="Lien hypertexte visité" xfId="224" builtinId="9" hidden="1"/>
    <cellStyle name="Lien hypertexte visité" xfId="226" builtinId="9" hidden="1"/>
    <cellStyle name="Lien hypertexte visité" xfId="228" builtinId="9" hidden="1"/>
    <cellStyle name="Lien hypertexte visité" xfId="230" builtinId="9" hidden="1"/>
    <cellStyle name="Lien hypertexte visité" xfId="232" builtinId="9" hidden="1"/>
    <cellStyle name="Lien hypertexte visité" xfId="234" builtinId="9" hidden="1"/>
    <cellStyle name="Lien hypertexte visité" xfId="236" builtinId="9" hidden="1"/>
    <cellStyle name="Lien hypertexte visité" xfId="238" builtinId="9" hidden="1"/>
    <cellStyle name="Lien hypertexte visité" xfId="240" builtinId="9" hidden="1"/>
    <cellStyle name="Lien hypertexte visité" xfId="242" builtinId="9" hidden="1"/>
    <cellStyle name="Lien hypertexte visité" xfId="244" builtinId="9" hidden="1"/>
    <cellStyle name="Lien hypertexte visité" xfId="246" builtinId="9" hidden="1"/>
    <cellStyle name="Lien hypertexte visité" xfId="248" builtinId="9" hidden="1"/>
    <cellStyle name="Lien hypertexte visité" xfId="250" builtinId="9" hidden="1"/>
    <cellStyle name="Lien hypertexte visité" xfId="252" builtinId="9" hidden="1"/>
    <cellStyle name="Lien hypertexte visité" xfId="254" builtinId="9" hidden="1"/>
    <cellStyle name="Lien hypertexte visité" xfId="256" builtinId="9" hidden="1"/>
    <cellStyle name="Lien hypertexte visité" xfId="258" builtinId="9" hidden="1"/>
    <cellStyle name="Lien hypertexte visité" xfId="260" builtinId="9" hidden="1"/>
    <cellStyle name="Lien hypertexte visité" xfId="262" builtinId="9" hidden="1"/>
    <cellStyle name="Lien hypertexte visité" xfId="264" builtinId="9" hidden="1"/>
    <cellStyle name="Lien hypertexte visité" xfId="266" builtinId="9" hidden="1"/>
    <cellStyle name="Lien hypertexte visité" xfId="268" builtinId="9" hidden="1"/>
    <cellStyle name="Lien hypertexte visité" xfId="270" builtinId="9" hidden="1"/>
    <cellStyle name="Lien hypertexte visité" xfId="272" builtinId="9" hidden="1"/>
    <cellStyle name="Lien hypertexte visité" xfId="274" builtinId="9" hidden="1"/>
    <cellStyle name="Lien hypertexte visité" xfId="276" builtinId="9" hidden="1"/>
    <cellStyle name="Lien hypertexte visité" xfId="278" builtinId="9" hidden="1"/>
    <cellStyle name="Lien hypertexte visité" xfId="280" builtinId="9" hidden="1"/>
    <cellStyle name="Lien hypertexte visité" xfId="282" builtinId="9" hidden="1"/>
    <cellStyle name="Lien hypertexte visité" xfId="284" builtinId="9" hidden="1"/>
    <cellStyle name="Lien hypertexte visité" xfId="286" builtinId="9" hidden="1"/>
    <cellStyle name="Lien hypertexte visité" xfId="288" builtinId="9" hidden="1"/>
    <cellStyle name="Lien hypertexte visité" xfId="290" builtinId="9" hidden="1"/>
    <cellStyle name="Lien hypertexte visité" xfId="292" builtinId="9" hidden="1"/>
    <cellStyle name="Lien hypertexte visité" xfId="294" builtinId="9" hidden="1"/>
    <cellStyle name="Lien hypertexte visité" xfId="296" builtinId="9" hidden="1"/>
    <cellStyle name="Lien hypertexte visité" xfId="298" builtinId="9" hidden="1"/>
    <cellStyle name="Lien hypertexte visité" xfId="300" builtinId="9" hidden="1"/>
    <cellStyle name="Lien hypertexte visité" xfId="302" builtinId="9" hidden="1"/>
    <cellStyle name="Lien hypertexte visité" xfId="304" builtinId="9" hidden="1"/>
    <cellStyle name="Lien hypertexte visité" xfId="306" builtinId="9" hidden="1"/>
    <cellStyle name="Lien hypertexte visité" xfId="308" builtinId="9" hidden="1"/>
    <cellStyle name="Lien hypertexte visité" xfId="310" builtinId="9" hidden="1"/>
    <cellStyle name="Lien hypertexte visité" xfId="312" builtinId="9" hidden="1"/>
    <cellStyle name="Lien hypertexte visité" xfId="314" builtinId="9" hidden="1"/>
    <cellStyle name="Lien hypertexte visité" xfId="316" builtinId="9" hidden="1"/>
    <cellStyle name="Lien hypertexte visité" xfId="318" builtinId="9" hidden="1"/>
    <cellStyle name="Lien hypertexte visité" xfId="320" builtinId="9" hidden="1"/>
    <cellStyle name="Lien hypertexte visité" xfId="322" builtinId="9" hidden="1"/>
    <cellStyle name="Lien hypertexte visité" xfId="324" builtinId="9" hidden="1"/>
    <cellStyle name="Lien hypertexte visité" xfId="326" builtinId="9" hidden="1"/>
    <cellStyle name="Lien hypertexte visité" xfId="328" builtinId="9" hidden="1"/>
    <cellStyle name="Lien hypertexte visité" xfId="330" builtinId="9" hidden="1"/>
    <cellStyle name="Lien hypertexte visité" xfId="332" builtinId="9" hidden="1"/>
    <cellStyle name="Lien hypertexte visité" xfId="334" builtinId="9" hidden="1"/>
    <cellStyle name="Lien hypertexte visité" xfId="336" builtinId="9" hidden="1"/>
    <cellStyle name="Lien hypertexte visité" xfId="338" builtinId="9" hidden="1"/>
    <cellStyle name="Lien hypertexte visité" xfId="340" builtinId="9" hidden="1"/>
    <cellStyle name="Lien hypertexte visité" xfId="342" builtinId="9" hidden="1"/>
    <cellStyle name="Lien hypertexte visité" xfId="344" builtinId="9" hidden="1"/>
    <cellStyle name="Lien hypertexte visité" xfId="346" builtinId="9" hidden="1"/>
    <cellStyle name="Lien hypertexte visité" xfId="348" builtinId="9" hidden="1"/>
    <cellStyle name="Lien hypertexte visité" xfId="350" builtinId="9" hidden="1"/>
    <cellStyle name="Lien hypertexte visité" xfId="352" builtinId="9" hidden="1"/>
    <cellStyle name="Lien hypertexte visité" xfId="354" builtinId="9" hidden="1"/>
    <cellStyle name="Lien hypertexte visité" xfId="356" builtinId="9" hidden="1"/>
    <cellStyle name="Lien hypertexte visité" xfId="358" builtinId="9" hidden="1"/>
    <cellStyle name="Lien hypertexte visité" xfId="360" builtinId="9" hidden="1"/>
    <cellStyle name="Lien hypertexte visité" xfId="362" builtinId="9" hidden="1"/>
    <cellStyle name="Lien hypertexte visité" xfId="364" builtinId="9" hidden="1"/>
    <cellStyle name="Lien hypertexte visité" xfId="366" builtinId="9" hidden="1"/>
    <cellStyle name="Lien hypertexte visité" xfId="368" builtinId="9" hidden="1"/>
    <cellStyle name="Lien hypertexte visité" xfId="370" builtinId="9" hidden="1"/>
    <cellStyle name="Lien hypertexte visité" xfId="372" builtinId="9" hidden="1"/>
    <cellStyle name="Lien hypertexte visité" xfId="374" builtinId="9" hidden="1"/>
    <cellStyle name="Lien hypertexte visité" xfId="376" builtinId="9" hidden="1"/>
    <cellStyle name="Lien hypertexte visité" xfId="378" builtinId="9" hidden="1"/>
    <cellStyle name="Lien hypertexte visité" xfId="380" builtinId="9" hidden="1"/>
    <cellStyle name="Lien hypertexte visité" xfId="382" builtinId="9" hidden="1"/>
    <cellStyle name="Lien hypertexte visité" xfId="384" builtinId="9" hidden="1"/>
    <cellStyle name="Lien hypertexte visité" xfId="386" builtinId="9" hidden="1"/>
    <cellStyle name="Lien hypertexte visité" xfId="388" builtinId="9" hidden="1"/>
    <cellStyle name="Lien hypertexte visité" xfId="390" builtinId="9" hidden="1"/>
    <cellStyle name="Lien hypertexte visité" xfId="392" builtinId="9" hidden="1"/>
    <cellStyle name="Lien hypertexte visité" xfId="394" builtinId="9" hidden="1"/>
    <cellStyle name="Lien hypertexte visité" xfId="396" builtinId="9" hidden="1"/>
    <cellStyle name="Lien hypertexte visité" xfId="398" builtinId="9" hidden="1"/>
    <cellStyle name="Lien hypertexte visité" xfId="400" builtinId="9" hidden="1"/>
    <cellStyle name="Lien hypertexte visité" xfId="402" builtinId="9" hidden="1"/>
    <cellStyle name="Lien hypertexte visité" xfId="404" builtinId="9" hidden="1"/>
    <cellStyle name="Lien hypertexte visité" xfId="406" builtinId="9" hidden="1"/>
    <cellStyle name="Lien hypertexte visité" xfId="408" builtinId="9" hidden="1"/>
    <cellStyle name="Lien hypertexte visité" xfId="410" builtinId="9" hidden="1"/>
    <cellStyle name="Lien hypertexte visité" xfId="412" builtinId="9" hidden="1"/>
    <cellStyle name="Lien hypertexte visité" xfId="414" builtinId="9" hidden="1"/>
    <cellStyle name="Lien hypertexte visité" xfId="416" builtinId="9" hidden="1"/>
    <cellStyle name="Lien hypertexte visité" xfId="418" builtinId="9" hidden="1"/>
    <cellStyle name="Lien hypertexte visité" xfId="420" builtinId="9" hidden="1"/>
    <cellStyle name="Lien hypertexte visité" xfId="422" builtinId="9" hidden="1"/>
    <cellStyle name="Lien hypertexte visité" xfId="424" builtinId="9" hidden="1"/>
    <cellStyle name="Lien hypertexte visité" xfId="426" builtinId="9" hidden="1"/>
    <cellStyle name="Lien hypertexte visité" xfId="428" builtinId="9" hidden="1"/>
    <cellStyle name="Lien hypertexte visité" xfId="430" builtinId="9" hidden="1"/>
    <cellStyle name="Lien hypertexte visité" xfId="432" builtinId="9" hidden="1"/>
    <cellStyle name="Lien hypertexte visité" xfId="434" builtinId="9" hidden="1"/>
    <cellStyle name="Lien hypertexte visité" xfId="436" builtinId="9" hidden="1"/>
    <cellStyle name="Lien hypertexte visité" xfId="438" builtinId="9" hidden="1"/>
    <cellStyle name="Lien hypertexte visité" xfId="440" builtinId="9" hidden="1"/>
    <cellStyle name="Lien hypertexte visité" xfId="442" builtinId="9" hidden="1"/>
    <cellStyle name="Lien hypertexte visité" xfId="444" builtinId="9" hidden="1"/>
    <cellStyle name="Lien hypertexte visité" xfId="446" builtinId="9" hidden="1"/>
    <cellStyle name="Lien hypertexte visité" xfId="448" builtinId="9" hidden="1"/>
    <cellStyle name="Lien hypertexte visité" xfId="450" builtinId="9" hidden="1"/>
    <cellStyle name="Lien hypertexte visité" xfId="452" builtinId="9" hidden="1"/>
    <cellStyle name="Lien hypertexte visité" xfId="454" builtinId="9" hidden="1"/>
    <cellStyle name="Lien hypertexte visité" xfId="456" builtinId="9" hidden="1"/>
    <cellStyle name="Lien hypertexte visité" xfId="458" builtinId="9" hidden="1"/>
    <cellStyle name="Lien hypertexte visité" xfId="460" builtinId="9" hidden="1"/>
    <cellStyle name="Lien hypertexte visité" xfId="462" builtinId="9" hidden="1"/>
    <cellStyle name="Lien hypertexte visité" xfId="464" builtinId="9" hidden="1"/>
    <cellStyle name="Lien hypertexte visité" xfId="466" builtinId="9" hidden="1"/>
    <cellStyle name="Lien hypertexte visité" xfId="468" builtinId="9" hidden="1"/>
    <cellStyle name="Lien hypertexte visité" xfId="470" builtinId="9" hidden="1"/>
    <cellStyle name="Lien hypertexte visité" xfId="472" builtinId="9" hidden="1"/>
    <cellStyle name="Lien hypertexte visité" xfId="474" builtinId="9" hidden="1"/>
    <cellStyle name="Lien hypertexte visité" xfId="476" builtinId="9" hidden="1"/>
    <cellStyle name="Lien hypertexte visité" xfId="478" builtinId="9" hidden="1"/>
    <cellStyle name="Lien hypertexte visité" xfId="480" builtinId="9" hidden="1"/>
    <cellStyle name="Lien hypertexte visité" xfId="482" builtinId="9" hidden="1"/>
    <cellStyle name="Lien hypertexte visité" xfId="484" builtinId="9" hidden="1"/>
    <cellStyle name="Lien hypertexte visité" xfId="486" builtinId="9" hidden="1"/>
    <cellStyle name="Lien hypertexte visité" xfId="488" builtinId="9" hidden="1"/>
    <cellStyle name="Lien hypertexte visité" xfId="490" builtinId="9" hidden="1"/>
    <cellStyle name="Lien hypertexte visité" xfId="492" builtinId="9" hidden="1"/>
    <cellStyle name="Lien hypertexte visité" xfId="494" builtinId="9" hidden="1"/>
    <cellStyle name="Lien hypertexte visité" xfId="496" builtinId="9" hidden="1"/>
    <cellStyle name="Lien hypertexte visité" xfId="498" builtinId="9" hidden="1"/>
    <cellStyle name="Lien hypertexte visité" xfId="500" builtinId="9" hidden="1"/>
    <cellStyle name="Lien hypertexte visité" xfId="502" builtinId="9" hidden="1"/>
    <cellStyle name="Lien hypertexte visité" xfId="504" builtinId="9" hidden="1"/>
    <cellStyle name="Lien hypertexte visité" xfId="506" builtinId="9" hidden="1"/>
    <cellStyle name="Lien hypertexte visité" xfId="508" builtinId="9" hidden="1"/>
    <cellStyle name="Lien hypertexte visité" xfId="510" builtinId="9" hidden="1"/>
    <cellStyle name="Lien hypertexte visité" xfId="512" builtinId="9" hidden="1"/>
    <cellStyle name="Lien hypertexte visité" xfId="514" builtinId="9" hidden="1"/>
    <cellStyle name="Lien hypertexte visité" xfId="516" builtinId="9" hidden="1"/>
    <cellStyle name="Lien hypertexte visité" xfId="518" builtinId="9" hidden="1"/>
    <cellStyle name="Lien hypertexte visité" xfId="520" builtinId="9" hidden="1"/>
    <cellStyle name="Lien hypertexte visité" xfId="522" builtinId="9" hidden="1"/>
    <cellStyle name="Lien hypertexte visité" xfId="524" builtinId="9" hidden="1"/>
    <cellStyle name="Lien hypertexte visité" xfId="526" builtinId="9" hidden="1"/>
    <cellStyle name="Lien hypertexte visité" xfId="528" builtinId="9" hidden="1"/>
    <cellStyle name="Lien hypertexte visité" xfId="530" builtinId="9" hidden="1"/>
    <cellStyle name="Lien hypertexte visité" xfId="532" builtinId="9" hidden="1"/>
    <cellStyle name="Lien hypertexte visité" xfId="534" builtinId="9" hidden="1"/>
    <cellStyle name="Lien hypertexte visité" xfId="536" builtinId="9" hidden="1"/>
    <cellStyle name="Lien hypertexte visité" xfId="538" builtinId="9" hidden="1"/>
    <cellStyle name="Lien hypertexte visité" xfId="540" builtinId="9" hidden="1"/>
    <cellStyle name="Lien hypertexte visité" xfId="542" builtinId="9" hidden="1"/>
    <cellStyle name="Lien hypertexte visité" xfId="544" builtinId="9" hidden="1"/>
    <cellStyle name="Lien hypertexte visité" xfId="546" builtinId="9" hidden="1"/>
    <cellStyle name="Lien hypertexte visité" xfId="548" builtinId="9" hidden="1"/>
    <cellStyle name="Lien hypertexte visité" xfId="550" builtinId="9" hidden="1"/>
    <cellStyle name="Lien hypertexte visité" xfId="552" builtinId="9" hidden="1"/>
    <cellStyle name="Lien hypertexte visité" xfId="554" builtinId="9" hidden="1"/>
    <cellStyle name="Lien hypertexte visité" xfId="556" builtinId="9" hidden="1"/>
    <cellStyle name="Lien hypertexte visité" xfId="558" builtinId="9" hidden="1"/>
    <cellStyle name="Lien hypertexte visité" xfId="560" builtinId="9" hidden="1"/>
    <cellStyle name="Lien hypertexte visité" xfId="562" builtinId="9" hidden="1"/>
    <cellStyle name="Lien hypertexte visité" xfId="564" builtinId="9" hidden="1"/>
    <cellStyle name="Lien hypertexte visité" xfId="566" builtinId="9" hidden="1"/>
    <cellStyle name="Lien hypertexte visité" xfId="568" builtinId="9" hidden="1"/>
    <cellStyle name="Lien hypertexte visité" xfId="570" builtinId="9" hidden="1"/>
    <cellStyle name="Lien hypertexte visité" xfId="572" builtinId="9" hidden="1"/>
    <cellStyle name="Lien hypertexte visité" xfId="574" builtinId="9" hidden="1"/>
    <cellStyle name="Lien hypertexte visité" xfId="576" builtinId="9" hidden="1"/>
    <cellStyle name="Lien hypertexte visité" xfId="578" builtinId="9" hidden="1"/>
    <cellStyle name="Lien hypertexte visité" xfId="580" builtinId="9" hidden="1"/>
    <cellStyle name="Lien hypertexte visité" xfId="582" builtinId="9" hidden="1"/>
    <cellStyle name="Lien hypertexte visité" xfId="584" builtinId="9" hidden="1"/>
    <cellStyle name="Lien hypertexte visité" xfId="586" builtinId="9" hidden="1"/>
    <cellStyle name="Lien hypertexte visité" xfId="588" builtinId="9" hidden="1"/>
    <cellStyle name="Lien hypertexte visité" xfId="590" builtinId="9" hidden="1"/>
    <cellStyle name="Lien hypertexte visité" xfId="592" builtinId="9" hidden="1"/>
    <cellStyle name="Lien hypertexte visité" xfId="594" builtinId="9" hidden="1"/>
    <cellStyle name="Lien hypertexte visité" xfId="596" builtinId="9" hidden="1"/>
    <cellStyle name="Lien hypertexte visité" xfId="598" builtinId="9" hidden="1"/>
    <cellStyle name="Lien hypertexte visité" xfId="600" builtinId="9" hidden="1"/>
    <cellStyle name="Lien hypertexte visité" xfId="602" builtinId="9" hidden="1"/>
    <cellStyle name="Lien hypertexte visité" xfId="604" builtinId="9" hidden="1"/>
    <cellStyle name="Lien hypertexte visité" xfId="606" builtinId="9" hidden="1"/>
    <cellStyle name="Lien hypertexte visité" xfId="608" builtinId="9" hidden="1"/>
    <cellStyle name="Lien hypertexte visité" xfId="610" builtinId="9" hidden="1"/>
    <cellStyle name="Lien hypertexte visité" xfId="612" builtinId="9" hidden="1"/>
    <cellStyle name="Lien hypertexte visité" xfId="614" builtinId="9" hidden="1"/>
    <cellStyle name="Lien hypertexte visité" xfId="616" builtinId="9" hidden="1"/>
    <cellStyle name="Lien hypertexte visité" xfId="618" builtinId="9" hidden="1"/>
    <cellStyle name="Lien hypertexte visité" xfId="620" builtinId="9" hidden="1"/>
    <cellStyle name="Lien hypertexte visité" xfId="622" builtinId="9" hidden="1"/>
    <cellStyle name="Lien hypertexte visité" xfId="624" builtinId="9" hidden="1"/>
    <cellStyle name="Lien hypertexte visité" xfId="626" builtinId="9" hidden="1"/>
    <cellStyle name="Lien hypertexte visité" xfId="628" builtinId="9" hidden="1"/>
    <cellStyle name="Lien hypertexte visité" xfId="630" builtinId="9" hidden="1"/>
    <cellStyle name="Lien hypertexte visité" xfId="632" builtinId="9" hidden="1"/>
    <cellStyle name="Lien hypertexte visité" xfId="634" builtinId="9" hidden="1"/>
    <cellStyle name="Lien hypertexte visité" xfId="636" builtinId="9" hidden="1"/>
    <cellStyle name="Lien hypertexte visité" xfId="638" builtinId="9" hidden="1"/>
    <cellStyle name="Lien hypertexte visité" xfId="640" builtinId="9" hidden="1"/>
    <cellStyle name="Lien hypertexte visité" xfId="642" builtinId="9" hidden="1"/>
    <cellStyle name="Lien hypertexte visité" xfId="644" builtinId="9" hidden="1"/>
    <cellStyle name="Lien hypertexte visité" xfId="646" builtinId="9" hidden="1"/>
    <cellStyle name="Lien hypertexte visité" xfId="648" builtinId="9" hidden="1"/>
    <cellStyle name="Lien hypertexte visité" xfId="650" builtinId="9" hidden="1"/>
    <cellStyle name="Lien hypertexte visité" xfId="652" builtinId="9" hidden="1"/>
    <cellStyle name="Lien hypertexte visité" xfId="654" builtinId="9" hidden="1"/>
    <cellStyle name="Lien hypertexte visité" xfId="656" builtinId="9" hidden="1"/>
    <cellStyle name="Lien hypertexte visité" xfId="658" builtinId="9" hidden="1"/>
    <cellStyle name="Lien hypertexte visité" xfId="660" builtinId="9" hidden="1"/>
    <cellStyle name="Lien hypertexte visité" xfId="662" builtinId="9" hidden="1"/>
    <cellStyle name="Lien hypertexte visité" xfId="664" builtinId="9" hidden="1"/>
    <cellStyle name="Lien hypertexte visité" xfId="666" builtinId="9" hidden="1"/>
    <cellStyle name="Lien hypertexte visité" xfId="668" builtinId="9" hidden="1"/>
    <cellStyle name="Lien hypertexte visité" xfId="670" builtinId="9" hidden="1"/>
    <cellStyle name="Lien hypertexte visité" xfId="672" builtinId="9" hidden="1"/>
    <cellStyle name="Lien hypertexte visité" xfId="674" builtinId="9" hidden="1"/>
    <cellStyle name="Lien hypertexte visité" xfId="676" builtinId="9" hidden="1"/>
    <cellStyle name="Lien hypertexte visité" xfId="678" builtinId="9" hidden="1"/>
    <cellStyle name="Lien hypertexte visité" xfId="680" builtinId="9" hidden="1"/>
    <cellStyle name="Lien hypertexte visité" xfId="682" builtinId="9" hidden="1"/>
    <cellStyle name="Lien hypertexte visité" xfId="684" builtinId="9" hidden="1"/>
    <cellStyle name="Lien hypertexte visité" xfId="686" builtinId="9" hidden="1"/>
    <cellStyle name="Lien hypertexte visité" xfId="688" builtinId="9" hidden="1"/>
    <cellStyle name="Lien hypertexte visité" xfId="690" builtinId="9" hidden="1"/>
    <cellStyle name="Lien hypertexte visité" xfId="692" builtinId="9" hidden="1"/>
    <cellStyle name="Lien hypertexte visité" xfId="694" builtinId="9" hidden="1"/>
    <cellStyle name="Lien hypertexte visité" xfId="696" builtinId="9" hidden="1"/>
    <cellStyle name="Lien hypertexte visité" xfId="698" builtinId="9" hidden="1"/>
    <cellStyle name="Lien hypertexte visité" xfId="700" builtinId="9" hidden="1"/>
    <cellStyle name="Lien hypertexte visité" xfId="702" builtinId="9" hidden="1"/>
    <cellStyle name="Lien hypertexte visité" xfId="704" builtinId="9" hidden="1"/>
    <cellStyle name="Lien hypertexte visité" xfId="706" builtinId="9" hidden="1"/>
    <cellStyle name="Lien hypertexte visité" xfId="708" builtinId="9" hidden="1"/>
    <cellStyle name="Lien hypertexte visité" xfId="710" builtinId="9" hidden="1"/>
    <cellStyle name="Lien hypertexte visité" xfId="712" builtinId="9" hidden="1"/>
    <cellStyle name="Lien hypertexte visité" xfId="714" builtinId="9" hidden="1"/>
    <cellStyle name="Lien hypertexte visité" xfId="716" builtinId="9" hidden="1"/>
    <cellStyle name="Lien hypertexte visité" xfId="718" builtinId="9" hidden="1"/>
    <cellStyle name="Lien hypertexte visité" xfId="720" builtinId="9" hidden="1"/>
    <cellStyle name="Lien hypertexte visité" xfId="722" builtinId="9" hidden="1"/>
    <cellStyle name="Lien hypertexte visité" xfId="724" builtinId="9" hidden="1"/>
    <cellStyle name="Lien hypertexte visité" xfId="726" builtinId="9" hidden="1"/>
    <cellStyle name="Lien hypertexte visité" xfId="728" builtinId="9" hidden="1"/>
    <cellStyle name="Lien hypertexte visité" xfId="730" builtinId="9" hidden="1"/>
    <cellStyle name="Lien hypertexte visité" xfId="732" builtinId="9" hidden="1"/>
    <cellStyle name="Lien hypertexte visité" xfId="734" builtinId="9" hidden="1"/>
    <cellStyle name="Lien hypertexte visité" xfId="736" builtinId="9" hidden="1"/>
    <cellStyle name="Lien hypertexte visité" xfId="738" builtinId="9" hidden="1"/>
    <cellStyle name="Lien hypertexte visité" xfId="740" builtinId="9" hidden="1"/>
    <cellStyle name="Lien hypertexte visité" xfId="742" builtinId="9" hidden="1"/>
    <cellStyle name="Lien hypertexte visité" xfId="744" builtinId="9" hidden="1"/>
    <cellStyle name="Lien hypertexte visité" xfId="746" builtinId="9" hidden="1"/>
    <cellStyle name="Lien hypertexte visité" xfId="748" builtinId="9" hidden="1"/>
    <cellStyle name="Lien hypertexte visité" xfId="750" builtinId="9" hidden="1"/>
    <cellStyle name="Lien hypertexte visité" xfId="752" builtinId="9" hidden="1"/>
    <cellStyle name="Lien hypertexte visité" xfId="754" builtinId="9" hidden="1"/>
    <cellStyle name="Lien hypertexte visité" xfId="756" builtinId="9" hidden="1"/>
    <cellStyle name="Lien hypertexte visité" xfId="758" builtinId="9" hidden="1"/>
    <cellStyle name="Lien hypertexte visité" xfId="760" builtinId="9" hidden="1"/>
    <cellStyle name="Lien hypertexte visité" xfId="762" builtinId="9" hidden="1"/>
    <cellStyle name="Lien hypertexte visité" xfId="764" builtinId="9" hidden="1"/>
    <cellStyle name="Lien hypertexte visité" xfId="766" builtinId="9" hidden="1"/>
    <cellStyle name="Lien hypertexte visité" xfId="768" builtinId="9" hidden="1"/>
    <cellStyle name="Lien hypertexte visité" xfId="770" builtinId="9" hidden="1"/>
    <cellStyle name="Lien hypertexte visité" xfId="772" builtinId="9" hidden="1"/>
    <cellStyle name="Lien hypertexte visité" xfId="774" builtinId="9" hidden="1"/>
    <cellStyle name="Lien hypertexte visité" xfId="776" builtinId="9" hidden="1"/>
    <cellStyle name="Lien hypertexte visité" xfId="778" builtinId="9" hidden="1"/>
    <cellStyle name="Lien hypertexte visité" xfId="780" builtinId="9" hidden="1"/>
    <cellStyle name="Lien hypertexte visité" xfId="782" builtinId="9" hidden="1"/>
    <cellStyle name="Lien hypertexte visité" xfId="784" builtinId="9" hidden="1"/>
    <cellStyle name="Lien hypertexte visité" xfId="786" builtinId="9" hidden="1"/>
    <cellStyle name="Lien hypertexte visité" xfId="788" builtinId="9" hidden="1"/>
    <cellStyle name="Lien hypertexte visité" xfId="790" builtinId="9" hidden="1"/>
    <cellStyle name="Lien hypertexte visité" xfId="792" builtinId="9" hidden="1"/>
    <cellStyle name="Lien hypertexte visité" xfId="794" builtinId="9" hidden="1"/>
    <cellStyle name="Lien hypertexte visité" xfId="796" builtinId="9" hidden="1"/>
    <cellStyle name="Lien hypertexte visité" xfId="798" builtinId="9" hidden="1"/>
    <cellStyle name="Lien hypertexte visité" xfId="800" builtinId="9" hidden="1"/>
    <cellStyle name="Lien hypertexte visité" xfId="802" builtinId="9" hidden="1"/>
    <cellStyle name="Lien hypertexte visité" xfId="804" builtinId="9" hidden="1"/>
    <cellStyle name="Lien hypertexte visité" xfId="806" builtinId="9" hidden="1"/>
    <cellStyle name="Lien hypertexte visité" xfId="808" builtinId="9" hidden="1"/>
    <cellStyle name="Lien hypertexte visité" xfId="810" builtinId="9" hidden="1"/>
    <cellStyle name="Lien hypertexte visité" xfId="812" builtinId="9" hidden="1"/>
    <cellStyle name="Lien hypertexte visité" xfId="814" builtinId="9" hidden="1"/>
    <cellStyle name="Lien hypertexte visité" xfId="816" builtinId="9" hidden="1"/>
    <cellStyle name="Lien hypertexte visité" xfId="818" builtinId="9" hidden="1"/>
    <cellStyle name="Lien hypertexte visité" xfId="820" builtinId="9" hidden="1"/>
    <cellStyle name="Lien hypertexte visité" xfId="822" builtinId="9" hidden="1"/>
    <cellStyle name="Lien hypertexte visité" xfId="824" builtinId="9" hidden="1"/>
    <cellStyle name="Lien hypertexte visité" xfId="826" builtinId="9" hidden="1"/>
    <cellStyle name="Lien hypertexte visité" xfId="828" builtinId="9" hidden="1"/>
    <cellStyle name="Lien hypertexte visité" xfId="830" builtinId="9" hidden="1"/>
    <cellStyle name="Lien hypertexte visité" xfId="832" builtinId="9" hidden="1"/>
    <cellStyle name="Lien hypertexte visité" xfId="834" builtinId="9" hidden="1"/>
    <cellStyle name="Lien hypertexte visité" xfId="836" builtinId="9" hidden="1"/>
    <cellStyle name="Lien hypertexte visité" xfId="838" builtinId="9" hidden="1"/>
    <cellStyle name="Lien hypertexte visité" xfId="840" builtinId="9" hidden="1"/>
    <cellStyle name="Lien hypertexte visité" xfId="842" builtinId="9" hidden="1"/>
    <cellStyle name="Lien hypertexte visité" xfId="844" builtinId="9" hidden="1"/>
    <cellStyle name="Lien hypertexte visité" xfId="846" builtinId="9" hidden="1"/>
    <cellStyle name="Lien hypertexte visité" xfId="848" builtinId="9" hidden="1"/>
    <cellStyle name="Lien hypertexte visité" xfId="850" builtinId="9" hidden="1"/>
    <cellStyle name="Lien hypertexte visité" xfId="852" builtinId="9" hidden="1"/>
    <cellStyle name="Lien hypertexte visité" xfId="854" builtinId="9" hidden="1"/>
    <cellStyle name="Lien hypertexte visité" xfId="856" builtinId="9" hidden="1"/>
    <cellStyle name="Lien hypertexte visité" xfId="858" builtinId="9" hidden="1"/>
    <cellStyle name="Lien hypertexte visité" xfId="860" builtinId="9" hidden="1"/>
    <cellStyle name="Lien hypertexte visité" xfId="862" builtinId="9" hidden="1"/>
    <cellStyle name="Lien hypertexte visité" xfId="864" builtinId="9" hidden="1"/>
    <cellStyle name="Lien hypertexte visité" xfId="866" builtinId="9" hidden="1"/>
    <cellStyle name="Lien hypertexte visité" xfId="868" builtinId="9" hidden="1"/>
    <cellStyle name="Lien hypertexte visité" xfId="870" builtinId="9" hidden="1"/>
    <cellStyle name="Lien hypertexte visité" xfId="872" builtinId="9" hidden="1"/>
    <cellStyle name="Lien hypertexte visité" xfId="874" builtinId="9" hidden="1"/>
    <cellStyle name="Lien hypertexte visité" xfId="876" builtinId="9" hidden="1"/>
    <cellStyle name="Lien hypertexte visité" xfId="878" builtinId="9" hidden="1"/>
    <cellStyle name="Lien hypertexte visité" xfId="880" builtinId="9" hidden="1"/>
    <cellStyle name="Lien hypertexte visité" xfId="882" builtinId="9" hidden="1"/>
    <cellStyle name="Lien hypertexte visité" xfId="884" builtinId="9" hidden="1"/>
    <cellStyle name="Lien hypertexte visité" xfId="886" builtinId="9" hidden="1"/>
    <cellStyle name="Lien hypertexte visité" xfId="888" builtinId="9" hidden="1"/>
    <cellStyle name="Lien hypertexte visité" xfId="890" builtinId="9" hidden="1"/>
    <cellStyle name="Lien hypertexte visité" xfId="892" builtinId="9" hidden="1"/>
    <cellStyle name="Lien hypertexte visité" xfId="894" builtinId="9" hidden="1"/>
    <cellStyle name="Lien hypertexte visité" xfId="896" builtinId="9" hidden="1"/>
    <cellStyle name="Lien hypertexte visité" xfId="898" builtinId="9" hidden="1"/>
    <cellStyle name="Lien hypertexte visité" xfId="900" builtinId="9" hidden="1"/>
    <cellStyle name="Lien hypertexte visité" xfId="902" builtinId="9" hidden="1"/>
    <cellStyle name="Lien hypertexte visité" xfId="904" builtinId="9" hidden="1"/>
    <cellStyle name="Lien hypertexte visité" xfId="906" builtinId="9" hidden="1"/>
    <cellStyle name="Lien hypertexte visité" xfId="908" builtinId="9" hidden="1"/>
    <cellStyle name="Lien hypertexte visité" xfId="910" builtinId="9" hidden="1"/>
    <cellStyle name="Lien hypertexte visité" xfId="912" builtinId="9" hidden="1"/>
    <cellStyle name="Lien hypertexte visité" xfId="914" builtinId="9" hidden="1"/>
    <cellStyle name="Lien hypertexte visité" xfId="916" builtinId="9" hidden="1"/>
    <cellStyle name="Lien hypertexte visité" xfId="918" builtinId="9" hidden="1"/>
    <cellStyle name="Lien hypertexte visité" xfId="920" builtinId="9" hidden="1"/>
    <cellStyle name="Lien hypertexte visité" xfId="922" builtinId="9" hidden="1"/>
    <cellStyle name="Lien hypertexte visité" xfId="924" builtinId="9" hidden="1"/>
    <cellStyle name="Lien hypertexte visité" xfId="926" builtinId="9" hidden="1"/>
    <cellStyle name="Lien hypertexte visité" xfId="928" builtinId="9" hidden="1"/>
    <cellStyle name="Lien hypertexte visité" xfId="930" builtinId="9" hidden="1"/>
    <cellStyle name="Lien hypertexte visité" xfId="932" builtinId="9" hidden="1"/>
    <cellStyle name="Lien hypertexte visité" xfId="934" builtinId="9" hidden="1"/>
    <cellStyle name="Lien hypertexte visité" xfId="936" builtinId="9" hidden="1"/>
    <cellStyle name="Lien hypertexte visité" xfId="938" builtinId="9" hidden="1"/>
    <cellStyle name="Lien hypertexte visité" xfId="940" builtinId="9" hidden="1"/>
    <cellStyle name="Lien hypertexte visité" xfId="942" builtinId="9" hidden="1"/>
    <cellStyle name="Lien hypertexte visité" xfId="944" builtinId="9" hidden="1"/>
    <cellStyle name="Lien hypertexte visité" xfId="946" builtinId="9" hidden="1"/>
    <cellStyle name="Lien hypertexte visité" xfId="948" builtinId="9" hidden="1"/>
    <cellStyle name="Lien hypertexte visité" xfId="950" builtinId="9" hidden="1"/>
    <cellStyle name="Lien hypertexte visité" xfId="952" builtinId="9" hidden="1"/>
    <cellStyle name="Lien hypertexte visité" xfId="954" builtinId="9" hidden="1"/>
    <cellStyle name="Lien hypertexte visité" xfId="956" builtinId="9" hidden="1"/>
    <cellStyle name="Lien hypertexte visité" xfId="958" builtinId="9" hidden="1"/>
    <cellStyle name="Lien hypertexte visité" xfId="960" builtinId="9" hidden="1"/>
    <cellStyle name="Lien hypertexte visité" xfId="962" builtinId="9" hidden="1"/>
    <cellStyle name="Lien hypertexte visité" xfId="964" builtinId="9" hidden="1"/>
    <cellStyle name="Lien hypertexte visité" xfId="966" builtinId="9" hidden="1"/>
    <cellStyle name="Lien hypertexte visité" xfId="968" builtinId="9" hidden="1"/>
    <cellStyle name="Lien hypertexte visité" xfId="970" builtinId="9" hidden="1"/>
    <cellStyle name="Lien hypertexte visité" xfId="972" builtinId="9" hidden="1"/>
    <cellStyle name="Lien hypertexte visité" xfId="974" builtinId="9" hidden="1"/>
    <cellStyle name="Lien hypertexte visité" xfId="976" builtinId="9" hidden="1"/>
    <cellStyle name="Lien hypertexte visité" xfId="978" builtinId="9" hidden="1"/>
    <cellStyle name="Lien hypertexte visité" xfId="980" builtinId="9" hidden="1"/>
    <cellStyle name="Lien hypertexte visité" xfId="982" builtinId="9" hidden="1"/>
    <cellStyle name="Lien hypertexte visité" xfId="984" builtinId="9" hidden="1"/>
    <cellStyle name="Lien hypertexte visité" xfId="986" builtinId="9" hidden="1"/>
    <cellStyle name="Lien hypertexte visité" xfId="988" builtinId="9" hidden="1"/>
    <cellStyle name="Lien hypertexte visité" xfId="990" builtinId="9" hidden="1"/>
    <cellStyle name="Lien hypertexte visité" xfId="992" builtinId="9" hidden="1"/>
    <cellStyle name="Lien hypertexte visité" xfId="994" builtinId="9" hidden="1"/>
    <cellStyle name="Lien hypertexte visité" xfId="996" builtinId="9" hidden="1"/>
    <cellStyle name="Lien hypertexte visité" xfId="998" builtinId="9" hidden="1"/>
    <cellStyle name="Lien hypertexte visité" xfId="1000" builtinId="9" hidden="1"/>
    <cellStyle name="Lien hypertexte visité" xfId="1002" builtinId="9" hidden="1"/>
    <cellStyle name="Lien hypertexte visité" xfId="1004" builtinId="9" hidden="1"/>
    <cellStyle name="Lien hypertexte visité" xfId="1006" builtinId="9" hidden="1"/>
    <cellStyle name="Lien hypertexte visité" xfId="1008" builtinId="9" hidden="1"/>
    <cellStyle name="Lien hypertexte visité" xfId="1010" builtinId="9" hidden="1"/>
    <cellStyle name="Lien hypertexte visité" xfId="1012" builtinId="9" hidden="1"/>
    <cellStyle name="Lien hypertexte visité" xfId="1014" builtinId="9" hidden="1"/>
    <cellStyle name="Lien hypertexte visité" xfId="1016" builtinId="9" hidden="1"/>
    <cellStyle name="Lien hypertexte visité" xfId="1018" builtinId="9" hidden="1"/>
    <cellStyle name="Lien hypertexte visité" xfId="1020" builtinId="9" hidden="1"/>
    <cellStyle name="Lien hypertexte visité" xfId="1022" builtinId="9" hidden="1"/>
    <cellStyle name="Lien hypertexte visité" xfId="1024" builtinId="9" hidden="1"/>
    <cellStyle name="Lien hypertexte visité" xfId="1026" builtinId="9" hidden="1"/>
    <cellStyle name="Lien hypertexte visité" xfId="1028" builtinId="9" hidden="1"/>
    <cellStyle name="Lien hypertexte visité" xfId="1030" builtinId="9" hidden="1"/>
    <cellStyle name="Lien hypertexte visité" xfId="1032" builtinId="9" hidden="1"/>
    <cellStyle name="Lien hypertexte visité" xfId="1034" builtinId="9" hidden="1"/>
    <cellStyle name="Lien hypertexte visité" xfId="1036" builtinId="9" hidden="1"/>
    <cellStyle name="Lien hypertexte visité" xfId="1038" builtinId="9" hidden="1"/>
    <cellStyle name="Lien hypertexte visité" xfId="1040" builtinId="9" hidden="1"/>
    <cellStyle name="Lien hypertexte visité" xfId="1042" builtinId="9" hidden="1"/>
    <cellStyle name="Lien hypertexte visité" xfId="1044" builtinId="9" hidden="1"/>
    <cellStyle name="Lien hypertexte visité" xfId="1046" builtinId="9" hidden="1"/>
    <cellStyle name="Lien hypertexte visité" xfId="1048" builtinId="9" hidden="1"/>
    <cellStyle name="Lien hypertexte visité" xfId="1050" builtinId="9" hidden="1"/>
    <cellStyle name="Lien hypertexte visité" xfId="1052" builtinId="9" hidden="1"/>
    <cellStyle name="Lien hypertexte visité" xfId="1054" builtinId="9" hidden="1"/>
    <cellStyle name="Lien hypertexte visité" xfId="1056" builtinId="9" hidden="1"/>
    <cellStyle name="Lien hypertexte visité" xfId="1058" builtinId="9" hidden="1"/>
    <cellStyle name="Lien hypertexte visité" xfId="1060" builtinId="9" hidden="1"/>
    <cellStyle name="Lien hypertexte visité" xfId="1062" builtinId="9" hidden="1"/>
    <cellStyle name="Lien hypertexte visité" xfId="1064" builtinId="9" hidden="1"/>
    <cellStyle name="Lien hypertexte visité" xfId="1066" builtinId="9" hidden="1"/>
    <cellStyle name="Lien hypertexte visité" xfId="1068" builtinId="9" hidden="1"/>
    <cellStyle name="Lien hypertexte visité" xfId="1070" builtinId="9" hidden="1"/>
    <cellStyle name="Lien hypertexte visité" xfId="1072" builtinId="9" hidden="1"/>
    <cellStyle name="Lien hypertexte visité" xfId="1074" builtinId="9" hidden="1"/>
    <cellStyle name="Lien hypertexte visité" xfId="1076" builtinId="9" hidden="1"/>
    <cellStyle name="Lien hypertexte visité" xfId="1078" builtinId="9" hidden="1"/>
    <cellStyle name="Lien hypertexte visité" xfId="1080" builtinId="9" hidden="1"/>
    <cellStyle name="Lien hypertexte visité" xfId="1082" builtinId="9" hidden="1"/>
    <cellStyle name="Lien hypertexte visité" xfId="1084" builtinId="9" hidden="1"/>
    <cellStyle name="Lien hypertexte visité" xfId="1086" builtinId="9" hidden="1"/>
    <cellStyle name="Lien hypertexte visité" xfId="1088" builtinId="9" hidden="1"/>
    <cellStyle name="Lien hypertexte visité" xfId="1090" builtinId="9" hidden="1"/>
    <cellStyle name="Lien hypertexte visité" xfId="1092" builtinId="9" hidden="1"/>
    <cellStyle name="Lien hypertexte visité" xfId="1094" builtinId="9" hidden="1"/>
    <cellStyle name="Lien hypertexte visité" xfId="1096" builtinId="9" hidden="1"/>
    <cellStyle name="Lien hypertexte visité" xfId="1098" builtinId="9" hidden="1"/>
    <cellStyle name="Lien hypertexte visité" xfId="1100" builtinId="9" hidden="1"/>
    <cellStyle name="Lien hypertexte visité" xfId="1102" builtinId="9" hidden="1"/>
    <cellStyle name="Lien hypertexte visité" xfId="1104" builtinId="9" hidden="1"/>
    <cellStyle name="Lien hypertexte visité" xfId="1106" builtinId="9" hidden="1"/>
    <cellStyle name="Lien hypertexte visité" xfId="1108" builtinId="9" hidden="1"/>
    <cellStyle name="Lien hypertexte visité" xfId="1110" builtinId="9" hidden="1"/>
    <cellStyle name="Lien hypertexte visité" xfId="1112" builtinId="9" hidden="1"/>
    <cellStyle name="Lien hypertexte visité" xfId="1114" builtinId="9" hidden="1"/>
    <cellStyle name="Lien hypertexte visité" xfId="1116" builtinId="9" hidden="1"/>
    <cellStyle name="Lien hypertexte visité" xfId="1118" builtinId="9" hidden="1"/>
    <cellStyle name="Lien hypertexte visité" xfId="1120" builtinId="9" hidden="1"/>
    <cellStyle name="Lien hypertexte visité" xfId="1122" builtinId="9" hidden="1"/>
    <cellStyle name="Lien hypertexte visité" xfId="1124" builtinId="9" hidden="1"/>
    <cellStyle name="Lien hypertexte visité" xfId="1126" builtinId="9" hidden="1"/>
    <cellStyle name="Lien hypertexte visité" xfId="1128" builtinId="9" hidden="1"/>
    <cellStyle name="Lien hypertexte visité" xfId="1130" builtinId="9" hidden="1"/>
    <cellStyle name="Lien hypertexte visité" xfId="1132" builtinId="9" hidden="1"/>
    <cellStyle name="Lien hypertexte visité" xfId="1134" builtinId="9" hidden="1"/>
    <cellStyle name="Lien hypertexte visité" xfId="1136" builtinId="9" hidden="1"/>
    <cellStyle name="Lien hypertexte visité" xfId="1138" builtinId="9" hidden="1"/>
    <cellStyle name="Lien hypertexte visité" xfId="1140" builtinId="9" hidden="1"/>
    <cellStyle name="Lien hypertexte visité" xfId="1142" builtinId="9" hidden="1"/>
    <cellStyle name="Lien hypertexte visité" xfId="1144" builtinId="9" hidden="1"/>
    <cellStyle name="Lien hypertexte visité" xfId="1146" builtinId="9" hidden="1"/>
    <cellStyle name="Lien hypertexte visité" xfId="1148" builtinId="9" hidden="1"/>
    <cellStyle name="Lien hypertexte visité" xfId="1150" builtinId="9" hidden="1"/>
    <cellStyle name="Lien hypertexte visité" xfId="1152" builtinId="9" hidden="1"/>
    <cellStyle name="Lien hypertexte visité" xfId="1154" builtinId="9" hidden="1"/>
    <cellStyle name="Lien hypertexte visité" xfId="1156" builtinId="9" hidden="1"/>
    <cellStyle name="Lien hypertexte visité" xfId="1158" builtinId="9" hidden="1"/>
    <cellStyle name="Lien hypertexte visité" xfId="1160" builtinId="9" hidden="1"/>
    <cellStyle name="Lien hypertexte visité" xfId="1162" builtinId="9" hidden="1"/>
    <cellStyle name="Lien hypertexte visité" xfId="1164" builtinId="9" hidden="1"/>
    <cellStyle name="Lien hypertexte visité" xfId="1166" builtinId="9" hidden="1"/>
    <cellStyle name="Lien hypertexte visité" xfId="1168" builtinId="9" hidden="1"/>
    <cellStyle name="Lien hypertexte visité" xfId="1170" builtinId="9" hidden="1"/>
    <cellStyle name="Lien hypertexte visité" xfId="1172" builtinId="9" hidden="1"/>
    <cellStyle name="Lien hypertexte visité" xfId="1174" builtinId="9" hidden="1"/>
    <cellStyle name="Lien hypertexte visité" xfId="1176" builtinId="9" hidden="1"/>
    <cellStyle name="Lien hypertexte visité" xfId="1178" builtinId="9" hidden="1"/>
    <cellStyle name="Lien hypertexte visité" xfId="1180" builtinId="9" hidden="1"/>
    <cellStyle name="Lien hypertexte visité" xfId="1182" builtinId="9" hidden="1"/>
    <cellStyle name="Lien hypertexte visité" xfId="1184" builtinId="9" hidden="1"/>
    <cellStyle name="Lien hypertexte visité" xfId="1186" builtinId="9" hidden="1"/>
    <cellStyle name="Lien hypertexte visité" xfId="1188" builtinId="9" hidden="1"/>
    <cellStyle name="Lien hypertexte visité" xfId="1190" builtinId="9" hidden="1"/>
    <cellStyle name="Lien hypertexte visité" xfId="1192" builtinId="9" hidden="1"/>
    <cellStyle name="Lien hypertexte visité" xfId="1194" builtinId="9" hidden="1"/>
    <cellStyle name="Lien hypertexte visité" xfId="1196" builtinId="9" hidden="1"/>
    <cellStyle name="Lien hypertexte visité" xfId="1198" builtinId="9" hidden="1"/>
    <cellStyle name="Lien hypertexte visité" xfId="1200" builtinId="9" hidden="1"/>
    <cellStyle name="Lien hypertexte visité" xfId="1202" builtinId="9" hidden="1"/>
    <cellStyle name="Lien hypertexte visité" xfId="1204" builtinId="9" hidden="1"/>
    <cellStyle name="Lien hypertexte visité" xfId="1206" builtinId="9" hidden="1"/>
    <cellStyle name="Lien hypertexte visité" xfId="1208" builtinId="9" hidden="1"/>
    <cellStyle name="Lien hypertexte visité" xfId="1210" builtinId="9" hidden="1"/>
    <cellStyle name="Lien hypertexte visité" xfId="1212" builtinId="9" hidden="1"/>
    <cellStyle name="Lien hypertexte visité" xfId="1214" builtinId="9" hidden="1"/>
    <cellStyle name="Lien hypertexte visité" xfId="1216" builtinId="9" hidden="1"/>
    <cellStyle name="Lien hypertexte visité" xfId="1218" builtinId="9" hidden="1"/>
    <cellStyle name="Lien hypertexte visité" xfId="1220" builtinId="9" hidden="1"/>
    <cellStyle name="Lien hypertexte visité" xfId="1222" builtinId="9" hidden="1"/>
    <cellStyle name="Lien hypertexte visité" xfId="1224" builtinId="9" hidden="1"/>
    <cellStyle name="Lien hypertexte visité" xfId="1226" builtinId="9" hidden="1"/>
    <cellStyle name="Lien hypertexte visité" xfId="1228" builtinId="9" hidden="1"/>
    <cellStyle name="Lien hypertexte visité" xfId="1230" builtinId="9" hidden="1"/>
    <cellStyle name="Lien hypertexte visité" xfId="1232" builtinId="9" hidden="1"/>
    <cellStyle name="Lien hypertexte visité" xfId="1234" builtinId="9" hidden="1"/>
    <cellStyle name="Lien hypertexte visité" xfId="1236" builtinId="9" hidden="1"/>
    <cellStyle name="Lien hypertexte visité" xfId="1238" builtinId="9" hidden="1"/>
    <cellStyle name="Lien hypertexte visité" xfId="1240" builtinId="9" hidden="1"/>
    <cellStyle name="Lien hypertexte visité" xfId="1242" builtinId="9" hidden="1"/>
    <cellStyle name="Lien hypertexte visité" xfId="1244" builtinId="9" hidden="1"/>
    <cellStyle name="Lien hypertexte visité" xfId="1246" builtinId="9" hidden="1"/>
    <cellStyle name="Lien hypertexte visité" xfId="1248" builtinId="9" hidden="1"/>
    <cellStyle name="Lien hypertexte visité" xfId="1250" builtinId="9" hidden="1"/>
    <cellStyle name="Lien hypertexte visité" xfId="1252" builtinId="9" hidden="1"/>
    <cellStyle name="Lien hypertexte visité" xfId="1254" builtinId="9" hidden="1"/>
    <cellStyle name="Lien hypertexte visité" xfId="1256" builtinId="9" hidden="1"/>
    <cellStyle name="Lien hypertexte visité" xfId="1258" builtinId="9" hidden="1"/>
    <cellStyle name="Lien hypertexte visité" xfId="1260" builtinId="9" hidden="1"/>
    <cellStyle name="Lien hypertexte visité" xfId="1262" builtinId="9" hidden="1"/>
    <cellStyle name="Lien hypertexte visité" xfId="1264" builtinId="9" hidden="1"/>
    <cellStyle name="Lien hypertexte visité" xfId="1266" builtinId="9" hidden="1"/>
    <cellStyle name="Lien hypertexte visité" xfId="1268" builtinId="9" hidden="1"/>
    <cellStyle name="Lien hypertexte visité" xfId="1270" builtinId="9" hidden="1"/>
    <cellStyle name="Lien hypertexte visité" xfId="1272" builtinId="9" hidden="1"/>
    <cellStyle name="Lien hypertexte visité" xfId="1274" builtinId="9" hidden="1"/>
    <cellStyle name="Lien hypertexte visité" xfId="1276" builtinId="9" hidden="1"/>
    <cellStyle name="Lien hypertexte visité" xfId="1278" builtinId="9" hidden="1"/>
    <cellStyle name="Lien hypertexte visité" xfId="1280" builtinId="9" hidden="1"/>
    <cellStyle name="Lien hypertexte visité" xfId="1282" builtinId="9" hidden="1"/>
    <cellStyle name="Lien hypertexte visité" xfId="1284" builtinId="9" hidden="1"/>
    <cellStyle name="Lien hypertexte visité" xfId="1286" builtinId="9" hidden="1"/>
    <cellStyle name="Lien hypertexte visité" xfId="1288" builtinId="9" hidden="1"/>
    <cellStyle name="Lien hypertexte visité" xfId="1290" builtinId="9" hidden="1"/>
    <cellStyle name="Lien hypertexte visité" xfId="1292" builtinId="9" hidden="1"/>
    <cellStyle name="Lien hypertexte visité" xfId="1294" builtinId="9" hidden="1"/>
    <cellStyle name="Lien hypertexte visité" xfId="1296" builtinId="9" hidden="1"/>
    <cellStyle name="Lien hypertexte visité" xfId="1298" builtinId="9" hidden="1"/>
    <cellStyle name="Lien hypertexte visité" xfId="1300" builtinId="9" hidden="1"/>
    <cellStyle name="Lien hypertexte visité" xfId="1302" builtinId="9" hidden="1"/>
    <cellStyle name="Lien hypertexte visité" xfId="1304" builtinId="9" hidden="1"/>
    <cellStyle name="Lien hypertexte visité" xfId="1306" builtinId="9" hidden="1"/>
    <cellStyle name="Lien hypertexte visité" xfId="1308" builtinId="9" hidden="1"/>
    <cellStyle name="Lien hypertexte visité" xfId="1310" builtinId="9" hidden="1"/>
    <cellStyle name="Lien hypertexte visité" xfId="1312" builtinId="9" hidden="1"/>
    <cellStyle name="Lien hypertexte visité" xfId="1314" builtinId="9" hidden="1"/>
    <cellStyle name="Lien hypertexte visité" xfId="1316" builtinId="9" hidden="1"/>
    <cellStyle name="Lien hypertexte visité" xfId="1318" builtinId="9" hidden="1"/>
    <cellStyle name="Lien hypertexte visité" xfId="1320" builtinId="9" hidden="1"/>
    <cellStyle name="Lien hypertexte visité" xfId="1322" builtinId="9" hidden="1"/>
    <cellStyle name="Lien hypertexte visité" xfId="1324" builtinId="9" hidden="1"/>
    <cellStyle name="Lien hypertexte visité" xfId="1326" builtinId="9" hidden="1"/>
    <cellStyle name="Lien hypertexte visité" xfId="1328" builtinId="9" hidden="1"/>
    <cellStyle name="Lien hypertexte visité" xfId="1330" builtinId="9" hidden="1"/>
    <cellStyle name="Lien hypertexte visité" xfId="1332" builtinId="9" hidden="1"/>
    <cellStyle name="Lien hypertexte visité" xfId="1334" builtinId="9" hidden="1"/>
    <cellStyle name="Lien hypertexte visité" xfId="1336" builtinId="9" hidden="1"/>
    <cellStyle name="Lien hypertexte visité" xfId="1338" builtinId="9" hidden="1"/>
    <cellStyle name="Lien hypertexte visité" xfId="1340" builtinId="9" hidden="1"/>
    <cellStyle name="Lien hypertexte visité" xfId="1342" builtinId="9" hidden="1"/>
    <cellStyle name="Lien hypertexte visité" xfId="1344" builtinId="9" hidden="1"/>
    <cellStyle name="Lien hypertexte visité" xfId="1346" builtinId="9" hidden="1"/>
    <cellStyle name="Lien hypertexte visité" xfId="1348" builtinId="9" hidden="1"/>
    <cellStyle name="Lien hypertexte visité" xfId="1350" builtinId="9" hidden="1"/>
    <cellStyle name="Lien hypertexte visité" xfId="1352" builtinId="9" hidden="1"/>
    <cellStyle name="Lien hypertexte visité" xfId="1354" builtinId="9" hidden="1"/>
    <cellStyle name="Lien hypertexte visité" xfId="1356" builtinId="9" hidden="1"/>
    <cellStyle name="Lien hypertexte visité" xfId="1358" builtinId="9" hidden="1"/>
    <cellStyle name="Lien hypertexte visité" xfId="1360" builtinId="9" hidden="1"/>
    <cellStyle name="Lien hypertexte visité" xfId="1362" builtinId="9" hidden="1"/>
    <cellStyle name="Lien hypertexte visité" xfId="1364" builtinId="9" hidden="1"/>
    <cellStyle name="Lien hypertexte visité" xfId="1366" builtinId="9" hidden="1"/>
    <cellStyle name="Lien hypertexte visité" xfId="1368" builtinId="9" hidden="1"/>
    <cellStyle name="Lien hypertexte visité" xfId="1370" builtinId="9" hidden="1"/>
    <cellStyle name="Lien hypertexte visité" xfId="1372" builtinId="9" hidden="1"/>
    <cellStyle name="Lien hypertexte visité" xfId="1374" builtinId="9" hidden="1"/>
    <cellStyle name="Lien hypertexte visité" xfId="1376" builtinId="9" hidden="1"/>
    <cellStyle name="Lien hypertexte visité" xfId="1378" builtinId="9" hidden="1"/>
    <cellStyle name="Lien hypertexte visité" xfId="1380" builtinId="9" hidden="1"/>
    <cellStyle name="Lien hypertexte visité" xfId="1382" builtinId="9" hidden="1"/>
    <cellStyle name="Lien hypertexte visité" xfId="1384" builtinId="9" hidden="1"/>
    <cellStyle name="Lien hypertexte visité" xfId="1386" builtinId="9" hidden="1"/>
    <cellStyle name="Lien hypertexte visité" xfId="1388" builtinId="9" hidden="1"/>
    <cellStyle name="Lien hypertexte visité" xfId="1390" builtinId="9" hidden="1"/>
    <cellStyle name="Lien hypertexte visité" xfId="1392" builtinId="9" hidden="1"/>
    <cellStyle name="Lien hypertexte visité" xfId="1394" builtinId="9" hidden="1"/>
    <cellStyle name="Lien hypertexte visité" xfId="1396" builtinId="9" hidden="1"/>
    <cellStyle name="Lien hypertexte visité" xfId="1398" builtinId="9" hidden="1"/>
    <cellStyle name="Lien hypertexte visité" xfId="1400" builtinId="9" hidden="1"/>
    <cellStyle name="Lien hypertexte visité" xfId="1402" builtinId="9" hidden="1"/>
    <cellStyle name="Lien hypertexte visité" xfId="1404" builtinId="9" hidden="1"/>
    <cellStyle name="Lien hypertexte visité" xfId="1406" builtinId="9" hidden="1"/>
    <cellStyle name="Lien hypertexte visité" xfId="1408" builtinId="9" hidden="1"/>
    <cellStyle name="Lien hypertexte visité" xfId="1410" builtinId="9" hidden="1"/>
    <cellStyle name="Lien hypertexte visité" xfId="1412" builtinId="9" hidden="1"/>
    <cellStyle name="Lien hypertexte visité" xfId="1414" builtinId="9" hidden="1"/>
    <cellStyle name="Lien hypertexte visité" xfId="1416" builtinId="9" hidden="1"/>
    <cellStyle name="Lien hypertexte visité" xfId="1418" builtinId="9" hidden="1"/>
    <cellStyle name="Lien hypertexte visité" xfId="1420" builtinId="9" hidden="1"/>
    <cellStyle name="Lien hypertexte visité" xfId="1422" builtinId="9" hidden="1"/>
    <cellStyle name="Lien hypertexte visité" xfId="1424" builtinId="9" hidden="1"/>
    <cellStyle name="Lien hypertexte visité" xfId="1426" builtinId="9" hidden="1"/>
    <cellStyle name="Lien hypertexte visité" xfId="1428" builtinId="9" hidden="1"/>
    <cellStyle name="Lien hypertexte visité" xfId="1430" builtinId="9" hidden="1"/>
    <cellStyle name="Lien hypertexte visité" xfId="1432" builtinId="9" hidden="1"/>
    <cellStyle name="Lien hypertexte visité" xfId="1434" builtinId="9" hidden="1"/>
    <cellStyle name="Lien hypertexte visité" xfId="1436" builtinId="9" hidden="1"/>
    <cellStyle name="Lien hypertexte visité" xfId="1438" builtinId="9" hidden="1"/>
    <cellStyle name="Lien hypertexte visité" xfId="1440" builtinId="9" hidden="1"/>
    <cellStyle name="Lien hypertexte visité" xfId="1442" builtinId="9" hidden="1"/>
    <cellStyle name="Lien hypertexte visité" xfId="1444" builtinId="9" hidden="1"/>
    <cellStyle name="Lien hypertexte visité" xfId="1446" builtinId="9" hidden="1"/>
    <cellStyle name="Lien hypertexte visité" xfId="1448" builtinId="9" hidden="1"/>
    <cellStyle name="Lien hypertexte visité" xfId="1450" builtinId="9" hidden="1"/>
    <cellStyle name="Lien hypertexte visité" xfId="1452" builtinId="9" hidden="1"/>
    <cellStyle name="Lien hypertexte visité" xfId="1454" builtinId="9" hidden="1"/>
    <cellStyle name="Lien hypertexte visité" xfId="1456" builtinId="9" hidden="1"/>
    <cellStyle name="Lien hypertexte visité" xfId="1458" builtinId="9" hidden="1"/>
    <cellStyle name="Lien hypertexte visité" xfId="1460" builtinId="9" hidden="1"/>
    <cellStyle name="Lien hypertexte visité" xfId="1462" builtinId="9" hidden="1"/>
    <cellStyle name="Lien hypertexte visité" xfId="1464" builtinId="9" hidden="1"/>
    <cellStyle name="Lien hypertexte visité" xfId="1466" builtinId="9" hidden="1"/>
    <cellStyle name="Lien hypertexte visité" xfId="1468" builtinId="9" hidden="1"/>
    <cellStyle name="Lien hypertexte visité" xfId="1470" builtinId="9" hidden="1"/>
    <cellStyle name="Lien hypertexte visité" xfId="1472" builtinId="9" hidden="1"/>
    <cellStyle name="Lien hypertexte visité" xfId="1474" builtinId="9" hidden="1"/>
    <cellStyle name="Lien hypertexte visité" xfId="1476" builtinId="9" hidden="1"/>
    <cellStyle name="Lien hypertexte visité" xfId="1478" builtinId="9" hidden="1"/>
    <cellStyle name="Lien hypertexte visité" xfId="1480" builtinId="9" hidden="1"/>
    <cellStyle name="Lien hypertexte visité" xfId="1482" builtinId="9" hidden="1"/>
    <cellStyle name="Lien hypertexte visité" xfId="1484" builtinId="9" hidden="1"/>
    <cellStyle name="Lien hypertexte visité" xfId="1486" builtinId="9" hidden="1"/>
    <cellStyle name="Lien hypertexte visité" xfId="1488" builtinId="9" hidden="1"/>
    <cellStyle name="Lien hypertexte visité" xfId="1490" builtinId="9" hidden="1"/>
    <cellStyle name="Lien hypertexte visité" xfId="1492" builtinId="9" hidden="1"/>
    <cellStyle name="Lien hypertexte visité" xfId="1494" builtinId="9" hidden="1"/>
    <cellStyle name="Lien hypertexte visité" xfId="1496" builtinId="9" hidden="1"/>
    <cellStyle name="Lien hypertexte visité" xfId="1498" builtinId="9" hidden="1"/>
    <cellStyle name="Lien hypertexte visité" xfId="1500" builtinId="9" hidden="1"/>
    <cellStyle name="Lien hypertexte visité" xfId="1502" builtinId="9" hidden="1"/>
    <cellStyle name="Lien hypertexte visité" xfId="1504" builtinId="9" hidden="1"/>
    <cellStyle name="Lien hypertexte visité" xfId="1506" builtinId="9" hidden="1"/>
    <cellStyle name="Lien hypertexte visité" xfId="1508" builtinId="9" hidden="1"/>
    <cellStyle name="Lien hypertexte visité" xfId="1510" builtinId="9" hidden="1"/>
    <cellStyle name="Lien hypertexte visité" xfId="1512" builtinId="9" hidden="1"/>
    <cellStyle name="Lien hypertexte visité" xfId="1514" builtinId="9" hidden="1"/>
    <cellStyle name="Lien hypertexte visité" xfId="1516" builtinId="9" hidden="1"/>
    <cellStyle name="Lien hypertexte visité" xfId="1518" builtinId="9" hidden="1"/>
    <cellStyle name="Lien hypertexte visité" xfId="1520" builtinId="9" hidden="1"/>
    <cellStyle name="Lien hypertexte visité" xfId="1522" builtinId="9" hidden="1"/>
    <cellStyle name="Lien hypertexte visité" xfId="1524" builtinId="9" hidden="1"/>
    <cellStyle name="Lien hypertexte visité" xfId="1526" builtinId="9" hidden="1"/>
    <cellStyle name="Lien hypertexte visité" xfId="1528" builtinId="9" hidden="1"/>
    <cellStyle name="Lien hypertexte visité" xfId="1530" builtinId="9" hidden="1"/>
    <cellStyle name="Lien hypertexte visité" xfId="1532" builtinId="9" hidden="1"/>
    <cellStyle name="Lien hypertexte visité" xfId="1534" builtinId="9" hidden="1"/>
    <cellStyle name="Lien hypertexte visité" xfId="1536" builtinId="9" hidden="1"/>
    <cellStyle name="Lien hypertexte visité" xfId="1538" builtinId="9" hidden="1"/>
    <cellStyle name="Lien hypertexte visité" xfId="1540" builtinId="9" hidden="1"/>
    <cellStyle name="Lien hypertexte visité" xfId="1542" builtinId="9" hidden="1"/>
    <cellStyle name="Lien hypertexte visité" xfId="1544" builtinId="9" hidden="1"/>
    <cellStyle name="Lien hypertexte visité" xfId="1546" builtinId="9" hidden="1"/>
    <cellStyle name="Lien hypertexte visité" xfId="1548" builtinId="9" hidden="1"/>
    <cellStyle name="Lien hypertexte visité" xfId="1550" builtinId="9" hidden="1"/>
    <cellStyle name="Lien hypertexte visité" xfId="1552" builtinId="9" hidden="1"/>
    <cellStyle name="Lien hypertexte visité" xfId="1554" builtinId="9" hidden="1"/>
    <cellStyle name="Lien hypertexte visité" xfId="1556" builtinId="9" hidden="1"/>
    <cellStyle name="Lien hypertexte visité" xfId="1558" builtinId="9" hidden="1"/>
    <cellStyle name="Lien hypertexte visité" xfId="1560" builtinId="9" hidden="1"/>
    <cellStyle name="Lien hypertexte visité" xfId="1562" builtinId="9" hidden="1"/>
    <cellStyle name="Lien hypertexte visité" xfId="1564" builtinId="9" hidden="1"/>
    <cellStyle name="Lien hypertexte visité" xfId="1566" builtinId="9" hidden="1"/>
    <cellStyle name="Lien hypertexte visité" xfId="1568" builtinId="9" hidden="1"/>
    <cellStyle name="Lien hypertexte visité" xfId="1570" builtinId="9" hidden="1"/>
    <cellStyle name="Lien hypertexte visité" xfId="1572" builtinId="9" hidden="1"/>
    <cellStyle name="Lien hypertexte visité" xfId="1574" builtinId="9" hidden="1"/>
    <cellStyle name="Lien hypertexte visité" xfId="1576" builtinId="9" hidden="1"/>
    <cellStyle name="Lien hypertexte visité" xfId="1578" builtinId="9" hidden="1"/>
    <cellStyle name="Lien hypertexte visité" xfId="1580" builtinId="9" hidden="1"/>
    <cellStyle name="Lien hypertexte visité" xfId="1582" builtinId="9" hidden="1"/>
    <cellStyle name="Lien hypertexte visité" xfId="1584" builtinId="9" hidden="1"/>
    <cellStyle name="Lien hypertexte visité" xfId="1586" builtinId="9" hidden="1"/>
    <cellStyle name="Lien hypertexte visité" xfId="1588" builtinId="9" hidden="1"/>
    <cellStyle name="Lien hypertexte visité" xfId="1590" builtinId="9" hidden="1"/>
    <cellStyle name="Lien hypertexte visité" xfId="1592" builtinId="9" hidden="1"/>
    <cellStyle name="Lien hypertexte visité" xfId="1594" builtinId="9" hidden="1"/>
    <cellStyle name="Lien hypertexte visité" xfId="1596" builtinId="9" hidden="1"/>
    <cellStyle name="Lien hypertexte visité" xfId="1598" builtinId="9" hidden="1"/>
    <cellStyle name="Lien hypertexte visité" xfId="1600" builtinId="9" hidden="1"/>
    <cellStyle name="Lien hypertexte visité" xfId="1602" builtinId="9" hidden="1"/>
    <cellStyle name="Lien hypertexte visité" xfId="1604" builtinId="9" hidden="1"/>
    <cellStyle name="Lien hypertexte visité" xfId="1606" builtinId="9" hidden="1"/>
    <cellStyle name="Lien hypertexte visité" xfId="1608" builtinId="9" hidden="1"/>
    <cellStyle name="Lien hypertexte visité" xfId="1610" builtinId="9" hidden="1"/>
    <cellStyle name="Lien hypertexte visité" xfId="1612" builtinId="9" hidden="1"/>
    <cellStyle name="Lien hypertexte visité" xfId="1614" builtinId="9" hidden="1"/>
    <cellStyle name="Lien hypertexte visité" xfId="1616" builtinId="9" hidden="1"/>
    <cellStyle name="Lien hypertexte visité" xfId="1618" builtinId="9" hidden="1"/>
    <cellStyle name="Lien hypertexte visité" xfId="1620" builtinId="9" hidden="1"/>
    <cellStyle name="Lien hypertexte visité" xfId="1622" builtinId="9" hidden="1"/>
    <cellStyle name="Lien hypertexte visité" xfId="1624" builtinId="9" hidden="1"/>
    <cellStyle name="Lien hypertexte visité" xfId="1626" builtinId="9" hidden="1"/>
    <cellStyle name="Lien hypertexte visité" xfId="1628" builtinId="9" hidden="1"/>
    <cellStyle name="Lien hypertexte visité" xfId="1630" builtinId="9" hidden="1"/>
    <cellStyle name="Lien hypertexte visité" xfId="1632" builtinId="9" hidden="1"/>
    <cellStyle name="Lien hypertexte visité" xfId="1634" builtinId="9" hidden="1"/>
    <cellStyle name="Lien hypertexte visité" xfId="1636" builtinId="9" hidden="1"/>
    <cellStyle name="Lien hypertexte visité" xfId="1638" builtinId="9" hidden="1"/>
    <cellStyle name="Lien hypertexte visité" xfId="1640" builtinId="9" hidden="1"/>
    <cellStyle name="Lien hypertexte visité" xfId="1642" builtinId="9" hidden="1"/>
    <cellStyle name="Lien hypertexte visité" xfId="1644" builtinId="9" hidden="1"/>
    <cellStyle name="Lien hypertexte visité" xfId="1646" builtinId="9" hidden="1"/>
    <cellStyle name="Lien hypertexte visité" xfId="1648" builtinId="9" hidden="1"/>
    <cellStyle name="Lien hypertexte visité" xfId="1650" builtinId="9" hidden="1"/>
    <cellStyle name="Lien hypertexte visité" xfId="1652" builtinId="9" hidden="1"/>
    <cellStyle name="Lien hypertexte visité" xfId="1654" builtinId="9" hidden="1"/>
    <cellStyle name="Lien hypertexte visité" xfId="1656" builtinId="9" hidden="1"/>
    <cellStyle name="Lien hypertexte visité" xfId="1658" builtinId="9" hidden="1"/>
    <cellStyle name="Lien hypertexte visité" xfId="1660" builtinId="9" hidden="1"/>
    <cellStyle name="Lien hypertexte visité" xfId="1662" builtinId="9" hidden="1"/>
    <cellStyle name="Lien hypertexte visité" xfId="1664" builtinId="9" hidden="1"/>
    <cellStyle name="Lien hypertexte visité" xfId="1666" builtinId="9" hidden="1"/>
    <cellStyle name="Lien hypertexte visité" xfId="1668" builtinId="9" hidden="1"/>
    <cellStyle name="Lien hypertexte visité" xfId="1670" builtinId="9" hidden="1"/>
    <cellStyle name="Lien hypertexte visité" xfId="1672" builtinId="9" hidden="1"/>
    <cellStyle name="Lien hypertexte visité" xfId="1674" builtinId="9" hidden="1"/>
    <cellStyle name="Lien hypertexte visité" xfId="1676" builtinId="9" hidden="1"/>
    <cellStyle name="Lien hypertexte visité" xfId="1678" builtinId="9" hidden="1"/>
    <cellStyle name="Lien hypertexte visité" xfId="1680" builtinId="9" hidden="1"/>
    <cellStyle name="Lien hypertexte visité" xfId="1682" builtinId="9" hidden="1"/>
    <cellStyle name="Lien hypertexte visité" xfId="1684" builtinId="9" hidden="1"/>
    <cellStyle name="Lien hypertexte visité" xfId="1686" builtinId="9" hidden="1"/>
    <cellStyle name="Lien hypertexte visité" xfId="1688" builtinId="9" hidden="1"/>
    <cellStyle name="Lien hypertexte visité" xfId="1690" builtinId="9" hidden="1"/>
    <cellStyle name="Lien hypertexte visité" xfId="1692" builtinId="9" hidden="1"/>
    <cellStyle name="Lien hypertexte visité" xfId="1694" builtinId="9" hidden="1"/>
    <cellStyle name="Lien hypertexte visité" xfId="1696" builtinId="9" hidden="1"/>
    <cellStyle name="Lien hypertexte visité" xfId="1698" builtinId="9" hidden="1"/>
    <cellStyle name="Lien hypertexte visité" xfId="1700" builtinId="9" hidden="1"/>
    <cellStyle name="Lien hypertexte visité" xfId="1702" builtinId="9" hidden="1"/>
    <cellStyle name="Lien hypertexte visité" xfId="1704" builtinId="9" hidden="1"/>
    <cellStyle name="Lien hypertexte visité" xfId="1706" builtinId="9" hidden="1"/>
    <cellStyle name="Lien hypertexte visité" xfId="1708" builtinId="9" hidden="1"/>
    <cellStyle name="Lien hypertexte visité" xfId="1710" builtinId="9" hidden="1"/>
    <cellStyle name="Lien hypertexte visité" xfId="1712" builtinId="9" hidden="1"/>
    <cellStyle name="Lien hypertexte visité" xfId="1714" builtinId="9" hidden="1"/>
    <cellStyle name="Lien hypertexte visité" xfId="1716" builtinId="9" hidden="1"/>
    <cellStyle name="Lien hypertexte visité" xfId="1718" builtinId="9" hidden="1"/>
    <cellStyle name="Lien hypertexte visité" xfId="1720" builtinId="9" hidden="1"/>
    <cellStyle name="Lien hypertexte visité" xfId="1722" builtinId="9" hidden="1"/>
    <cellStyle name="Lien hypertexte visité" xfId="1724" builtinId="9" hidden="1"/>
    <cellStyle name="Lien hypertexte visité" xfId="1726" builtinId="9" hidden="1"/>
    <cellStyle name="Lien hypertexte visité" xfId="1728" builtinId="9" hidden="1"/>
    <cellStyle name="Lien hypertexte visité" xfId="1730" builtinId="9" hidden="1"/>
    <cellStyle name="Lien hypertexte visité" xfId="1732" builtinId="9" hidden="1"/>
    <cellStyle name="Lien hypertexte visité" xfId="1734" builtinId="9" hidden="1"/>
    <cellStyle name="Lien hypertexte visité" xfId="1736" builtinId="9" hidden="1"/>
    <cellStyle name="Lien hypertexte visité" xfId="1738" builtinId="9" hidden="1"/>
    <cellStyle name="Lien hypertexte visité" xfId="1740" builtinId="9" hidden="1"/>
    <cellStyle name="Lien hypertexte visité" xfId="1742" builtinId="9" hidden="1"/>
    <cellStyle name="Lien hypertexte visité" xfId="1744" builtinId="9" hidden="1"/>
    <cellStyle name="Lien hypertexte visité" xfId="1746" builtinId="9" hidden="1"/>
    <cellStyle name="Lien hypertexte visité" xfId="1748" builtinId="9" hidden="1"/>
    <cellStyle name="Lien hypertexte visité" xfId="1750" builtinId="9" hidden="1"/>
    <cellStyle name="Lien hypertexte visité" xfId="1752" builtinId="9" hidden="1"/>
    <cellStyle name="Lien hypertexte visité" xfId="1754" builtinId="9" hidden="1"/>
    <cellStyle name="Lien hypertexte visité" xfId="1756" builtinId="9" hidden="1"/>
    <cellStyle name="Lien hypertexte visité" xfId="1758" builtinId="9" hidden="1"/>
    <cellStyle name="Lien hypertexte visité" xfId="1760" builtinId="9" hidden="1"/>
    <cellStyle name="Lien hypertexte visité" xfId="1762" builtinId="9" hidden="1"/>
    <cellStyle name="Lien hypertexte visité" xfId="1764" builtinId="9" hidden="1"/>
    <cellStyle name="Lien hypertexte visité" xfId="1766" builtinId="9" hidden="1"/>
    <cellStyle name="Lien hypertexte visité" xfId="1768" builtinId="9" hidden="1"/>
    <cellStyle name="Lien hypertexte visité" xfId="1770" builtinId="9" hidden="1"/>
    <cellStyle name="Lien hypertexte visité" xfId="1772" builtinId="9" hidden="1"/>
    <cellStyle name="Lien hypertexte visité" xfId="1774" builtinId="9" hidden="1"/>
    <cellStyle name="Lien hypertexte visité" xfId="1776" builtinId="9" hidden="1"/>
    <cellStyle name="Lien hypertexte visité" xfId="1778" builtinId="9" hidden="1"/>
    <cellStyle name="Lien hypertexte visité" xfId="1780" builtinId="9" hidden="1"/>
    <cellStyle name="Lien hypertexte visité" xfId="1782" builtinId="9" hidden="1"/>
    <cellStyle name="Lien hypertexte visité" xfId="1784" builtinId="9" hidden="1"/>
    <cellStyle name="Lien hypertexte visité" xfId="1786" builtinId="9" hidden="1"/>
    <cellStyle name="Lien hypertexte visité" xfId="1788" builtinId="9" hidden="1"/>
    <cellStyle name="Lien hypertexte visité" xfId="1790" builtinId="9" hidden="1"/>
    <cellStyle name="Lien hypertexte visité" xfId="1792" builtinId="9" hidden="1"/>
    <cellStyle name="Lien hypertexte visité" xfId="1794" builtinId="9" hidden="1"/>
    <cellStyle name="Lien hypertexte visité" xfId="1796" builtinId="9" hidden="1"/>
    <cellStyle name="Lien hypertexte visité" xfId="1798" builtinId="9" hidden="1"/>
    <cellStyle name="Lien hypertexte visité" xfId="1800" builtinId="9" hidden="1"/>
    <cellStyle name="Lien hypertexte visité" xfId="1802" builtinId="9" hidden="1"/>
    <cellStyle name="Lien hypertexte visité" xfId="1804" builtinId="9" hidden="1"/>
    <cellStyle name="Lien hypertexte visité" xfId="1806" builtinId="9" hidden="1"/>
    <cellStyle name="Lien hypertexte visité" xfId="1808" builtinId="9" hidden="1"/>
    <cellStyle name="Lien hypertexte visité" xfId="1810" builtinId="9" hidden="1"/>
    <cellStyle name="Lien hypertexte visité" xfId="1812" builtinId="9" hidden="1"/>
    <cellStyle name="Lien hypertexte visité" xfId="1814" builtinId="9" hidden="1"/>
    <cellStyle name="Lien hypertexte visité" xfId="1816" builtinId="9" hidden="1"/>
    <cellStyle name="Lien hypertexte visité" xfId="1818" builtinId="9" hidden="1"/>
    <cellStyle name="Lien hypertexte visité" xfId="1820" builtinId="9" hidden="1"/>
    <cellStyle name="Lien hypertexte visité" xfId="1822" builtinId="9" hidden="1"/>
    <cellStyle name="Lien hypertexte visité" xfId="1824" builtinId="9" hidden="1"/>
    <cellStyle name="Lien hypertexte visité" xfId="1826" builtinId="9" hidden="1"/>
    <cellStyle name="Lien hypertexte visité" xfId="1828" builtinId="9" hidden="1"/>
    <cellStyle name="Lien hypertexte visité" xfId="1830" builtinId="9" hidden="1"/>
    <cellStyle name="Lien hypertexte visité" xfId="1832" builtinId="9" hidden="1"/>
    <cellStyle name="Lien hypertexte visité" xfId="1834" builtinId="9" hidden="1"/>
    <cellStyle name="Lien hypertexte visité" xfId="1836" builtinId="9" hidden="1"/>
    <cellStyle name="Lien hypertexte visité" xfId="1838" builtinId="9" hidden="1"/>
    <cellStyle name="Lien hypertexte visité" xfId="1840" builtinId="9" hidden="1"/>
    <cellStyle name="Lien hypertexte visité" xfId="1842" builtinId="9" hidden="1"/>
    <cellStyle name="Lien hypertexte visité" xfId="1844" builtinId="9" hidden="1"/>
    <cellStyle name="Lien hypertexte visité" xfId="1846" builtinId="9" hidden="1"/>
    <cellStyle name="Lien hypertexte visité" xfId="1848" builtinId="9" hidden="1"/>
    <cellStyle name="Lien hypertexte visité" xfId="1850" builtinId="9" hidden="1"/>
    <cellStyle name="Lien hypertexte visité" xfId="1852" builtinId="9" hidden="1"/>
    <cellStyle name="Lien hypertexte visité" xfId="1854" builtinId="9" hidden="1"/>
    <cellStyle name="Lien hypertexte visité" xfId="1856" builtinId="9" hidden="1"/>
    <cellStyle name="Lien hypertexte visité" xfId="1858" builtinId="9" hidden="1"/>
    <cellStyle name="Lien hypertexte visité" xfId="1860" builtinId="9" hidden="1"/>
    <cellStyle name="Lien hypertexte visité" xfId="1862" builtinId="9" hidden="1"/>
    <cellStyle name="Lien hypertexte visité" xfId="1864" builtinId="9" hidden="1"/>
    <cellStyle name="Lien hypertexte visité" xfId="1866" builtinId="9" hidden="1"/>
    <cellStyle name="Lien hypertexte visité" xfId="1868" builtinId="9" hidden="1"/>
    <cellStyle name="Lien hypertexte visité" xfId="1870" builtinId="9" hidden="1"/>
    <cellStyle name="Lien hypertexte visité" xfId="1872" builtinId="9" hidden="1"/>
    <cellStyle name="Lien hypertexte visité" xfId="1874" builtinId="9" hidden="1"/>
    <cellStyle name="Lien hypertexte visité" xfId="1876" builtinId="9" hidden="1"/>
    <cellStyle name="Lien hypertexte visité" xfId="1878" builtinId="9" hidden="1"/>
    <cellStyle name="Lien hypertexte visité" xfId="1880" builtinId="9" hidden="1"/>
    <cellStyle name="Lien hypertexte visité" xfId="1882" builtinId="9" hidden="1"/>
    <cellStyle name="Lien hypertexte visité" xfId="1884" builtinId="9" hidden="1"/>
    <cellStyle name="Lien hypertexte visité" xfId="1886" builtinId="9" hidden="1"/>
    <cellStyle name="Lien hypertexte visité" xfId="1888" builtinId="9" hidden="1"/>
    <cellStyle name="Lien hypertexte visité" xfId="1890" builtinId="9" hidden="1"/>
    <cellStyle name="Lien hypertexte visité" xfId="1892" builtinId="9" hidden="1"/>
    <cellStyle name="Lien hypertexte visité" xfId="1894" builtinId="9" hidden="1"/>
    <cellStyle name="Lien hypertexte visité" xfId="1896" builtinId="9" hidden="1"/>
    <cellStyle name="Lien hypertexte visité" xfId="1898" builtinId="9" hidden="1"/>
    <cellStyle name="Lien hypertexte visité" xfId="1900" builtinId="9" hidden="1"/>
    <cellStyle name="Lien hypertexte visité" xfId="1902" builtinId="9" hidden="1"/>
    <cellStyle name="Lien hypertexte visité" xfId="1904" builtinId="9" hidden="1"/>
    <cellStyle name="Lien hypertexte visité" xfId="1906" builtinId="9" hidden="1"/>
    <cellStyle name="Lien hypertexte visité" xfId="1908" builtinId="9" hidden="1"/>
    <cellStyle name="Lien hypertexte visité" xfId="1910" builtinId="9" hidden="1"/>
    <cellStyle name="Lien hypertexte visité" xfId="1912" builtinId="9" hidden="1"/>
    <cellStyle name="Lien hypertexte visité" xfId="1914" builtinId="9" hidden="1"/>
    <cellStyle name="Lien hypertexte visité" xfId="1916" builtinId="9" hidden="1"/>
    <cellStyle name="Lien hypertexte visité" xfId="1918" builtinId="9" hidden="1"/>
    <cellStyle name="Lien hypertexte visité" xfId="1920" builtinId="9" hidden="1"/>
    <cellStyle name="Lien hypertexte visité" xfId="1922" builtinId="9" hidden="1"/>
    <cellStyle name="Lien hypertexte visité" xfId="1924" builtinId="9" hidden="1"/>
    <cellStyle name="Lien hypertexte visité" xfId="1926" builtinId="9" hidden="1"/>
    <cellStyle name="Lien hypertexte visité" xfId="1928" builtinId="9" hidden="1"/>
    <cellStyle name="Lien hypertexte visité" xfId="1930" builtinId="9" hidden="1"/>
    <cellStyle name="Lien hypertexte visité" xfId="1932" builtinId="9" hidden="1"/>
    <cellStyle name="Lien hypertexte visité" xfId="1934" builtinId="9" hidden="1"/>
    <cellStyle name="Lien hypertexte visité" xfId="1936" builtinId="9" hidden="1"/>
    <cellStyle name="Lien hypertexte visité" xfId="1938" builtinId="9" hidden="1"/>
    <cellStyle name="Lien hypertexte visité" xfId="1940" builtinId="9" hidden="1"/>
    <cellStyle name="Lien hypertexte visité" xfId="1942" builtinId="9" hidden="1"/>
    <cellStyle name="Lien hypertexte visité" xfId="1944" builtinId="9" hidden="1"/>
    <cellStyle name="Lien hypertexte visité" xfId="1946" builtinId="9" hidden="1"/>
    <cellStyle name="Lien hypertexte visité" xfId="1948" builtinId="9" hidden="1"/>
    <cellStyle name="Lien hypertexte visité" xfId="1950" builtinId="9" hidden="1"/>
    <cellStyle name="Lien hypertexte visité" xfId="1952" builtinId="9" hidden="1"/>
    <cellStyle name="Lien hypertexte visité" xfId="1954" builtinId="9" hidden="1"/>
    <cellStyle name="Lien hypertexte visité" xfId="1956" builtinId="9" hidden="1"/>
    <cellStyle name="Lien hypertexte visité" xfId="1958" builtinId="9" hidden="1"/>
    <cellStyle name="Lien hypertexte visité" xfId="1960" builtinId="9" hidden="1"/>
    <cellStyle name="Lien hypertexte visité" xfId="1962" builtinId="9" hidden="1"/>
    <cellStyle name="Lien hypertexte visité" xfId="1964" builtinId="9" hidden="1"/>
    <cellStyle name="Lien hypertexte visité" xfId="1966" builtinId="9" hidden="1"/>
    <cellStyle name="Lien hypertexte visité" xfId="1968" builtinId="9" hidden="1"/>
    <cellStyle name="Lien hypertexte visité" xfId="1970" builtinId="9" hidden="1"/>
    <cellStyle name="Lien hypertexte visité" xfId="1972" builtinId="9" hidden="1"/>
    <cellStyle name="Lien hypertexte visité" xfId="1974" builtinId="9" hidden="1"/>
    <cellStyle name="Lien hypertexte visité" xfId="1976" builtinId="9" hidden="1"/>
    <cellStyle name="Lien hypertexte visité" xfId="1978" builtinId="9" hidden="1"/>
    <cellStyle name="Lien hypertexte visité" xfId="1980" builtinId="9" hidden="1"/>
    <cellStyle name="Lien hypertexte visité" xfId="1982" builtinId="9" hidden="1"/>
    <cellStyle name="Lien hypertexte visité" xfId="1984" builtinId="9" hidden="1"/>
    <cellStyle name="Lien hypertexte visité" xfId="1986" builtinId="9" hidden="1"/>
    <cellStyle name="Lien hypertexte visité" xfId="1988" builtinId="9" hidden="1"/>
    <cellStyle name="Lien hypertexte visité" xfId="1990" builtinId="9" hidden="1"/>
    <cellStyle name="Lien hypertexte visité" xfId="1992" builtinId="9" hidden="1"/>
    <cellStyle name="Lien hypertexte visité" xfId="1994" builtinId="9" hidden="1"/>
    <cellStyle name="Lien hypertexte visité" xfId="1996" builtinId="9" hidden="1"/>
    <cellStyle name="Lien hypertexte visité" xfId="1998" builtinId="9" hidden="1"/>
    <cellStyle name="Lien hypertexte visité" xfId="2000" builtinId="9" hidden="1"/>
    <cellStyle name="Lien hypertexte visité" xfId="2002" builtinId="9" hidden="1"/>
    <cellStyle name="Lien hypertexte visité" xfId="2004" builtinId="9" hidden="1"/>
    <cellStyle name="Lien hypertexte visité" xfId="2006" builtinId="9" hidden="1"/>
    <cellStyle name="Lien hypertexte visité" xfId="2008" builtinId="9" hidden="1"/>
    <cellStyle name="Lien hypertexte visité" xfId="2010" builtinId="9" hidden="1"/>
    <cellStyle name="Lien hypertexte visité" xfId="2012" builtinId="9" hidden="1"/>
    <cellStyle name="Lien hypertexte visité" xfId="2014" builtinId="9" hidden="1"/>
    <cellStyle name="Lien hypertexte visité" xfId="2016" builtinId="9" hidden="1"/>
    <cellStyle name="Lien hypertexte visité" xfId="2018" builtinId="9" hidden="1"/>
    <cellStyle name="Lien hypertexte visité" xfId="2020" builtinId="9" hidden="1"/>
    <cellStyle name="Lien hypertexte visité" xfId="2022" builtinId="9" hidden="1"/>
    <cellStyle name="Lien hypertexte visité" xfId="2024" builtinId="9" hidden="1"/>
    <cellStyle name="Lien hypertexte visité" xfId="2026" builtinId="9" hidden="1"/>
    <cellStyle name="Lien hypertexte visité" xfId="2028" builtinId="9" hidden="1"/>
    <cellStyle name="Lien hypertexte visité" xfId="2030" builtinId="9" hidden="1"/>
    <cellStyle name="Lien hypertexte visité" xfId="2032" builtinId="9" hidden="1"/>
    <cellStyle name="Lien hypertexte visité" xfId="2034" builtinId="9" hidden="1"/>
    <cellStyle name="Lien hypertexte visité" xfId="2036" builtinId="9" hidden="1"/>
    <cellStyle name="Lien hypertexte visité" xfId="2038" builtinId="9" hidden="1"/>
    <cellStyle name="Lien hypertexte visité" xfId="2040" builtinId="9" hidden="1"/>
    <cellStyle name="Lien hypertexte visité" xfId="2042" builtinId="9" hidden="1"/>
    <cellStyle name="Lien hypertexte visité" xfId="2044" builtinId="9" hidden="1"/>
    <cellStyle name="Lien hypertexte visité" xfId="2046" builtinId="9" hidden="1"/>
    <cellStyle name="Lien hypertexte visité" xfId="2048" builtinId="9" hidden="1"/>
    <cellStyle name="Lien hypertexte visité" xfId="2050" builtinId="9" hidden="1"/>
    <cellStyle name="Lien hypertexte visité" xfId="2052" builtinId="9" hidden="1"/>
    <cellStyle name="Lien hypertexte visité" xfId="2054" builtinId="9" hidden="1"/>
    <cellStyle name="Lien hypertexte visité" xfId="2056" builtinId="9" hidden="1"/>
    <cellStyle name="Lien hypertexte visité" xfId="2058" builtinId="9" hidden="1"/>
    <cellStyle name="Lien hypertexte visité" xfId="2060" builtinId="9" hidden="1"/>
    <cellStyle name="Lien hypertexte visité" xfId="2062" builtinId="9" hidden="1"/>
    <cellStyle name="Lien hypertexte visité" xfId="2064" builtinId="9" hidden="1"/>
    <cellStyle name="Lien hypertexte visité" xfId="2066" builtinId="9" hidden="1"/>
    <cellStyle name="Lien hypertexte visité" xfId="2068" builtinId="9" hidden="1"/>
    <cellStyle name="Lien hypertexte visité" xfId="2070" builtinId="9" hidden="1"/>
    <cellStyle name="Lien hypertexte visité" xfId="2072" builtinId="9" hidden="1"/>
    <cellStyle name="Lien hypertexte visité" xfId="2074" builtinId="9" hidden="1"/>
    <cellStyle name="Lien hypertexte visité" xfId="2076" builtinId="9" hidden="1"/>
    <cellStyle name="Lien hypertexte visité" xfId="2078" builtinId="9" hidden="1"/>
    <cellStyle name="Lien hypertexte visité" xfId="2080" builtinId="9" hidden="1"/>
    <cellStyle name="Lien hypertexte visité" xfId="2082" builtinId="9" hidden="1"/>
    <cellStyle name="Lien hypertexte visité" xfId="2084" builtinId="9" hidden="1"/>
    <cellStyle name="Lien hypertexte visité" xfId="2086" builtinId="9" hidden="1"/>
    <cellStyle name="Lien hypertexte visité" xfId="2088" builtinId="9" hidden="1"/>
    <cellStyle name="Lien hypertexte visité" xfId="2090" builtinId="9" hidden="1"/>
    <cellStyle name="Lien hypertexte visité" xfId="2092" builtinId="9" hidden="1"/>
    <cellStyle name="Lien hypertexte visité" xfId="2094" builtinId="9" hidden="1"/>
    <cellStyle name="Lien hypertexte visité" xfId="2096" builtinId="9" hidden="1"/>
    <cellStyle name="Lien hypertexte visité" xfId="2098" builtinId="9" hidden="1"/>
    <cellStyle name="Lien hypertexte visité" xfId="2100" builtinId="9" hidden="1"/>
    <cellStyle name="Lien hypertexte visité" xfId="2102" builtinId="9" hidden="1"/>
    <cellStyle name="Lien hypertexte visité" xfId="2104" builtinId="9" hidden="1"/>
    <cellStyle name="Lien hypertexte visité" xfId="2106" builtinId="9" hidden="1"/>
    <cellStyle name="Lien hypertexte visité" xfId="2108" builtinId="9" hidden="1"/>
    <cellStyle name="Lien hypertexte visité" xfId="2110" builtinId="9" hidden="1"/>
    <cellStyle name="Lien hypertexte visité" xfId="2112" builtinId="9" hidden="1"/>
    <cellStyle name="Lien hypertexte visité" xfId="2114" builtinId="9" hidden="1"/>
    <cellStyle name="Lien hypertexte visité" xfId="2116" builtinId="9" hidden="1"/>
    <cellStyle name="Lien hypertexte visité" xfId="2118" builtinId="9" hidden="1"/>
    <cellStyle name="Lien hypertexte visité" xfId="2120" builtinId="9" hidden="1"/>
    <cellStyle name="Lien hypertexte visité" xfId="2122" builtinId="9" hidden="1"/>
    <cellStyle name="Lien hypertexte visité" xfId="2124" builtinId="9" hidden="1"/>
    <cellStyle name="Lien hypertexte visité" xfId="2126" builtinId="9" hidden="1"/>
    <cellStyle name="Lien hypertexte visité" xfId="2128" builtinId="9" hidden="1"/>
    <cellStyle name="Lien hypertexte visité" xfId="2130" builtinId="9" hidden="1"/>
    <cellStyle name="Lien hypertexte visité" xfId="2132" builtinId="9" hidden="1"/>
    <cellStyle name="Lien hypertexte visité" xfId="2134" builtinId="9" hidden="1"/>
    <cellStyle name="Lien hypertexte visité" xfId="2136" builtinId="9" hidden="1"/>
    <cellStyle name="Lien hypertexte visité" xfId="2138" builtinId="9" hidden="1"/>
    <cellStyle name="Lien hypertexte visité" xfId="2140" builtinId="9" hidden="1"/>
    <cellStyle name="Lien hypertexte visité" xfId="2142" builtinId="9" hidden="1"/>
    <cellStyle name="Lien hypertexte visité" xfId="2144" builtinId="9" hidden="1"/>
    <cellStyle name="Lien hypertexte visité" xfId="2146" builtinId="9" hidden="1"/>
    <cellStyle name="Lien hypertexte visité" xfId="2148" builtinId="9" hidden="1"/>
    <cellStyle name="Lien hypertexte visité" xfId="2150" builtinId="9" hidden="1"/>
    <cellStyle name="Lien hypertexte visité" xfId="2152" builtinId="9" hidden="1"/>
    <cellStyle name="Lien hypertexte visité" xfId="2154" builtinId="9" hidden="1"/>
    <cellStyle name="Lien hypertexte visité" xfId="2156" builtinId="9" hidden="1"/>
    <cellStyle name="Lien hypertexte visité" xfId="2158" builtinId="9" hidden="1"/>
    <cellStyle name="Lien hypertexte visité" xfId="2160" builtinId="9" hidden="1"/>
    <cellStyle name="Lien hypertexte visité" xfId="2162" builtinId="9" hidden="1"/>
    <cellStyle name="Lien hypertexte visité" xfId="2164" builtinId="9" hidden="1"/>
    <cellStyle name="Lien hypertexte visité" xfId="2166" builtinId="9" hidden="1"/>
    <cellStyle name="Lien hypertexte visité" xfId="2168" builtinId="9" hidden="1"/>
    <cellStyle name="Lien hypertexte visité" xfId="2170" builtinId="9" hidden="1"/>
    <cellStyle name="Lien hypertexte visité" xfId="2172" builtinId="9" hidden="1"/>
    <cellStyle name="Lien hypertexte visité" xfId="2174" builtinId="9" hidden="1"/>
    <cellStyle name="Lien hypertexte visité" xfId="2176" builtinId="9" hidden="1"/>
    <cellStyle name="Lien hypertexte visité" xfId="2178" builtinId="9" hidden="1"/>
    <cellStyle name="Lien hypertexte visité" xfId="2180" builtinId="9" hidden="1"/>
    <cellStyle name="Lien hypertexte visité" xfId="2182" builtinId="9" hidden="1"/>
    <cellStyle name="Lien hypertexte visité" xfId="2184" builtinId="9" hidden="1"/>
    <cellStyle name="Lien hypertexte visité" xfId="2186" builtinId="9" hidden="1"/>
    <cellStyle name="Lien hypertexte visité" xfId="2188" builtinId="9" hidden="1"/>
    <cellStyle name="Lien hypertexte visité" xfId="2190" builtinId="9" hidden="1"/>
    <cellStyle name="Lien hypertexte visité" xfId="2192" builtinId="9" hidden="1"/>
    <cellStyle name="Lien hypertexte visité" xfId="2194" builtinId="9" hidden="1"/>
    <cellStyle name="Lien hypertexte visité" xfId="2196" builtinId="9" hidden="1"/>
    <cellStyle name="Lien hypertexte visité" xfId="2198" builtinId="9" hidden="1"/>
    <cellStyle name="Lien hypertexte visité" xfId="2200" builtinId="9" hidden="1"/>
    <cellStyle name="Lien hypertexte visité" xfId="2202" builtinId="9" hidden="1"/>
    <cellStyle name="Lien hypertexte visité" xfId="2204" builtinId="9" hidden="1"/>
    <cellStyle name="Lien hypertexte visité" xfId="2206" builtinId="9" hidden="1"/>
    <cellStyle name="Lien hypertexte visité" xfId="2208" builtinId="9" hidden="1"/>
    <cellStyle name="Lien hypertexte visité" xfId="2210" builtinId="9" hidden="1"/>
    <cellStyle name="Lien hypertexte visité" xfId="2212" builtinId="9" hidden="1"/>
    <cellStyle name="Lien hypertexte visité" xfId="2214" builtinId="9" hidden="1"/>
    <cellStyle name="Lien hypertexte visité" xfId="2216" builtinId="9" hidden="1"/>
    <cellStyle name="Lien hypertexte visité" xfId="2218" builtinId="9" hidden="1"/>
    <cellStyle name="Lien hypertexte visité" xfId="2220" builtinId="9" hidden="1"/>
    <cellStyle name="Lien hypertexte visité" xfId="2222" builtinId="9" hidden="1"/>
    <cellStyle name="Lien hypertexte visité" xfId="2224" builtinId="9" hidden="1"/>
    <cellStyle name="Lien hypertexte visité" xfId="2226" builtinId="9" hidden="1"/>
    <cellStyle name="Lien hypertexte visité" xfId="2228" builtinId="9" hidden="1"/>
    <cellStyle name="Lien hypertexte visité" xfId="2230" builtinId="9" hidden="1"/>
    <cellStyle name="Lien hypertexte visité" xfId="2232" builtinId="9" hidden="1"/>
    <cellStyle name="Lien hypertexte visité" xfId="2234" builtinId="9" hidden="1"/>
    <cellStyle name="Lien hypertexte visité" xfId="2236" builtinId="9" hidden="1"/>
    <cellStyle name="Lien hypertexte visité" xfId="2238" builtinId="9" hidden="1"/>
    <cellStyle name="Lien hypertexte visité" xfId="2240" builtinId="9" hidden="1"/>
    <cellStyle name="Lien hypertexte visité" xfId="2242" builtinId="9" hidden="1"/>
    <cellStyle name="Lien hypertexte visité" xfId="2244" builtinId="9" hidden="1"/>
    <cellStyle name="Lien hypertexte visité" xfId="2246" builtinId="9" hidden="1"/>
    <cellStyle name="Lien hypertexte visité" xfId="2248" builtinId="9" hidden="1"/>
    <cellStyle name="Lien hypertexte visité" xfId="2250" builtinId="9" hidden="1"/>
    <cellStyle name="Lien hypertexte visité" xfId="2252" builtinId="9" hidden="1"/>
    <cellStyle name="Lien hypertexte visité" xfId="2254" builtinId="9" hidden="1"/>
    <cellStyle name="Lien hypertexte visité" xfId="2256" builtinId="9" hidden="1"/>
    <cellStyle name="Lien hypertexte visité" xfId="2258" builtinId="9" hidden="1"/>
    <cellStyle name="Lien hypertexte visité" xfId="2260" builtinId="9" hidden="1"/>
    <cellStyle name="Lien hypertexte visité" xfId="2262" builtinId="9" hidden="1"/>
    <cellStyle name="Lien hypertexte visité" xfId="2264" builtinId="9" hidden="1"/>
    <cellStyle name="Lien hypertexte visité" xfId="2266" builtinId="9" hidden="1"/>
    <cellStyle name="Lien hypertexte visité" xfId="2268" builtinId="9" hidden="1"/>
    <cellStyle name="Lien hypertexte visité" xfId="2270" builtinId="9" hidden="1"/>
    <cellStyle name="Lien hypertexte visité" xfId="2272" builtinId="9" hidden="1"/>
    <cellStyle name="Lien hypertexte visité" xfId="2274" builtinId="9" hidden="1"/>
    <cellStyle name="Lien hypertexte visité" xfId="2276" builtinId="9" hidden="1"/>
    <cellStyle name="Lien hypertexte visité" xfId="2278" builtinId="9" hidden="1"/>
    <cellStyle name="Lien hypertexte visité" xfId="2280" builtinId="9" hidden="1"/>
    <cellStyle name="Lien hypertexte visité" xfId="2282" builtinId="9" hidden="1"/>
    <cellStyle name="Lien hypertexte visité" xfId="2284" builtinId="9" hidden="1"/>
    <cellStyle name="Lien hypertexte visité" xfId="2286" builtinId="9" hidden="1"/>
    <cellStyle name="Lien hypertexte visité" xfId="2288" builtinId="9" hidden="1"/>
    <cellStyle name="Lien hypertexte visité" xfId="2290" builtinId="9" hidden="1"/>
    <cellStyle name="Lien hypertexte visité" xfId="2292" builtinId="9" hidden="1"/>
    <cellStyle name="Lien hypertexte visité" xfId="2294" builtinId="9" hidden="1"/>
    <cellStyle name="Lien hypertexte visité" xfId="2296" builtinId="9" hidden="1"/>
    <cellStyle name="Lien hypertexte visité" xfId="2298" builtinId="9" hidden="1"/>
    <cellStyle name="Lien hypertexte visité" xfId="2300" builtinId="9" hidden="1"/>
    <cellStyle name="Lien hypertexte visité" xfId="2302" builtinId="9" hidden="1"/>
    <cellStyle name="Lien hypertexte visité" xfId="2304" builtinId="9" hidden="1"/>
    <cellStyle name="Lien hypertexte visité" xfId="2306" builtinId="9" hidden="1"/>
    <cellStyle name="Lien hypertexte visité" xfId="2308" builtinId="9" hidden="1"/>
    <cellStyle name="Lien hypertexte visité" xfId="2310" builtinId="9" hidden="1"/>
    <cellStyle name="Lien hypertexte visité" xfId="2312" builtinId="9" hidden="1"/>
    <cellStyle name="Lien hypertexte visité" xfId="2314" builtinId="9" hidden="1"/>
    <cellStyle name="Lien hypertexte visité" xfId="2316" builtinId="9" hidden="1"/>
    <cellStyle name="Lien hypertexte visité" xfId="2318" builtinId="9" hidden="1"/>
    <cellStyle name="Lien hypertexte visité" xfId="2320" builtinId="9" hidden="1"/>
    <cellStyle name="Lien hypertexte visité" xfId="2322" builtinId="9" hidden="1"/>
    <cellStyle name="Lien hypertexte visité" xfId="2324" builtinId="9" hidden="1"/>
    <cellStyle name="Lien hypertexte visité" xfId="2326" builtinId="9" hidden="1"/>
    <cellStyle name="Lien hypertexte visité" xfId="2328" builtinId="9" hidden="1"/>
    <cellStyle name="Lien hypertexte visité" xfId="2330" builtinId="9" hidden="1"/>
    <cellStyle name="Lien hypertexte visité" xfId="2332" builtinId="9" hidden="1"/>
    <cellStyle name="Lien hypertexte visité" xfId="2334" builtinId="9" hidden="1"/>
    <cellStyle name="Lien hypertexte visité" xfId="2336" builtinId="9" hidden="1"/>
    <cellStyle name="Lien hypertexte visité" xfId="2338" builtinId="9" hidden="1"/>
    <cellStyle name="Lien hypertexte visité" xfId="2340" builtinId="9" hidden="1"/>
    <cellStyle name="Lien hypertexte visité" xfId="2342" builtinId="9" hidden="1"/>
    <cellStyle name="Lien hypertexte visité" xfId="2344" builtinId="9" hidden="1"/>
    <cellStyle name="Lien hypertexte visité" xfId="2346" builtinId="9" hidden="1"/>
    <cellStyle name="Lien hypertexte visité" xfId="2348" builtinId="9" hidden="1"/>
    <cellStyle name="Lien hypertexte visité" xfId="2350" builtinId="9" hidden="1"/>
    <cellStyle name="Lien hypertexte visité" xfId="2352" builtinId="9" hidden="1"/>
    <cellStyle name="Lien hypertexte visité" xfId="2354" builtinId="9" hidden="1"/>
    <cellStyle name="Lien hypertexte visité" xfId="2356" builtinId="9" hidden="1"/>
    <cellStyle name="Lien hypertexte visité" xfId="2358" builtinId="9" hidden="1"/>
    <cellStyle name="Lien hypertexte visité" xfId="2360" builtinId="9" hidden="1"/>
    <cellStyle name="Lien hypertexte visité" xfId="2362" builtinId="9" hidden="1"/>
    <cellStyle name="Lien hypertexte visité" xfId="2364" builtinId="9" hidden="1"/>
    <cellStyle name="Lien hypertexte visité" xfId="2366" builtinId="9" hidden="1"/>
    <cellStyle name="Lien hypertexte visité" xfId="2368" builtinId="9" hidden="1"/>
    <cellStyle name="Lien hypertexte visité" xfId="2370" builtinId="9" hidden="1"/>
    <cellStyle name="Lien hypertexte visité" xfId="2372" builtinId="9" hidden="1"/>
    <cellStyle name="Lien hypertexte visité" xfId="2374" builtinId="9" hidden="1"/>
    <cellStyle name="Lien hypertexte visité" xfId="2376" builtinId="9" hidden="1"/>
    <cellStyle name="Lien hypertexte visité" xfId="2378" builtinId="9" hidden="1"/>
    <cellStyle name="Lien hypertexte visité" xfId="2380" builtinId="9" hidden="1"/>
    <cellStyle name="Lien hypertexte visité" xfId="2382" builtinId="9" hidden="1"/>
    <cellStyle name="Lien hypertexte visité" xfId="2384" builtinId="9" hidden="1"/>
    <cellStyle name="Lien hypertexte visité" xfId="2386" builtinId="9" hidden="1"/>
    <cellStyle name="Lien hypertexte visité" xfId="2388" builtinId="9" hidden="1"/>
    <cellStyle name="Lien hypertexte visité" xfId="2390" builtinId="9" hidden="1"/>
    <cellStyle name="Lien hypertexte visité" xfId="2392" builtinId="9" hidden="1"/>
    <cellStyle name="Lien hypertexte visité" xfId="2394" builtinId="9" hidden="1"/>
    <cellStyle name="Lien hypertexte visité" xfId="2396" builtinId="9" hidden="1"/>
    <cellStyle name="Lien hypertexte visité" xfId="2398" builtinId="9" hidden="1"/>
    <cellStyle name="Lien hypertexte visité" xfId="2400" builtinId="9" hidden="1"/>
    <cellStyle name="Lien hypertexte visité" xfId="2402" builtinId="9" hidden="1"/>
    <cellStyle name="Lien hypertexte visité" xfId="2404" builtinId="9" hidden="1"/>
    <cellStyle name="Lien hypertexte visité" xfId="2406" builtinId="9" hidden="1"/>
    <cellStyle name="Lien hypertexte visité" xfId="2408" builtinId="9" hidden="1"/>
    <cellStyle name="Lien hypertexte visité" xfId="2410" builtinId="9" hidden="1"/>
    <cellStyle name="Lien hypertexte visité" xfId="2412" builtinId="9" hidden="1"/>
    <cellStyle name="Lien hypertexte visité" xfId="2414" builtinId="9" hidden="1"/>
    <cellStyle name="Lien hypertexte visité" xfId="2416" builtinId="9" hidden="1"/>
    <cellStyle name="Lien hypertexte visité" xfId="2418" builtinId="9" hidden="1"/>
    <cellStyle name="Lien hypertexte visité" xfId="2420" builtinId="9" hidden="1"/>
    <cellStyle name="Lien hypertexte visité" xfId="2422" builtinId="9" hidden="1"/>
    <cellStyle name="Lien hypertexte visité" xfId="2424" builtinId="9" hidden="1"/>
    <cellStyle name="Lien hypertexte visité" xfId="2426" builtinId="9" hidden="1"/>
    <cellStyle name="Lien hypertexte visité" xfId="2428" builtinId="9" hidden="1"/>
    <cellStyle name="Lien hypertexte visité" xfId="2430" builtinId="9" hidden="1"/>
    <cellStyle name="Lien hypertexte visité" xfId="2432" builtinId="9" hidden="1"/>
    <cellStyle name="Lien hypertexte visité" xfId="2434" builtinId="9" hidden="1"/>
    <cellStyle name="Lien hypertexte visité" xfId="2436" builtinId="9" hidden="1"/>
    <cellStyle name="Lien hypertexte visité" xfId="2438" builtinId="9" hidden="1"/>
    <cellStyle name="Lien hypertexte visité" xfId="2440" builtinId="9" hidden="1"/>
    <cellStyle name="Lien hypertexte visité" xfId="2442" builtinId="9" hidden="1"/>
    <cellStyle name="Lien hypertexte visité" xfId="2444" builtinId="9" hidden="1"/>
    <cellStyle name="Lien hypertexte visité" xfId="2446" builtinId="9" hidden="1"/>
    <cellStyle name="Lien hypertexte visité" xfId="2448" builtinId="9" hidden="1"/>
    <cellStyle name="Lien hypertexte visité" xfId="2450" builtinId="9" hidden="1"/>
    <cellStyle name="Lien hypertexte visité" xfId="2452" builtinId="9" hidden="1"/>
    <cellStyle name="Lien hypertexte visité" xfId="2454" builtinId="9" hidden="1"/>
    <cellStyle name="Lien hypertexte visité" xfId="2456" builtinId="9" hidden="1"/>
    <cellStyle name="Lien hypertexte visité" xfId="2458" builtinId="9" hidden="1"/>
    <cellStyle name="Lien hypertexte visité" xfId="2460" builtinId="9" hidden="1"/>
    <cellStyle name="Lien hypertexte visité" xfId="2462" builtinId="9" hidden="1"/>
    <cellStyle name="Lien hypertexte visité" xfId="2464" builtinId="9" hidden="1"/>
    <cellStyle name="Lien hypertexte visité" xfId="2466" builtinId="9" hidden="1"/>
    <cellStyle name="Lien hypertexte visité" xfId="2468" builtinId="9" hidden="1"/>
    <cellStyle name="Lien hypertexte visité" xfId="2470" builtinId="9" hidden="1"/>
    <cellStyle name="Lien hypertexte visité" xfId="2472" builtinId="9" hidden="1"/>
    <cellStyle name="Lien hypertexte visité" xfId="2474" builtinId="9" hidden="1"/>
    <cellStyle name="Lien hypertexte visité" xfId="2476" builtinId="9" hidden="1"/>
    <cellStyle name="Lien hypertexte visité" xfId="2478" builtinId="9" hidden="1"/>
    <cellStyle name="Lien hypertexte visité" xfId="2480" builtinId="9" hidden="1"/>
    <cellStyle name="Lien hypertexte visité" xfId="2482" builtinId="9" hidden="1"/>
    <cellStyle name="Lien hypertexte visité" xfId="2484" builtinId="9" hidden="1"/>
    <cellStyle name="Lien hypertexte visité" xfId="2486" builtinId="9" hidden="1"/>
    <cellStyle name="Lien hypertexte visité" xfId="2488" builtinId="9" hidden="1"/>
    <cellStyle name="Lien hypertexte visité" xfId="2490" builtinId="9" hidden="1"/>
    <cellStyle name="Lien hypertexte visité" xfId="2492" builtinId="9" hidden="1"/>
    <cellStyle name="Lien hypertexte visité" xfId="2494" builtinId="9" hidden="1"/>
    <cellStyle name="Lien hypertexte visité" xfId="2496" builtinId="9" hidden="1"/>
    <cellStyle name="Lien hypertexte visité" xfId="2498" builtinId="9" hidden="1"/>
    <cellStyle name="Lien hypertexte visité" xfId="2500" builtinId="9" hidden="1"/>
    <cellStyle name="Lien hypertexte visité" xfId="2502" builtinId="9" hidden="1"/>
    <cellStyle name="Lien hypertexte visité" xfId="2504" builtinId="9" hidden="1"/>
    <cellStyle name="Lien hypertexte visité" xfId="2506" builtinId="9" hidden="1"/>
    <cellStyle name="Lien hypertexte visité" xfId="2508" builtinId="9" hidden="1"/>
    <cellStyle name="Lien hypertexte visité" xfId="2510" builtinId="9" hidden="1"/>
    <cellStyle name="Lien hypertexte visité" xfId="2512" builtinId="9" hidden="1"/>
    <cellStyle name="Lien hypertexte visité" xfId="2514" builtinId="9" hidden="1"/>
    <cellStyle name="Lien hypertexte visité" xfId="2516" builtinId="9" hidden="1"/>
    <cellStyle name="Lien hypertexte visité" xfId="2518" builtinId="9" hidden="1"/>
    <cellStyle name="Lien hypertexte visité" xfId="2520" builtinId="9" hidden="1"/>
    <cellStyle name="Lien hypertexte visité" xfId="2522" builtinId="9" hidden="1"/>
    <cellStyle name="Lien hypertexte visité" xfId="2524" builtinId="9" hidden="1"/>
    <cellStyle name="Lien hypertexte visité" xfId="2526" builtinId="9" hidden="1"/>
    <cellStyle name="Lien hypertexte visité" xfId="2528" builtinId="9" hidden="1"/>
    <cellStyle name="Lien hypertexte visité" xfId="2530" builtinId="9" hidden="1"/>
    <cellStyle name="Lien hypertexte visité" xfId="2532" builtinId="9" hidden="1"/>
    <cellStyle name="Lien hypertexte visité" xfId="2534" builtinId="9" hidden="1"/>
    <cellStyle name="Lien hypertexte visité" xfId="2536" builtinId="9" hidden="1"/>
    <cellStyle name="Lien hypertexte visité" xfId="2538" builtinId="9" hidden="1"/>
    <cellStyle name="Lien hypertexte visité" xfId="2540" builtinId="9" hidden="1"/>
    <cellStyle name="Lien hypertexte visité" xfId="2542" builtinId="9" hidden="1"/>
    <cellStyle name="Lien hypertexte visité" xfId="2544" builtinId="9" hidden="1"/>
    <cellStyle name="Lien hypertexte visité" xfId="2546" builtinId="9" hidden="1"/>
    <cellStyle name="Lien hypertexte visité" xfId="2548" builtinId="9" hidden="1"/>
    <cellStyle name="Lien hypertexte visité" xfId="2550" builtinId="9" hidden="1"/>
    <cellStyle name="Lien hypertexte visité" xfId="2552" builtinId="9" hidden="1"/>
    <cellStyle name="Lien hypertexte visité" xfId="2554" builtinId="9" hidden="1"/>
    <cellStyle name="Lien hypertexte visité" xfId="2556" builtinId="9" hidden="1"/>
    <cellStyle name="Lien hypertexte visité" xfId="2558" builtinId="9" hidden="1"/>
    <cellStyle name="Lien hypertexte visité" xfId="2560" builtinId="9" hidden="1"/>
    <cellStyle name="Lien hypertexte visité" xfId="2562" builtinId="9" hidden="1"/>
    <cellStyle name="Lien hypertexte visité" xfId="2564" builtinId="9" hidden="1"/>
    <cellStyle name="Lien hypertexte visité" xfId="2566" builtinId="9" hidden="1"/>
    <cellStyle name="Lien hypertexte visité" xfId="2568" builtinId="9" hidden="1"/>
    <cellStyle name="Lien hypertexte visité" xfId="2570" builtinId="9" hidden="1"/>
    <cellStyle name="Lien hypertexte visité" xfId="2572" builtinId="9" hidden="1"/>
    <cellStyle name="Lien hypertexte visité" xfId="2574" builtinId="9" hidden="1"/>
    <cellStyle name="Lien hypertexte visité" xfId="2576" builtinId="9" hidden="1"/>
    <cellStyle name="Lien hypertexte visité" xfId="2578" builtinId="9" hidden="1"/>
    <cellStyle name="Lien hypertexte visité" xfId="2580" builtinId="9" hidden="1"/>
    <cellStyle name="Lien hypertexte visité" xfId="2582" builtinId="9" hidden="1"/>
    <cellStyle name="Lien hypertexte visité" xfId="2584" builtinId="9" hidden="1"/>
    <cellStyle name="Lien hypertexte visité" xfId="2586" builtinId="9" hidden="1"/>
    <cellStyle name="Lien hypertexte visité" xfId="2588" builtinId="9" hidden="1"/>
    <cellStyle name="Lien hypertexte visité" xfId="2590" builtinId="9" hidden="1"/>
    <cellStyle name="Lien hypertexte visité" xfId="2592" builtinId="9" hidden="1"/>
    <cellStyle name="Lien hypertexte visité" xfId="2594" builtinId="9" hidden="1"/>
    <cellStyle name="Lien hypertexte visité" xfId="2596" builtinId="9" hidden="1"/>
    <cellStyle name="Lien hypertexte visité" xfId="2598" builtinId="9" hidden="1"/>
    <cellStyle name="Lien hypertexte visité" xfId="2600" builtinId="9" hidden="1"/>
    <cellStyle name="Lien hypertexte visité" xfId="2602" builtinId="9" hidden="1"/>
    <cellStyle name="Lien hypertexte visité" xfId="2604" builtinId="9" hidden="1"/>
    <cellStyle name="Lien hypertexte visité" xfId="2606" builtinId="9" hidden="1"/>
    <cellStyle name="Lien hypertexte visité" xfId="2608" builtinId="9" hidden="1"/>
    <cellStyle name="Lien hypertexte visité" xfId="2610" builtinId="9" hidden="1"/>
    <cellStyle name="Lien hypertexte visité" xfId="2612" builtinId="9" hidden="1"/>
    <cellStyle name="Lien hypertexte visité" xfId="2614" builtinId="9" hidden="1"/>
    <cellStyle name="Lien hypertexte visité" xfId="2616" builtinId="9" hidden="1"/>
    <cellStyle name="Lien hypertexte visité" xfId="2618" builtinId="9" hidden="1"/>
    <cellStyle name="Lien hypertexte visité" xfId="2620" builtinId="9" hidden="1"/>
    <cellStyle name="Lien hypertexte visité" xfId="2622" builtinId="9" hidden="1"/>
    <cellStyle name="Lien hypertexte visité" xfId="2624" builtinId="9" hidden="1"/>
    <cellStyle name="Lien hypertexte visité" xfId="2626" builtinId="9" hidden="1"/>
    <cellStyle name="Lien hypertexte visité" xfId="2628" builtinId="9" hidden="1"/>
    <cellStyle name="Lien hypertexte visité" xfId="2630" builtinId="9" hidden="1"/>
    <cellStyle name="Lien hypertexte visité" xfId="2632" builtinId="9" hidden="1"/>
    <cellStyle name="Lien hypertexte visité" xfId="2634" builtinId="9" hidden="1"/>
    <cellStyle name="Lien hypertexte visité" xfId="2636" builtinId="9" hidden="1"/>
    <cellStyle name="Lien hypertexte visité" xfId="2638" builtinId="9" hidden="1"/>
    <cellStyle name="Lien hypertexte visité" xfId="2640" builtinId="9" hidden="1"/>
    <cellStyle name="Lien hypertexte visité" xfId="2642" builtinId="9" hidden="1"/>
    <cellStyle name="Lien hypertexte visité" xfId="2644" builtinId="9" hidden="1"/>
    <cellStyle name="Lien hypertexte visité" xfId="2646" builtinId="9" hidden="1"/>
    <cellStyle name="Lien hypertexte visité" xfId="2648" builtinId="9" hidden="1"/>
    <cellStyle name="Lien hypertexte visité" xfId="2650" builtinId="9" hidden="1"/>
    <cellStyle name="Lien hypertexte visité" xfId="2652" builtinId="9" hidden="1"/>
    <cellStyle name="Lien hypertexte visité" xfId="2654" builtinId="9" hidden="1"/>
    <cellStyle name="Lien hypertexte visité" xfId="2656" builtinId="9" hidden="1"/>
    <cellStyle name="Lien hypertexte visité" xfId="2658" builtinId="9" hidden="1"/>
    <cellStyle name="Lien hypertexte visité" xfId="2660" builtinId="9" hidden="1"/>
    <cellStyle name="Lien hypertexte visité" xfId="2662" builtinId="9" hidden="1"/>
    <cellStyle name="Lien hypertexte visité" xfId="2664" builtinId="9" hidden="1"/>
    <cellStyle name="Lien hypertexte visité" xfId="2666" builtinId="9" hidden="1"/>
    <cellStyle name="Lien hypertexte visité" xfId="2668" builtinId="9" hidden="1"/>
    <cellStyle name="Lien hypertexte visité" xfId="2670" builtinId="9" hidden="1"/>
    <cellStyle name="Lien hypertexte visité" xfId="2672" builtinId="9" hidden="1"/>
    <cellStyle name="Lien hypertexte visité" xfId="2674" builtinId="9" hidden="1"/>
    <cellStyle name="Lien hypertexte visité" xfId="2676" builtinId="9" hidden="1"/>
    <cellStyle name="Lien hypertexte visité" xfId="2678" builtinId="9" hidden="1"/>
    <cellStyle name="Lien hypertexte visité" xfId="2680" builtinId="9" hidden="1"/>
    <cellStyle name="Lien hypertexte visité" xfId="2682" builtinId="9" hidden="1"/>
    <cellStyle name="Lien hypertexte visité" xfId="2684" builtinId="9" hidden="1"/>
    <cellStyle name="Lien hypertexte visité" xfId="2686" builtinId="9" hidden="1"/>
    <cellStyle name="Lien hypertexte visité" xfId="2688" builtinId="9" hidden="1"/>
    <cellStyle name="Lien hypertexte visité" xfId="2690" builtinId="9" hidden="1"/>
    <cellStyle name="Lien hypertexte visité" xfId="2692" builtinId="9" hidden="1"/>
    <cellStyle name="Lien hypertexte visité" xfId="2694" builtinId="9" hidden="1"/>
    <cellStyle name="Lien hypertexte visité" xfId="2696" builtinId="9" hidden="1"/>
    <cellStyle name="Lien hypertexte visité" xfId="2698" builtinId="9" hidden="1"/>
    <cellStyle name="Lien hypertexte visité" xfId="2700" builtinId="9" hidden="1"/>
    <cellStyle name="Lien hypertexte visité" xfId="2702" builtinId="9" hidden="1"/>
    <cellStyle name="Lien hypertexte visité" xfId="2704" builtinId="9" hidden="1"/>
    <cellStyle name="Lien hypertexte visité" xfId="2706" builtinId="9" hidden="1"/>
    <cellStyle name="Lien hypertexte visité" xfId="2708" builtinId="9" hidden="1"/>
    <cellStyle name="Lien hypertexte visité" xfId="2710" builtinId="9" hidden="1"/>
    <cellStyle name="Lien hypertexte visité" xfId="2712" builtinId="9" hidden="1"/>
    <cellStyle name="Lien hypertexte visité" xfId="2714" builtinId="9" hidden="1"/>
    <cellStyle name="Lien hypertexte visité" xfId="2716" builtinId="9" hidden="1"/>
    <cellStyle name="Lien hypertexte visité" xfId="2718" builtinId="9" hidden="1"/>
    <cellStyle name="Lien hypertexte visité" xfId="2720" builtinId="9" hidden="1"/>
    <cellStyle name="Lien hypertexte visité" xfId="2722" builtinId="9" hidden="1"/>
    <cellStyle name="Lien hypertexte visité" xfId="2724" builtinId="9" hidden="1"/>
    <cellStyle name="Lien hypertexte visité" xfId="2726" builtinId="9" hidden="1"/>
    <cellStyle name="Lien hypertexte visité" xfId="2728" builtinId="9" hidden="1"/>
    <cellStyle name="Lien hypertexte visité" xfId="2730" builtinId="9" hidden="1"/>
    <cellStyle name="Lien hypertexte visité" xfId="2732" builtinId="9" hidden="1"/>
    <cellStyle name="Lien hypertexte visité" xfId="2734" builtinId="9" hidden="1"/>
    <cellStyle name="Lien hypertexte visité" xfId="2736" builtinId="9" hidden="1"/>
    <cellStyle name="Lien hypertexte visité" xfId="2738" builtinId="9" hidden="1"/>
    <cellStyle name="Lien hypertexte visité" xfId="2740" builtinId="9" hidden="1"/>
    <cellStyle name="Lien hypertexte visité" xfId="2742" builtinId="9" hidden="1"/>
    <cellStyle name="Lien hypertexte visité" xfId="2744" builtinId="9" hidden="1"/>
    <cellStyle name="Lien hypertexte visité" xfId="2746" builtinId="9" hidden="1"/>
    <cellStyle name="Lien hypertexte visité" xfId="2748" builtinId="9" hidden="1"/>
    <cellStyle name="Lien hypertexte visité" xfId="2750" builtinId="9" hidden="1"/>
    <cellStyle name="Lien hypertexte visité" xfId="2752" builtinId="9" hidden="1"/>
    <cellStyle name="Lien hypertexte visité" xfId="2754" builtinId="9" hidden="1"/>
    <cellStyle name="Lien hypertexte visité" xfId="2756" builtinId="9" hidden="1"/>
    <cellStyle name="Lien hypertexte visité" xfId="2758" builtinId="9" hidden="1"/>
    <cellStyle name="Lien hypertexte visité" xfId="2760" builtinId="9" hidden="1"/>
    <cellStyle name="Lien hypertexte visité" xfId="2762" builtinId="9" hidden="1"/>
    <cellStyle name="Lien hypertexte visité" xfId="2764" builtinId="9" hidden="1"/>
    <cellStyle name="Lien hypertexte visité" xfId="2766" builtinId="9" hidden="1"/>
    <cellStyle name="Lien hypertexte visité" xfId="2768" builtinId="9" hidden="1"/>
    <cellStyle name="Lien hypertexte visité" xfId="2770" builtinId="9" hidden="1"/>
    <cellStyle name="Lien hypertexte visité" xfId="2772" builtinId="9" hidden="1"/>
    <cellStyle name="Lien hypertexte visité" xfId="2774" builtinId="9" hidden="1"/>
    <cellStyle name="Lien hypertexte visité" xfId="2776" builtinId="9" hidden="1"/>
    <cellStyle name="Lien hypertexte visité" xfId="2778" builtinId="9" hidden="1"/>
    <cellStyle name="Lien hypertexte visité" xfId="2780" builtinId="9" hidden="1"/>
    <cellStyle name="Lien hypertexte visité" xfId="2782" builtinId="9" hidden="1"/>
    <cellStyle name="Lien hypertexte visité" xfId="2784" builtinId="9" hidden="1"/>
    <cellStyle name="Lien hypertexte visité" xfId="2786" builtinId="9" hidden="1"/>
    <cellStyle name="Lien hypertexte visité" xfId="2788" builtinId="9" hidden="1"/>
    <cellStyle name="Lien hypertexte visité" xfId="2790" builtinId="9" hidden="1"/>
    <cellStyle name="Lien hypertexte visité" xfId="2792" builtinId="9" hidden="1"/>
    <cellStyle name="Lien hypertexte visité" xfId="2794" builtinId="9" hidden="1"/>
    <cellStyle name="Lien hypertexte visité" xfId="2796" builtinId="9" hidden="1"/>
    <cellStyle name="Lien hypertexte visité" xfId="2798" builtinId="9" hidden="1"/>
    <cellStyle name="Lien hypertexte visité" xfId="2800" builtinId="9" hidden="1"/>
    <cellStyle name="Lien hypertexte visité" xfId="2802" builtinId="9" hidden="1"/>
    <cellStyle name="Lien hypertexte visité" xfId="2804" builtinId="9" hidden="1"/>
    <cellStyle name="Lien hypertexte visité" xfId="2806" builtinId="9" hidden="1"/>
    <cellStyle name="Lien hypertexte visité" xfId="2808" builtinId="9" hidden="1"/>
    <cellStyle name="Lien hypertexte visité" xfId="2810" builtinId="9" hidden="1"/>
    <cellStyle name="Lien hypertexte visité" xfId="2812" builtinId="9" hidden="1"/>
    <cellStyle name="Lien hypertexte visité" xfId="2814" builtinId="9" hidden="1"/>
    <cellStyle name="Lien hypertexte visité" xfId="2816" builtinId="9" hidden="1"/>
    <cellStyle name="Lien hypertexte visité" xfId="2818" builtinId="9" hidden="1"/>
    <cellStyle name="Lien hypertexte visité" xfId="2820" builtinId="9" hidden="1"/>
    <cellStyle name="Lien hypertexte visité" xfId="2822" builtinId="9" hidden="1"/>
    <cellStyle name="Lien hypertexte visité" xfId="2824" builtinId="9" hidden="1"/>
    <cellStyle name="Lien hypertexte visité" xfId="2826" builtinId="9" hidden="1"/>
    <cellStyle name="Lien hypertexte visité" xfId="2828" builtinId="9" hidden="1"/>
    <cellStyle name="Lien hypertexte visité" xfId="2830" builtinId="9" hidden="1"/>
    <cellStyle name="Lien hypertexte visité" xfId="2832" builtinId="9" hidden="1"/>
    <cellStyle name="Lien hypertexte visité" xfId="2834" builtinId="9" hidden="1"/>
    <cellStyle name="Lien hypertexte visité" xfId="2836" builtinId="9" hidden="1"/>
    <cellStyle name="Lien hypertexte visité" xfId="2838" builtinId="9" hidden="1"/>
    <cellStyle name="Lien hypertexte visité" xfId="2840" builtinId="9" hidden="1"/>
    <cellStyle name="Lien hypertexte visité" xfId="2842" builtinId="9" hidden="1"/>
    <cellStyle name="Lien hypertexte visité" xfId="2844" builtinId="9" hidden="1"/>
    <cellStyle name="Lien hypertexte visité" xfId="2846" builtinId="9" hidden="1"/>
    <cellStyle name="Lien hypertexte visité" xfId="2848" builtinId="9" hidden="1"/>
    <cellStyle name="Lien hypertexte visité" xfId="2850" builtinId="9" hidden="1"/>
    <cellStyle name="Lien hypertexte visité" xfId="2852" builtinId="9" hidden="1"/>
    <cellStyle name="Lien hypertexte visité" xfId="2854" builtinId="9" hidden="1"/>
    <cellStyle name="Lien hypertexte visité" xfId="2856" builtinId="9" hidden="1"/>
    <cellStyle name="Lien hypertexte visité" xfId="2858" builtinId="9" hidden="1"/>
    <cellStyle name="Lien hypertexte visité" xfId="2860" builtinId="9" hidden="1"/>
    <cellStyle name="Lien hypertexte visité" xfId="2862" builtinId="9" hidden="1"/>
    <cellStyle name="Lien hypertexte visité" xfId="2864" builtinId="9" hidden="1"/>
    <cellStyle name="Lien hypertexte visité" xfId="2866" builtinId="9" hidden="1"/>
    <cellStyle name="Lien hypertexte visité" xfId="2868" builtinId="9" hidden="1"/>
    <cellStyle name="Lien hypertexte visité" xfId="2870" builtinId="9" hidden="1"/>
    <cellStyle name="Lien hypertexte visité" xfId="2872" builtinId="9" hidden="1"/>
    <cellStyle name="Lien hypertexte visité" xfId="2874" builtinId="9" hidden="1"/>
    <cellStyle name="Lien hypertexte visité" xfId="2876" builtinId="9" hidden="1"/>
    <cellStyle name="Lien hypertexte visité" xfId="2878" builtinId="9" hidden="1"/>
    <cellStyle name="Lien hypertexte visité" xfId="2880" builtinId="9" hidden="1"/>
    <cellStyle name="Lien hypertexte visité" xfId="2882" builtinId="9" hidden="1"/>
    <cellStyle name="Lien hypertexte visité" xfId="2884" builtinId="9" hidden="1"/>
    <cellStyle name="Lien hypertexte visité" xfId="2886" builtinId="9" hidden="1"/>
    <cellStyle name="Lien hypertexte visité" xfId="2888" builtinId="9" hidden="1"/>
    <cellStyle name="Lien hypertexte visité" xfId="2890" builtinId="9" hidden="1"/>
    <cellStyle name="Lien hypertexte visité" xfId="2892" builtinId="9" hidden="1"/>
    <cellStyle name="Lien hypertexte visité" xfId="2894" builtinId="9" hidden="1"/>
    <cellStyle name="Lien hypertexte visité" xfId="2896" builtinId="9" hidden="1"/>
    <cellStyle name="Lien hypertexte visité" xfId="2898" builtinId="9" hidden="1"/>
    <cellStyle name="Lien hypertexte visité" xfId="2900" builtinId="9" hidden="1"/>
    <cellStyle name="Lien hypertexte visité" xfId="2902" builtinId="9" hidden="1"/>
    <cellStyle name="Lien hypertexte visité" xfId="2904" builtinId="9" hidden="1"/>
    <cellStyle name="Lien hypertexte visité" xfId="2906" builtinId="9" hidden="1"/>
    <cellStyle name="Lien hypertexte visité" xfId="2908" builtinId="9" hidden="1"/>
    <cellStyle name="Lien hypertexte visité" xfId="2910" builtinId="9" hidden="1"/>
    <cellStyle name="Lien hypertexte visité" xfId="2912" builtinId="9" hidden="1"/>
    <cellStyle name="Lien hypertexte visité" xfId="2914" builtinId="9" hidden="1"/>
    <cellStyle name="Lien hypertexte visité" xfId="2916" builtinId="9" hidden="1"/>
    <cellStyle name="Lien hypertexte visité" xfId="2918" builtinId="9" hidden="1"/>
    <cellStyle name="Lien hypertexte visité" xfId="2920" builtinId="9" hidden="1"/>
    <cellStyle name="Lien hypertexte visité" xfId="2922" builtinId="9" hidden="1"/>
    <cellStyle name="Lien hypertexte visité" xfId="2924" builtinId="9" hidden="1"/>
    <cellStyle name="Lien hypertexte visité" xfId="2926" builtinId="9" hidden="1"/>
    <cellStyle name="Lien hypertexte visité" xfId="2928" builtinId="9" hidden="1"/>
    <cellStyle name="Lien hypertexte visité" xfId="2930" builtinId="9" hidden="1"/>
    <cellStyle name="Lien hypertexte visité" xfId="2932" builtinId="9" hidden="1"/>
    <cellStyle name="Lien hypertexte visité" xfId="2934" builtinId="9" hidden="1"/>
    <cellStyle name="Lien hypertexte visité" xfId="2936" builtinId="9" hidden="1"/>
    <cellStyle name="Lien hypertexte visité" xfId="2938" builtinId="9" hidden="1"/>
    <cellStyle name="Lien hypertexte visité" xfId="2940" builtinId="9" hidden="1"/>
    <cellStyle name="Lien hypertexte visité" xfId="2942" builtinId="9" hidden="1"/>
    <cellStyle name="Lien hypertexte visité" xfId="2944" builtinId="9" hidden="1"/>
    <cellStyle name="Lien hypertexte visité" xfId="2946" builtinId="9" hidden="1"/>
    <cellStyle name="Lien hypertexte visité" xfId="2948" builtinId="9" hidden="1"/>
    <cellStyle name="Lien hypertexte visité" xfId="2950" builtinId="9" hidden="1"/>
    <cellStyle name="Lien hypertexte visité" xfId="2952" builtinId="9" hidden="1"/>
    <cellStyle name="Lien hypertexte visité" xfId="2954" builtinId="9" hidden="1"/>
    <cellStyle name="Lien hypertexte visité" xfId="2956" builtinId="9" hidden="1"/>
    <cellStyle name="Lien hypertexte visité" xfId="2958" builtinId="9" hidden="1"/>
    <cellStyle name="Lien hypertexte visité" xfId="2960" builtinId="9" hidden="1"/>
    <cellStyle name="Lien hypertexte visité" xfId="2962" builtinId="9" hidden="1"/>
    <cellStyle name="Lien hypertexte visité" xfId="2964" builtinId="9" hidden="1"/>
    <cellStyle name="Lien hypertexte visité" xfId="2966" builtinId="9" hidden="1"/>
    <cellStyle name="Lien hypertexte visité" xfId="2968" builtinId="9" hidden="1"/>
    <cellStyle name="Lien hypertexte visité" xfId="2970" builtinId="9" hidden="1"/>
    <cellStyle name="Lien hypertexte visité" xfId="2972" builtinId="9" hidden="1"/>
    <cellStyle name="Lien hypertexte visité" xfId="2974" builtinId="9" hidden="1"/>
    <cellStyle name="Lien hypertexte visité" xfId="2976" builtinId="9" hidden="1"/>
    <cellStyle name="Lien hypertexte visité" xfId="2978" builtinId="9" hidden="1"/>
    <cellStyle name="Lien hypertexte visité" xfId="2980" builtinId="9" hidden="1"/>
    <cellStyle name="Lien hypertexte visité" xfId="2982" builtinId="9" hidden="1"/>
    <cellStyle name="Lien hypertexte visité" xfId="2984" builtinId="9" hidden="1"/>
    <cellStyle name="Lien hypertexte visité" xfId="2986" builtinId="9" hidden="1"/>
    <cellStyle name="Lien hypertexte visité" xfId="2988" builtinId="9" hidden="1"/>
    <cellStyle name="Lien hypertexte visité" xfId="2990" builtinId="9" hidden="1"/>
    <cellStyle name="Lien hypertexte visité" xfId="2992" builtinId="9" hidden="1"/>
    <cellStyle name="Lien hypertexte visité" xfId="2994" builtinId="9" hidden="1"/>
    <cellStyle name="Lien hypertexte visité" xfId="2996" builtinId="9" hidden="1"/>
    <cellStyle name="Lien hypertexte visité" xfId="2998" builtinId="9" hidden="1"/>
    <cellStyle name="Lien hypertexte visité" xfId="3000" builtinId="9" hidden="1"/>
    <cellStyle name="Lien hypertexte visité" xfId="3002" builtinId="9" hidden="1"/>
    <cellStyle name="Lien hypertexte visité" xfId="3004" builtinId="9" hidden="1"/>
    <cellStyle name="Lien hypertexte visité" xfId="3006" builtinId="9" hidden="1"/>
    <cellStyle name="Lien hypertexte visité" xfId="3008" builtinId="9" hidden="1"/>
    <cellStyle name="Lien hypertexte visité" xfId="3010" builtinId="9" hidden="1"/>
    <cellStyle name="Lien hypertexte visité" xfId="3012" builtinId="9" hidden="1"/>
    <cellStyle name="Lien hypertexte visité" xfId="3014" builtinId="9" hidden="1"/>
    <cellStyle name="Lien hypertexte visité" xfId="3016" builtinId="9" hidden="1"/>
    <cellStyle name="Lien hypertexte visité" xfId="3018" builtinId="9" hidden="1"/>
    <cellStyle name="Lien hypertexte visité" xfId="3020" builtinId="9" hidden="1"/>
    <cellStyle name="Lien hypertexte visité" xfId="3022" builtinId="9" hidden="1"/>
    <cellStyle name="Lien hypertexte visité" xfId="3024" builtinId="9" hidden="1"/>
    <cellStyle name="Lien hypertexte visité" xfId="3026" builtinId="9" hidden="1"/>
    <cellStyle name="Lien hypertexte visité" xfId="3028" builtinId="9" hidden="1"/>
    <cellStyle name="Lien hypertexte visité" xfId="3030" builtinId="9" hidden="1"/>
    <cellStyle name="Lien hypertexte visité" xfId="3032" builtinId="9" hidden="1"/>
    <cellStyle name="Lien hypertexte visité" xfId="3034" builtinId="9" hidden="1"/>
    <cellStyle name="Lien hypertexte visité" xfId="3036" builtinId="9" hidden="1"/>
    <cellStyle name="Lien hypertexte visité" xfId="3038" builtinId="9" hidden="1"/>
    <cellStyle name="Lien hypertexte visité" xfId="3040" builtinId="9" hidden="1"/>
    <cellStyle name="Lien hypertexte visité" xfId="3042" builtinId="9" hidden="1"/>
    <cellStyle name="Lien hypertexte visité" xfId="3044" builtinId="9" hidden="1"/>
    <cellStyle name="Lien hypertexte visité" xfId="3046" builtinId="9" hidden="1"/>
    <cellStyle name="Lien hypertexte visité" xfId="3048" builtinId="9" hidden="1"/>
    <cellStyle name="Lien hypertexte visité" xfId="3050" builtinId="9" hidden="1"/>
    <cellStyle name="Lien hypertexte visité" xfId="3052" builtinId="9" hidden="1"/>
    <cellStyle name="Lien hypertexte visité" xfId="3054" builtinId="9" hidden="1"/>
    <cellStyle name="Lien hypertexte visité" xfId="3056" builtinId="9" hidden="1"/>
    <cellStyle name="Lien hypertexte visité" xfId="3058" builtinId="9" hidden="1"/>
    <cellStyle name="Lien hypertexte visité" xfId="3060" builtinId="9" hidden="1"/>
    <cellStyle name="Lien hypertexte visité" xfId="3062" builtinId="9" hidden="1"/>
    <cellStyle name="Lien hypertexte visité" xfId="3064" builtinId="9" hidden="1"/>
    <cellStyle name="Lien hypertexte visité" xfId="3066" builtinId="9" hidden="1"/>
    <cellStyle name="Lien hypertexte visité" xfId="3068" builtinId="9" hidden="1"/>
    <cellStyle name="Lien hypertexte visité" xfId="3070" builtinId="9" hidden="1"/>
    <cellStyle name="Lien hypertexte visité" xfId="3072" builtinId="9" hidden="1"/>
    <cellStyle name="Lien hypertexte visité" xfId="3074" builtinId="9" hidden="1"/>
    <cellStyle name="Lien hypertexte visité" xfId="3076" builtinId="9" hidden="1"/>
    <cellStyle name="Lien hypertexte visité" xfId="3078" builtinId="9" hidden="1"/>
    <cellStyle name="Lien hypertexte visité" xfId="3080" builtinId="9" hidden="1"/>
    <cellStyle name="Lien hypertexte visité" xfId="3082" builtinId="9" hidden="1"/>
    <cellStyle name="Lien hypertexte visité" xfId="3084" builtinId="9" hidden="1"/>
    <cellStyle name="Lien hypertexte visité" xfId="3086" builtinId="9" hidden="1"/>
    <cellStyle name="Lien hypertexte visité" xfId="3088" builtinId="9" hidden="1"/>
    <cellStyle name="Lien hypertexte visité" xfId="3090" builtinId="9" hidden="1"/>
    <cellStyle name="Lien hypertexte visité" xfId="3092" builtinId="9" hidden="1"/>
    <cellStyle name="Lien hypertexte visité" xfId="3094" builtinId="9" hidden="1"/>
    <cellStyle name="Lien hypertexte visité" xfId="3096" builtinId="9" hidden="1"/>
    <cellStyle name="Lien hypertexte visité" xfId="3098" builtinId="9" hidden="1"/>
    <cellStyle name="Lien hypertexte visité" xfId="3100" builtinId="9" hidden="1"/>
    <cellStyle name="Lien hypertexte visité" xfId="3102" builtinId="9" hidden="1"/>
    <cellStyle name="Lien hypertexte visité" xfId="3104" builtinId="9" hidden="1"/>
    <cellStyle name="Lien hypertexte visité" xfId="3106" builtinId="9" hidden="1"/>
    <cellStyle name="Lien hypertexte visité" xfId="3108" builtinId="9" hidden="1"/>
    <cellStyle name="Lien hypertexte visité" xfId="3110" builtinId="9" hidden="1"/>
    <cellStyle name="Lien hypertexte visité" xfId="3112" builtinId="9" hidden="1"/>
    <cellStyle name="Lien hypertexte visité" xfId="3114" builtinId="9" hidden="1"/>
    <cellStyle name="Lien hypertexte visité" xfId="3116" builtinId="9" hidden="1"/>
    <cellStyle name="Lien hypertexte visité" xfId="3118" builtinId="9" hidden="1"/>
    <cellStyle name="Lien hypertexte visité" xfId="3120" builtinId="9" hidden="1"/>
    <cellStyle name="Lien hypertexte visité" xfId="3122" builtinId="9" hidden="1"/>
    <cellStyle name="Lien hypertexte visité" xfId="3124" builtinId="9" hidden="1"/>
    <cellStyle name="Lien hypertexte visité" xfId="3126" builtinId="9" hidden="1"/>
    <cellStyle name="Lien hypertexte visité" xfId="3128" builtinId="9" hidden="1"/>
    <cellStyle name="Lien hypertexte visité" xfId="3130" builtinId="9" hidden="1"/>
    <cellStyle name="Lien hypertexte visité" xfId="3132" builtinId="9" hidden="1"/>
    <cellStyle name="Lien hypertexte visité" xfId="3134" builtinId="9" hidden="1"/>
    <cellStyle name="Lien hypertexte visité" xfId="3136" builtinId="9" hidden="1"/>
    <cellStyle name="Lien hypertexte visité" xfId="3138" builtinId="9" hidden="1"/>
    <cellStyle name="Lien hypertexte visité" xfId="3140" builtinId="9" hidden="1"/>
    <cellStyle name="Lien hypertexte visité" xfId="3142" builtinId="9" hidden="1"/>
    <cellStyle name="Lien hypertexte visité" xfId="3144" builtinId="9" hidden="1"/>
    <cellStyle name="Lien hypertexte visité" xfId="3146" builtinId="9" hidden="1"/>
    <cellStyle name="Lien hypertexte visité" xfId="3148" builtinId="9" hidden="1"/>
    <cellStyle name="Lien hypertexte visité" xfId="3150" builtinId="9" hidden="1"/>
    <cellStyle name="Lien hypertexte visité" xfId="3152" builtinId="9" hidden="1"/>
    <cellStyle name="Lien hypertexte visité" xfId="3154" builtinId="9" hidden="1"/>
    <cellStyle name="Lien hypertexte visité" xfId="3156" builtinId="9" hidden="1"/>
    <cellStyle name="Lien hypertexte visité" xfId="3158" builtinId="9" hidden="1"/>
    <cellStyle name="Lien hypertexte visité" xfId="3160" builtinId="9" hidden="1"/>
    <cellStyle name="Lien hypertexte visité" xfId="3162" builtinId="9" hidden="1"/>
    <cellStyle name="Lien hypertexte visité" xfId="3164" builtinId="9" hidden="1"/>
    <cellStyle name="Lien hypertexte visité" xfId="3166" builtinId="9" hidden="1"/>
    <cellStyle name="Lien hypertexte visité" xfId="3168" builtinId="9" hidden="1"/>
    <cellStyle name="Lien hypertexte visité" xfId="3170" builtinId="9" hidden="1"/>
    <cellStyle name="Lien hypertexte visité" xfId="3172" builtinId="9" hidden="1"/>
    <cellStyle name="Lien hypertexte visité" xfId="3174" builtinId="9" hidden="1"/>
    <cellStyle name="Lien hypertexte visité" xfId="3176" builtinId="9" hidden="1"/>
    <cellStyle name="Lien hypertexte visité" xfId="3178" builtinId="9" hidden="1"/>
    <cellStyle name="Lien hypertexte visité" xfId="3180" builtinId="9" hidden="1"/>
    <cellStyle name="Lien hypertexte visité" xfId="3182" builtinId="9" hidden="1"/>
    <cellStyle name="Lien hypertexte visité" xfId="3184" builtinId="9" hidden="1"/>
    <cellStyle name="Lien hypertexte visité" xfId="3186" builtinId="9" hidden="1"/>
    <cellStyle name="Lien hypertexte visité" xfId="3188" builtinId="9" hidden="1"/>
    <cellStyle name="Lien hypertexte visité" xfId="3190" builtinId="9" hidden="1"/>
    <cellStyle name="Lien hypertexte visité" xfId="3192" builtinId="9" hidden="1"/>
    <cellStyle name="Lien hypertexte visité" xfId="3194" builtinId="9" hidden="1"/>
    <cellStyle name="Lien hypertexte visité" xfId="3196" builtinId="9" hidden="1"/>
    <cellStyle name="Lien hypertexte visité" xfId="3198" builtinId="9" hidden="1"/>
    <cellStyle name="Lien hypertexte visité" xfId="3200" builtinId="9" hidden="1"/>
    <cellStyle name="Lien hypertexte visité" xfId="3202" builtinId="9" hidden="1"/>
    <cellStyle name="Lien hypertexte visité" xfId="3204" builtinId="9" hidden="1"/>
    <cellStyle name="Lien hypertexte visité" xfId="3206" builtinId="9" hidden="1"/>
    <cellStyle name="Lien hypertexte visité" xfId="3208" builtinId="9" hidden="1"/>
    <cellStyle name="Lien hypertexte visité" xfId="3210" builtinId="9" hidden="1"/>
    <cellStyle name="Lien hypertexte visité" xfId="3212" builtinId="9" hidden="1"/>
    <cellStyle name="Lien hypertexte visité" xfId="3214" builtinId="9" hidden="1"/>
    <cellStyle name="Lien hypertexte visité" xfId="3216" builtinId="9" hidden="1"/>
    <cellStyle name="Lien hypertexte visité" xfId="3218" builtinId="9" hidden="1"/>
    <cellStyle name="Lien hypertexte visité" xfId="3220" builtinId="9" hidden="1"/>
    <cellStyle name="Lien hypertexte visité" xfId="3222" builtinId="9" hidden="1"/>
    <cellStyle name="Lien hypertexte visité" xfId="3224" builtinId="9" hidden="1"/>
    <cellStyle name="Lien hypertexte visité" xfId="3226" builtinId="9" hidden="1"/>
    <cellStyle name="Lien hypertexte visité" xfId="3228" builtinId="9" hidden="1"/>
    <cellStyle name="Lien hypertexte visité" xfId="3230" builtinId="9" hidden="1"/>
    <cellStyle name="Lien hypertexte visité" xfId="3232" builtinId="9" hidden="1"/>
    <cellStyle name="Lien hypertexte visité" xfId="3234" builtinId="9" hidden="1"/>
    <cellStyle name="Lien hypertexte visité" xfId="3236" builtinId="9" hidden="1"/>
    <cellStyle name="Lien hypertexte visité" xfId="3238" builtinId="9" hidden="1"/>
    <cellStyle name="Lien hypertexte visité" xfId="3240" builtinId="9" hidden="1"/>
    <cellStyle name="Lien hypertexte visité" xfId="3242" builtinId="9" hidden="1"/>
    <cellStyle name="Lien hypertexte visité" xfId="3244" builtinId="9" hidden="1"/>
    <cellStyle name="Lien hypertexte visité" xfId="3246" builtinId="9" hidden="1"/>
    <cellStyle name="Lien hypertexte visité" xfId="3248" builtinId="9" hidden="1"/>
    <cellStyle name="Lien hypertexte visité" xfId="3250" builtinId="9" hidden="1"/>
    <cellStyle name="Lien hypertexte visité" xfId="3252" builtinId="9" hidden="1"/>
    <cellStyle name="Lien hypertexte visité" xfId="3254" builtinId="9" hidden="1"/>
    <cellStyle name="Lien hypertexte visité" xfId="3256" builtinId="9" hidden="1"/>
    <cellStyle name="Lien hypertexte visité" xfId="3258" builtinId="9" hidden="1"/>
    <cellStyle name="Lien hypertexte visité" xfId="3260" builtinId="9" hidden="1"/>
    <cellStyle name="Lien hypertexte visité" xfId="3262" builtinId="9" hidden="1"/>
    <cellStyle name="Lien hypertexte visité" xfId="3264" builtinId="9" hidden="1"/>
    <cellStyle name="Lien hypertexte visité" xfId="3266" builtinId="9" hidden="1"/>
    <cellStyle name="Lien hypertexte visité" xfId="3268" builtinId="9" hidden="1"/>
    <cellStyle name="Lien hypertexte visité" xfId="3270" builtinId="9" hidden="1"/>
    <cellStyle name="Lien hypertexte visité" xfId="3272" builtinId="9" hidden="1"/>
    <cellStyle name="Lien hypertexte visité" xfId="3274" builtinId="9" hidden="1"/>
    <cellStyle name="Lien hypertexte visité" xfId="3276" builtinId="9" hidden="1"/>
    <cellStyle name="Lien hypertexte visité" xfId="3278" builtinId="9" hidden="1"/>
    <cellStyle name="Lien hypertexte visité" xfId="3280" builtinId="9" hidden="1"/>
    <cellStyle name="Lien hypertexte visité" xfId="3282" builtinId="9" hidden="1"/>
    <cellStyle name="Lien hypertexte visité" xfId="3284" builtinId="9" hidden="1"/>
    <cellStyle name="Lien hypertexte visité" xfId="3286" builtinId="9" hidden="1"/>
    <cellStyle name="Lien hypertexte visité" xfId="3288" builtinId="9" hidden="1"/>
    <cellStyle name="Lien hypertexte visité" xfId="3290" builtinId="9" hidden="1"/>
    <cellStyle name="Lien hypertexte visité" xfId="3292" builtinId="9" hidden="1"/>
    <cellStyle name="Lien hypertexte visité" xfId="3294" builtinId="9" hidden="1"/>
    <cellStyle name="Lien hypertexte visité" xfId="3296" builtinId="9" hidden="1"/>
    <cellStyle name="Lien hypertexte visité" xfId="3298" builtinId="9" hidden="1"/>
    <cellStyle name="Lien hypertexte visité" xfId="3300" builtinId="9" hidden="1"/>
    <cellStyle name="Lien hypertexte visité" xfId="3302" builtinId="9" hidden="1"/>
    <cellStyle name="Lien hypertexte visité" xfId="3304" builtinId="9" hidden="1"/>
    <cellStyle name="Lien hypertexte visité" xfId="3306" builtinId="9" hidden="1"/>
    <cellStyle name="Normal" xfId="0" builtinId="0"/>
  </cellStyles>
  <dxfs count="1">
    <dxf>
      <numFmt numFmtId="164" formatCode="00&quot;m&quot;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13</xdr:row>
          <xdr:rowOff>292100</xdr:rowOff>
        </xdr:from>
        <xdr:to>
          <xdr:col>5</xdr:col>
          <xdr:colOff>596900</xdr:colOff>
          <xdr:row>15</xdr:row>
          <xdr:rowOff>50800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0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FFD566"/>
                  </a:solidFill>
                  <a:latin typeface="Lucida Grande" pitchFamily="2" charset="0"/>
                  <a:cs typeface="Lucida Grande" pitchFamily="2" charset="0"/>
                </a:rPr>
                <a:t>Plaque suivante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495300</xdr:colOff>
          <xdr:row>1</xdr:row>
          <xdr:rowOff>25400</xdr:rowOff>
        </xdr:from>
        <xdr:to>
          <xdr:col>6</xdr:col>
          <xdr:colOff>508000</xdr:colOff>
          <xdr:row>2</xdr:row>
          <xdr:rowOff>25400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0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FF6F6F"/>
                  </a:solidFill>
                  <a:latin typeface="Lucida Grande" pitchFamily="2" charset="0"/>
                  <a:cs typeface="Lucida Grande" pitchFamily="2" charset="0"/>
                </a:rPr>
                <a:t>Nouvelle saison</a:t>
              </a:r>
            </a:p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FF6F6F"/>
                  </a:solidFill>
                  <a:latin typeface="Lucida Grande" pitchFamily="2" charset="0"/>
                  <a:cs typeface="Lucida Grande" pitchFamily="2" charset="0"/>
                </a:rPr>
                <a:t>(tout effacer)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16</xdr:row>
          <xdr:rowOff>0</xdr:rowOff>
        </xdr:from>
        <xdr:to>
          <xdr:col>6</xdr:col>
          <xdr:colOff>292100</xdr:colOff>
          <xdr:row>26</xdr:row>
          <xdr:rowOff>88900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Valide et reste sur la même plaque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698500</xdr:colOff>
          <xdr:row>13</xdr:row>
          <xdr:rowOff>292100</xdr:rowOff>
        </xdr:from>
        <xdr:to>
          <xdr:col>7</xdr:col>
          <xdr:colOff>876300</xdr:colOff>
          <xdr:row>15</xdr:row>
          <xdr:rowOff>50800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Valide et passe à la plaque suivante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26</xdr:row>
          <xdr:rowOff>254000</xdr:rowOff>
        </xdr:from>
        <xdr:to>
          <xdr:col>6</xdr:col>
          <xdr:colOff>292100</xdr:colOff>
          <xdr:row>28</xdr:row>
          <xdr:rowOff>25400</xdr:rowOff>
        </xdr:to>
        <xdr:sp macro="" textlink="">
          <xdr:nvSpPr>
            <xdr:cNvPr id="3113" name="Button 41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0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Valide et tout laisser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1879600</xdr:colOff>
          <xdr:row>48</xdr:row>
          <xdr:rowOff>152400</xdr:rowOff>
        </xdr:from>
        <xdr:to>
          <xdr:col>4</xdr:col>
          <xdr:colOff>127000</xdr:colOff>
          <xdr:row>49</xdr:row>
          <xdr:rowOff>228600</xdr:rowOff>
        </xdr:to>
        <xdr:sp macro="" textlink="">
          <xdr:nvSpPr>
            <xdr:cNvPr id="3116" name="Button 44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Valide tout le tableau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254000</xdr:colOff>
          <xdr:row>48</xdr:row>
          <xdr:rowOff>152400</xdr:rowOff>
        </xdr:from>
        <xdr:to>
          <xdr:col>6</xdr:col>
          <xdr:colOff>431800</xdr:colOff>
          <xdr:row>49</xdr:row>
          <xdr:rowOff>228600</xdr:rowOff>
        </xdr:to>
        <xdr:sp macro="" textlink="">
          <xdr:nvSpPr>
            <xdr:cNvPr id="3118" name="Button 46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0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Valide tout le tableau</a:t>
              </a:r>
            </a:p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sans confirmation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558800</xdr:colOff>
          <xdr:row>48</xdr:row>
          <xdr:rowOff>152400</xdr:rowOff>
        </xdr:from>
        <xdr:to>
          <xdr:col>7</xdr:col>
          <xdr:colOff>1562100</xdr:colOff>
          <xdr:row>49</xdr:row>
          <xdr:rowOff>228600</xdr:rowOff>
        </xdr:to>
        <xdr:sp macro="" textlink="">
          <xdr:nvSpPr>
            <xdr:cNvPr id="3121" name="Button 49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0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Efface le tableau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254000</xdr:colOff>
          <xdr:row>50</xdr:row>
          <xdr:rowOff>76200</xdr:rowOff>
        </xdr:from>
        <xdr:to>
          <xdr:col>5</xdr:col>
          <xdr:colOff>736600</xdr:colOff>
          <xdr:row>51</xdr:row>
          <xdr:rowOff>152400</xdr:rowOff>
        </xdr:to>
        <xdr:sp macro="" textlink="">
          <xdr:nvSpPr>
            <xdr:cNvPr id="3125" name="Button 53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0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FFD566"/>
                  </a:solidFill>
                  <a:latin typeface="Lucida Grande" pitchFamily="2" charset="0"/>
                  <a:cs typeface="Lucida Grande" pitchFamily="2" charset="0"/>
                </a:rPr>
                <a:t>Plaque suivante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lles Siu" refreshedDate="44047.797076273149" createdVersion="4" refreshedVersion="4" minRefreshableVersion="3" recordCount="7760" xr:uid="{00000000-000A-0000-FFFF-FFFF00000000}">
  <cacheSource type="worksheet">
    <worksheetSource ref="B1:I8171" sheet="Data"/>
  </cacheSource>
  <cacheFields count="8">
    <cacheField name="Date début" numFmtId="17">
      <sharedItems containsSemiMixedTypes="0" containsNonDate="0" containsDate="1" containsString="0" minDate="2000-12-01T00:00:00" maxDate="2018-09-02T00:00:00" count="36">
        <d v="2000-12-01T00:00:00"/>
        <d v="2018-09-01T00:00:00"/>
        <d v="2001-09-01T00:00:00"/>
        <d v="2001-12-01T00:00:00"/>
        <d v="2002-09-01T00:00:00"/>
        <d v="2002-12-01T00:00:00"/>
        <d v="2003-09-01T00:00:00"/>
        <d v="2003-12-01T00:00:00"/>
        <d v="2004-09-01T00:00:00"/>
        <d v="2004-12-01T00:00:00"/>
        <d v="2005-09-01T00:00:00"/>
        <d v="2005-12-01T00:00:00"/>
        <d v="2006-09-01T00:00:00"/>
        <d v="2006-12-01T00:00:00"/>
        <d v="2007-09-01T00:00:00"/>
        <d v="2007-12-01T00:00:00"/>
        <d v="2008-09-01T00:00:00"/>
        <d v="2008-12-01T00:00:00"/>
        <d v="2009-09-01T00:00:00"/>
        <d v="2009-12-01T00:00:00"/>
        <d v="2010-09-01T00:00:00"/>
        <d v="2010-12-01T00:00:00"/>
        <d v="2011-09-01T00:00:00"/>
        <d v="2011-12-01T00:00:00"/>
        <d v="2012-09-01T00:00:00"/>
        <d v="2012-12-01T00:00:00"/>
        <d v="2013-09-01T00:00:00"/>
        <d v="2013-12-01T00:00:00"/>
        <d v="2014-09-01T00:00:00"/>
        <d v="2014-12-01T00:00:00"/>
        <d v="2015-09-01T00:00:00"/>
        <d v="2015-12-01T00:00:00"/>
        <d v="2016-09-01T00:00:00"/>
        <d v="2016-12-01T00:00:00"/>
        <d v="2017-09-01T00:00:00"/>
        <d v="2017-12-01T00:00:00"/>
      </sharedItems>
    </cacheField>
    <cacheField name="Site" numFmtId="0">
      <sharedItems count="3">
        <s v="Vaipahu"/>
        <s v="Tiahura"/>
        <s v="Haapiti"/>
      </sharedItems>
    </cacheField>
    <cacheField name="Profondeur" numFmtId="164">
      <sharedItems containsSemiMixedTypes="0" containsString="0" containsNumber="1" containsInteger="1" minValue="6" maxValue="18" count="3">
        <n v="6"/>
        <n v="12"/>
        <n v="18"/>
      </sharedItems>
    </cacheField>
    <cacheField name="Plaque" numFmtId="0">
      <sharedItems containsSemiMixedTypes="0" containsString="0" containsNumber="1" containsInteger="1" minValue="1" maxValue="48047" count="201">
        <n v="1"/>
        <n v="55"/>
        <n v="51"/>
        <n v="49"/>
        <n v="44"/>
        <n v="39"/>
        <n v="35"/>
        <n v="34"/>
        <n v="32"/>
        <n v="30"/>
        <n v="25"/>
        <n v="19"/>
        <n v="10"/>
        <n v="7"/>
        <n v="5"/>
        <n v="3"/>
        <n v="2"/>
        <n v="4"/>
        <n v="6"/>
        <n v="8"/>
        <n v="9"/>
        <n v="11"/>
        <n v="12"/>
        <n v="13"/>
        <n v="14"/>
        <n v="15"/>
        <n v="16"/>
        <n v="17"/>
        <n v="18"/>
        <n v="20"/>
        <n v="21"/>
        <n v="22"/>
        <n v="23"/>
        <n v="24"/>
        <n v="26"/>
        <n v="27"/>
        <n v="28"/>
        <n v="29"/>
        <n v="31"/>
        <n v="33"/>
        <n v="36"/>
        <n v="37"/>
        <n v="38"/>
        <n v="40"/>
        <n v="41"/>
        <n v="42"/>
        <n v="43"/>
        <n v="45"/>
        <n v="46"/>
        <n v="47"/>
        <n v="48"/>
        <n v="50"/>
        <n v="52"/>
        <n v="53"/>
        <n v="54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2001"/>
        <n v="2002"/>
        <n v="2003"/>
        <n v="2004"/>
        <n v="2005"/>
        <n v="2006"/>
        <n v="2007"/>
        <n v="2008"/>
        <n v="2009"/>
        <n v="2121"/>
        <n v="2122"/>
        <n v="2123"/>
        <n v="2124"/>
        <n v="2126"/>
        <n v="2127"/>
        <n v="2128"/>
        <n v="2129"/>
        <n v="2130"/>
        <n v="42163"/>
        <n v="47048"/>
        <n v="48047"/>
      </sharedItems>
    </cacheField>
    <cacheField name="Famille" numFmtId="0">
      <sharedItems containsBlank="1" count="9">
        <s v="Cassés"/>
        <s v="Autres"/>
        <s v="Pocilloporidae"/>
        <s v="Acroporidae"/>
        <s v=""/>
        <s v="Poritidae"/>
        <m/>
        <s v="Cassé"/>
        <s v="Acroporitidae"/>
      </sharedItems>
    </cacheField>
    <cacheField name="Position sur plaque" numFmtId="0">
      <sharedItems containsBlank="1" count="5">
        <s v="Dessous"/>
        <s v="Bords"/>
        <s v="Dessus"/>
        <s v=""/>
        <m/>
      </sharedItems>
    </cacheField>
    <cacheField name="Nombre" numFmtId="0">
      <sharedItems containsBlank="1" containsMixedTypes="1" containsNumber="1" containsInteger="1" minValue="0" maxValue="18"/>
    </cacheField>
    <cacheField name="Observation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760">
  <r>
    <x v="0"/>
    <x v="0"/>
    <x v="0"/>
    <x v="0"/>
    <x v="0"/>
    <x v="0"/>
    <n v="4"/>
    <s v=""/>
  </r>
  <r>
    <x v="1"/>
    <x v="0"/>
    <x v="0"/>
    <x v="1"/>
    <x v="1"/>
    <x v="1"/>
    <n v="1"/>
    <s v=""/>
  </r>
  <r>
    <x v="1"/>
    <x v="0"/>
    <x v="0"/>
    <x v="1"/>
    <x v="1"/>
    <x v="1"/>
    <n v="1"/>
    <s v=""/>
  </r>
  <r>
    <x v="1"/>
    <x v="0"/>
    <x v="0"/>
    <x v="2"/>
    <x v="2"/>
    <x v="1"/>
    <n v="1"/>
    <s v=""/>
  </r>
  <r>
    <x v="1"/>
    <x v="0"/>
    <x v="0"/>
    <x v="2"/>
    <x v="2"/>
    <x v="1"/>
    <n v="1"/>
    <s v=""/>
  </r>
  <r>
    <x v="1"/>
    <x v="0"/>
    <x v="0"/>
    <x v="3"/>
    <x v="1"/>
    <x v="0"/>
    <n v="1"/>
    <s v=""/>
  </r>
  <r>
    <x v="1"/>
    <x v="0"/>
    <x v="0"/>
    <x v="3"/>
    <x v="1"/>
    <x v="0"/>
    <n v="1"/>
    <s v=""/>
  </r>
  <r>
    <x v="1"/>
    <x v="0"/>
    <x v="0"/>
    <x v="4"/>
    <x v="2"/>
    <x v="0"/>
    <n v="1"/>
    <s v=""/>
  </r>
  <r>
    <x v="1"/>
    <x v="0"/>
    <x v="0"/>
    <x v="4"/>
    <x v="2"/>
    <x v="0"/>
    <n v="1"/>
    <s v=""/>
  </r>
  <r>
    <x v="1"/>
    <x v="0"/>
    <x v="0"/>
    <x v="4"/>
    <x v="2"/>
    <x v="2"/>
    <n v="1"/>
    <s v=""/>
  </r>
  <r>
    <x v="1"/>
    <x v="0"/>
    <x v="0"/>
    <x v="5"/>
    <x v="3"/>
    <x v="0"/>
    <n v="1"/>
    <s v=""/>
  </r>
  <r>
    <x v="1"/>
    <x v="0"/>
    <x v="0"/>
    <x v="5"/>
    <x v="3"/>
    <x v="0"/>
    <n v="1"/>
    <s v=""/>
  </r>
  <r>
    <x v="1"/>
    <x v="0"/>
    <x v="0"/>
    <x v="5"/>
    <x v="3"/>
    <x v="2"/>
    <n v="1"/>
    <s v=""/>
  </r>
  <r>
    <x v="1"/>
    <x v="0"/>
    <x v="0"/>
    <x v="6"/>
    <x v="1"/>
    <x v="1"/>
    <n v="1"/>
    <s v=""/>
  </r>
  <r>
    <x v="1"/>
    <x v="0"/>
    <x v="0"/>
    <x v="6"/>
    <x v="1"/>
    <x v="1"/>
    <n v="1"/>
    <s v=""/>
  </r>
  <r>
    <x v="1"/>
    <x v="0"/>
    <x v="0"/>
    <x v="6"/>
    <x v="2"/>
    <x v="0"/>
    <n v="1"/>
    <s v=""/>
  </r>
  <r>
    <x v="1"/>
    <x v="0"/>
    <x v="0"/>
    <x v="7"/>
    <x v="1"/>
    <x v="1"/>
    <n v="1"/>
    <s v=""/>
  </r>
  <r>
    <x v="1"/>
    <x v="0"/>
    <x v="0"/>
    <x v="7"/>
    <x v="1"/>
    <x v="1"/>
    <n v="1"/>
    <s v=""/>
  </r>
  <r>
    <x v="1"/>
    <x v="0"/>
    <x v="0"/>
    <x v="8"/>
    <x v="4"/>
    <x v="3"/>
    <s v=""/>
    <s v="plaque absente"/>
  </r>
  <r>
    <x v="1"/>
    <x v="0"/>
    <x v="0"/>
    <x v="9"/>
    <x v="2"/>
    <x v="1"/>
    <n v="1"/>
    <s v=""/>
  </r>
  <r>
    <x v="1"/>
    <x v="0"/>
    <x v="0"/>
    <x v="9"/>
    <x v="2"/>
    <x v="1"/>
    <n v="1"/>
    <s v=""/>
  </r>
  <r>
    <x v="1"/>
    <x v="0"/>
    <x v="0"/>
    <x v="9"/>
    <x v="1"/>
    <x v="0"/>
    <n v="2"/>
    <s v=""/>
  </r>
  <r>
    <x v="1"/>
    <x v="0"/>
    <x v="0"/>
    <x v="10"/>
    <x v="2"/>
    <x v="0"/>
    <n v="1"/>
    <s v=""/>
  </r>
  <r>
    <x v="1"/>
    <x v="0"/>
    <x v="0"/>
    <x v="10"/>
    <x v="2"/>
    <x v="0"/>
    <n v="1"/>
    <s v=""/>
  </r>
  <r>
    <x v="1"/>
    <x v="0"/>
    <x v="0"/>
    <x v="11"/>
    <x v="1"/>
    <x v="1"/>
    <n v="1"/>
    <s v=""/>
  </r>
  <r>
    <x v="1"/>
    <x v="0"/>
    <x v="0"/>
    <x v="11"/>
    <x v="1"/>
    <x v="1"/>
    <n v="1"/>
    <s v=""/>
  </r>
  <r>
    <x v="1"/>
    <x v="0"/>
    <x v="0"/>
    <x v="12"/>
    <x v="1"/>
    <x v="1"/>
    <n v="1"/>
    <s v=""/>
  </r>
  <r>
    <x v="1"/>
    <x v="0"/>
    <x v="0"/>
    <x v="12"/>
    <x v="1"/>
    <x v="1"/>
    <n v="1"/>
    <s v=""/>
  </r>
  <r>
    <x v="1"/>
    <x v="0"/>
    <x v="0"/>
    <x v="12"/>
    <x v="3"/>
    <x v="0"/>
    <n v="1"/>
    <s v=""/>
  </r>
  <r>
    <x v="1"/>
    <x v="0"/>
    <x v="0"/>
    <x v="13"/>
    <x v="1"/>
    <x v="0"/>
    <n v="1"/>
    <s v=""/>
  </r>
  <r>
    <x v="1"/>
    <x v="0"/>
    <x v="0"/>
    <x v="13"/>
    <x v="1"/>
    <x v="0"/>
    <n v="1"/>
    <s v=""/>
  </r>
  <r>
    <x v="1"/>
    <x v="0"/>
    <x v="0"/>
    <x v="14"/>
    <x v="1"/>
    <x v="1"/>
    <n v="1"/>
    <s v=""/>
  </r>
  <r>
    <x v="1"/>
    <x v="0"/>
    <x v="0"/>
    <x v="14"/>
    <x v="1"/>
    <x v="1"/>
    <n v="1"/>
    <s v=""/>
  </r>
  <r>
    <x v="1"/>
    <x v="0"/>
    <x v="0"/>
    <x v="15"/>
    <x v="0"/>
    <x v="3"/>
    <s v=""/>
    <s v=""/>
  </r>
  <r>
    <x v="1"/>
    <x v="0"/>
    <x v="0"/>
    <x v="16"/>
    <x v="5"/>
    <x v="0"/>
    <n v="1"/>
    <s v=""/>
  </r>
  <r>
    <x v="1"/>
    <x v="0"/>
    <x v="0"/>
    <x v="16"/>
    <x v="5"/>
    <x v="0"/>
    <n v="1"/>
    <s v=""/>
  </r>
  <r>
    <x v="0"/>
    <x v="0"/>
    <x v="0"/>
    <x v="0"/>
    <x v="2"/>
    <x v="0"/>
    <n v="9"/>
    <s v=""/>
  </r>
  <r>
    <x v="0"/>
    <x v="0"/>
    <x v="0"/>
    <x v="0"/>
    <x v="5"/>
    <x v="0"/>
    <n v="1"/>
    <s v=""/>
  </r>
  <r>
    <x v="0"/>
    <x v="0"/>
    <x v="0"/>
    <x v="16"/>
    <x v="0"/>
    <x v="0"/>
    <n v="2"/>
    <s v=""/>
  </r>
  <r>
    <x v="0"/>
    <x v="0"/>
    <x v="0"/>
    <x v="16"/>
    <x v="2"/>
    <x v="0"/>
    <n v="1"/>
    <s v=""/>
  </r>
  <r>
    <x v="0"/>
    <x v="0"/>
    <x v="0"/>
    <x v="16"/>
    <x v="5"/>
    <x v="0"/>
    <n v="3"/>
    <s v=""/>
  </r>
  <r>
    <x v="0"/>
    <x v="0"/>
    <x v="0"/>
    <x v="15"/>
    <x v="0"/>
    <x v="0"/>
    <n v="1"/>
    <s v=""/>
  </r>
  <r>
    <x v="0"/>
    <x v="0"/>
    <x v="0"/>
    <x v="15"/>
    <x v="0"/>
    <x v="2"/>
    <n v="1"/>
    <s v=""/>
  </r>
  <r>
    <x v="0"/>
    <x v="0"/>
    <x v="0"/>
    <x v="15"/>
    <x v="2"/>
    <x v="0"/>
    <n v="1"/>
    <s v=""/>
  </r>
  <r>
    <x v="0"/>
    <x v="0"/>
    <x v="0"/>
    <x v="15"/>
    <x v="2"/>
    <x v="2"/>
    <n v="1"/>
    <s v=""/>
  </r>
  <r>
    <x v="0"/>
    <x v="0"/>
    <x v="0"/>
    <x v="17"/>
    <x v="0"/>
    <x v="1"/>
    <n v="1"/>
    <s v=""/>
  </r>
  <r>
    <x v="0"/>
    <x v="0"/>
    <x v="0"/>
    <x v="17"/>
    <x v="0"/>
    <x v="2"/>
    <n v="1"/>
    <s v=""/>
  </r>
  <r>
    <x v="0"/>
    <x v="0"/>
    <x v="0"/>
    <x v="17"/>
    <x v="2"/>
    <x v="0"/>
    <n v="2"/>
    <s v=""/>
  </r>
  <r>
    <x v="0"/>
    <x v="0"/>
    <x v="0"/>
    <x v="14"/>
    <x v="3"/>
    <x v="0"/>
    <n v="1"/>
    <s v=""/>
  </r>
  <r>
    <x v="0"/>
    <x v="0"/>
    <x v="0"/>
    <x v="14"/>
    <x v="0"/>
    <x v="0"/>
    <n v="2"/>
    <s v=""/>
  </r>
  <r>
    <x v="0"/>
    <x v="0"/>
    <x v="0"/>
    <x v="14"/>
    <x v="2"/>
    <x v="0"/>
    <n v="1"/>
    <s v=""/>
  </r>
  <r>
    <x v="0"/>
    <x v="0"/>
    <x v="0"/>
    <x v="14"/>
    <x v="5"/>
    <x v="0"/>
    <n v="1"/>
    <s v=""/>
  </r>
  <r>
    <x v="0"/>
    <x v="0"/>
    <x v="0"/>
    <x v="18"/>
    <x v="0"/>
    <x v="0"/>
    <n v="1"/>
    <s v=""/>
  </r>
  <r>
    <x v="0"/>
    <x v="0"/>
    <x v="0"/>
    <x v="13"/>
    <x v="2"/>
    <x v="0"/>
    <n v="1"/>
    <s v=""/>
  </r>
  <r>
    <x v="0"/>
    <x v="0"/>
    <x v="0"/>
    <x v="19"/>
    <x v="0"/>
    <x v="0"/>
    <n v="2"/>
    <s v=""/>
  </r>
  <r>
    <x v="0"/>
    <x v="0"/>
    <x v="0"/>
    <x v="19"/>
    <x v="0"/>
    <x v="2"/>
    <n v="1"/>
    <s v=""/>
  </r>
  <r>
    <x v="0"/>
    <x v="0"/>
    <x v="0"/>
    <x v="19"/>
    <x v="2"/>
    <x v="1"/>
    <n v="1"/>
    <s v=""/>
  </r>
  <r>
    <x v="0"/>
    <x v="0"/>
    <x v="0"/>
    <x v="19"/>
    <x v="2"/>
    <x v="0"/>
    <n v="9"/>
    <s v=""/>
  </r>
  <r>
    <x v="0"/>
    <x v="0"/>
    <x v="0"/>
    <x v="19"/>
    <x v="5"/>
    <x v="1"/>
    <n v="1"/>
    <s v=""/>
  </r>
  <r>
    <x v="0"/>
    <x v="0"/>
    <x v="0"/>
    <x v="19"/>
    <x v="5"/>
    <x v="0"/>
    <n v="2"/>
    <s v=""/>
  </r>
  <r>
    <x v="0"/>
    <x v="0"/>
    <x v="0"/>
    <x v="20"/>
    <x v="3"/>
    <x v="1"/>
    <n v="1"/>
    <s v=""/>
  </r>
  <r>
    <x v="0"/>
    <x v="0"/>
    <x v="0"/>
    <x v="20"/>
    <x v="3"/>
    <x v="0"/>
    <n v="1"/>
    <s v=""/>
  </r>
  <r>
    <x v="0"/>
    <x v="0"/>
    <x v="0"/>
    <x v="20"/>
    <x v="0"/>
    <x v="0"/>
    <n v="1"/>
    <s v=""/>
  </r>
  <r>
    <x v="0"/>
    <x v="0"/>
    <x v="0"/>
    <x v="20"/>
    <x v="2"/>
    <x v="1"/>
    <n v="2"/>
    <s v=""/>
  </r>
  <r>
    <x v="0"/>
    <x v="0"/>
    <x v="0"/>
    <x v="20"/>
    <x v="2"/>
    <x v="0"/>
    <n v="12"/>
    <s v=""/>
  </r>
  <r>
    <x v="0"/>
    <x v="0"/>
    <x v="0"/>
    <x v="20"/>
    <x v="2"/>
    <x v="2"/>
    <n v="2"/>
    <s v=""/>
  </r>
  <r>
    <x v="0"/>
    <x v="0"/>
    <x v="0"/>
    <x v="12"/>
    <x v="0"/>
    <x v="0"/>
    <n v="1"/>
    <s v=""/>
  </r>
  <r>
    <x v="0"/>
    <x v="0"/>
    <x v="0"/>
    <x v="12"/>
    <x v="2"/>
    <x v="0"/>
    <n v="9"/>
    <s v=""/>
  </r>
  <r>
    <x v="0"/>
    <x v="0"/>
    <x v="0"/>
    <x v="12"/>
    <x v="5"/>
    <x v="1"/>
    <n v="1"/>
    <s v=""/>
  </r>
  <r>
    <x v="0"/>
    <x v="0"/>
    <x v="0"/>
    <x v="12"/>
    <x v="5"/>
    <x v="0"/>
    <n v="2"/>
    <s v=""/>
  </r>
  <r>
    <x v="0"/>
    <x v="0"/>
    <x v="0"/>
    <x v="21"/>
    <x v="0"/>
    <x v="0"/>
    <n v="2"/>
    <s v=""/>
  </r>
  <r>
    <x v="0"/>
    <x v="0"/>
    <x v="0"/>
    <x v="21"/>
    <x v="2"/>
    <x v="1"/>
    <n v="3"/>
    <s v=""/>
  </r>
  <r>
    <x v="0"/>
    <x v="0"/>
    <x v="0"/>
    <x v="21"/>
    <x v="2"/>
    <x v="0"/>
    <n v="6"/>
    <s v=""/>
  </r>
  <r>
    <x v="0"/>
    <x v="0"/>
    <x v="0"/>
    <x v="21"/>
    <x v="2"/>
    <x v="2"/>
    <n v="1"/>
    <s v=""/>
  </r>
  <r>
    <x v="0"/>
    <x v="0"/>
    <x v="0"/>
    <x v="21"/>
    <x v="5"/>
    <x v="1"/>
    <n v="2"/>
    <s v=""/>
  </r>
  <r>
    <x v="0"/>
    <x v="0"/>
    <x v="0"/>
    <x v="22"/>
    <x v="0"/>
    <x v="1"/>
    <n v="1"/>
    <s v=""/>
  </r>
  <r>
    <x v="0"/>
    <x v="0"/>
    <x v="0"/>
    <x v="22"/>
    <x v="2"/>
    <x v="1"/>
    <n v="10"/>
    <s v=""/>
  </r>
  <r>
    <x v="0"/>
    <x v="0"/>
    <x v="0"/>
    <x v="22"/>
    <x v="2"/>
    <x v="0"/>
    <n v="3"/>
    <s v=""/>
  </r>
  <r>
    <x v="0"/>
    <x v="0"/>
    <x v="0"/>
    <x v="22"/>
    <x v="2"/>
    <x v="2"/>
    <n v="1"/>
    <s v=""/>
  </r>
  <r>
    <x v="0"/>
    <x v="0"/>
    <x v="0"/>
    <x v="22"/>
    <x v="5"/>
    <x v="1"/>
    <n v="3"/>
    <s v=""/>
  </r>
  <r>
    <x v="0"/>
    <x v="0"/>
    <x v="0"/>
    <x v="22"/>
    <x v="5"/>
    <x v="0"/>
    <n v="1"/>
    <s v=""/>
  </r>
  <r>
    <x v="0"/>
    <x v="0"/>
    <x v="0"/>
    <x v="22"/>
    <x v="5"/>
    <x v="2"/>
    <n v="1"/>
    <s v=""/>
  </r>
  <r>
    <x v="0"/>
    <x v="0"/>
    <x v="0"/>
    <x v="23"/>
    <x v="4"/>
    <x v="3"/>
    <s v=""/>
    <s v="plaque absente"/>
  </r>
  <r>
    <x v="0"/>
    <x v="0"/>
    <x v="0"/>
    <x v="24"/>
    <x v="0"/>
    <x v="0"/>
    <n v="1"/>
    <s v=""/>
  </r>
  <r>
    <x v="0"/>
    <x v="0"/>
    <x v="0"/>
    <x v="24"/>
    <x v="0"/>
    <x v="2"/>
    <n v="1"/>
    <s v=""/>
  </r>
  <r>
    <x v="0"/>
    <x v="0"/>
    <x v="0"/>
    <x v="24"/>
    <x v="2"/>
    <x v="1"/>
    <n v="4"/>
    <s v=""/>
  </r>
  <r>
    <x v="0"/>
    <x v="0"/>
    <x v="0"/>
    <x v="24"/>
    <x v="2"/>
    <x v="0"/>
    <n v="2"/>
    <s v=""/>
  </r>
  <r>
    <x v="0"/>
    <x v="0"/>
    <x v="0"/>
    <x v="24"/>
    <x v="2"/>
    <x v="2"/>
    <n v="1"/>
    <s v=""/>
  </r>
  <r>
    <x v="0"/>
    <x v="0"/>
    <x v="0"/>
    <x v="24"/>
    <x v="5"/>
    <x v="1"/>
    <n v="2"/>
    <s v=""/>
  </r>
  <r>
    <x v="0"/>
    <x v="0"/>
    <x v="0"/>
    <x v="24"/>
    <x v="5"/>
    <x v="0"/>
    <n v="1"/>
    <s v=""/>
  </r>
  <r>
    <x v="0"/>
    <x v="0"/>
    <x v="0"/>
    <x v="25"/>
    <x v="3"/>
    <x v="0"/>
    <n v="1"/>
    <s v=""/>
  </r>
  <r>
    <x v="0"/>
    <x v="0"/>
    <x v="0"/>
    <x v="25"/>
    <x v="0"/>
    <x v="1"/>
    <n v="3"/>
    <s v=""/>
  </r>
  <r>
    <x v="0"/>
    <x v="0"/>
    <x v="0"/>
    <x v="25"/>
    <x v="0"/>
    <x v="2"/>
    <n v="1"/>
    <s v=""/>
  </r>
  <r>
    <x v="0"/>
    <x v="0"/>
    <x v="0"/>
    <x v="25"/>
    <x v="2"/>
    <x v="1"/>
    <n v="8"/>
    <s v=""/>
  </r>
  <r>
    <x v="0"/>
    <x v="0"/>
    <x v="0"/>
    <x v="25"/>
    <x v="2"/>
    <x v="0"/>
    <n v="1"/>
    <s v=""/>
  </r>
  <r>
    <x v="0"/>
    <x v="0"/>
    <x v="0"/>
    <x v="26"/>
    <x v="0"/>
    <x v="1"/>
    <n v="2"/>
    <s v=""/>
  </r>
  <r>
    <x v="0"/>
    <x v="0"/>
    <x v="0"/>
    <x v="26"/>
    <x v="2"/>
    <x v="1"/>
    <n v="8"/>
    <s v=""/>
  </r>
  <r>
    <x v="0"/>
    <x v="0"/>
    <x v="0"/>
    <x v="26"/>
    <x v="2"/>
    <x v="0"/>
    <n v="5"/>
    <s v=""/>
  </r>
  <r>
    <x v="0"/>
    <x v="0"/>
    <x v="0"/>
    <x v="26"/>
    <x v="5"/>
    <x v="0"/>
    <n v="3"/>
    <s v=""/>
  </r>
  <r>
    <x v="0"/>
    <x v="0"/>
    <x v="0"/>
    <x v="27"/>
    <x v="4"/>
    <x v="3"/>
    <s v=""/>
    <s v="plaque absente"/>
  </r>
  <r>
    <x v="0"/>
    <x v="0"/>
    <x v="0"/>
    <x v="28"/>
    <x v="1"/>
    <x v="0"/>
    <n v="1"/>
    <s v=""/>
  </r>
  <r>
    <x v="0"/>
    <x v="0"/>
    <x v="0"/>
    <x v="28"/>
    <x v="0"/>
    <x v="0"/>
    <n v="1"/>
    <s v=""/>
  </r>
  <r>
    <x v="0"/>
    <x v="0"/>
    <x v="0"/>
    <x v="28"/>
    <x v="2"/>
    <x v="0"/>
    <n v="8"/>
    <m/>
  </r>
  <r>
    <x v="0"/>
    <x v="0"/>
    <x v="0"/>
    <x v="28"/>
    <x v="5"/>
    <x v="0"/>
    <n v="2"/>
    <s v=""/>
  </r>
  <r>
    <x v="0"/>
    <x v="0"/>
    <x v="0"/>
    <x v="11"/>
    <x v="0"/>
    <x v="2"/>
    <n v="2"/>
    <s v=""/>
  </r>
  <r>
    <x v="0"/>
    <x v="0"/>
    <x v="0"/>
    <x v="11"/>
    <x v="2"/>
    <x v="0"/>
    <n v="3"/>
    <s v=""/>
  </r>
  <r>
    <x v="0"/>
    <x v="0"/>
    <x v="0"/>
    <x v="11"/>
    <x v="2"/>
    <x v="2"/>
    <n v="1"/>
    <s v=""/>
  </r>
  <r>
    <x v="0"/>
    <x v="0"/>
    <x v="0"/>
    <x v="29"/>
    <x v="0"/>
    <x v="0"/>
    <n v="1"/>
    <s v=""/>
  </r>
  <r>
    <x v="0"/>
    <x v="0"/>
    <x v="0"/>
    <x v="29"/>
    <x v="0"/>
    <x v="2"/>
    <n v="1"/>
    <s v=""/>
  </r>
  <r>
    <x v="0"/>
    <x v="0"/>
    <x v="0"/>
    <x v="29"/>
    <x v="2"/>
    <x v="1"/>
    <n v="9"/>
    <s v=""/>
  </r>
  <r>
    <x v="0"/>
    <x v="0"/>
    <x v="0"/>
    <x v="29"/>
    <x v="2"/>
    <x v="0"/>
    <n v="2"/>
    <s v=""/>
  </r>
  <r>
    <x v="0"/>
    <x v="0"/>
    <x v="0"/>
    <x v="29"/>
    <x v="5"/>
    <x v="1"/>
    <n v="2"/>
    <s v=""/>
  </r>
  <r>
    <x v="0"/>
    <x v="0"/>
    <x v="0"/>
    <x v="29"/>
    <x v="5"/>
    <x v="0"/>
    <n v="1"/>
    <s v=""/>
  </r>
  <r>
    <x v="0"/>
    <x v="0"/>
    <x v="1"/>
    <x v="30"/>
    <x v="3"/>
    <x v="0"/>
    <n v="1"/>
    <s v=""/>
  </r>
  <r>
    <x v="0"/>
    <x v="0"/>
    <x v="1"/>
    <x v="30"/>
    <x v="2"/>
    <x v="0"/>
    <n v="2"/>
    <s v=""/>
  </r>
  <r>
    <x v="0"/>
    <x v="0"/>
    <x v="1"/>
    <x v="30"/>
    <x v="2"/>
    <x v="2"/>
    <n v="1"/>
    <s v=""/>
  </r>
  <r>
    <x v="0"/>
    <x v="0"/>
    <x v="1"/>
    <x v="30"/>
    <x v="5"/>
    <x v="0"/>
    <n v="1"/>
    <s v=""/>
  </r>
  <r>
    <x v="0"/>
    <x v="0"/>
    <x v="1"/>
    <x v="31"/>
    <x v="2"/>
    <x v="2"/>
    <n v="1"/>
    <s v=""/>
  </r>
  <r>
    <x v="0"/>
    <x v="0"/>
    <x v="1"/>
    <x v="31"/>
    <x v="5"/>
    <x v="0"/>
    <n v="1"/>
    <s v=""/>
  </r>
  <r>
    <x v="0"/>
    <x v="0"/>
    <x v="1"/>
    <x v="32"/>
    <x v="3"/>
    <x v="0"/>
    <n v="1"/>
    <s v=""/>
  </r>
  <r>
    <x v="0"/>
    <x v="0"/>
    <x v="1"/>
    <x v="32"/>
    <x v="0"/>
    <x v="2"/>
    <n v="1"/>
    <s v=""/>
  </r>
  <r>
    <x v="0"/>
    <x v="0"/>
    <x v="1"/>
    <x v="32"/>
    <x v="2"/>
    <x v="0"/>
    <n v="2"/>
    <s v=""/>
  </r>
  <r>
    <x v="0"/>
    <x v="0"/>
    <x v="1"/>
    <x v="32"/>
    <x v="5"/>
    <x v="0"/>
    <n v="2"/>
    <s v=""/>
  </r>
  <r>
    <x v="0"/>
    <x v="0"/>
    <x v="1"/>
    <x v="33"/>
    <x v="5"/>
    <x v="1"/>
    <n v="1"/>
    <s v=""/>
  </r>
  <r>
    <x v="0"/>
    <x v="0"/>
    <x v="1"/>
    <x v="33"/>
    <x v="5"/>
    <x v="0"/>
    <n v="1"/>
    <s v=""/>
  </r>
  <r>
    <x v="0"/>
    <x v="0"/>
    <x v="1"/>
    <x v="10"/>
    <x v="3"/>
    <x v="0"/>
    <n v="1"/>
    <s v=""/>
  </r>
  <r>
    <x v="0"/>
    <x v="0"/>
    <x v="1"/>
    <x v="10"/>
    <x v="0"/>
    <x v="0"/>
    <n v="1"/>
    <s v=""/>
  </r>
  <r>
    <x v="0"/>
    <x v="0"/>
    <x v="1"/>
    <x v="10"/>
    <x v="2"/>
    <x v="0"/>
    <n v="8"/>
    <s v=""/>
  </r>
  <r>
    <x v="0"/>
    <x v="0"/>
    <x v="1"/>
    <x v="10"/>
    <x v="5"/>
    <x v="0"/>
    <n v="3"/>
    <s v=""/>
  </r>
  <r>
    <x v="0"/>
    <x v="0"/>
    <x v="1"/>
    <x v="34"/>
    <x v="0"/>
    <x v="1"/>
    <n v="1"/>
    <s v=""/>
  </r>
  <r>
    <x v="0"/>
    <x v="0"/>
    <x v="1"/>
    <x v="35"/>
    <x v="5"/>
    <x v="0"/>
    <n v="1"/>
    <s v=""/>
  </r>
  <r>
    <x v="0"/>
    <x v="0"/>
    <x v="1"/>
    <x v="36"/>
    <x v="0"/>
    <x v="2"/>
    <n v="1"/>
    <s v=""/>
  </r>
  <r>
    <x v="0"/>
    <x v="0"/>
    <x v="1"/>
    <x v="36"/>
    <x v="2"/>
    <x v="0"/>
    <n v="1"/>
    <s v=""/>
  </r>
  <r>
    <x v="0"/>
    <x v="0"/>
    <x v="1"/>
    <x v="36"/>
    <x v="5"/>
    <x v="0"/>
    <n v="4"/>
    <s v=""/>
  </r>
  <r>
    <x v="0"/>
    <x v="0"/>
    <x v="1"/>
    <x v="37"/>
    <x v="2"/>
    <x v="0"/>
    <n v="1"/>
    <s v=""/>
  </r>
  <r>
    <x v="0"/>
    <x v="0"/>
    <x v="1"/>
    <x v="37"/>
    <x v="2"/>
    <x v="2"/>
    <n v="3"/>
    <s v=""/>
  </r>
  <r>
    <x v="0"/>
    <x v="0"/>
    <x v="1"/>
    <x v="9"/>
    <x v="0"/>
    <x v="0"/>
    <n v="1"/>
    <s v=""/>
  </r>
  <r>
    <x v="0"/>
    <x v="0"/>
    <x v="1"/>
    <x v="9"/>
    <x v="2"/>
    <x v="0"/>
    <n v="1"/>
    <s v=""/>
  </r>
  <r>
    <x v="0"/>
    <x v="0"/>
    <x v="1"/>
    <x v="38"/>
    <x v="2"/>
    <x v="0"/>
    <n v="2"/>
    <s v=""/>
  </r>
  <r>
    <x v="0"/>
    <x v="0"/>
    <x v="1"/>
    <x v="38"/>
    <x v="5"/>
    <x v="0"/>
    <n v="1"/>
    <s v=""/>
  </r>
  <r>
    <x v="0"/>
    <x v="0"/>
    <x v="1"/>
    <x v="8"/>
    <x v="3"/>
    <x v="0"/>
    <n v="1"/>
    <s v=""/>
  </r>
  <r>
    <x v="0"/>
    <x v="0"/>
    <x v="1"/>
    <x v="8"/>
    <x v="2"/>
    <x v="0"/>
    <n v="2"/>
    <s v=""/>
  </r>
  <r>
    <x v="0"/>
    <x v="0"/>
    <x v="1"/>
    <x v="8"/>
    <x v="5"/>
    <x v="0"/>
    <n v="1"/>
    <s v=""/>
  </r>
  <r>
    <x v="0"/>
    <x v="0"/>
    <x v="1"/>
    <x v="39"/>
    <x v="2"/>
    <x v="0"/>
    <n v="7"/>
    <s v=""/>
  </r>
  <r>
    <x v="0"/>
    <x v="0"/>
    <x v="1"/>
    <x v="39"/>
    <x v="2"/>
    <x v="2"/>
    <n v="1"/>
    <s v=""/>
  </r>
  <r>
    <x v="0"/>
    <x v="0"/>
    <x v="1"/>
    <x v="7"/>
    <x v="1"/>
    <x v="4"/>
    <n v="0"/>
    <m/>
  </r>
  <r>
    <x v="0"/>
    <x v="0"/>
    <x v="1"/>
    <x v="6"/>
    <x v="3"/>
    <x v="1"/>
    <n v="2"/>
    <s v=""/>
  </r>
  <r>
    <x v="0"/>
    <x v="0"/>
    <x v="1"/>
    <x v="6"/>
    <x v="2"/>
    <x v="1"/>
    <n v="2"/>
    <s v=""/>
  </r>
  <r>
    <x v="0"/>
    <x v="0"/>
    <x v="1"/>
    <x v="6"/>
    <x v="2"/>
    <x v="0"/>
    <n v="1"/>
    <s v=""/>
  </r>
  <r>
    <x v="0"/>
    <x v="0"/>
    <x v="1"/>
    <x v="6"/>
    <x v="2"/>
    <x v="2"/>
    <n v="2"/>
    <s v=""/>
  </r>
  <r>
    <x v="0"/>
    <x v="0"/>
    <x v="1"/>
    <x v="6"/>
    <x v="5"/>
    <x v="1"/>
    <n v="2"/>
    <s v=""/>
  </r>
  <r>
    <x v="0"/>
    <x v="0"/>
    <x v="1"/>
    <x v="6"/>
    <x v="5"/>
    <x v="0"/>
    <n v="2"/>
    <s v=""/>
  </r>
  <r>
    <x v="0"/>
    <x v="0"/>
    <x v="1"/>
    <x v="40"/>
    <x v="1"/>
    <x v="4"/>
    <n v="0"/>
    <m/>
  </r>
  <r>
    <x v="0"/>
    <x v="0"/>
    <x v="1"/>
    <x v="41"/>
    <x v="0"/>
    <x v="0"/>
    <n v="1"/>
    <s v=""/>
  </r>
  <r>
    <x v="0"/>
    <x v="0"/>
    <x v="1"/>
    <x v="41"/>
    <x v="2"/>
    <x v="0"/>
    <n v="1"/>
    <s v=""/>
  </r>
  <r>
    <x v="0"/>
    <x v="0"/>
    <x v="1"/>
    <x v="41"/>
    <x v="5"/>
    <x v="0"/>
    <n v="2"/>
    <s v=""/>
  </r>
  <r>
    <x v="0"/>
    <x v="0"/>
    <x v="1"/>
    <x v="42"/>
    <x v="0"/>
    <x v="0"/>
    <n v="1"/>
    <s v=""/>
  </r>
  <r>
    <x v="0"/>
    <x v="0"/>
    <x v="1"/>
    <x v="5"/>
    <x v="1"/>
    <x v="4"/>
    <n v="0"/>
    <m/>
  </r>
  <r>
    <x v="0"/>
    <x v="0"/>
    <x v="1"/>
    <x v="43"/>
    <x v="3"/>
    <x v="1"/>
    <n v="1"/>
    <s v=""/>
  </r>
  <r>
    <x v="0"/>
    <x v="0"/>
    <x v="1"/>
    <x v="43"/>
    <x v="2"/>
    <x v="1"/>
    <n v="5"/>
    <s v=""/>
  </r>
  <r>
    <x v="0"/>
    <x v="0"/>
    <x v="1"/>
    <x v="43"/>
    <x v="2"/>
    <x v="0"/>
    <n v="3"/>
    <s v=""/>
  </r>
  <r>
    <x v="0"/>
    <x v="0"/>
    <x v="1"/>
    <x v="43"/>
    <x v="2"/>
    <x v="2"/>
    <n v="1"/>
    <s v=""/>
  </r>
  <r>
    <x v="0"/>
    <x v="0"/>
    <x v="1"/>
    <x v="43"/>
    <x v="5"/>
    <x v="1"/>
    <n v="2"/>
    <s v=""/>
  </r>
  <r>
    <x v="0"/>
    <x v="0"/>
    <x v="1"/>
    <x v="43"/>
    <x v="5"/>
    <x v="0"/>
    <n v="1"/>
    <s v=""/>
  </r>
  <r>
    <x v="0"/>
    <x v="0"/>
    <x v="2"/>
    <x v="44"/>
    <x v="0"/>
    <x v="2"/>
    <n v="1"/>
    <s v=""/>
  </r>
  <r>
    <x v="0"/>
    <x v="0"/>
    <x v="2"/>
    <x v="44"/>
    <x v="2"/>
    <x v="2"/>
    <n v="1"/>
    <s v=""/>
  </r>
  <r>
    <x v="0"/>
    <x v="0"/>
    <x v="2"/>
    <x v="45"/>
    <x v="0"/>
    <x v="0"/>
    <n v="1"/>
    <s v=""/>
  </r>
  <r>
    <x v="0"/>
    <x v="0"/>
    <x v="2"/>
    <x v="45"/>
    <x v="0"/>
    <x v="2"/>
    <n v="1"/>
    <s v=""/>
  </r>
  <r>
    <x v="0"/>
    <x v="0"/>
    <x v="2"/>
    <x v="45"/>
    <x v="2"/>
    <x v="0"/>
    <n v="12"/>
    <s v=""/>
  </r>
  <r>
    <x v="0"/>
    <x v="0"/>
    <x v="2"/>
    <x v="45"/>
    <x v="2"/>
    <x v="2"/>
    <n v="1"/>
    <s v=""/>
  </r>
  <r>
    <x v="0"/>
    <x v="0"/>
    <x v="2"/>
    <x v="45"/>
    <x v="5"/>
    <x v="0"/>
    <n v="2"/>
    <s v=""/>
  </r>
  <r>
    <x v="0"/>
    <x v="0"/>
    <x v="2"/>
    <x v="46"/>
    <x v="0"/>
    <x v="0"/>
    <n v="2"/>
    <s v=""/>
  </r>
  <r>
    <x v="0"/>
    <x v="0"/>
    <x v="2"/>
    <x v="46"/>
    <x v="2"/>
    <x v="0"/>
    <n v="1"/>
    <s v=""/>
  </r>
  <r>
    <x v="0"/>
    <x v="0"/>
    <x v="2"/>
    <x v="46"/>
    <x v="2"/>
    <x v="2"/>
    <n v="3"/>
    <s v=""/>
  </r>
  <r>
    <x v="0"/>
    <x v="0"/>
    <x v="2"/>
    <x v="4"/>
    <x v="2"/>
    <x v="1"/>
    <n v="1"/>
    <s v=""/>
  </r>
  <r>
    <x v="0"/>
    <x v="0"/>
    <x v="2"/>
    <x v="47"/>
    <x v="3"/>
    <x v="0"/>
    <n v="2"/>
    <s v=""/>
  </r>
  <r>
    <x v="0"/>
    <x v="0"/>
    <x v="2"/>
    <x v="47"/>
    <x v="0"/>
    <x v="2"/>
    <n v="1"/>
    <s v=""/>
  </r>
  <r>
    <x v="0"/>
    <x v="0"/>
    <x v="2"/>
    <x v="47"/>
    <x v="2"/>
    <x v="1"/>
    <n v="3"/>
    <s v=""/>
  </r>
  <r>
    <x v="0"/>
    <x v="0"/>
    <x v="2"/>
    <x v="47"/>
    <x v="2"/>
    <x v="0"/>
    <n v="10"/>
    <s v=""/>
  </r>
  <r>
    <x v="0"/>
    <x v="0"/>
    <x v="2"/>
    <x v="47"/>
    <x v="5"/>
    <x v="0"/>
    <n v="4"/>
    <s v=""/>
  </r>
  <r>
    <x v="0"/>
    <x v="0"/>
    <x v="2"/>
    <x v="48"/>
    <x v="0"/>
    <x v="0"/>
    <n v="1"/>
    <s v=""/>
  </r>
  <r>
    <x v="0"/>
    <x v="0"/>
    <x v="2"/>
    <x v="48"/>
    <x v="0"/>
    <x v="2"/>
    <n v="1"/>
    <s v=""/>
  </r>
  <r>
    <x v="0"/>
    <x v="0"/>
    <x v="2"/>
    <x v="48"/>
    <x v="2"/>
    <x v="0"/>
    <n v="3"/>
    <s v=""/>
  </r>
  <r>
    <x v="0"/>
    <x v="0"/>
    <x v="2"/>
    <x v="49"/>
    <x v="2"/>
    <x v="0"/>
    <n v="14"/>
    <s v=""/>
  </r>
  <r>
    <x v="0"/>
    <x v="0"/>
    <x v="2"/>
    <x v="49"/>
    <x v="2"/>
    <x v="2"/>
    <n v="1"/>
    <s v=""/>
  </r>
  <r>
    <x v="0"/>
    <x v="0"/>
    <x v="2"/>
    <x v="49"/>
    <x v="5"/>
    <x v="0"/>
    <n v="1"/>
    <s v=""/>
  </r>
  <r>
    <x v="0"/>
    <x v="0"/>
    <x v="2"/>
    <x v="50"/>
    <x v="0"/>
    <x v="0"/>
    <n v="2"/>
    <s v=""/>
  </r>
  <r>
    <x v="0"/>
    <x v="0"/>
    <x v="2"/>
    <x v="50"/>
    <x v="2"/>
    <x v="1"/>
    <n v="1"/>
    <s v=""/>
  </r>
  <r>
    <x v="0"/>
    <x v="0"/>
    <x v="2"/>
    <x v="50"/>
    <x v="2"/>
    <x v="0"/>
    <n v="9"/>
    <s v=""/>
  </r>
  <r>
    <x v="0"/>
    <x v="0"/>
    <x v="2"/>
    <x v="50"/>
    <x v="5"/>
    <x v="0"/>
    <n v="1"/>
    <s v=""/>
  </r>
  <r>
    <x v="0"/>
    <x v="0"/>
    <x v="2"/>
    <x v="3"/>
    <x v="2"/>
    <x v="0"/>
    <n v="6"/>
    <s v=""/>
  </r>
  <r>
    <x v="0"/>
    <x v="0"/>
    <x v="2"/>
    <x v="3"/>
    <x v="2"/>
    <x v="2"/>
    <n v="1"/>
    <s v=""/>
  </r>
  <r>
    <x v="0"/>
    <x v="0"/>
    <x v="2"/>
    <x v="51"/>
    <x v="3"/>
    <x v="0"/>
    <n v="1"/>
    <s v=""/>
  </r>
  <r>
    <x v="0"/>
    <x v="0"/>
    <x v="2"/>
    <x v="51"/>
    <x v="0"/>
    <x v="1"/>
    <n v="1"/>
    <s v=""/>
  </r>
  <r>
    <x v="0"/>
    <x v="0"/>
    <x v="2"/>
    <x v="51"/>
    <x v="2"/>
    <x v="1"/>
    <n v="6"/>
    <s v=""/>
  </r>
  <r>
    <x v="0"/>
    <x v="0"/>
    <x v="2"/>
    <x v="51"/>
    <x v="2"/>
    <x v="0"/>
    <n v="2"/>
    <s v=""/>
  </r>
  <r>
    <x v="0"/>
    <x v="0"/>
    <x v="2"/>
    <x v="51"/>
    <x v="2"/>
    <x v="2"/>
    <n v="2"/>
    <s v=""/>
  </r>
  <r>
    <x v="0"/>
    <x v="0"/>
    <x v="2"/>
    <x v="51"/>
    <x v="5"/>
    <x v="1"/>
    <n v="1"/>
    <s v=""/>
  </r>
  <r>
    <x v="0"/>
    <x v="0"/>
    <x v="2"/>
    <x v="2"/>
    <x v="1"/>
    <x v="4"/>
    <n v="0"/>
    <m/>
  </r>
  <r>
    <x v="0"/>
    <x v="0"/>
    <x v="2"/>
    <x v="52"/>
    <x v="1"/>
    <x v="2"/>
    <n v="1"/>
    <s v=""/>
  </r>
  <r>
    <x v="0"/>
    <x v="0"/>
    <x v="2"/>
    <x v="52"/>
    <x v="0"/>
    <x v="2"/>
    <n v="1"/>
    <s v=""/>
  </r>
  <r>
    <x v="0"/>
    <x v="0"/>
    <x v="2"/>
    <x v="52"/>
    <x v="2"/>
    <x v="0"/>
    <n v="2"/>
    <s v=""/>
  </r>
  <r>
    <x v="0"/>
    <x v="0"/>
    <x v="2"/>
    <x v="52"/>
    <x v="2"/>
    <x v="2"/>
    <n v="1"/>
    <s v=""/>
  </r>
  <r>
    <x v="0"/>
    <x v="0"/>
    <x v="2"/>
    <x v="53"/>
    <x v="0"/>
    <x v="0"/>
    <n v="1"/>
    <s v=""/>
  </r>
  <r>
    <x v="0"/>
    <x v="0"/>
    <x v="2"/>
    <x v="53"/>
    <x v="0"/>
    <x v="2"/>
    <n v="1"/>
    <s v=""/>
  </r>
  <r>
    <x v="0"/>
    <x v="0"/>
    <x v="2"/>
    <x v="53"/>
    <x v="2"/>
    <x v="0"/>
    <n v="6"/>
    <s v=""/>
  </r>
  <r>
    <x v="0"/>
    <x v="0"/>
    <x v="2"/>
    <x v="53"/>
    <x v="5"/>
    <x v="0"/>
    <n v="1"/>
    <s v=""/>
  </r>
  <r>
    <x v="0"/>
    <x v="0"/>
    <x v="2"/>
    <x v="54"/>
    <x v="2"/>
    <x v="0"/>
    <n v="3"/>
    <s v=""/>
  </r>
  <r>
    <x v="0"/>
    <x v="0"/>
    <x v="2"/>
    <x v="54"/>
    <x v="2"/>
    <x v="2"/>
    <n v="1"/>
    <s v=""/>
  </r>
  <r>
    <x v="0"/>
    <x v="0"/>
    <x v="2"/>
    <x v="1"/>
    <x v="0"/>
    <x v="2"/>
    <n v="1"/>
    <s v=""/>
  </r>
  <r>
    <x v="0"/>
    <x v="0"/>
    <x v="2"/>
    <x v="1"/>
    <x v="2"/>
    <x v="1"/>
    <n v="1"/>
    <s v=""/>
  </r>
  <r>
    <x v="0"/>
    <x v="0"/>
    <x v="2"/>
    <x v="1"/>
    <x v="2"/>
    <x v="0"/>
    <n v="4"/>
    <s v=""/>
  </r>
  <r>
    <x v="0"/>
    <x v="0"/>
    <x v="2"/>
    <x v="1"/>
    <x v="2"/>
    <x v="2"/>
    <n v="1"/>
    <s v=""/>
  </r>
  <r>
    <x v="0"/>
    <x v="0"/>
    <x v="2"/>
    <x v="55"/>
    <x v="2"/>
    <x v="0"/>
    <n v="1"/>
    <s v=""/>
  </r>
  <r>
    <x v="0"/>
    <x v="0"/>
    <x v="2"/>
    <x v="56"/>
    <x v="0"/>
    <x v="2"/>
    <n v="2"/>
    <s v=""/>
  </r>
  <r>
    <x v="0"/>
    <x v="0"/>
    <x v="2"/>
    <x v="56"/>
    <x v="2"/>
    <x v="0"/>
    <n v="4"/>
    <s v=""/>
  </r>
  <r>
    <x v="0"/>
    <x v="0"/>
    <x v="2"/>
    <x v="56"/>
    <x v="2"/>
    <x v="2"/>
    <n v="1"/>
    <s v=""/>
  </r>
  <r>
    <x v="0"/>
    <x v="0"/>
    <x v="2"/>
    <x v="57"/>
    <x v="2"/>
    <x v="1"/>
    <n v="1"/>
    <s v=""/>
  </r>
  <r>
    <x v="0"/>
    <x v="0"/>
    <x v="2"/>
    <x v="57"/>
    <x v="2"/>
    <x v="0"/>
    <n v="7"/>
    <s v=""/>
  </r>
  <r>
    <x v="0"/>
    <x v="0"/>
    <x v="2"/>
    <x v="57"/>
    <x v="2"/>
    <x v="2"/>
    <n v="1"/>
    <s v=""/>
  </r>
  <r>
    <x v="0"/>
    <x v="0"/>
    <x v="2"/>
    <x v="58"/>
    <x v="2"/>
    <x v="1"/>
    <n v="2"/>
    <s v=""/>
  </r>
  <r>
    <x v="0"/>
    <x v="0"/>
    <x v="2"/>
    <x v="58"/>
    <x v="5"/>
    <x v="0"/>
    <n v="1"/>
    <s v=""/>
  </r>
  <r>
    <x v="0"/>
    <x v="0"/>
    <x v="2"/>
    <x v="59"/>
    <x v="0"/>
    <x v="2"/>
    <n v="1"/>
    <s v=""/>
  </r>
  <r>
    <x v="0"/>
    <x v="0"/>
    <x v="2"/>
    <x v="59"/>
    <x v="2"/>
    <x v="0"/>
    <n v="1"/>
    <s v=""/>
  </r>
  <r>
    <x v="0"/>
    <x v="1"/>
    <x v="0"/>
    <x v="60"/>
    <x v="2"/>
    <x v="0"/>
    <n v="1"/>
    <s v=""/>
  </r>
  <r>
    <x v="0"/>
    <x v="1"/>
    <x v="0"/>
    <x v="61"/>
    <x v="1"/>
    <x v="4"/>
    <n v="0"/>
    <m/>
  </r>
  <r>
    <x v="0"/>
    <x v="1"/>
    <x v="0"/>
    <x v="62"/>
    <x v="0"/>
    <x v="2"/>
    <n v="1"/>
    <s v=""/>
  </r>
  <r>
    <x v="0"/>
    <x v="1"/>
    <x v="0"/>
    <x v="62"/>
    <x v="2"/>
    <x v="0"/>
    <n v="1"/>
    <s v=""/>
  </r>
  <r>
    <x v="0"/>
    <x v="1"/>
    <x v="0"/>
    <x v="63"/>
    <x v="2"/>
    <x v="2"/>
    <n v="1"/>
    <s v=""/>
  </r>
  <r>
    <x v="0"/>
    <x v="1"/>
    <x v="0"/>
    <x v="64"/>
    <x v="0"/>
    <x v="0"/>
    <n v="1"/>
    <s v=""/>
  </r>
  <r>
    <x v="0"/>
    <x v="1"/>
    <x v="0"/>
    <x v="64"/>
    <x v="2"/>
    <x v="1"/>
    <n v="1"/>
    <s v=""/>
  </r>
  <r>
    <x v="0"/>
    <x v="1"/>
    <x v="0"/>
    <x v="64"/>
    <x v="2"/>
    <x v="0"/>
    <n v="2"/>
    <s v=""/>
  </r>
  <r>
    <x v="0"/>
    <x v="1"/>
    <x v="0"/>
    <x v="64"/>
    <x v="5"/>
    <x v="0"/>
    <n v="2"/>
    <s v=""/>
  </r>
  <r>
    <x v="0"/>
    <x v="1"/>
    <x v="0"/>
    <x v="65"/>
    <x v="2"/>
    <x v="1"/>
    <n v="1"/>
    <s v=""/>
  </r>
  <r>
    <x v="0"/>
    <x v="1"/>
    <x v="0"/>
    <x v="66"/>
    <x v="2"/>
    <x v="1"/>
    <n v="1"/>
    <s v=""/>
  </r>
  <r>
    <x v="0"/>
    <x v="1"/>
    <x v="0"/>
    <x v="66"/>
    <x v="2"/>
    <x v="0"/>
    <n v="4"/>
    <s v=""/>
  </r>
  <r>
    <x v="0"/>
    <x v="1"/>
    <x v="0"/>
    <x v="67"/>
    <x v="2"/>
    <x v="2"/>
    <n v="1"/>
    <s v=""/>
  </r>
  <r>
    <x v="0"/>
    <x v="1"/>
    <x v="0"/>
    <x v="68"/>
    <x v="2"/>
    <x v="0"/>
    <n v="3"/>
    <s v=""/>
  </r>
  <r>
    <x v="0"/>
    <x v="1"/>
    <x v="0"/>
    <x v="69"/>
    <x v="2"/>
    <x v="1"/>
    <n v="2"/>
    <s v=""/>
  </r>
  <r>
    <x v="0"/>
    <x v="1"/>
    <x v="0"/>
    <x v="69"/>
    <x v="2"/>
    <x v="0"/>
    <n v="3"/>
    <s v=""/>
  </r>
  <r>
    <x v="0"/>
    <x v="1"/>
    <x v="0"/>
    <x v="69"/>
    <x v="5"/>
    <x v="1"/>
    <n v="2"/>
    <s v=""/>
  </r>
  <r>
    <x v="0"/>
    <x v="1"/>
    <x v="0"/>
    <x v="69"/>
    <x v="5"/>
    <x v="0"/>
    <n v="1"/>
    <s v=""/>
  </r>
  <r>
    <x v="0"/>
    <x v="1"/>
    <x v="0"/>
    <x v="70"/>
    <x v="0"/>
    <x v="0"/>
    <n v="1"/>
    <s v=""/>
  </r>
  <r>
    <x v="0"/>
    <x v="1"/>
    <x v="0"/>
    <x v="70"/>
    <x v="2"/>
    <x v="1"/>
    <n v="2"/>
    <s v=""/>
  </r>
  <r>
    <x v="0"/>
    <x v="1"/>
    <x v="0"/>
    <x v="70"/>
    <x v="2"/>
    <x v="0"/>
    <n v="3"/>
    <s v=""/>
  </r>
  <r>
    <x v="0"/>
    <x v="1"/>
    <x v="0"/>
    <x v="70"/>
    <x v="5"/>
    <x v="0"/>
    <n v="1"/>
    <s v=""/>
  </r>
  <r>
    <x v="0"/>
    <x v="1"/>
    <x v="0"/>
    <x v="71"/>
    <x v="2"/>
    <x v="1"/>
    <n v="1"/>
    <s v=""/>
  </r>
  <r>
    <x v="0"/>
    <x v="1"/>
    <x v="0"/>
    <x v="71"/>
    <x v="2"/>
    <x v="0"/>
    <n v="2"/>
    <s v=""/>
  </r>
  <r>
    <x v="0"/>
    <x v="1"/>
    <x v="0"/>
    <x v="72"/>
    <x v="2"/>
    <x v="1"/>
    <n v="1"/>
    <s v=""/>
  </r>
  <r>
    <x v="0"/>
    <x v="1"/>
    <x v="0"/>
    <x v="73"/>
    <x v="2"/>
    <x v="0"/>
    <n v="4"/>
    <s v=""/>
  </r>
  <r>
    <x v="0"/>
    <x v="1"/>
    <x v="0"/>
    <x v="74"/>
    <x v="2"/>
    <x v="1"/>
    <n v="1"/>
    <s v=""/>
  </r>
  <r>
    <x v="0"/>
    <x v="1"/>
    <x v="0"/>
    <x v="74"/>
    <x v="2"/>
    <x v="0"/>
    <n v="1"/>
    <s v=""/>
  </r>
  <r>
    <x v="0"/>
    <x v="1"/>
    <x v="0"/>
    <x v="74"/>
    <x v="2"/>
    <x v="2"/>
    <n v="1"/>
    <s v=""/>
  </r>
  <r>
    <x v="0"/>
    <x v="1"/>
    <x v="0"/>
    <x v="74"/>
    <x v="5"/>
    <x v="1"/>
    <n v="3"/>
    <s v=""/>
  </r>
  <r>
    <x v="0"/>
    <x v="1"/>
    <x v="0"/>
    <x v="74"/>
    <x v="5"/>
    <x v="0"/>
    <n v="1"/>
    <s v=""/>
  </r>
  <r>
    <x v="0"/>
    <x v="1"/>
    <x v="0"/>
    <x v="75"/>
    <x v="2"/>
    <x v="1"/>
    <n v="1"/>
    <s v=""/>
  </r>
  <r>
    <x v="0"/>
    <x v="1"/>
    <x v="0"/>
    <x v="75"/>
    <x v="2"/>
    <x v="0"/>
    <n v="1"/>
    <s v=""/>
  </r>
  <r>
    <x v="0"/>
    <x v="1"/>
    <x v="0"/>
    <x v="75"/>
    <x v="2"/>
    <x v="2"/>
    <n v="1"/>
    <s v=""/>
  </r>
  <r>
    <x v="0"/>
    <x v="1"/>
    <x v="0"/>
    <x v="76"/>
    <x v="0"/>
    <x v="2"/>
    <n v="1"/>
    <s v=""/>
  </r>
  <r>
    <x v="0"/>
    <x v="1"/>
    <x v="0"/>
    <x v="76"/>
    <x v="2"/>
    <x v="1"/>
    <n v="7"/>
    <s v=""/>
  </r>
  <r>
    <x v="0"/>
    <x v="1"/>
    <x v="0"/>
    <x v="76"/>
    <x v="2"/>
    <x v="0"/>
    <n v="15"/>
    <s v=""/>
  </r>
  <r>
    <x v="0"/>
    <x v="1"/>
    <x v="0"/>
    <x v="76"/>
    <x v="5"/>
    <x v="1"/>
    <n v="7"/>
    <s v=""/>
  </r>
  <r>
    <x v="0"/>
    <x v="1"/>
    <x v="0"/>
    <x v="76"/>
    <x v="5"/>
    <x v="0"/>
    <n v="5"/>
    <s v=""/>
  </r>
  <r>
    <x v="0"/>
    <x v="1"/>
    <x v="0"/>
    <x v="77"/>
    <x v="2"/>
    <x v="1"/>
    <n v="1"/>
    <s v=""/>
  </r>
  <r>
    <x v="0"/>
    <x v="1"/>
    <x v="0"/>
    <x v="77"/>
    <x v="2"/>
    <x v="0"/>
    <n v="1"/>
    <s v=""/>
  </r>
  <r>
    <x v="0"/>
    <x v="1"/>
    <x v="0"/>
    <x v="77"/>
    <x v="5"/>
    <x v="0"/>
    <n v="1"/>
    <s v=""/>
  </r>
  <r>
    <x v="0"/>
    <x v="1"/>
    <x v="0"/>
    <x v="78"/>
    <x v="2"/>
    <x v="1"/>
    <n v="10"/>
    <s v=""/>
  </r>
  <r>
    <x v="0"/>
    <x v="1"/>
    <x v="0"/>
    <x v="78"/>
    <x v="2"/>
    <x v="0"/>
    <n v="3"/>
    <s v=""/>
  </r>
  <r>
    <x v="0"/>
    <x v="1"/>
    <x v="0"/>
    <x v="78"/>
    <x v="2"/>
    <x v="2"/>
    <n v="3"/>
    <s v=""/>
  </r>
  <r>
    <x v="0"/>
    <x v="1"/>
    <x v="0"/>
    <x v="78"/>
    <x v="5"/>
    <x v="1"/>
    <n v="1"/>
    <s v=""/>
  </r>
  <r>
    <x v="0"/>
    <x v="1"/>
    <x v="0"/>
    <x v="79"/>
    <x v="2"/>
    <x v="1"/>
    <n v="1"/>
    <s v=""/>
  </r>
  <r>
    <x v="0"/>
    <x v="1"/>
    <x v="0"/>
    <x v="79"/>
    <x v="2"/>
    <x v="0"/>
    <n v="4"/>
    <s v=""/>
  </r>
  <r>
    <x v="0"/>
    <x v="1"/>
    <x v="0"/>
    <x v="79"/>
    <x v="5"/>
    <x v="1"/>
    <n v="1"/>
    <s v=""/>
  </r>
  <r>
    <x v="0"/>
    <x v="1"/>
    <x v="1"/>
    <x v="80"/>
    <x v="2"/>
    <x v="0"/>
    <n v="2"/>
    <s v=""/>
  </r>
  <r>
    <x v="0"/>
    <x v="1"/>
    <x v="1"/>
    <x v="80"/>
    <x v="5"/>
    <x v="0"/>
    <n v="2"/>
    <s v=""/>
  </r>
  <r>
    <x v="0"/>
    <x v="1"/>
    <x v="1"/>
    <x v="81"/>
    <x v="5"/>
    <x v="1"/>
    <n v="6"/>
    <s v=""/>
  </r>
  <r>
    <x v="0"/>
    <x v="1"/>
    <x v="1"/>
    <x v="81"/>
    <x v="5"/>
    <x v="0"/>
    <n v="1"/>
    <s v=""/>
  </r>
  <r>
    <x v="0"/>
    <x v="1"/>
    <x v="1"/>
    <x v="82"/>
    <x v="3"/>
    <x v="0"/>
    <n v="1"/>
    <s v=""/>
  </r>
  <r>
    <x v="0"/>
    <x v="1"/>
    <x v="1"/>
    <x v="82"/>
    <x v="0"/>
    <x v="0"/>
    <n v="1"/>
    <s v=""/>
  </r>
  <r>
    <x v="0"/>
    <x v="1"/>
    <x v="1"/>
    <x v="82"/>
    <x v="2"/>
    <x v="0"/>
    <n v="4"/>
    <s v=""/>
  </r>
  <r>
    <x v="0"/>
    <x v="1"/>
    <x v="1"/>
    <x v="82"/>
    <x v="5"/>
    <x v="0"/>
    <n v="2"/>
    <s v=""/>
  </r>
  <r>
    <x v="0"/>
    <x v="1"/>
    <x v="1"/>
    <x v="83"/>
    <x v="3"/>
    <x v="0"/>
    <n v="1"/>
    <s v=""/>
  </r>
  <r>
    <x v="0"/>
    <x v="1"/>
    <x v="1"/>
    <x v="83"/>
    <x v="2"/>
    <x v="1"/>
    <n v="1"/>
    <s v=""/>
  </r>
  <r>
    <x v="0"/>
    <x v="1"/>
    <x v="1"/>
    <x v="83"/>
    <x v="2"/>
    <x v="0"/>
    <n v="3"/>
    <s v=""/>
  </r>
  <r>
    <x v="0"/>
    <x v="1"/>
    <x v="1"/>
    <x v="83"/>
    <x v="5"/>
    <x v="0"/>
    <n v="1"/>
    <s v=""/>
  </r>
  <r>
    <x v="0"/>
    <x v="1"/>
    <x v="1"/>
    <x v="84"/>
    <x v="3"/>
    <x v="0"/>
    <n v="1"/>
    <s v=""/>
  </r>
  <r>
    <x v="0"/>
    <x v="1"/>
    <x v="1"/>
    <x v="84"/>
    <x v="2"/>
    <x v="0"/>
    <n v="2"/>
    <s v=""/>
  </r>
  <r>
    <x v="0"/>
    <x v="1"/>
    <x v="1"/>
    <x v="85"/>
    <x v="2"/>
    <x v="0"/>
    <n v="9"/>
    <s v=""/>
  </r>
  <r>
    <x v="0"/>
    <x v="1"/>
    <x v="1"/>
    <x v="86"/>
    <x v="0"/>
    <x v="0"/>
    <n v="1"/>
    <s v=""/>
  </r>
  <r>
    <x v="0"/>
    <x v="1"/>
    <x v="1"/>
    <x v="86"/>
    <x v="2"/>
    <x v="1"/>
    <n v="1"/>
    <s v=""/>
  </r>
  <r>
    <x v="0"/>
    <x v="1"/>
    <x v="1"/>
    <x v="86"/>
    <x v="2"/>
    <x v="0"/>
    <n v="1"/>
    <s v=""/>
  </r>
  <r>
    <x v="0"/>
    <x v="1"/>
    <x v="1"/>
    <x v="86"/>
    <x v="5"/>
    <x v="0"/>
    <n v="1"/>
    <s v=""/>
  </r>
  <r>
    <x v="0"/>
    <x v="1"/>
    <x v="1"/>
    <x v="87"/>
    <x v="1"/>
    <x v="4"/>
    <n v="0"/>
    <m/>
  </r>
  <r>
    <x v="0"/>
    <x v="1"/>
    <x v="1"/>
    <x v="88"/>
    <x v="0"/>
    <x v="0"/>
    <n v="1"/>
    <s v=""/>
  </r>
  <r>
    <x v="0"/>
    <x v="1"/>
    <x v="1"/>
    <x v="88"/>
    <x v="2"/>
    <x v="0"/>
    <n v="2"/>
    <s v=""/>
  </r>
  <r>
    <x v="0"/>
    <x v="1"/>
    <x v="1"/>
    <x v="88"/>
    <x v="5"/>
    <x v="0"/>
    <n v="2"/>
    <s v=""/>
  </r>
  <r>
    <x v="0"/>
    <x v="1"/>
    <x v="1"/>
    <x v="89"/>
    <x v="5"/>
    <x v="0"/>
    <n v="2"/>
    <s v=""/>
  </r>
  <r>
    <x v="0"/>
    <x v="1"/>
    <x v="1"/>
    <x v="90"/>
    <x v="2"/>
    <x v="0"/>
    <n v="3"/>
    <s v=""/>
  </r>
  <r>
    <x v="0"/>
    <x v="1"/>
    <x v="1"/>
    <x v="90"/>
    <x v="5"/>
    <x v="0"/>
    <n v="3"/>
    <s v=""/>
  </r>
  <r>
    <x v="0"/>
    <x v="1"/>
    <x v="1"/>
    <x v="91"/>
    <x v="2"/>
    <x v="0"/>
    <n v="5"/>
    <s v=""/>
  </r>
  <r>
    <x v="0"/>
    <x v="1"/>
    <x v="1"/>
    <x v="91"/>
    <x v="5"/>
    <x v="0"/>
    <n v="1"/>
    <s v=""/>
  </r>
  <r>
    <x v="0"/>
    <x v="1"/>
    <x v="1"/>
    <x v="92"/>
    <x v="3"/>
    <x v="0"/>
    <n v="1"/>
    <s v=""/>
  </r>
  <r>
    <x v="0"/>
    <x v="1"/>
    <x v="1"/>
    <x v="92"/>
    <x v="0"/>
    <x v="0"/>
    <n v="1"/>
    <s v=""/>
  </r>
  <r>
    <x v="0"/>
    <x v="1"/>
    <x v="1"/>
    <x v="92"/>
    <x v="2"/>
    <x v="0"/>
    <n v="3"/>
    <s v=""/>
  </r>
  <r>
    <x v="0"/>
    <x v="1"/>
    <x v="1"/>
    <x v="92"/>
    <x v="5"/>
    <x v="1"/>
    <n v="1"/>
    <s v=""/>
  </r>
  <r>
    <x v="0"/>
    <x v="1"/>
    <x v="1"/>
    <x v="92"/>
    <x v="5"/>
    <x v="0"/>
    <n v="2"/>
    <s v=""/>
  </r>
  <r>
    <x v="0"/>
    <x v="1"/>
    <x v="1"/>
    <x v="93"/>
    <x v="3"/>
    <x v="0"/>
    <n v="1"/>
    <s v=""/>
  </r>
  <r>
    <x v="0"/>
    <x v="1"/>
    <x v="1"/>
    <x v="93"/>
    <x v="2"/>
    <x v="0"/>
    <n v="2"/>
    <s v=""/>
  </r>
  <r>
    <x v="0"/>
    <x v="1"/>
    <x v="1"/>
    <x v="94"/>
    <x v="2"/>
    <x v="0"/>
    <n v="1"/>
    <s v=""/>
  </r>
  <r>
    <x v="0"/>
    <x v="1"/>
    <x v="1"/>
    <x v="94"/>
    <x v="2"/>
    <x v="2"/>
    <n v="2"/>
    <s v=""/>
  </r>
  <r>
    <x v="0"/>
    <x v="1"/>
    <x v="1"/>
    <x v="94"/>
    <x v="5"/>
    <x v="0"/>
    <n v="2"/>
    <s v=""/>
  </r>
  <r>
    <x v="0"/>
    <x v="1"/>
    <x v="1"/>
    <x v="95"/>
    <x v="2"/>
    <x v="1"/>
    <n v="3"/>
    <s v=""/>
  </r>
  <r>
    <x v="0"/>
    <x v="1"/>
    <x v="1"/>
    <x v="96"/>
    <x v="2"/>
    <x v="2"/>
    <n v="1"/>
    <s v=""/>
  </r>
  <r>
    <x v="0"/>
    <x v="1"/>
    <x v="1"/>
    <x v="97"/>
    <x v="3"/>
    <x v="0"/>
    <n v="4"/>
    <s v=""/>
  </r>
  <r>
    <x v="0"/>
    <x v="1"/>
    <x v="1"/>
    <x v="97"/>
    <x v="2"/>
    <x v="0"/>
    <n v="9"/>
    <s v=""/>
  </r>
  <r>
    <x v="0"/>
    <x v="1"/>
    <x v="1"/>
    <x v="97"/>
    <x v="5"/>
    <x v="0"/>
    <n v="1"/>
    <s v=""/>
  </r>
  <r>
    <x v="0"/>
    <x v="1"/>
    <x v="1"/>
    <x v="98"/>
    <x v="4"/>
    <x v="3"/>
    <s v=""/>
    <s v="plaque absente"/>
  </r>
  <r>
    <x v="0"/>
    <x v="1"/>
    <x v="1"/>
    <x v="99"/>
    <x v="0"/>
    <x v="0"/>
    <n v="1"/>
    <s v=""/>
  </r>
  <r>
    <x v="0"/>
    <x v="1"/>
    <x v="1"/>
    <x v="99"/>
    <x v="2"/>
    <x v="0"/>
    <n v="1"/>
    <s v=""/>
  </r>
  <r>
    <x v="0"/>
    <x v="1"/>
    <x v="1"/>
    <x v="99"/>
    <x v="2"/>
    <x v="2"/>
    <n v="1"/>
    <s v=""/>
  </r>
  <r>
    <x v="0"/>
    <x v="1"/>
    <x v="2"/>
    <x v="100"/>
    <x v="3"/>
    <x v="0"/>
    <n v="1"/>
    <s v=""/>
  </r>
  <r>
    <x v="0"/>
    <x v="1"/>
    <x v="2"/>
    <x v="100"/>
    <x v="0"/>
    <x v="0"/>
    <n v="3"/>
    <s v=""/>
  </r>
  <r>
    <x v="0"/>
    <x v="1"/>
    <x v="2"/>
    <x v="100"/>
    <x v="2"/>
    <x v="0"/>
    <n v="1"/>
    <s v=""/>
  </r>
  <r>
    <x v="0"/>
    <x v="1"/>
    <x v="2"/>
    <x v="100"/>
    <x v="5"/>
    <x v="0"/>
    <n v="2"/>
    <s v=""/>
  </r>
  <r>
    <x v="0"/>
    <x v="1"/>
    <x v="2"/>
    <x v="101"/>
    <x v="1"/>
    <x v="4"/>
    <n v="0"/>
    <m/>
  </r>
  <r>
    <x v="0"/>
    <x v="1"/>
    <x v="2"/>
    <x v="102"/>
    <x v="5"/>
    <x v="1"/>
    <n v="2"/>
    <s v=""/>
  </r>
  <r>
    <x v="0"/>
    <x v="1"/>
    <x v="2"/>
    <x v="103"/>
    <x v="2"/>
    <x v="0"/>
    <n v="3"/>
    <s v=""/>
  </r>
  <r>
    <x v="0"/>
    <x v="1"/>
    <x v="2"/>
    <x v="104"/>
    <x v="2"/>
    <x v="0"/>
    <n v="3"/>
    <s v=""/>
  </r>
  <r>
    <x v="0"/>
    <x v="1"/>
    <x v="2"/>
    <x v="105"/>
    <x v="0"/>
    <x v="2"/>
    <n v="1"/>
    <s v=""/>
  </r>
  <r>
    <x v="0"/>
    <x v="1"/>
    <x v="2"/>
    <x v="106"/>
    <x v="2"/>
    <x v="0"/>
    <n v="2"/>
    <s v=""/>
  </r>
  <r>
    <x v="0"/>
    <x v="1"/>
    <x v="2"/>
    <x v="106"/>
    <x v="5"/>
    <x v="0"/>
    <n v="1"/>
    <s v=""/>
  </r>
  <r>
    <x v="0"/>
    <x v="1"/>
    <x v="2"/>
    <x v="107"/>
    <x v="2"/>
    <x v="0"/>
    <n v="5"/>
    <s v=""/>
  </r>
  <r>
    <x v="0"/>
    <x v="1"/>
    <x v="2"/>
    <x v="108"/>
    <x v="2"/>
    <x v="1"/>
    <n v="2"/>
    <s v=""/>
  </r>
  <r>
    <x v="0"/>
    <x v="1"/>
    <x v="2"/>
    <x v="108"/>
    <x v="2"/>
    <x v="0"/>
    <n v="8"/>
    <s v=""/>
  </r>
  <r>
    <x v="0"/>
    <x v="1"/>
    <x v="2"/>
    <x v="109"/>
    <x v="3"/>
    <x v="0"/>
    <n v="1"/>
    <s v=""/>
  </r>
  <r>
    <x v="0"/>
    <x v="1"/>
    <x v="2"/>
    <x v="109"/>
    <x v="2"/>
    <x v="0"/>
    <n v="5"/>
    <s v=""/>
  </r>
  <r>
    <x v="0"/>
    <x v="1"/>
    <x v="2"/>
    <x v="109"/>
    <x v="5"/>
    <x v="0"/>
    <n v="1"/>
    <s v=""/>
  </r>
  <r>
    <x v="0"/>
    <x v="1"/>
    <x v="2"/>
    <x v="110"/>
    <x v="2"/>
    <x v="0"/>
    <n v="5"/>
    <s v=""/>
  </r>
  <r>
    <x v="0"/>
    <x v="1"/>
    <x v="2"/>
    <x v="110"/>
    <x v="5"/>
    <x v="0"/>
    <n v="1"/>
    <s v=""/>
  </r>
  <r>
    <x v="0"/>
    <x v="1"/>
    <x v="2"/>
    <x v="111"/>
    <x v="2"/>
    <x v="1"/>
    <n v="1"/>
    <s v=""/>
  </r>
  <r>
    <x v="0"/>
    <x v="1"/>
    <x v="2"/>
    <x v="111"/>
    <x v="2"/>
    <x v="2"/>
    <n v="1"/>
    <s v=""/>
  </r>
  <r>
    <x v="0"/>
    <x v="1"/>
    <x v="2"/>
    <x v="111"/>
    <x v="5"/>
    <x v="1"/>
    <n v="1"/>
    <s v=""/>
  </r>
  <r>
    <x v="0"/>
    <x v="1"/>
    <x v="2"/>
    <x v="112"/>
    <x v="3"/>
    <x v="1"/>
    <n v="1"/>
    <s v=""/>
  </r>
  <r>
    <x v="0"/>
    <x v="1"/>
    <x v="2"/>
    <x v="112"/>
    <x v="0"/>
    <x v="1"/>
    <n v="1"/>
    <s v=""/>
  </r>
  <r>
    <x v="0"/>
    <x v="1"/>
    <x v="2"/>
    <x v="112"/>
    <x v="2"/>
    <x v="1"/>
    <n v="2"/>
    <s v=""/>
  </r>
  <r>
    <x v="0"/>
    <x v="1"/>
    <x v="2"/>
    <x v="113"/>
    <x v="3"/>
    <x v="1"/>
    <n v="1"/>
    <s v=""/>
  </r>
  <r>
    <x v="0"/>
    <x v="1"/>
    <x v="2"/>
    <x v="113"/>
    <x v="0"/>
    <x v="2"/>
    <n v="1"/>
    <s v=""/>
  </r>
  <r>
    <x v="0"/>
    <x v="1"/>
    <x v="2"/>
    <x v="113"/>
    <x v="2"/>
    <x v="1"/>
    <n v="1"/>
    <s v=""/>
  </r>
  <r>
    <x v="0"/>
    <x v="1"/>
    <x v="2"/>
    <x v="113"/>
    <x v="2"/>
    <x v="0"/>
    <n v="2"/>
    <s v=""/>
  </r>
  <r>
    <x v="0"/>
    <x v="1"/>
    <x v="2"/>
    <x v="114"/>
    <x v="3"/>
    <x v="0"/>
    <n v="1"/>
    <s v=""/>
  </r>
  <r>
    <x v="0"/>
    <x v="1"/>
    <x v="2"/>
    <x v="114"/>
    <x v="2"/>
    <x v="0"/>
    <n v="2"/>
    <s v=""/>
  </r>
  <r>
    <x v="0"/>
    <x v="1"/>
    <x v="2"/>
    <x v="114"/>
    <x v="5"/>
    <x v="0"/>
    <n v="1"/>
    <s v=""/>
  </r>
  <r>
    <x v="0"/>
    <x v="1"/>
    <x v="2"/>
    <x v="115"/>
    <x v="2"/>
    <x v="0"/>
    <n v="2"/>
    <s v=""/>
  </r>
  <r>
    <x v="0"/>
    <x v="1"/>
    <x v="2"/>
    <x v="116"/>
    <x v="2"/>
    <x v="0"/>
    <n v="1"/>
    <s v=""/>
  </r>
  <r>
    <x v="0"/>
    <x v="1"/>
    <x v="2"/>
    <x v="116"/>
    <x v="5"/>
    <x v="0"/>
    <n v="1"/>
    <s v=""/>
  </r>
  <r>
    <x v="0"/>
    <x v="1"/>
    <x v="2"/>
    <x v="117"/>
    <x v="2"/>
    <x v="1"/>
    <n v="3"/>
    <s v=""/>
  </r>
  <r>
    <x v="0"/>
    <x v="1"/>
    <x v="2"/>
    <x v="117"/>
    <x v="2"/>
    <x v="0"/>
    <n v="5"/>
    <s v=""/>
  </r>
  <r>
    <x v="0"/>
    <x v="1"/>
    <x v="2"/>
    <x v="117"/>
    <x v="5"/>
    <x v="1"/>
    <n v="2"/>
    <s v=""/>
  </r>
  <r>
    <x v="0"/>
    <x v="1"/>
    <x v="2"/>
    <x v="118"/>
    <x v="2"/>
    <x v="1"/>
    <n v="3"/>
    <s v=""/>
  </r>
  <r>
    <x v="0"/>
    <x v="1"/>
    <x v="2"/>
    <x v="118"/>
    <x v="2"/>
    <x v="0"/>
    <n v="1"/>
    <s v=""/>
  </r>
  <r>
    <x v="0"/>
    <x v="1"/>
    <x v="2"/>
    <x v="118"/>
    <x v="5"/>
    <x v="2"/>
    <n v="1"/>
    <s v=""/>
  </r>
  <r>
    <x v="0"/>
    <x v="1"/>
    <x v="2"/>
    <x v="119"/>
    <x v="0"/>
    <x v="1"/>
    <n v="1"/>
    <s v=""/>
  </r>
  <r>
    <x v="0"/>
    <x v="1"/>
    <x v="2"/>
    <x v="119"/>
    <x v="2"/>
    <x v="1"/>
    <n v="3"/>
    <s v=""/>
  </r>
  <r>
    <x v="0"/>
    <x v="1"/>
    <x v="2"/>
    <x v="119"/>
    <x v="2"/>
    <x v="0"/>
    <n v="6"/>
    <s v=""/>
  </r>
  <r>
    <x v="0"/>
    <x v="1"/>
    <x v="2"/>
    <x v="119"/>
    <x v="2"/>
    <x v="2"/>
    <n v="2"/>
    <s v=""/>
  </r>
  <r>
    <x v="0"/>
    <x v="2"/>
    <x v="1"/>
    <x v="120"/>
    <x v="0"/>
    <x v="2"/>
    <n v="1"/>
    <s v=""/>
  </r>
  <r>
    <x v="0"/>
    <x v="2"/>
    <x v="0"/>
    <x v="120"/>
    <x v="2"/>
    <x v="0"/>
    <n v="1"/>
    <s v=""/>
  </r>
  <r>
    <x v="0"/>
    <x v="2"/>
    <x v="0"/>
    <x v="120"/>
    <x v="5"/>
    <x v="2"/>
    <n v="1"/>
    <s v=""/>
  </r>
  <r>
    <x v="0"/>
    <x v="2"/>
    <x v="0"/>
    <x v="121"/>
    <x v="1"/>
    <x v="4"/>
    <n v="0"/>
    <m/>
  </r>
  <r>
    <x v="0"/>
    <x v="2"/>
    <x v="0"/>
    <x v="122"/>
    <x v="1"/>
    <x v="4"/>
    <n v="0"/>
    <m/>
  </r>
  <r>
    <x v="0"/>
    <x v="2"/>
    <x v="0"/>
    <x v="123"/>
    <x v="1"/>
    <x v="4"/>
    <n v="0"/>
    <m/>
  </r>
  <r>
    <x v="0"/>
    <x v="2"/>
    <x v="0"/>
    <x v="124"/>
    <x v="2"/>
    <x v="0"/>
    <n v="1"/>
    <s v=""/>
  </r>
  <r>
    <x v="0"/>
    <x v="2"/>
    <x v="0"/>
    <x v="125"/>
    <x v="2"/>
    <x v="2"/>
    <n v="1"/>
    <s v=""/>
  </r>
  <r>
    <x v="0"/>
    <x v="2"/>
    <x v="0"/>
    <x v="126"/>
    <x v="2"/>
    <x v="1"/>
    <n v="2"/>
    <s v=""/>
  </r>
  <r>
    <x v="0"/>
    <x v="2"/>
    <x v="0"/>
    <x v="126"/>
    <x v="2"/>
    <x v="0"/>
    <n v="2"/>
    <s v=""/>
  </r>
  <r>
    <x v="0"/>
    <x v="2"/>
    <x v="0"/>
    <x v="126"/>
    <x v="5"/>
    <x v="1"/>
    <n v="2"/>
    <s v=""/>
  </r>
  <r>
    <x v="0"/>
    <x v="2"/>
    <x v="0"/>
    <x v="127"/>
    <x v="1"/>
    <x v="4"/>
    <n v="0"/>
    <m/>
  </r>
  <r>
    <x v="0"/>
    <x v="2"/>
    <x v="0"/>
    <x v="128"/>
    <x v="1"/>
    <x v="4"/>
    <n v="0"/>
    <m/>
  </r>
  <r>
    <x v="0"/>
    <x v="2"/>
    <x v="0"/>
    <x v="129"/>
    <x v="2"/>
    <x v="0"/>
    <n v="3"/>
    <s v=""/>
  </r>
  <r>
    <x v="0"/>
    <x v="2"/>
    <x v="0"/>
    <x v="129"/>
    <x v="5"/>
    <x v="0"/>
    <n v="2"/>
    <s v=""/>
  </r>
  <r>
    <x v="0"/>
    <x v="2"/>
    <x v="0"/>
    <x v="130"/>
    <x v="0"/>
    <x v="0"/>
    <n v="1"/>
    <s v=""/>
  </r>
  <r>
    <x v="0"/>
    <x v="2"/>
    <x v="0"/>
    <x v="131"/>
    <x v="2"/>
    <x v="0"/>
    <n v="3"/>
    <s v=""/>
  </r>
  <r>
    <x v="0"/>
    <x v="2"/>
    <x v="0"/>
    <x v="131"/>
    <x v="5"/>
    <x v="1"/>
    <n v="1"/>
    <s v=""/>
  </r>
  <r>
    <x v="0"/>
    <x v="2"/>
    <x v="0"/>
    <x v="131"/>
    <x v="5"/>
    <x v="0"/>
    <n v="1"/>
    <s v=""/>
  </r>
  <r>
    <x v="0"/>
    <x v="2"/>
    <x v="0"/>
    <x v="132"/>
    <x v="2"/>
    <x v="0"/>
    <n v="2"/>
    <s v=""/>
  </r>
  <r>
    <x v="0"/>
    <x v="2"/>
    <x v="0"/>
    <x v="132"/>
    <x v="5"/>
    <x v="0"/>
    <n v="1"/>
    <s v=""/>
  </r>
  <r>
    <x v="0"/>
    <x v="2"/>
    <x v="0"/>
    <x v="133"/>
    <x v="3"/>
    <x v="0"/>
    <n v="1"/>
    <s v=""/>
  </r>
  <r>
    <x v="0"/>
    <x v="2"/>
    <x v="0"/>
    <x v="133"/>
    <x v="2"/>
    <x v="0"/>
    <n v="15"/>
    <s v=""/>
  </r>
  <r>
    <x v="0"/>
    <x v="2"/>
    <x v="0"/>
    <x v="134"/>
    <x v="2"/>
    <x v="1"/>
    <n v="1"/>
    <s v=""/>
  </r>
  <r>
    <x v="0"/>
    <x v="2"/>
    <x v="0"/>
    <x v="134"/>
    <x v="2"/>
    <x v="0"/>
    <n v="1"/>
    <s v=""/>
  </r>
  <r>
    <x v="0"/>
    <x v="2"/>
    <x v="0"/>
    <x v="134"/>
    <x v="2"/>
    <x v="2"/>
    <n v="2"/>
    <s v=""/>
  </r>
  <r>
    <x v="0"/>
    <x v="2"/>
    <x v="0"/>
    <x v="135"/>
    <x v="0"/>
    <x v="2"/>
    <n v="1"/>
    <s v=""/>
  </r>
  <r>
    <x v="0"/>
    <x v="2"/>
    <x v="0"/>
    <x v="135"/>
    <x v="2"/>
    <x v="1"/>
    <n v="1"/>
    <s v=""/>
  </r>
  <r>
    <x v="0"/>
    <x v="2"/>
    <x v="0"/>
    <x v="136"/>
    <x v="3"/>
    <x v="0"/>
    <n v="3"/>
    <s v=""/>
  </r>
  <r>
    <x v="0"/>
    <x v="2"/>
    <x v="0"/>
    <x v="136"/>
    <x v="2"/>
    <x v="0"/>
    <n v="11"/>
    <s v=""/>
  </r>
  <r>
    <x v="0"/>
    <x v="2"/>
    <x v="0"/>
    <x v="136"/>
    <x v="5"/>
    <x v="0"/>
    <n v="1"/>
    <s v=""/>
  </r>
  <r>
    <x v="0"/>
    <x v="2"/>
    <x v="0"/>
    <x v="137"/>
    <x v="1"/>
    <x v="4"/>
    <n v="0"/>
    <m/>
  </r>
  <r>
    <x v="0"/>
    <x v="2"/>
    <x v="0"/>
    <x v="138"/>
    <x v="1"/>
    <x v="4"/>
    <n v="0"/>
    <m/>
  </r>
  <r>
    <x v="0"/>
    <x v="2"/>
    <x v="0"/>
    <x v="139"/>
    <x v="1"/>
    <x v="4"/>
    <n v="0"/>
    <m/>
  </r>
  <r>
    <x v="0"/>
    <x v="2"/>
    <x v="1"/>
    <x v="140"/>
    <x v="2"/>
    <x v="0"/>
    <n v="1"/>
    <s v=""/>
  </r>
  <r>
    <x v="0"/>
    <x v="2"/>
    <x v="1"/>
    <x v="141"/>
    <x v="0"/>
    <x v="2"/>
    <n v="1"/>
    <s v=""/>
  </r>
  <r>
    <x v="0"/>
    <x v="2"/>
    <x v="1"/>
    <x v="141"/>
    <x v="2"/>
    <x v="1"/>
    <n v="1"/>
    <s v=""/>
  </r>
  <r>
    <x v="0"/>
    <x v="2"/>
    <x v="1"/>
    <x v="142"/>
    <x v="2"/>
    <x v="0"/>
    <n v="4"/>
    <s v=""/>
  </r>
  <r>
    <x v="0"/>
    <x v="2"/>
    <x v="1"/>
    <x v="143"/>
    <x v="2"/>
    <x v="0"/>
    <n v="2"/>
    <s v=""/>
  </r>
  <r>
    <x v="0"/>
    <x v="2"/>
    <x v="1"/>
    <x v="143"/>
    <x v="5"/>
    <x v="0"/>
    <n v="2"/>
    <s v=""/>
  </r>
  <r>
    <x v="0"/>
    <x v="2"/>
    <x v="1"/>
    <x v="144"/>
    <x v="2"/>
    <x v="2"/>
    <n v="1"/>
    <s v=""/>
  </r>
  <r>
    <x v="0"/>
    <x v="2"/>
    <x v="1"/>
    <x v="145"/>
    <x v="0"/>
    <x v="1"/>
    <n v="1"/>
    <s v=""/>
  </r>
  <r>
    <x v="0"/>
    <x v="2"/>
    <x v="1"/>
    <x v="145"/>
    <x v="2"/>
    <x v="0"/>
    <n v="2"/>
    <s v=""/>
  </r>
  <r>
    <x v="0"/>
    <x v="2"/>
    <x v="1"/>
    <x v="146"/>
    <x v="0"/>
    <x v="2"/>
    <n v="1"/>
    <s v=""/>
  </r>
  <r>
    <x v="0"/>
    <x v="2"/>
    <x v="1"/>
    <x v="146"/>
    <x v="5"/>
    <x v="0"/>
    <n v="1"/>
    <s v=""/>
  </r>
  <r>
    <x v="0"/>
    <x v="2"/>
    <x v="1"/>
    <x v="147"/>
    <x v="2"/>
    <x v="0"/>
    <n v="2"/>
    <s v=""/>
  </r>
  <r>
    <x v="0"/>
    <x v="2"/>
    <x v="1"/>
    <x v="148"/>
    <x v="1"/>
    <x v="4"/>
    <n v="0"/>
    <m/>
  </r>
  <r>
    <x v="0"/>
    <x v="2"/>
    <x v="1"/>
    <x v="149"/>
    <x v="0"/>
    <x v="2"/>
    <n v="1"/>
    <s v=""/>
  </r>
  <r>
    <x v="0"/>
    <x v="2"/>
    <x v="1"/>
    <x v="150"/>
    <x v="0"/>
    <x v="0"/>
    <n v="1"/>
    <s v=""/>
  </r>
  <r>
    <x v="0"/>
    <x v="2"/>
    <x v="1"/>
    <x v="150"/>
    <x v="2"/>
    <x v="0"/>
    <n v="1"/>
    <s v=""/>
  </r>
  <r>
    <x v="0"/>
    <x v="2"/>
    <x v="1"/>
    <x v="150"/>
    <x v="5"/>
    <x v="0"/>
    <n v="1"/>
    <s v=""/>
  </r>
  <r>
    <x v="0"/>
    <x v="2"/>
    <x v="1"/>
    <x v="151"/>
    <x v="1"/>
    <x v="4"/>
    <n v="0"/>
    <m/>
  </r>
  <r>
    <x v="0"/>
    <x v="2"/>
    <x v="1"/>
    <x v="152"/>
    <x v="1"/>
    <x v="4"/>
    <n v="0"/>
    <m/>
  </r>
  <r>
    <x v="0"/>
    <x v="2"/>
    <x v="1"/>
    <x v="153"/>
    <x v="2"/>
    <x v="1"/>
    <n v="3"/>
    <s v=""/>
  </r>
  <r>
    <x v="0"/>
    <x v="2"/>
    <x v="1"/>
    <x v="154"/>
    <x v="2"/>
    <x v="2"/>
    <n v="2"/>
    <s v=""/>
  </r>
  <r>
    <x v="0"/>
    <x v="2"/>
    <x v="1"/>
    <x v="155"/>
    <x v="2"/>
    <x v="0"/>
    <n v="1"/>
    <s v=""/>
  </r>
  <r>
    <x v="0"/>
    <x v="2"/>
    <x v="1"/>
    <x v="156"/>
    <x v="2"/>
    <x v="0"/>
    <n v="1"/>
    <s v=""/>
  </r>
  <r>
    <x v="0"/>
    <x v="2"/>
    <x v="1"/>
    <x v="156"/>
    <x v="2"/>
    <x v="2"/>
    <n v="1"/>
    <s v=""/>
  </r>
  <r>
    <x v="0"/>
    <x v="2"/>
    <x v="1"/>
    <x v="157"/>
    <x v="1"/>
    <x v="4"/>
    <n v="0"/>
    <m/>
  </r>
  <r>
    <x v="0"/>
    <x v="2"/>
    <x v="1"/>
    <x v="158"/>
    <x v="0"/>
    <x v="2"/>
    <n v="2"/>
    <s v=""/>
  </r>
  <r>
    <x v="0"/>
    <x v="2"/>
    <x v="1"/>
    <x v="158"/>
    <x v="2"/>
    <x v="0"/>
    <n v="1"/>
    <s v=""/>
  </r>
  <r>
    <x v="0"/>
    <x v="2"/>
    <x v="1"/>
    <x v="159"/>
    <x v="0"/>
    <x v="2"/>
    <n v="1"/>
    <s v=""/>
  </r>
  <r>
    <x v="0"/>
    <x v="2"/>
    <x v="1"/>
    <x v="159"/>
    <x v="5"/>
    <x v="0"/>
    <n v="1"/>
    <s v=""/>
  </r>
  <r>
    <x v="0"/>
    <x v="2"/>
    <x v="2"/>
    <x v="160"/>
    <x v="2"/>
    <x v="2"/>
    <n v="1"/>
    <s v=""/>
  </r>
  <r>
    <x v="0"/>
    <x v="2"/>
    <x v="2"/>
    <x v="161"/>
    <x v="2"/>
    <x v="1"/>
    <n v="2"/>
    <s v=""/>
  </r>
  <r>
    <x v="0"/>
    <x v="2"/>
    <x v="2"/>
    <x v="161"/>
    <x v="5"/>
    <x v="1"/>
    <n v="1"/>
    <s v=""/>
  </r>
  <r>
    <x v="0"/>
    <x v="2"/>
    <x v="2"/>
    <x v="161"/>
    <x v="5"/>
    <x v="0"/>
    <n v="1"/>
    <s v=""/>
  </r>
  <r>
    <x v="0"/>
    <x v="2"/>
    <x v="2"/>
    <x v="161"/>
    <x v="5"/>
    <x v="2"/>
    <n v="1"/>
    <s v=""/>
  </r>
  <r>
    <x v="0"/>
    <x v="2"/>
    <x v="2"/>
    <x v="162"/>
    <x v="1"/>
    <x v="4"/>
    <n v="0"/>
    <m/>
  </r>
  <r>
    <x v="0"/>
    <x v="2"/>
    <x v="2"/>
    <x v="163"/>
    <x v="2"/>
    <x v="2"/>
    <n v="1"/>
    <s v=""/>
  </r>
  <r>
    <x v="0"/>
    <x v="2"/>
    <x v="2"/>
    <x v="164"/>
    <x v="3"/>
    <x v="1"/>
    <n v="1"/>
    <s v=""/>
  </r>
  <r>
    <x v="0"/>
    <x v="2"/>
    <x v="2"/>
    <x v="164"/>
    <x v="0"/>
    <x v="1"/>
    <n v="2"/>
    <s v=""/>
  </r>
  <r>
    <x v="0"/>
    <x v="2"/>
    <x v="2"/>
    <x v="164"/>
    <x v="0"/>
    <x v="2"/>
    <n v="1"/>
    <s v=""/>
  </r>
  <r>
    <x v="0"/>
    <x v="2"/>
    <x v="2"/>
    <x v="164"/>
    <x v="2"/>
    <x v="1"/>
    <n v="1"/>
    <s v=""/>
  </r>
  <r>
    <x v="0"/>
    <x v="2"/>
    <x v="2"/>
    <x v="164"/>
    <x v="2"/>
    <x v="0"/>
    <n v="3"/>
    <s v=""/>
  </r>
  <r>
    <x v="0"/>
    <x v="2"/>
    <x v="2"/>
    <x v="165"/>
    <x v="0"/>
    <x v="2"/>
    <n v="1"/>
    <s v=""/>
  </r>
  <r>
    <x v="0"/>
    <x v="2"/>
    <x v="2"/>
    <x v="165"/>
    <x v="2"/>
    <x v="1"/>
    <n v="2"/>
    <s v=""/>
  </r>
  <r>
    <x v="0"/>
    <x v="2"/>
    <x v="2"/>
    <x v="165"/>
    <x v="2"/>
    <x v="0"/>
    <n v="1"/>
    <s v=""/>
  </r>
  <r>
    <x v="0"/>
    <x v="2"/>
    <x v="2"/>
    <x v="165"/>
    <x v="2"/>
    <x v="2"/>
    <n v="4"/>
    <s v=""/>
  </r>
  <r>
    <x v="0"/>
    <x v="2"/>
    <x v="2"/>
    <x v="166"/>
    <x v="2"/>
    <x v="1"/>
    <n v="1"/>
    <s v=""/>
  </r>
  <r>
    <x v="0"/>
    <x v="2"/>
    <x v="2"/>
    <x v="166"/>
    <x v="2"/>
    <x v="0"/>
    <n v="1"/>
    <s v=""/>
  </r>
  <r>
    <x v="0"/>
    <x v="2"/>
    <x v="2"/>
    <x v="167"/>
    <x v="1"/>
    <x v="4"/>
    <n v="0"/>
    <m/>
  </r>
  <r>
    <x v="0"/>
    <x v="2"/>
    <x v="2"/>
    <x v="168"/>
    <x v="1"/>
    <x v="4"/>
    <n v="0"/>
    <m/>
  </r>
  <r>
    <x v="0"/>
    <x v="2"/>
    <x v="2"/>
    <x v="169"/>
    <x v="1"/>
    <x v="4"/>
    <n v="0"/>
    <m/>
  </r>
  <r>
    <x v="0"/>
    <x v="2"/>
    <x v="2"/>
    <x v="170"/>
    <x v="0"/>
    <x v="1"/>
    <n v="1"/>
    <s v=""/>
  </r>
  <r>
    <x v="0"/>
    <x v="2"/>
    <x v="2"/>
    <x v="170"/>
    <x v="2"/>
    <x v="1"/>
    <n v="2"/>
    <s v=""/>
  </r>
  <r>
    <x v="0"/>
    <x v="2"/>
    <x v="2"/>
    <x v="171"/>
    <x v="2"/>
    <x v="0"/>
    <n v="5"/>
    <s v=""/>
  </r>
  <r>
    <x v="0"/>
    <x v="2"/>
    <x v="2"/>
    <x v="171"/>
    <x v="2"/>
    <x v="2"/>
    <n v="1"/>
    <s v=""/>
  </r>
  <r>
    <x v="0"/>
    <x v="2"/>
    <x v="2"/>
    <x v="171"/>
    <x v="5"/>
    <x v="2"/>
    <n v="1"/>
    <s v=""/>
  </r>
  <r>
    <x v="0"/>
    <x v="2"/>
    <x v="2"/>
    <x v="172"/>
    <x v="1"/>
    <x v="4"/>
    <n v="0"/>
    <m/>
  </r>
  <r>
    <x v="0"/>
    <x v="2"/>
    <x v="2"/>
    <x v="173"/>
    <x v="0"/>
    <x v="2"/>
    <n v="1"/>
    <s v=""/>
  </r>
  <r>
    <x v="0"/>
    <x v="2"/>
    <x v="2"/>
    <x v="173"/>
    <x v="2"/>
    <x v="0"/>
    <n v="2"/>
    <s v=""/>
  </r>
  <r>
    <x v="0"/>
    <x v="2"/>
    <x v="2"/>
    <x v="174"/>
    <x v="0"/>
    <x v="2"/>
    <n v="1"/>
    <s v=""/>
  </r>
  <r>
    <x v="0"/>
    <x v="2"/>
    <x v="2"/>
    <x v="174"/>
    <x v="2"/>
    <x v="1"/>
    <n v="2"/>
    <s v=""/>
  </r>
  <r>
    <x v="0"/>
    <x v="2"/>
    <x v="2"/>
    <x v="174"/>
    <x v="2"/>
    <x v="0"/>
    <n v="6"/>
    <s v=""/>
  </r>
  <r>
    <x v="0"/>
    <x v="2"/>
    <x v="2"/>
    <x v="175"/>
    <x v="0"/>
    <x v="0"/>
    <n v="1"/>
    <s v=""/>
  </r>
  <r>
    <x v="0"/>
    <x v="2"/>
    <x v="2"/>
    <x v="175"/>
    <x v="2"/>
    <x v="1"/>
    <n v="1"/>
    <s v=""/>
  </r>
  <r>
    <x v="0"/>
    <x v="2"/>
    <x v="2"/>
    <x v="175"/>
    <x v="2"/>
    <x v="0"/>
    <n v="1"/>
    <s v=""/>
  </r>
  <r>
    <x v="0"/>
    <x v="2"/>
    <x v="2"/>
    <x v="176"/>
    <x v="0"/>
    <x v="2"/>
    <n v="2"/>
    <s v=""/>
  </r>
  <r>
    <x v="0"/>
    <x v="2"/>
    <x v="2"/>
    <x v="176"/>
    <x v="2"/>
    <x v="0"/>
    <n v="1"/>
    <s v=""/>
  </r>
  <r>
    <x v="0"/>
    <x v="2"/>
    <x v="2"/>
    <x v="176"/>
    <x v="2"/>
    <x v="2"/>
    <n v="1"/>
    <s v=""/>
  </r>
  <r>
    <x v="0"/>
    <x v="2"/>
    <x v="2"/>
    <x v="177"/>
    <x v="2"/>
    <x v="1"/>
    <n v="1"/>
    <s v=""/>
  </r>
  <r>
    <x v="0"/>
    <x v="2"/>
    <x v="2"/>
    <x v="177"/>
    <x v="2"/>
    <x v="0"/>
    <n v="2"/>
    <s v=""/>
  </r>
  <r>
    <x v="0"/>
    <x v="2"/>
    <x v="2"/>
    <x v="178"/>
    <x v="2"/>
    <x v="1"/>
    <n v="1"/>
    <s v=""/>
  </r>
  <r>
    <x v="0"/>
    <x v="2"/>
    <x v="2"/>
    <x v="178"/>
    <x v="2"/>
    <x v="0"/>
    <n v="1"/>
    <s v=""/>
  </r>
  <r>
    <x v="0"/>
    <x v="2"/>
    <x v="2"/>
    <x v="179"/>
    <x v="0"/>
    <x v="2"/>
    <n v="1"/>
    <s v=""/>
  </r>
  <r>
    <x v="0"/>
    <x v="2"/>
    <x v="2"/>
    <x v="179"/>
    <x v="2"/>
    <x v="0"/>
    <n v="2"/>
    <s v=""/>
  </r>
  <r>
    <x v="0"/>
    <x v="2"/>
    <x v="2"/>
    <x v="179"/>
    <x v="2"/>
    <x v="2"/>
    <n v="5"/>
    <s v=""/>
  </r>
  <r>
    <x v="2"/>
    <x v="0"/>
    <x v="0"/>
    <x v="0"/>
    <x v="1"/>
    <x v="4"/>
    <n v="0"/>
    <m/>
  </r>
  <r>
    <x v="2"/>
    <x v="0"/>
    <x v="0"/>
    <x v="16"/>
    <x v="3"/>
    <x v="0"/>
    <n v="5"/>
    <s v=""/>
  </r>
  <r>
    <x v="2"/>
    <x v="0"/>
    <x v="0"/>
    <x v="16"/>
    <x v="5"/>
    <x v="0"/>
    <n v="1"/>
    <s v=""/>
  </r>
  <r>
    <x v="2"/>
    <x v="0"/>
    <x v="0"/>
    <x v="15"/>
    <x v="3"/>
    <x v="0"/>
    <n v="1"/>
    <s v=""/>
  </r>
  <r>
    <x v="2"/>
    <x v="0"/>
    <x v="0"/>
    <x v="17"/>
    <x v="3"/>
    <x v="0"/>
    <n v="3"/>
    <s v=""/>
  </r>
  <r>
    <x v="2"/>
    <x v="0"/>
    <x v="0"/>
    <x v="14"/>
    <x v="3"/>
    <x v="0"/>
    <n v="5"/>
    <s v=""/>
  </r>
  <r>
    <x v="2"/>
    <x v="0"/>
    <x v="0"/>
    <x v="14"/>
    <x v="5"/>
    <x v="0"/>
    <n v="2"/>
    <s v=""/>
  </r>
  <r>
    <x v="2"/>
    <x v="0"/>
    <x v="0"/>
    <x v="18"/>
    <x v="1"/>
    <x v="4"/>
    <n v="0"/>
    <m/>
  </r>
  <r>
    <x v="2"/>
    <x v="0"/>
    <x v="0"/>
    <x v="13"/>
    <x v="3"/>
    <x v="1"/>
    <n v="1"/>
    <s v=""/>
  </r>
  <r>
    <x v="2"/>
    <x v="0"/>
    <x v="0"/>
    <x v="13"/>
    <x v="0"/>
    <x v="0"/>
    <n v="1"/>
    <s v=""/>
  </r>
  <r>
    <x v="2"/>
    <x v="0"/>
    <x v="0"/>
    <x v="19"/>
    <x v="3"/>
    <x v="1"/>
    <n v="2"/>
    <s v=""/>
  </r>
  <r>
    <x v="2"/>
    <x v="0"/>
    <x v="0"/>
    <x v="19"/>
    <x v="3"/>
    <x v="0"/>
    <n v="1"/>
    <s v=""/>
  </r>
  <r>
    <x v="2"/>
    <x v="0"/>
    <x v="0"/>
    <x v="19"/>
    <x v="0"/>
    <x v="1"/>
    <n v="1"/>
    <s v=""/>
  </r>
  <r>
    <x v="2"/>
    <x v="0"/>
    <x v="0"/>
    <x v="19"/>
    <x v="0"/>
    <x v="0"/>
    <n v="1"/>
    <s v=""/>
  </r>
  <r>
    <x v="2"/>
    <x v="0"/>
    <x v="0"/>
    <x v="20"/>
    <x v="3"/>
    <x v="1"/>
    <n v="1"/>
    <s v=""/>
  </r>
  <r>
    <x v="2"/>
    <x v="0"/>
    <x v="0"/>
    <x v="20"/>
    <x v="3"/>
    <x v="0"/>
    <n v="1"/>
    <s v=""/>
  </r>
  <r>
    <x v="2"/>
    <x v="0"/>
    <x v="0"/>
    <x v="12"/>
    <x v="3"/>
    <x v="0"/>
    <n v="4"/>
    <s v=""/>
  </r>
  <r>
    <x v="2"/>
    <x v="0"/>
    <x v="0"/>
    <x v="21"/>
    <x v="4"/>
    <x v="3"/>
    <s v=""/>
    <s v="plaque absente"/>
  </r>
  <r>
    <x v="2"/>
    <x v="0"/>
    <x v="0"/>
    <x v="22"/>
    <x v="3"/>
    <x v="2"/>
    <n v="1"/>
    <s v=""/>
  </r>
  <r>
    <x v="2"/>
    <x v="0"/>
    <x v="0"/>
    <x v="23"/>
    <x v="3"/>
    <x v="1"/>
    <n v="1"/>
    <s v=""/>
  </r>
  <r>
    <x v="2"/>
    <x v="0"/>
    <x v="0"/>
    <x v="23"/>
    <x v="3"/>
    <x v="0"/>
    <n v="1"/>
    <s v=""/>
  </r>
  <r>
    <x v="2"/>
    <x v="0"/>
    <x v="0"/>
    <x v="24"/>
    <x v="0"/>
    <x v="1"/>
    <n v="1"/>
    <s v=""/>
  </r>
  <r>
    <x v="2"/>
    <x v="0"/>
    <x v="0"/>
    <x v="25"/>
    <x v="3"/>
    <x v="1"/>
    <n v="1"/>
    <s v=""/>
  </r>
  <r>
    <x v="2"/>
    <x v="0"/>
    <x v="0"/>
    <x v="26"/>
    <x v="3"/>
    <x v="0"/>
    <n v="2"/>
    <s v=""/>
  </r>
  <r>
    <x v="2"/>
    <x v="0"/>
    <x v="0"/>
    <x v="27"/>
    <x v="3"/>
    <x v="1"/>
    <n v="1"/>
    <s v=""/>
  </r>
  <r>
    <x v="2"/>
    <x v="0"/>
    <x v="0"/>
    <x v="28"/>
    <x v="3"/>
    <x v="0"/>
    <n v="1"/>
    <s v=""/>
  </r>
  <r>
    <x v="2"/>
    <x v="0"/>
    <x v="0"/>
    <x v="28"/>
    <x v="5"/>
    <x v="0"/>
    <n v="1"/>
    <s v=""/>
  </r>
  <r>
    <x v="2"/>
    <x v="0"/>
    <x v="0"/>
    <x v="11"/>
    <x v="3"/>
    <x v="1"/>
    <n v="1"/>
    <s v=""/>
  </r>
  <r>
    <x v="2"/>
    <x v="0"/>
    <x v="0"/>
    <x v="11"/>
    <x v="3"/>
    <x v="0"/>
    <n v="2"/>
    <s v=""/>
  </r>
  <r>
    <x v="2"/>
    <x v="0"/>
    <x v="0"/>
    <x v="29"/>
    <x v="3"/>
    <x v="0"/>
    <n v="2"/>
    <s v=""/>
  </r>
  <r>
    <x v="2"/>
    <x v="0"/>
    <x v="0"/>
    <x v="29"/>
    <x v="5"/>
    <x v="0"/>
    <n v="1"/>
    <s v=""/>
  </r>
  <r>
    <x v="2"/>
    <x v="0"/>
    <x v="1"/>
    <x v="30"/>
    <x v="1"/>
    <x v="4"/>
    <n v="0"/>
    <m/>
  </r>
  <r>
    <x v="2"/>
    <x v="0"/>
    <x v="1"/>
    <x v="31"/>
    <x v="1"/>
    <x v="1"/>
    <n v="1"/>
    <s v=""/>
  </r>
  <r>
    <x v="2"/>
    <x v="0"/>
    <x v="1"/>
    <x v="32"/>
    <x v="1"/>
    <x v="4"/>
    <n v="0"/>
    <m/>
  </r>
  <r>
    <x v="2"/>
    <x v="0"/>
    <x v="1"/>
    <x v="33"/>
    <x v="1"/>
    <x v="4"/>
    <n v="0"/>
    <m/>
  </r>
  <r>
    <x v="2"/>
    <x v="0"/>
    <x v="1"/>
    <x v="10"/>
    <x v="3"/>
    <x v="0"/>
    <n v="3"/>
    <s v=""/>
  </r>
  <r>
    <x v="2"/>
    <x v="0"/>
    <x v="1"/>
    <x v="34"/>
    <x v="1"/>
    <x v="4"/>
    <n v="0"/>
    <m/>
  </r>
  <r>
    <x v="2"/>
    <x v="0"/>
    <x v="1"/>
    <x v="35"/>
    <x v="3"/>
    <x v="0"/>
    <n v="1"/>
    <s v=""/>
  </r>
  <r>
    <x v="2"/>
    <x v="0"/>
    <x v="1"/>
    <x v="36"/>
    <x v="3"/>
    <x v="1"/>
    <n v="1"/>
    <s v=""/>
  </r>
  <r>
    <x v="2"/>
    <x v="0"/>
    <x v="1"/>
    <x v="36"/>
    <x v="5"/>
    <x v="1"/>
    <n v="1"/>
    <s v=""/>
  </r>
  <r>
    <x v="2"/>
    <x v="0"/>
    <x v="1"/>
    <x v="36"/>
    <x v="5"/>
    <x v="0"/>
    <n v="1"/>
    <s v=""/>
  </r>
  <r>
    <x v="2"/>
    <x v="0"/>
    <x v="1"/>
    <x v="37"/>
    <x v="3"/>
    <x v="0"/>
    <n v="1"/>
    <s v=""/>
  </r>
  <r>
    <x v="2"/>
    <x v="0"/>
    <x v="1"/>
    <x v="9"/>
    <x v="4"/>
    <x v="3"/>
    <s v=""/>
    <s v="plaque absente"/>
  </r>
  <r>
    <x v="2"/>
    <x v="0"/>
    <x v="1"/>
    <x v="38"/>
    <x v="1"/>
    <x v="4"/>
    <n v="0"/>
    <m/>
  </r>
  <r>
    <x v="2"/>
    <x v="0"/>
    <x v="1"/>
    <x v="8"/>
    <x v="1"/>
    <x v="4"/>
    <n v="0"/>
    <m/>
  </r>
  <r>
    <x v="2"/>
    <x v="0"/>
    <x v="1"/>
    <x v="39"/>
    <x v="5"/>
    <x v="0"/>
    <n v="1"/>
    <s v=""/>
  </r>
  <r>
    <x v="2"/>
    <x v="0"/>
    <x v="1"/>
    <x v="7"/>
    <x v="0"/>
    <x v="0"/>
    <n v="1"/>
    <s v=""/>
  </r>
  <r>
    <x v="2"/>
    <x v="0"/>
    <x v="1"/>
    <x v="6"/>
    <x v="3"/>
    <x v="0"/>
    <n v="1"/>
    <s v=""/>
  </r>
  <r>
    <x v="2"/>
    <x v="0"/>
    <x v="1"/>
    <x v="40"/>
    <x v="1"/>
    <x v="4"/>
    <n v="0"/>
    <m/>
  </r>
  <r>
    <x v="2"/>
    <x v="0"/>
    <x v="1"/>
    <x v="41"/>
    <x v="5"/>
    <x v="0"/>
    <n v="2"/>
    <s v=""/>
  </r>
  <r>
    <x v="2"/>
    <x v="0"/>
    <x v="1"/>
    <x v="42"/>
    <x v="3"/>
    <x v="1"/>
    <n v="2"/>
    <s v=""/>
  </r>
  <r>
    <x v="2"/>
    <x v="0"/>
    <x v="1"/>
    <x v="5"/>
    <x v="3"/>
    <x v="0"/>
    <n v="1"/>
    <s v=""/>
  </r>
  <r>
    <x v="2"/>
    <x v="0"/>
    <x v="2"/>
    <x v="43"/>
    <x v="1"/>
    <x v="4"/>
    <n v="0"/>
    <m/>
  </r>
  <r>
    <x v="2"/>
    <x v="0"/>
    <x v="2"/>
    <x v="44"/>
    <x v="1"/>
    <x v="4"/>
    <n v="0"/>
    <m/>
  </r>
  <r>
    <x v="2"/>
    <x v="0"/>
    <x v="2"/>
    <x v="45"/>
    <x v="1"/>
    <x v="4"/>
    <n v="0"/>
    <m/>
  </r>
  <r>
    <x v="2"/>
    <x v="0"/>
    <x v="2"/>
    <x v="46"/>
    <x v="1"/>
    <x v="4"/>
    <n v="0"/>
    <m/>
  </r>
  <r>
    <x v="2"/>
    <x v="0"/>
    <x v="2"/>
    <x v="4"/>
    <x v="1"/>
    <x v="4"/>
    <n v="0"/>
    <m/>
  </r>
  <r>
    <x v="2"/>
    <x v="0"/>
    <x v="2"/>
    <x v="47"/>
    <x v="1"/>
    <x v="4"/>
    <n v="0"/>
    <m/>
  </r>
  <r>
    <x v="2"/>
    <x v="0"/>
    <x v="2"/>
    <x v="48"/>
    <x v="3"/>
    <x v="1"/>
    <n v="1"/>
    <s v=""/>
  </r>
  <r>
    <x v="2"/>
    <x v="0"/>
    <x v="2"/>
    <x v="48"/>
    <x v="3"/>
    <x v="0"/>
    <n v="2"/>
    <s v=""/>
  </r>
  <r>
    <x v="2"/>
    <x v="0"/>
    <x v="2"/>
    <x v="49"/>
    <x v="3"/>
    <x v="0"/>
    <n v="1"/>
    <s v=""/>
  </r>
  <r>
    <x v="2"/>
    <x v="0"/>
    <x v="2"/>
    <x v="50"/>
    <x v="1"/>
    <x v="4"/>
    <n v="0"/>
    <m/>
  </r>
  <r>
    <x v="2"/>
    <x v="0"/>
    <x v="2"/>
    <x v="3"/>
    <x v="1"/>
    <x v="4"/>
    <n v="0"/>
    <m/>
  </r>
  <r>
    <x v="2"/>
    <x v="0"/>
    <x v="2"/>
    <x v="51"/>
    <x v="6"/>
    <x v="4"/>
    <m/>
    <s v="plaque absente"/>
  </r>
  <r>
    <x v="2"/>
    <x v="0"/>
    <x v="2"/>
    <x v="2"/>
    <x v="6"/>
    <x v="4"/>
    <n v="0"/>
    <m/>
  </r>
  <r>
    <x v="2"/>
    <x v="0"/>
    <x v="2"/>
    <x v="52"/>
    <x v="3"/>
    <x v="1"/>
    <n v="1"/>
    <s v=""/>
  </r>
  <r>
    <x v="2"/>
    <x v="0"/>
    <x v="2"/>
    <x v="52"/>
    <x v="3"/>
    <x v="0"/>
    <n v="1"/>
    <s v=""/>
  </r>
  <r>
    <x v="2"/>
    <x v="0"/>
    <x v="2"/>
    <x v="53"/>
    <x v="1"/>
    <x v="4"/>
    <n v="0"/>
    <m/>
  </r>
  <r>
    <x v="2"/>
    <x v="0"/>
    <x v="2"/>
    <x v="54"/>
    <x v="1"/>
    <x v="4"/>
    <n v="0"/>
    <m/>
  </r>
  <r>
    <x v="2"/>
    <x v="0"/>
    <x v="2"/>
    <x v="1"/>
    <x v="3"/>
    <x v="0"/>
    <n v="1"/>
    <s v=""/>
  </r>
  <r>
    <x v="2"/>
    <x v="0"/>
    <x v="2"/>
    <x v="55"/>
    <x v="3"/>
    <x v="0"/>
    <n v="1"/>
    <s v=""/>
  </r>
  <r>
    <x v="2"/>
    <x v="0"/>
    <x v="2"/>
    <x v="56"/>
    <x v="1"/>
    <x v="4"/>
    <n v="0"/>
    <m/>
  </r>
  <r>
    <x v="2"/>
    <x v="0"/>
    <x v="2"/>
    <x v="57"/>
    <x v="1"/>
    <x v="4"/>
    <n v="0"/>
    <m/>
  </r>
  <r>
    <x v="2"/>
    <x v="0"/>
    <x v="2"/>
    <x v="58"/>
    <x v="0"/>
    <x v="0"/>
    <n v="1"/>
    <s v=""/>
  </r>
  <r>
    <x v="2"/>
    <x v="0"/>
    <x v="2"/>
    <x v="59"/>
    <x v="1"/>
    <x v="4"/>
    <n v="0"/>
    <m/>
  </r>
  <r>
    <x v="2"/>
    <x v="1"/>
    <x v="0"/>
    <x v="60"/>
    <x v="1"/>
    <x v="4"/>
    <n v="0"/>
    <m/>
  </r>
  <r>
    <x v="2"/>
    <x v="1"/>
    <x v="0"/>
    <x v="61"/>
    <x v="1"/>
    <x v="4"/>
    <n v="0"/>
    <m/>
  </r>
  <r>
    <x v="2"/>
    <x v="1"/>
    <x v="0"/>
    <x v="62"/>
    <x v="1"/>
    <x v="4"/>
    <n v="0"/>
    <m/>
  </r>
  <r>
    <x v="2"/>
    <x v="1"/>
    <x v="0"/>
    <x v="63"/>
    <x v="1"/>
    <x v="4"/>
    <n v="0"/>
    <m/>
  </r>
  <r>
    <x v="2"/>
    <x v="1"/>
    <x v="0"/>
    <x v="64"/>
    <x v="1"/>
    <x v="4"/>
    <n v="0"/>
    <m/>
  </r>
  <r>
    <x v="2"/>
    <x v="1"/>
    <x v="0"/>
    <x v="65"/>
    <x v="1"/>
    <x v="4"/>
    <n v="0"/>
    <m/>
  </r>
  <r>
    <x v="2"/>
    <x v="1"/>
    <x v="0"/>
    <x v="66"/>
    <x v="3"/>
    <x v="1"/>
    <n v="1"/>
    <s v=""/>
  </r>
  <r>
    <x v="2"/>
    <x v="1"/>
    <x v="0"/>
    <x v="67"/>
    <x v="3"/>
    <x v="0"/>
    <n v="1"/>
    <s v=""/>
  </r>
  <r>
    <x v="2"/>
    <x v="1"/>
    <x v="0"/>
    <x v="67"/>
    <x v="0"/>
    <x v="0"/>
    <n v="1"/>
    <s v=""/>
  </r>
  <r>
    <x v="2"/>
    <x v="1"/>
    <x v="0"/>
    <x v="68"/>
    <x v="1"/>
    <x v="4"/>
    <n v="0"/>
    <m/>
  </r>
  <r>
    <x v="2"/>
    <x v="1"/>
    <x v="0"/>
    <x v="69"/>
    <x v="1"/>
    <x v="4"/>
    <n v="0"/>
    <m/>
  </r>
  <r>
    <x v="2"/>
    <x v="1"/>
    <x v="0"/>
    <x v="70"/>
    <x v="4"/>
    <x v="3"/>
    <s v=""/>
    <s v="plaque absente"/>
  </r>
  <r>
    <x v="2"/>
    <x v="1"/>
    <x v="0"/>
    <x v="71"/>
    <x v="1"/>
    <x v="4"/>
    <n v="0"/>
    <m/>
  </r>
  <r>
    <x v="2"/>
    <x v="1"/>
    <x v="0"/>
    <x v="72"/>
    <x v="3"/>
    <x v="1"/>
    <n v="2"/>
    <s v=""/>
  </r>
  <r>
    <x v="2"/>
    <x v="1"/>
    <x v="0"/>
    <x v="72"/>
    <x v="2"/>
    <x v="1"/>
    <n v="1"/>
    <s v=""/>
  </r>
  <r>
    <x v="2"/>
    <x v="1"/>
    <x v="0"/>
    <x v="73"/>
    <x v="1"/>
    <x v="4"/>
    <n v="0"/>
    <m/>
  </r>
  <r>
    <x v="2"/>
    <x v="1"/>
    <x v="0"/>
    <x v="74"/>
    <x v="3"/>
    <x v="0"/>
    <n v="1"/>
    <s v=""/>
  </r>
  <r>
    <x v="2"/>
    <x v="1"/>
    <x v="0"/>
    <x v="75"/>
    <x v="1"/>
    <x v="4"/>
    <n v="0"/>
    <m/>
  </r>
  <r>
    <x v="2"/>
    <x v="1"/>
    <x v="0"/>
    <x v="76"/>
    <x v="3"/>
    <x v="0"/>
    <n v="2"/>
    <s v=""/>
  </r>
  <r>
    <x v="2"/>
    <x v="1"/>
    <x v="0"/>
    <x v="76"/>
    <x v="0"/>
    <x v="0"/>
    <n v="1"/>
    <s v=""/>
  </r>
  <r>
    <x v="2"/>
    <x v="1"/>
    <x v="0"/>
    <x v="76"/>
    <x v="2"/>
    <x v="0"/>
    <n v="1"/>
    <s v=""/>
  </r>
  <r>
    <x v="2"/>
    <x v="1"/>
    <x v="0"/>
    <x v="77"/>
    <x v="1"/>
    <x v="4"/>
    <n v="0"/>
    <m/>
  </r>
  <r>
    <x v="2"/>
    <x v="1"/>
    <x v="0"/>
    <x v="78"/>
    <x v="3"/>
    <x v="1"/>
    <n v="1"/>
    <s v=""/>
  </r>
  <r>
    <x v="2"/>
    <x v="1"/>
    <x v="0"/>
    <x v="79"/>
    <x v="3"/>
    <x v="0"/>
    <n v="2"/>
    <s v=""/>
  </r>
  <r>
    <x v="2"/>
    <x v="1"/>
    <x v="1"/>
    <x v="80"/>
    <x v="1"/>
    <x v="4"/>
    <n v="0"/>
    <m/>
  </r>
  <r>
    <x v="2"/>
    <x v="1"/>
    <x v="1"/>
    <x v="81"/>
    <x v="5"/>
    <x v="1"/>
    <n v="1"/>
    <s v=""/>
  </r>
  <r>
    <x v="2"/>
    <x v="1"/>
    <x v="1"/>
    <x v="82"/>
    <x v="1"/>
    <x v="4"/>
    <n v="0"/>
    <m/>
  </r>
  <r>
    <x v="2"/>
    <x v="1"/>
    <x v="1"/>
    <x v="83"/>
    <x v="1"/>
    <x v="4"/>
    <n v="0"/>
    <m/>
  </r>
  <r>
    <x v="2"/>
    <x v="1"/>
    <x v="1"/>
    <x v="84"/>
    <x v="1"/>
    <x v="4"/>
    <n v="0"/>
    <m/>
  </r>
  <r>
    <x v="2"/>
    <x v="1"/>
    <x v="1"/>
    <x v="85"/>
    <x v="5"/>
    <x v="1"/>
    <n v="1"/>
    <s v=""/>
  </r>
  <r>
    <x v="2"/>
    <x v="1"/>
    <x v="1"/>
    <x v="86"/>
    <x v="1"/>
    <x v="4"/>
    <n v="0"/>
    <m/>
  </r>
  <r>
    <x v="2"/>
    <x v="1"/>
    <x v="1"/>
    <x v="87"/>
    <x v="4"/>
    <x v="3"/>
    <s v=""/>
    <s v="plaque absente"/>
  </r>
  <r>
    <x v="2"/>
    <x v="1"/>
    <x v="1"/>
    <x v="88"/>
    <x v="5"/>
    <x v="1"/>
    <n v="1"/>
    <s v=""/>
  </r>
  <r>
    <x v="2"/>
    <x v="1"/>
    <x v="1"/>
    <x v="89"/>
    <x v="1"/>
    <x v="4"/>
    <n v="0"/>
    <m/>
  </r>
  <r>
    <x v="2"/>
    <x v="1"/>
    <x v="1"/>
    <x v="90"/>
    <x v="1"/>
    <x v="4"/>
    <n v="0"/>
    <m/>
  </r>
  <r>
    <x v="2"/>
    <x v="1"/>
    <x v="1"/>
    <x v="91"/>
    <x v="5"/>
    <x v="1"/>
    <n v="1"/>
    <s v=""/>
  </r>
  <r>
    <x v="2"/>
    <x v="1"/>
    <x v="1"/>
    <x v="92"/>
    <x v="5"/>
    <x v="0"/>
    <n v="2"/>
    <s v=""/>
  </r>
  <r>
    <x v="2"/>
    <x v="1"/>
    <x v="1"/>
    <x v="93"/>
    <x v="1"/>
    <x v="4"/>
    <n v="0"/>
    <m/>
  </r>
  <r>
    <x v="2"/>
    <x v="1"/>
    <x v="1"/>
    <x v="94"/>
    <x v="1"/>
    <x v="4"/>
    <n v="0"/>
    <m/>
  </r>
  <r>
    <x v="2"/>
    <x v="1"/>
    <x v="1"/>
    <x v="95"/>
    <x v="1"/>
    <x v="4"/>
    <n v="0"/>
    <m/>
  </r>
  <r>
    <x v="2"/>
    <x v="1"/>
    <x v="1"/>
    <x v="96"/>
    <x v="1"/>
    <x v="4"/>
    <n v="0"/>
    <m/>
  </r>
  <r>
    <x v="2"/>
    <x v="1"/>
    <x v="1"/>
    <x v="97"/>
    <x v="1"/>
    <x v="4"/>
    <n v="0"/>
    <m/>
  </r>
  <r>
    <x v="2"/>
    <x v="1"/>
    <x v="1"/>
    <x v="98"/>
    <x v="3"/>
    <x v="0"/>
    <n v="2"/>
    <s v=""/>
  </r>
  <r>
    <x v="2"/>
    <x v="1"/>
    <x v="1"/>
    <x v="98"/>
    <x v="5"/>
    <x v="0"/>
    <n v="1"/>
    <s v=""/>
  </r>
  <r>
    <x v="2"/>
    <x v="1"/>
    <x v="1"/>
    <x v="99"/>
    <x v="5"/>
    <x v="0"/>
    <n v="1"/>
    <s v=""/>
  </r>
  <r>
    <x v="2"/>
    <x v="1"/>
    <x v="2"/>
    <x v="100"/>
    <x v="5"/>
    <x v="0"/>
    <n v="1"/>
    <s v=""/>
  </r>
  <r>
    <x v="2"/>
    <x v="1"/>
    <x v="2"/>
    <x v="101"/>
    <x v="1"/>
    <x v="4"/>
    <n v="0"/>
    <m/>
  </r>
  <r>
    <x v="2"/>
    <x v="1"/>
    <x v="2"/>
    <x v="102"/>
    <x v="1"/>
    <x v="4"/>
    <n v="0"/>
    <m/>
  </r>
  <r>
    <x v="2"/>
    <x v="1"/>
    <x v="2"/>
    <x v="103"/>
    <x v="1"/>
    <x v="4"/>
    <n v="0"/>
    <m/>
  </r>
  <r>
    <x v="2"/>
    <x v="1"/>
    <x v="2"/>
    <x v="104"/>
    <x v="1"/>
    <x v="4"/>
    <n v="0"/>
    <m/>
  </r>
  <r>
    <x v="2"/>
    <x v="1"/>
    <x v="2"/>
    <x v="105"/>
    <x v="0"/>
    <x v="0"/>
    <n v="1"/>
    <s v=""/>
  </r>
  <r>
    <x v="2"/>
    <x v="1"/>
    <x v="2"/>
    <x v="106"/>
    <x v="1"/>
    <x v="4"/>
    <n v="0"/>
    <m/>
  </r>
  <r>
    <x v="2"/>
    <x v="1"/>
    <x v="2"/>
    <x v="107"/>
    <x v="3"/>
    <x v="0"/>
    <n v="1"/>
    <s v=""/>
  </r>
  <r>
    <x v="2"/>
    <x v="1"/>
    <x v="2"/>
    <x v="108"/>
    <x v="3"/>
    <x v="1"/>
    <n v="1"/>
    <s v=""/>
  </r>
  <r>
    <x v="2"/>
    <x v="1"/>
    <x v="2"/>
    <x v="109"/>
    <x v="1"/>
    <x v="4"/>
    <n v="0"/>
    <m/>
  </r>
  <r>
    <x v="2"/>
    <x v="1"/>
    <x v="2"/>
    <x v="110"/>
    <x v="4"/>
    <x v="3"/>
    <s v=""/>
    <s v="plaque absente"/>
  </r>
  <r>
    <x v="2"/>
    <x v="1"/>
    <x v="2"/>
    <x v="111"/>
    <x v="1"/>
    <x v="4"/>
    <n v="0"/>
    <m/>
  </r>
  <r>
    <x v="2"/>
    <x v="1"/>
    <x v="2"/>
    <x v="112"/>
    <x v="1"/>
    <x v="4"/>
    <n v="0"/>
    <m/>
  </r>
  <r>
    <x v="2"/>
    <x v="1"/>
    <x v="2"/>
    <x v="113"/>
    <x v="3"/>
    <x v="1"/>
    <n v="1"/>
    <s v=""/>
  </r>
  <r>
    <x v="2"/>
    <x v="1"/>
    <x v="2"/>
    <x v="114"/>
    <x v="1"/>
    <x v="4"/>
    <n v="0"/>
    <m/>
  </r>
  <r>
    <x v="2"/>
    <x v="1"/>
    <x v="2"/>
    <x v="115"/>
    <x v="1"/>
    <x v="2"/>
    <n v="1"/>
    <s v=""/>
  </r>
  <r>
    <x v="2"/>
    <x v="1"/>
    <x v="2"/>
    <x v="116"/>
    <x v="1"/>
    <x v="4"/>
    <n v="0"/>
    <m/>
  </r>
  <r>
    <x v="2"/>
    <x v="1"/>
    <x v="2"/>
    <x v="117"/>
    <x v="3"/>
    <x v="1"/>
    <n v="2"/>
    <s v=""/>
  </r>
  <r>
    <x v="2"/>
    <x v="1"/>
    <x v="2"/>
    <x v="117"/>
    <x v="3"/>
    <x v="2"/>
    <n v="1"/>
    <s v=""/>
  </r>
  <r>
    <x v="2"/>
    <x v="1"/>
    <x v="2"/>
    <x v="118"/>
    <x v="3"/>
    <x v="1"/>
    <n v="1"/>
    <s v=""/>
  </r>
  <r>
    <x v="2"/>
    <x v="1"/>
    <x v="2"/>
    <x v="119"/>
    <x v="1"/>
    <x v="4"/>
    <n v="0"/>
    <m/>
  </r>
  <r>
    <x v="2"/>
    <x v="2"/>
    <x v="0"/>
    <x v="120"/>
    <x v="1"/>
    <x v="4"/>
    <n v="0"/>
    <m/>
  </r>
  <r>
    <x v="2"/>
    <x v="2"/>
    <x v="0"/>
    <x v="121"/>
    <x v="1"/>
    <x v="4"/>
    <n v="0"/>
    <m/>
  </r>
  <r>
    <x v="2"/>
    <x v="2"/>
    <x v="0"/>
    <x v="122"/>
    <x v="1"/>
    <x v="4"/>
    <n v="0"/>
    <m/>
  </r>
  <r>
    <x v="2"/>
    <x v="2"/>
    <x v="0"/>
    <x v="123"/>
    <x v="1"/>
    <x v="4"/>
    <n v="0"/>
    <m/>
  </r>
  <r>
    <x v="2"/>
    <x v="2"/>
    <x v="0"/>
    <x v="124"/>
    <x v="1"/>
    <x v="4"/>
    <n v="0"/>
    <m/>
  </r>
  <r>
    <x v="2"/>
    <x v="2"/>
    <x v="0"/>
    <x v="125"/>
    <x v="1"/>
    <x v="4"/>
    <n v="0"/>
    <m/>
  </r>
  <r>
    <x v="2"/>
    <x v="2"/>
    <x v="0"/>
    <x v="126"/>
    <x v="1"/>
    <x v="4"/>
    <n v="0"/>
    <m/>
  </r>
  <r>
    <x v="2"/>
    <x v="2"/>
    <x v="0"/>
    <x v="127"/>
    <x v="1"/>
    <x v="4"/>
    <n v="0"/>
    <m/>
  </r>
  <r>
    <x v="2"/>
    <x v="2"/>
    <x v="0"/>
    <x v="128"/>
    <x v="1"/>
    <x v="4"/>
    <n v="0"/>
    <m/>
  </r>
  <r>
    <x v="2"/>
    <x v="2"/>
    <x v="0"/>
    <x v="129"/>
    <x v="1"/>
    <x v="4"/>
    <n v="0"/>
    <m/>
  </r>
  <r>
    <x v="2"/>
    <x v="2"/>
    <x v="0"/>
    <x v="130"/>
    <x v="1"/>
    <x v="4"/>
    <n v="0"/>
    <m/>
  </r>
  <r>
    <x v="2"/>
    <x v="2"/>
    <x v="0"/>
    <x v="131"/>
    <x v="1"/>
    <x v="4"/>
    <n v="0"/>
    <m/>
  </r>
  <r>
    <x v="2"/>
    <x v="2"/>
    <x v="0"/>
    <x v="132"/>
    <x v="2"/>
    <x v="0"/>
    <n v="1"/>
    <s v=""/>
  </r>
  <r>
    <x v="2"/>
    <x v="2"/>
    <x v="0"/>
    <x v="133"/>
    <x v="1"/>
    <x v="4"/>
    <n v="0"/>
    <m/>
  </r>
  <r>
    <x v="2"/>
    <x v="2"/>
    <x v="0"/>
    <x v="134"/>
    <x v="1"/>
    <x v="4"/>
    <n v="0"/>
    <m/>
  </r>
  <r>
    <x v="2"/>
    <x v="2"/>
    <x v="0"/>
    <x v="135"/>
    <x v="1"/>
    <x v="4"/>
    <n v="0"/>
    <m/>
  </r>
  <r>
    <x v="2"/>
    <x v="2"/>
    <x v="0"/>
    <x v="136"/>
    <x v="1"/>
    <x v="4"/>
    <n v="0"/>
    <m/>
  </r>
  <r>
    <x v="2"/>
    <x v="2"/>
    <x v="0"/>
    <x v="137"/>
    <x v="1"/>
    <x v="4"/>
    <n v="0"/>
    <m/>
  </r>
  <r>
    <x v="2"/>
    <x v="2"/>
    <x v="0"/>
    <x v="138"/>
    <x v="1"/>
    <x v="4"/>
    <n v="0"/>
    <m/>
  </r>
  <r>
    <x v="2"/>
    <x v="2"/>
    <x v="0"/>
    <x v="139"/>
    <x v="1"/>
    <x v="4"/>
    <n v="0"/>
    <m/>
  </r>
  <r>
    <x v="2"/>
    <x v="2"/>
    <x v="1"/>
    <x v="140"/>
    <x v="1"/>
    <x v="4"/>
    <n v="0"/>
    <m/>
  </r>
  <r>
    <x v="2"/>
    <x v="2"/>
    <x v="1"/>
    <x v="141"/>
    <x v="1"/>
    <x v="4"/>
    <n v="0"/>
    <m/>
  </r>
  <r>
    <x v="2"/>
    <x v="2"/>
    <x v="1"/>
    <x v="142"/>
    <x v="1"/>
    <x v="4"/>
    <n v="0"/>
    <m/>
  </r>
  <r>
    <x v="2"/>
    <x v="2"/>
    <x v="1"/>
    <x v="143"/>
    <x v="5"/>
    <x v="0"/>
    <n v="1"/>
    <s v=""/>
  </r>
  <r>
    <x v="2"/>
    <x v="2"/>
    <x v="1"/>
    <x v="144"/>
    <x v="1"/>
    <x v="4"/>
    <n v="0"/>
    <m/>
  </r>
  <r>
    <x v="2"/>
    <x v="2"/>
    <x v="1"/>
    <x v="145"/>
    <x v="1"/>
    <x v="4"/>
    <n v="0"/>
    <m/>
  </r>
  <r>
    <x v="2"/>
    <x v="2"/>
    <x v="1"/>
    <x v="146"/>
    <x v="1"/>
    <x v="4"/>
    <n v="0"/>
    <m/>
  </r>
  <r>
    <x v="2"/>
    <x v="2"/>
    <x v="1"/>
    <x v="147"/>
    <x v="1"/>
    <x v="4"/>
    <n v="0"/>
    <m/>
  </r>
  <r>
    <x v="2"/>
    <x v="2"/>
    <x v="1"/>
    <x v="148"/>
    <x v="1"/>
    <x v="4"/>
    <n v="0"/>
    <m/>
  </r>
  <r>
    <x v="2"/>
    <x v="2"/>
    <x v="1"/>
    <x v="149"/>
    <x v="1"/>
    <x v="4"/>
    <n v="0"/>
    <m/>
  </r>
  <r>
    <x v="2"/>
    <x v="2"/>
    <x v="1"/>
    <x v="150"/>
    <x v="1"/>
    <x v="4"/>
    <n v="0"/>
    <m/>
  </r>
  <r>
    <x v="2"/>
    <x v="2"/>
    <x v="1"/>
    <x v="151"/>
    <x v="1"/>
    <x v="4"/>
    <n v="0"/>
    <m/>
  </r>
  <r>
    <x v="2"/>
    <x v="2"/>
    <x v="1"/>
    <x v="152"/>
    <x v="1"/>
    <x v="4"/>
    <n v="0"/>
    <m/>
  </r>
  <r>
    <x v="2"/>
    <x v="2"/>
    <x v="1"/>
    <x v="153"/>
    <x v="1"/>
    <x v="4"/>
    <n v="0"/>
    <m/>
  </r>
  <r>
    <x v="2"/>
    <x v="2"/>
    <x v="1"/>
    <x v="154"/>
    <x v="1"/>
    <x v="4"/>
    <n v="0"/>
    <m/>
  </r>
  <r>
    <x v="2"/>
    <x v="2"/>
    <x v="1"/>
    <x v="155"/>
    <x v="1"/>
    <x v="4"/>
    <n v="0"/>
    <m/>
  </r>
  <r>
    <x v="2"/>
    <x v="2"/>
    <x v="1"/>
    <x v="156"/>
    <x v="1"/>
    <x v="4"/>
    <n v="0"/>
    <m/>
  </r>
  <r>
    <x v="2"/>
    <x v="2"/>
    <x v="1"/>
    <x v="157"/>
    <x v="0"/>
    <x v="2"/>
    <n v="1"/>
    <s v=""/>
  </r>
  <r>
    <x v="2"/>
    <x v="2"/>
    <x v="1"/>
    <x v="158"/>
    <x v="5"/>
    <x v="0"/>
    <n v="1"/>
    <s v=""/>
  </r>
  <r>
    <x v="2"/>
    <x v="2"/>
    <x v="1"/>
    <x v="159"/>
    <x v="5"/>
    <x v="0"/>
    <n v="1"/>
    <s v=""/>
  </r>
  <r>
    <x v="2"/>
    <x v="2"/>
    <x v="2"/>
    <x v="160"/>
    <x v="0"/>
    <x v="2"/>
    <n v="1"/>
    <s v=""/>
  </r>
  <r>
    <x v="2"/>
    <x v="2"/>
    <x v="2"/>
    <x v="161"/>
    <x v="1"/>
    <x v="4"/>
    <n v="0"/>
    <m/>
  </r>
  <r>
    <x v="2"/>
    <x v="2"/>
    <x v="2"/>
    <x v="162"/>
    <x v="1"/>
    <x v="4"/>
    <n v="0"/>
    <m/>
  </r>
  <r>
    <x v="2"/>
    <x v="2"/>
    <x v="2"/>
    <x v="163"/>
    <x v="1"/>
    <x v="4"/>
    <n v="0"/>
    <m/>
  </r>
  <r>
    <x v="2"/>
    <x v="2"/>
    <x v="2"/>
    <x v="164"/>
    <x v="1"/>
    <x v="4"/>
    <n v="0"/>
    <m/>
  </r>
  <r>
    <x v="2"/>
    <x v="2"/>
    <x v="2"/>
    <x v="165"/>
    <x v="1"/>
    <x v="4"/>
    <n v="0"/>
    <m/>
  </r>
  <r>
    <x v="2"/>
    <x v="2"/>
    <x v="2"/>
    <x v="166"/>
    <x v="1"/>
    <x v="4"/>
    <n v="0"/>
    <m/>
  </r>
  <r>
    <x v="2"/>
    <x v="2"/>
    <x v="2"/>
    <x v="167"/>
    <x v="1"/>
    <x v="4"/>
    <n v="0"/>
    <m/>
  </r>
  <r>
    <x v="2"/>
    <x v="2"/>
    <x v="2"/>
    <x v="168"/>
    <x v="1"/>
    <x v="4"/>
    <n v="0"/>
    <m/>
  </r>
  <r>
    <x v="2"/>
    <x v="2"/>
    <x v="2"/>
    <x v="169"/>
    <x v="1"/>
    <x v="4"/>
    <n v="0"/>
    <m/>
  </r>
  <r>
    <x v="2"/>
    <x v="2"/>
    <x v="2"/>
    <x v="170"/>
    <x v="1"/>
    <x v="4"/>
    <n v="0"/>
    <m/>
  </r>
  <r>
    <x v="2"/>
    <x v="2"/>
    <x v="2"/>
    <x v="171"/>
    <x v="1"/>
    <x v="4"/>
    <n v="0"/>
    <m/>
  </r>
  <r>
    <x v="2"/>
    <x v="2"/>
    <x v="2"/>
    <x v="172"/>
    <x v="1"/>
    <x v="4"/>
    <n v="0"/>
    <m/>
  </r>
  <r>
    <x v="2"/>
    <x v="2"/>
    <x v="2"/>
    <x v="173"/>
    <x v="1"/>
    <x v="4"/>
    <n v="0"/>
    <m/>
  </r>
  <r>
    <x v="2"/>
    <x v="2"/>
    <x v="2"/>
    <x v="174"/>
    <x v="1"/>
    <x v="4"/>
    <n v="0"/>
    <m/>
  </r>
  <r>
    <x v="2"/>
    <x v="2"/>
    <x v="2"/>
    <x v="175"/>
    <x v="1"/>
    <x v="4"/>
    <n v="0"/>
    <m/>
  </r>
  <r>
    <x v="2"/>
    <x v="2"/>
    <x v="2"/>
    <x v="176"/>
    <x v="1"/>
    <x v="4"/>
    <n v="0"/>
    <m/>
  </r>
  <r>
    <x v="2"/>
    <x v="2"/>
    <x v="2"/>
    <x v="177"/>
    <x v="1"/>
    <x v="4"/>
    <n v="0"/>
    <m/>
  </r>
  <r>
    <x v="2"/>
    <x v="2"/>
    <x v="2"/>
    <x v="178"/>
    <x v="1"/>
    <x v="4"/>
    <n v="0"/>
    <m/>
  </r>
  <r>
    <x v="2"/>
    <x v="2"/>
    <x v="2"/>
    <x v="179"/>
    <x v="3"/>
    <x v="2"/>
    <n v="1"/>
    <s v=""/>
  </r>
  <r>
    <x v="3"/>
    <x v="0"/>
    <x v="0"/>
    <x v="0"/>
    <x v="3"/>
    <x v="0"/>
    <n v="1"/>
    <s v=""/>
  </r>
  <r>
    <x v="3"/>
    <x v="0"/>
    <x v="0"/>
    <x v="0"/>
    <x v="2"/>
    <x v="0"/>
    <n v="1"/>
    <s v=""/>
  </r>
  <r>
    <x v="3"/>
    <x v="0"/>
    <x v="0"/>
    <x v="16"/>
    <x v="3"/>
    <x v="0"/>
    <n v="1"/>
    <s v=""/>
  </r>
  <r>
    <x v="3"/>
    <x v="0"/>
    <x v="0"/>
    <x v="16"/>
    <x v="2"/>
    <x v="0"/>
    <n v="1"/>
    <s v=""/>
  </r>
  <r>
    <x v="3"/>
    <x v="0"/>
    <x v="0"/>
    <x v="15"/>
    <x v="2"/>
    <x v="0"/>
    <n v="2"/>
    <s v=""/>
  </r>
  <r>
    <x v="3"/>
    <x v="0"/>
    <x v="0"/>
    <x v="17"/>
    <x v="3"/>
    <x v="0"/>
    <n v="1"/>
    <s v=""/>
  </r>
  <r>
    <x v="3"/>
    <x v="0"/>
    <x v="0"/>
    <x v="17"/>
    <x v="2"/>
    <x v="0"/>
    <n v="6"/>
    <s v=""/>
  </r>
  <r>
    <x v="3"/>
    <x v="0"/>
    <x v="0"/>
    <x v="17"/>
    <x v="5"/>
    <x v="1"/>
    <n v="1"/>
    <s v=""/>
  </r>
  <r>
    <x v="3"/>
    <x v="0"/>
    <x v="0"/>
    <x v="14"/>
    <x v="2"/>
    <x v="0"/>
    <n v="4"/>
    <s v=""/>
  </r>
  <r>
    <x v="3"/>
    <x v="0"/>
    <x v="0"/>
    <x v="18"/>
    <x v="1"/>
    <x v="4"/>
    <n v="0"/>
    <m/>
  </r>
  <r>
    <x v="3"/>
    <x v="0"/>
    <x v="0"/>
    <x v="13"/>
    <x v="1"/>
    <x v="4"/>
    <n v="0"/>
    <m/>
  </r>
  <r>
    <x v="3"/>
    <x v="0"/>
    <x v="0"/>
    <x v="19"/>
    <x v="2"/>
    <x v="1"/>
    <n v="1"/>
    <s v=""/>
  </r>
  <r>
    <x v="3"/>
    <x v="0"/>
    <x v="0"/>
    <x v="19"/>
    <x v="2"/>
    <x v="0"/>
    <n v="1"/>
    <s v=""/>
  </r>
  <r>
    <x v="3"/>
    <x v="0"/>
    <x v="0"/>
    <x v="20"/>
    <x v="2"/>
    <x v="1"/>
    <n v="1"/>
    <s v=""/>
  </r>
  <r>
    <x v="3"/>
    <x v="0"/>
    <x v="0"/>
    <x v="20"/>
    <x v="2"/>
    <x v="0"/>
    <n v="3"/>
    <s v=""/>
  </r>
  <r>
    <x v="3"/>
    <x v="0"/>
    <x v="0"/>
    <x v="12"/>
    <x v="4"/>
    <x v="3"/>
    <s v=""/>
    <s v="plaque absente"/>
  </r>
  <r>
    <x v="3"/>
    <x v="0"/>
    <x v="0"/>
    <x v="21"/>
    <x v="2"/>
    <x v="1"/>
    <n v="2"/>
    <s v=""/>
  </r>
  <r>
    <x v="3"/>
    <x v="0"/>
    <x v="0"/>
    <x v="22"/>
    <x v="2"/>
    <x v="0"/>
    <n v="2"/>
    <s v=""/>
  </r>
  <r>
    <x v="3"/>
    <x v="0"/>
    <x v="0"/>
    <x v="22"/>
    <x v="5"/>
    <x v="1"/>
    <n v="1"/>
    <s v=""/>
  </r>
  <r>
    <x v="3"/>
    <x v="0"/>
    <x v="0"/>
    <x v="23"/>
    <x v="2"/>
    <x v="1"/>
    <n v="1"/>
    <s v=""/>
  </r>
  <r>
    <x v="3"/>
    <x v="0"/>
    <x v="0"/>
    <x v="23"/>
    <x v="5"/>
    <x v="0"/>
    <n v="1"/>
    <s v=""/>
  </r>
  <r>
    <x v="3"/>
    <x v="0"/>
    <x v="0"/>
    <x v="24"/>
    <x v="5"/>
    <x v="1"/>
    <n v="1"/>
    <s v=""/>
  </r>
  <r>
    <x v="3"/>
    <x v="0"/>
    <x v="0"/>
    <x v="25"/>
    <x v="2"/>
    <x v="1"/>
    <n v="1"/>
    <s v=""/>
  </r>
  <r>
    <x v="3"/>
    <x v="0"/>
    <x v="0"/>
    <x v="25"/>
    <x v="2"/>
    <x v="2"/>
    <n v="1"/>
    <s v=""/>
  </r>
  <r>
    <x v="3"/>
    <x v="0"/>
    <x v="0"/>
    <x v="25"/>
    <x v="5"/>
    <x v="2"/>
    <n v="4"/>
    <s v=""/>
  </r>
  <r>
    <x v="3"/>
    <x v="0"/>
    <x v="0"/>
    <x v="26"/>
    <x v="0"/>
    <x v="1"/>
    <n v="1"/>
    <s v=""/>
  </r>
  <r>
    <x v="3"/>
    <x v="0"/>
    <x v="0"/>
    <x v="26"/>
    <x v="2"/>
    <x v="0"/>
    <n v="2"/>
    <s v=""/>
  </r>
  <r>
    <x v="3"/>
    <x v="0"/>
    <x v="0"/>
    <x v="26"/>
    <x v="5"/>
    <x v="0"/>
    <n v="1"/>
    <s v=""/>
  </r>
  <r>
    <x v="3"/>
    <x v="0"/>
    <x v="0"/>
    <x v="27"/>
    <x v="2"/>
    <x v="1"/>
    <n v="3"/>
    <s v=""/>
  </r>
  <r>
    <x v="3"/>
    <x v="0"/>
    <x v="0"/>
    <x v="27"/>
    <x v="5"/>
    <x v="1"/>
    <n v="2"/>
    <s v=""/>
  </r>
  <r>
    <x v="3"/>
    <x v="0"/>
    <x v="0"/>
    <x v="28"/>
    <x v="2"/>
    <x v="0"/>
    <n v="2"/>
    <s v=""/>
  </r>
  <r>
    <x v="3"/>
    <x v="0"/>
    <x v="0"/>
    <x v="11"/>
    <x v="3"/>
    <x v="1"/>
    <n v="3"/>
    <s v=""/>
  </r>
  <r>
    <x v="3"/>
    <x v="0"/>
    <x v="0"/>
    <x v="11"/>
    <x v="3"/>
    <x v="0"/>
    <n v="1"/>
    <s v=""/>
  </r>
  <r>
    <x v="3"/>
    <x v="0"/>
    <x v="0"/>
    <x v="11"/>
    <x v="2"/>
    <x v="0"/>
    <n v="4"/>
    <s v=""/>
  </r>
  <r>
    <x v="3"/>
    <x v="0"/>
    <x v="0"/>
    <x v="11"/>
    <x v="5"/>
    <x v="0"/>
    <n v="1"/>
    <s v=""/>
  </r>
  <r>
    <x v="3"/>
    <x v="0"/>
    <x v="0"/>
    <x v="29"/>
    <x v="3"/>
    <x v="1"/>
    <n v="1"/>
    <s v=""/>
  </r>
  <r>
    <x v="3"/>
    <x v="0"/>
    <x v="0"/>
    <x v="29"/>
    <x v="2"/>
    <x v="1"/>
    <n v="3"/>
    <s v=""/>
  </r>
  <r>
    <x v="3"/>
    <x v="0"/>
    <x v="0"/>
    <x v="29"/>
    <x v="2"/>
    <x v="0"/>
    <n v="2"/>
    <s v=""/>
  </r>
  <r>
    <x v="3"/>
    <x v="0"/>
    <x v="0"/>
    <x v="29"/>
    <x v="2"/>
    <x v="2"/>
    <n v="1"/>
    <s v=""/>
  </r>
  <r>
    <x v="3"/>
    <x v="0"/>
    <x v="1"/>
    <x v="30"/>
    <x v="3"/>
    <x v="2"/>
    <n v="1"/>
    <s v=""/>
  </r>
  <r>
    <x v="3"/>
    <x v="0"/>
    <x v="1"/>
    <x v="30"/>
    <x v="2"/>
    <x v="2"/>
    <n v="1"/>
    <s v=""/>
  </r>
  <r>
    <x v="3"/>
    <x v="0"/>
    <x v="1"/>
    <x v="31"/>
    <x v="3"/>
    <x v="1"/>
    <n v="1"/>
    <s v=""/>
  </r>
  <r>
    <x v="3"/>
    <x v="0"/>
    <x v="1"/>
    <x v="31"/>
    <x v="3"/>
    <x v="0"/>
    <n v="2"/>
    <s v=""/>
  </r>
  <r>
    <x v="3"/>
    <x v="0"/>
    <x v="1"/>
    <x v="31"/>
    <x v="2"/>
    <x v="0"/>
    <n v="2"/>
    <s v=""/>
  </r>
  <r>
    <x v="3"/>
    <x v="0"/>
    <x v="1"/>
    <x v="31"/>
    <x v="5"/>
    <x v="0"/>
    <n v="1"/>
    <s v=""/>
  </r>
  <r>
    <x v="3"/>
    <x v="0"/>
    <x v="1"/>
    <x v="32"/>
    <x v="0"/>
    <x v="1"/>
    <n v="1"/>
    <s v=""/>
  </r>
  <r>
    <x v="3"/>
    <x v="0"/>
    <x v="1"/>
    <x v="32"/>
    <x v="0"/>
    <x v="2"/>
    <n v="1"/>
    <s v=""/>
  </r>
  <r>
    <x v="3"/>
    <x v="0"/>
    <x v="1"/>
    <x v="32"/>
    <x v="2"/>
    <x v="1"/>
    <n v="3"/>
    <s v=""/>
  </r>
  <r>
    <x v="3"/>
    <x v="0"/>
    <x v="1"/>
    <x v="32"/>
    <x v="5"/>
    <x v="1"/>
    <n v="2"/>
    <s v=""/>
  </r>
  <r>
    <x v="3"/>
    <x v="0"/>
    <x v="1"/>
    <x v="32"/>
    <x v="5"/>
    <x v="2"/>
    <n v="3"/>
    <s v=""/>
  </r>
  <r>
    <x v="3"/>
    <x v="0"/>
    <x v="1"/>
    <x v="33"/>
    <x v="5"/>
    <x v="0"/>
    <n v="1"/>
    <s v=""/>
  </r>
  <r>
    <x v="3"/>
    <x v="0"/>
    <x v="1"/>
    <x v="10"/>
    <x v="3"/>
    <x v="0"/>
    <n v="2"/>
    <s v=""/>
  </r>
  <r>
    <x v="3"/>
    <x v="0"/>
    <x v="1"/>
    <x v="10"/>
    <x v="2"/>
    <x v="0"/>
    <n v="1"/>
    <s v=""/>
  </r>
  <r>
    <x v="3"/>
    <x v="0"/>
    <x v="1"/>
    <x v="34"/>
    <x v="3"/>
    <x v="0"/>
    <n v="1"/>
    <s v=""/>
  </r>
  <r>
    <x v="3"/>
    <x v="0"/>
    <x v="1"/>
    <x v="34"/>
    <x v="2"/>
    <x v="1"/>
    <n v="1"/>
    <s v=""/>
  </r>
  <r>
    <x v="3"/>
    <x v="0"/>
    <x v="1"/>
    <x v="35"/>
    <x v="3"/>
    <x v="0"/>
    <n v="2"/>
    <s v=""/>
  </r>
  <r>
    <x v="3"/>
    <x v="0"/>
    <x v="1"/>
    <x v="35"/>
    <x v="0"/>
    <x v="0"/>
    <n v="1"/>
    <s v=""/>
  </r>
  <r>
    <x v="3"/>
    <x v="0"/>
    <x v="1"/>
    <x v="36"/>
    <x v="3"/>
    <x v="0"/>
    <n v="1"/>
    <s v=""/>
  </r>
  <r>
    <x v="3"/>
    <x v="0"/>
    <x v="1"/>
    <x v="36"/>
    <x v="0"/>
    <x v="0"/>
    <n v="1"/>
    <s v=""/>
  </r>
  <r>
    <x v="3"/>
    <x v="0"/>
    <x v="1"/>
    <x v="36"/>
    <x v="2"/>
    <x v="0"/>
    <n v="2"/>
    <s v=""/>
  </r>
  <r>
    <x v="3"/>
    <x v="0"/>
    <x v="1"/>
    <x v="36"/>
    <x v="5"/>
    <x v="0"/>
    <n v="2"/>
    <s v=""/>
  </r>
  <r>
    <x v="3"/>
    <x v="0"/>
    <x v="1"/>
    <x v="37"/>
    <x v="3"/>
    <x v="0"/>
    <n v="1"/>
    <s v=""/>
  </r>
  <r>
    <x v="3"/>
    <x v="0"/>
    <x v="1"/>
    <x v="37"/>
    <x v="0"/>
    <x v="2"/>
    <n v="2"/>
    <s v=""/>
  </r>
  <r>
    <x v="3"/>
    <x v="0"/>
    <x v="1"/>
    <x v="37"/>
    <x v="2"/>
    <x v="0"/>
    <n v="1"/>
    <s v=""/>
  </r>
  <r>
    <x v="3"/>
    <x v="0"/>
    <x v="1"/>
    <x v="9"/>
    <x v="3"/>
    <x v="2"/>
    <n v="1"/>
    <s v=""/>
  </r>
  <r>
    <x v="3"/>
    <x v="0"/>
    <x v="1"/>
    <x v="9"/>
    <x v="0"/>
    <x v="0"/>
    <n v="1"/>
    <s v=""/>
  </r>
  <r>
    <x v="3"/>
    <x v="0"/>
    <x v="1"/>
    <x v="9"/>
    <x v="2"/>
    <x v="0"/>
    <n v="4"/>
    <s v=""/>
  </r>
  <r>
    <x v="3"/>
    <x v="0"/>
    <x v="1"/>
    <x v="9"/>
    <x v="5"/>
    <x v="0"/>
    <n v="1"/>
    <s v=""/>
  </r>
  <r>
    <x v="3"/>
    <x v="0"/>
    <x v="1"/>
    <x v="38"/>
    <x v="2"/>
    <x v="1"/>
    <n v="1"/>
    <s v=""/>
  </r>
  <r>
    <x v="3"/>
    <x v="0"/>
    <x v="1"/>
    <x v="8"/>
    <x v="2"/>
    <x v="0"/>
    <n v="3"/>
    <s v=""/>
  </r>
  <r>
    <x v="3"/>
    <x v="0"/>
    <x v="1"/>
    <x v="8"/>
    <x v="2"/>
    <x v="2"/>
    <n v="2"/>
    <s v=""/>
  </r>
  <r>
    <x v="3"/>
    <x v="0"/>
    <x v="1"/>
    <x v="8"/>
    <x v="5"/>
    <x v="0"/>
    <n v="1"/>
    <s v=""/>
  </r>
  <r>
    <x v="3"/>
    <x v="0"/>
    <x v="1"/>
    <x v="39"/>
    <x v="3"/>
    <x v="1"/>
    <n v="1"/>
    <s v=""/>
  </r>
  <r>
    <x v="3"/>
    <x v="0"/>
    <x v="1"/>
    <x v="39"/>
    <x v="3"/>
    <x v="2"/>
    <n v="1"/>
    <s v=""/>
  </r>
  <r>
    <x v="3"/>
    <x v="0"/>
    <x v="1"/>
    <x v="39"/>
    <x v="2"/>
    <x v="1"/>
    <n v="2"/>
    <s v=""/>
  </r>
  <r>
    <x v="3"/>
    <x v="0"/>
    <x v="1"/>
    <x v="39"/>
    <x v="2"/>
    <x v="0"/>
    <n v="1"/>
    <s v=""/>
  </r>
  <r>
    <x v="3"/>
    <x v="0"/>
    <x v="1"/>
    <x v="39"/>
    <x v="2"/>
    <x v="2"/>
    <n v="1"/>
    <s v=""/>
  </r>
  <r>
    <x v="3"/>
    <x v="0"/>
    <x v="1"/>
    <x v="7"/>
    <x v="0"/>
    <x v="1"/>
    <n v="1"/>
    <s v=""/>
  </r>
  <r>
    <x v="3"/>
    <x v="0"/>
    <x v="1"/>
    <x v="6"/>
    <x v="2"/>
    <x v="0"/>
    <n v="1"/>
    <s v=""/>
  </r>
  <r>
    <x v="3"/>
    <x v="0"/>
    <x v="1"/>
    <x v="40"/>
    <x v="3"/>
    <x v="1"/>
    <n v="1"/>
    <s v=""/>
  </r>
  <r>
    <x v="3"/>
    <x v="0"/>
    <x v="1"/>
    <x v="40"/>
    <x v="3"/>
    <x v="0"/>
    <n v="1"/>
    <s v=""/>
  </r>
  <r>
    <x v="3"/>
    <x v="0"/>
    <x v="1"/>
    <x v="40"/>
    <x v="5"/>
    <x v="1"/>
    <n v="1"/>
    <s v=""/>
  </r>
  <r>
    <x v="3"/>
    <x v="0"/>
    <x v="1"/>
    <x v="41"/>
    <x v="1"/>
    <x v="4"/>
    <n v="0"/>
    <m/>
  </r>
  <r>
    <x v="3"/>
    <x v="0"/>
    <x v="1"/>
    <x v="42"/>
    <x v="1"/>
    <x v="4"/>
    <n v="0"/>
    <m/>
  </r>
  <r>
    <x v="3"/>
    <x v="0"/>
    <x v="1"/>
    <x v="5"/>
    <x v="3"/>
    <x v="0"/>
    <n v="1"/>
    <s v=""/>
  </r>
  <r>
    <x v="3"/>
    <x v="0"/>
    <x v="1"/>
    <x v="5"/>
    <x v="0"/>
    <x v="0"/>
    <n v="1"/>
    <s v=""/>
  </r>
  <r>
    <x v="3"/>
    <x v="0"/>
    <x v="1"/>
    <x v="43"/>
    <x v="1"/>
    <x v="4"/>
    <n v="0"/>
    <m/>
  </r>
  <r>
    <x v="3"/>
    <x v="0"/>
    <x v="2"/>
    <x v="44"/>
    <x v="2"/>
    <x v="0"/>
    <n v="1"/>
    <s v=""/>
  </r>
  <r>
    <x v="3"/>
    <x v="0"/>
    <x v="2"/>
    <x v="45"/>
    <x v="2"/>
    <x v="0"/>
    <n v="1"/>
    <s v=""/>
  </r>
  <r>
    <x v="3"/>
    <x v="0"/>
    <x v="2"/>
    <x v="46"/>
    <x v="2"/>
    <x v="2"/>
    <n v="1"/>
    <s v=""/>
  </r>
  <r>
    <x v="3"/>
    <x v="0"/>
    <x v="2"/>
    <x v="4"/>
    <x v="2"/>
    <x v="1"/>
    <n v="1"/>
    <s v=""/>
  </r>
  <r>
    <x v="3"/>
    <x v="0"/>
    <x v="2"/>
    <x v="4"/>
    <x v="2"/>
    <x v="2"/>
    <n v="1"/>
    <s v=""/>
  </r>
  <r>
    <x v="3"/>
    <x v="0"/>
    <x v="2"/>
    <x v="47"/>
    <x v="3"/>
    <x v="1"/>
    <n v="3"/>
    <s v=""/>
  </r>
  <r>
    <x v="3"/>
    <x v="0"/>
    <x v="2"/>
    <x v="47"/>
    <x v="3"/>
    <x v="2"/>
    <n v="1"/>
    <s v=""/>
  </r>
  <r>
    <x v="3"/>
    <x v="0"/>
    <x v="2"/>
    <x v="47"/>
    <x v="0"/>
    <x v="1"/>
    <n v="1"/>
    <s v=""/>
  </r>
  <r>
    <x v="3"/>
    <x v="0"/>
    <x v="2"/>
    <x v="48"/>
    <x v="2"/>
    <x v="1"/>
    <n v="1"/>
    <s v=""/>
  </r>
  <r>
    <x v="3"/>
    <x v="0"/>
    <x v="2"/>
    <x v="48"/>
    <x v="2"/>
    <x v="0"/>
    <n v="3"/>
    <s v=""/>
  </r>
  <r>
    <x v="3"/>
    <x v="0"/>
    <x v="2"/>
    <x v="49"/>
    <x v="3"/>
    <x v="0"/>
    <n v="1"/>
    <s v=""/>
  </r>
  <r>
    <x v="3"/>
    <x v="0"/>
    <x v="2"/>
    <x v="49"/>
    <x v="2"/>
    <x v="0"/>
    <n v="5"/>
    <s v=""/>
  </r>
  <r>
    <x v="3"/>
    <x v="0"/>
    <x v="2"/>
    <x v="49"/>
    <x v="5"/>
    <x v="0"/>
    <n v="1"/>
    <s v=""/>
  </r>
  <r>
    <x v="3"/>
    <x v="0"/>
    <x v="2"/>
    <x v="50"/>
    <x v="2"/>
    <x v="0"/>
    <n v="1"/>
    <s v=""/>
  </r>
  <r>
    <x v="3"/>
    <x v="0"/>
    <x v="2"/>
    <x v="50"/>
    <x v="5"/>
    <x v="1"/>
    <n v="1"/>
    <s v=""/>
  </r>
  <r>
    <x v="3"/>
    <x v="0"/>
    <x v="2"/>
    <x v="3"/>
    <x v="1"/>
    <x v="4"/>
    <n v="0"/>
    <m/>
  </r>
  <r>
    <x v="3"/>
    <x v="0"/>
    <x v="2"/>
    <x v="51"/>
    <x v="3"/>
    <x v="1"/>
    <n v="1"/>
    <s v=""/>
  </r>
  <r>
    <x v="3"/>
    <x v="0"/>
    <x v="2"/>
    <x v="51"/>
    <x v="2"/>
    <x v="1"/>
    <n v="1"/>
    <s v=""/>
  </r>
  <r>
    <x v="3"/>
    <x v="0"/>
    <x v="2"/>
    <x v="51"/>
    <x v="2"/>
    <x v="0"/>
    <n v="2"/>
    <s v=""/>
  </r>
  <r>
    <x v="3"/>
    <x v="0"/>
    <x v="2"/>
    <x v="2"/>
    <x v="2"/>
    <x v="1"/>
    <n v="1"/>
    <s v=""/>
  </r>
  <r>
    <x v="3"/>
    <x v="0"/>
    <x v="2"/>
    <x v="2"/>
    <x v="2"/>
    <x v="0"/>
    <n v="1"/>
    <s v=""/>
  </r>
  <r>
    <x v="3"/>
    <x v="0"/>
    <x v="2"/>
    <x v="52"/>
    <x v="1"/>
    <x v="4"/>
    <n v="0"/>
    <m/>
  </r>
  <r>
    <x v="3"/>
    <x v="0"/>
    <x v="2"/>
    <x v="53"/>
    <x v="2"/>
    <x v="0"/>
    <n v="2"/>
    <s v=""/>
  </r>
  <r>
    <x v="3"/>
    <x v="0"/>
    <x v="2"/>
    <x v="54"/>
    <x v="3"/>
    <x v="2"/>
    <n v="1"/>
    <s v=""/>
  </r>
  <r>
    <x v="3"/>
    <x v="0"/>
    <x v="2"/>
    <x v="54"/>
    <x v="2"/>
    <x v="1"/>
    <n v="1"/>
    <s v=""/>
  </r>
  <r>
    <x v="3"/>
    <x v="0"/>
    <x v="2"/>
    <x v="54"/>
    <x v="2"/>
    <x v="0"/>
    <n v="3"/>
    <s v=""/>
  </r>
  <r>
    <x v="3"/>
    <x v="0"/>
    <x v="2"/>
    <x v="54"/>
    <x v="5"/>
    <x v="0"/>
    <n v="2"/>
    <s v=""/>
  </r>
  <r>
    <x v="3"/>
    <x v="0"/>
    <x v="2"/>
    <x v="1"/>
    <x v="2"/>
    <x v="0"/>
    <n v="1"/>
    <s v=""/>
  </r>
  <r>
    <x v="3"/>
    <x v="0"/>
    <x v="2"/>
    <x v="55"/>
    <x v="3"/>
    <x v="0"/>
    <n v="1"/>
    <s v=""/>
  </r>
  <r>
    <x v="3"/>
    <x v="0"/>
    <x v="2"/>
    <x v="56"/>
    <x v="3"/>
    <x v="0"/>
    <n v="2"/>
    <s v=""/>
  </r>
  <r>
    <x v="3"/>
    <x v="0"/>
    <x v="2"/>
    <x v="56"/>
    <x v="3"/>
    <x v="2"/>
    <n v="1"/>
    <s v=""/>
  </r>
  <r>
    <x v="3"/>
    <x v="0"/>
    <x v="2"/>
    <x v="57"/>
    <x v="1"/>
    <x v="4"/>
    <n v="0"/>
    <m/>
  </r>
  <r>
    <x v="3"/>
    <x v="0"/>
    <x v="2"/>
    <x v="58"/>
    <x v="0"/>
    <x v="0"/>
    <n v="1"/>
    <s v=""/>
  </r>
  <r>
    <x v="3"/>
    <x v="0"/>
    <x v="2"/>
    <x v="58"/>
    <x v="2"/>
    <x v="0"/>
    <n v="1"/>
    <s v=""/>
  </r>
  <r>
    <x v="3"/>
    <x v="0"/>
    <x v="2"/>
    <x v="59"/>
    <x v="1"/>
    <x v="4"/>
    <n v="0"/>
    <m/>
  </r>
  <r>
    <x v="3"/>
    <x v="1"/>
    <x v="0"/>
    <x v="60"/>
    <x v="1"/>
    <x v="4"/>
    <n v="0"/>
    <m/>
  </r>
  <r>
    <x v="3"/>
    <x v="1"/>
    <x v="0"/>
    <x v="61"/>
    <x v="2"/>
    <x v="0"/>
    <n v="1"/>
    <s v=""/>
  </r>
  <r>
    <x v="3"/>
    <x v="1"/>
    <x v="0"/>
    <x v="61"/>
    <x v="5"/>
    <x v="1"/>
    <n v="1"/>
    <s v=""/>
  </r>
  <r>
    <x v="3"/>
    <x v="1"/>
    <x v="0"/>
    <x v="62"/>
    <x v="2"/>
    <x v="1"/>
    <n v="1"/>
    <s v=""/>
  </r>
  <r>
    <x v="3"/>
    <x v="1"/>
    <x v="0"/>
    <x v="62"/>
    <x v="2"/>
    <x v="0"/>
    <n v="2"/>
    <s v=""/>
  </r>
  <r>
    <x v="3"/>
    <x v="1"/>
    <x v="0"/>
    <x v="63"/>
    <x v="2"/>
    <x v="0"/>
    <n v="1"/>
    <s v=""/>
  </r>
  <r>
    <x v="3"/>
    <x v="1"/>
    <x v="0"/>
    <x v="64"/>
    <x v="1"/>
    <x v="4"/>
    <n v="0"/>
    <m/>
  </r>
  <r>
    <x v="3"/>
    <x v="1"/>
    <x v="0"/>
    <x v="65"/>
    <x v="1"/>
    <x v="4"/>
    <n v="0"/>
    <m/>
  </r>
  <r>
    <x v="3"/>
    <x v="1"/>
    <x v="0"/>
    <x v="66"/>
    <x v="1"/>
    <x v="4"/>
    <n v="0"/>
    <m/>
  </r>
  <r>
    <x v="3"/>
    <x v="1"/>
    <x v="0"/>
    <x v="67"/>
    <x v="5"/>
    <x v="1"/>
    <n v="1"/>
    <s v=""/>
  </r>
  <r>
    <x v="3"/>
    <x v="1"/>
    <x v="0"/>
    <x v="68"/>
    <x v="1"/>
    <x v="4"/>
    <n v="0"/>
    <m/>
  </r>
  <r>
    <x v="3"/>
    <x v="1"/>
    <x v="0"/>
    <x v="69"/>
    <x v="0"/>
    <x v="0"/>
    <n v="1"/>
    <s v=""/>
  </r>
  <r>
    <x v="3"/>
    <x v="1"/>
    <x v="0"/>
    <x v="69"/>
    <x v="2"/>
    <x v="0"/>
    <n v="2"/>
    <s v=""/>
  </r>
  <r>
    <x v="3"/>
    <x v="1"/>
    <x v="0"/>
    <x v="69"/>
    <x v="2"/>
    <x v="2"/>
    <n v="1"/>
    <s v=""/>
  </r>
  <r>
    <x v="3"/>
    <x v="1"/>
    <x v="0"/>
    <x v="70"/>
    <x v="2"/>
    <x v="0"/>
    <n v="1"/>
    <s v=""/>
  </r>
  <r>
    <x v="3"/>
    <x v="1"/>
    <x v="0"/>
    <x v="71"/>
    <x v="2"/>
    <x v="1"/>
    <n v="1"/>
    <s v=""/>
  </r>
  <r>
    <x v="3"/>
    <x v="1"/>
    <x v="0"/>
    <x v="72"/>
    <x v="3"/>
    <x v="0"/>
    <n v="1"/>
    <s v=""/>
  </r>
  <r>
    <x v="3"/>
    <x v="1"/>
    <x v="0"/>
    <x v="72"/>
    <x v="2"/>
    <x v="0"/>
    <n v="6"/>
    <s v=""/>
  </r>
  <r>
    <x v="3"/>
    <x v="1"/>
    <x v="0"/>
    <x v="72"/>
    <x v="5"/>
    <x v="1"/>
    <n v="1"/>
    <s v=""/>
  </r>
  <r>
    <x v="3"/>
    <x v="1"/>
    <x v="0"/>
    <x v="72"/>
    <x v="5"/>
    <x v="0"/>
    <n v="1"/>
    <s v=""/>
  </r>
  <r>
    <x v="3"/>
    <x v="1"/>
    <x v="0"/>
    <x v="73"/>
    <x v="2"/>
    <x v="2"/>
    <n v="1"/>
    <s v=""/>
  </r>
  <r>
    <x v="3"/>
    <x v="1"/>
    <x v="0"/>
    <x v="73"/>
    <x v="5"/>
    <x v="0"/>
    <n v="1"/>
    <s v=""/>
  </r>
  <r>
    <x v="3"/>
    <x v="1"/>
    <x v="0"/>
    <x v="74"/>
    <x v="2"/>
    <x v="2"/>
    <n v="1"/>
    <s v=""/>
  </r>
  <r>
    <x v="3"/>
    <x v="1"/>
    <x v="0"/>
    <x v="75"/>
    <x v="2"/>
    <x v="0"/>
    <n v="1"/>
    <s v=""/>
  </r>
  <r>
    <x v="3"/>
    <x v="1"/>
    <x v="0"/>
    <x v="75"/>
    <x v="5"/>
    <x v="1"/>
    <n v="1"/>
    <s v=""/>
  </r>
  <r>
    <x v="3"/>
    <x v="1"/>
    <x v="0"/>
    <x v="76"/>
    <x v="0"/>
    <x v="0"/>
    <n v="1"/>
    <s v=""/>
  </r>
  <r>
    <x v="3"/>
    <x v="1"/>
    <x v="0"/>
    <x v="76"/>
    <x v="2"/>
    <x v="1"/>
    <n v="1"/>
    <s v=""/>
  </r>
  <r>
    <x v="3"/>
    <x v="1"/>
    <x v="0"/>
    <x v="76"/>
    <x v="2"/>
    <x v="0"/>
    <n v="5"/>
    <s v=""/>
  </r>
  <r>
    <x v="3"/>
    <x v="1"/>
    <x v="0"/>
    <x v="76"/>
    <x v="5"/>
    <x v="1"/>
    <n v="2"/>
    <s v=""/>
  </r>
  <r>
    <x v="3"/>
    <x v="1"/>
    <x v="0"/>
    <x v="77"/>
    <x v="4"/>
    <x v="3"/>
    <s v=""/>
    <s v="plaque absente"/>
  </r>
  <r>
    <x v="3"/>
    <x v="1"/>
    <x v="0"/>
    <x v="78"/>
    <x v="3"/>
    <x v="0"/>
    <n v="1"/>
    <s v=""/>
  </r>
  <r>
    <x v="3"/>
    <x v="1"/>
    <x v="0"/>
    <x v="78"/>
    <x v="2"/>
    <x v="1"/>
    <n v="4"/>
    <s v=""/>
  </r>
  <r>
    <x v="3"/>
    <x v="1"/>
    <x v="0"/>
    <x v="79"/>
    <x v="2"/>
    <x v="0"/>
    <n v="3"/>
    <s v=""/>
  </r>
  <r>
    <x v="3"/>
    <x v="1"/>
    <x v="1"/>
    <x v="80"/>
    <x v="0"/>
    <x v="1"/>
    <n v="1"/>
    <s v=""/>
  </r>
  <r>
    <x v="3"/>
    <x v="1"/>
    <x v="1"/>
    <x v="80"/>
    <x v="2"/>
    <x v="1"/>
    <n v="1"/>
    <s v=""/>
  </r>
  <r>
    <x v="3"/>
    <x v="1"/>
    <x v="1"/>
    <x v="81"/>
    <x v="2"/>
    <x v="1"/>
    <n v="1"/>
    <s v=""/>
  </r>
  <r>
    <x v="3"/>
    <x v="1"/>
    <x v="1"/>
    <x v="81"/>
    <x v="5"/>
    <x v="1"/>
    <n v="1"/>
    <s v=""/>
  </r>
  <r>
    <x v="3"/>
    <x v="1"/>
    <x v="1"/>
    <x v="82"/>
    <x v="2"/>
    <x v="0"/>
    <n v="2"/>
    <s v=""/>
  </r>
  <r>
    <x v="3"/>
    <x v="1"/>
    <x v="1"/>
    <x v="82"/>
    <x v="5"/>
    <x v="0"/>
    <n v="3"/>
    <s v=""/>
  </r>
  <r>
    <x v="3"/>
    <x v="1"/>
    <x v="1"/>
    <x v="83"/>
    <x v="0"/>
    <x v="2"/>
    <n v="1"/>
    <s v=""/>
  </r>
  <r>
    <x v="3"/>
    <x v="1"/>
    <x v="1"/>
    <x v="84"/>
    <x v="2"/>
    <x v="0"/>
    <n v="1"/>
    <s v=""/>
  </r>
  <r>
    <x v="3"/>
    <x v="1"/>
    <x v="1"/>
    <x v="85"/>
    <x v="2"/>
    <x v="0"/>
    <n v="3"/>
    <s v=""/>
  </r>
  <r>
    <x v="3"/>
    <x v="1"/>
    <x v="1"/>
    <x v="86"/>
    <x v="3"/>
    <x v="0"/>
    <n v="1"/>
    <s v=""/>
  </r>
  <r>
    <x v="3"/>
    <x v="1"/>
    <x v="1"/>
    <x v="86"/>
    <x v="2"/>
    <x v="1"/>
    <n v="1"/>
    <s v=""/>
  </r>
  <r>
    <x v="3"/>
    <x v="1"/>
    <x v="1"/>
    <x v="86"/>
    <x v="5"/>
    <x v="1"/>
    <n v="1"/>
    <s v=""/>
  </r>
  <r>
    <x v="3"/>
    <x v="1"/>
    <x v="1"/>
    <x v="86"/>
    <x v="5"/>
    <x v="0"/>
    <n v="1"/>
    <s v=""/>
  </r>
  <r>
    <x v="3"/>
    <x v="1"/>
    <x v="1"/>
    <x v="87"/>
    <x v="2"/>
    <x v="0"/>
    <n v="1"/>
    <s v=""/>
  </r>
  <r>
    <x v="3"/>
    <x v="1"/>
    <x v="1"/>
    <x v="87"/>
    <x v="5"/>
    <x v="0"/>
    <n v="2"/>
    <s v=""/>
  </r>
  <r>
    <x v="3"/>
    <x v="1"/>
    <x v="1"/>
    <x v="88"/>
    <x v="3"/>
    <x v="0"/>
    <n v="1"/>
    <s v=""/>
  </r>
  <r>
    <x v="3"/>
    <x v="1"/>
    <x v="1"/>
    <x v="88"/>
    <x v="2"/>
    <x v="1"/>
    <n v="2"/>
    <s v=""/>
  </r>
  <r>
    <x v="3"/>
    <x v="1"/>
    <x v="1"/>
    <x v="88"/>
    <x v="2"/>
    <x v="0"/>
    <n v="3"/>
    <s v=""/>
  </r>
  <r>
    <x v="3"/>
    <x v="1"/>
    <x v="1"/>
    <x v="88"/>
    <x v="5"/>
    <x v="1"/>
    <n v="1"/>
    <s v=""/>
  </r>
  <r>
    <x v="3"/>
    <x v="1"/>
    <x v="1"/>
    <x v="88"/>
    <x v="5"/>
    <x v="0"/>
    <n v="1"/>
    <s v=""/>
  </r>
  <r>
    <x v="3"/>
    <x v="1"/>
    <x v="1"/>
    <x v="89"/>
    <x v="5"/>
    <x v="0"/>
    <n v="1"/>
    <s v=""/>
  </r>
  <r>
    <x v="3"/>
    <x v="1"/>
    <x v="1"/>
    <x v="90"/>
    <x v="4"/>
    <x v="3"/>
    <s v=""/>
    <s v="plaque absente"/>
  </r>
  <r>
    <x v="3"/>
    <x v="1"/>
    <x v="1"/>
    <x v="91"/>
    <x v="2"/>
    <x v="0"/>
    <n v="1"/>
    <s v=""/>
  </r>
  <r>
    <x v="3"/>
    <x v="1"/>
    <x v="1"/>
    <x v="92"/>
    <x v="2"/>
    <x v="1"/>
    <n v="1"/>
    <s v=""/>
  </r>
  <r>
    <x v="3"/>
    <x v="1"/>
    <x v="1"/>
    <x v="93"/>
    <x v="2"/>
    <x v="0"/>
    <n v="2"/>
    <s v=""/>
  </r>
  <r>
    <x v="3"/>
    <x v="1"/>
    <x v="1"/>
    <x v="94"/>
    <x v="2"/>
    <x v="0"/>
    <n v="1"/>
    <s v=""/>
  </r>
  <r>
    <x v="3"/>
    <x v="1"/>
    <x v="1"/>
    <x v="94"/>
    <x v="5"/>
    <x v="0"/>
    <n v="4"/>
    <s v=""/>
  </r>
  <r>
    <x v="3"/>
    <x v="1"/>
    <x v="1"/>
    <x v="95"/>
    <x v="2"/>
    <x v="1"/>
    <n v="2"/>
    <s v=""/>
  </r>
  <r>
    <x v="3"/>
    <x v="1"/>
    <x v="1"/>
    <x v="95"/>
    <x v="5"/>
    <x v="1"/>
    <n v="2"/>
    <s v=""/>
  </r>
  <r>
    <x v="3"/>
    <x v="1"/>
    <x v="1"/>
    <x v="96"/>
    <x v="1"/>
    <x v="4"/>
    <n v="0"/>
    <m/>
  </r>
  <r>
    <x v="3"/>
    <x v="1"/>
    <x v="1"/>
    <x v="97"/>
    <x v="3"/>
    <x v="0"/>
    <n v="1"/>
    <s v=""/>
  </r>
  <r>
    <x v="3"/>
    <x v="1"/>
    <x v="1"/>
    <x v="97"/>
    <x v="0"/>
    <x v="1"/>
    <n v="1"/>
    <s v=""/>
  </r>
  <r>
    <x v="3"/>
    <x v="1"/>
    <x v="1"/>
    <x v="98"/>
    <x v="1"/>
    <x v="4"/>
    <n v="0"/>
    <m/>
  </r>
  <r>
    <x v="3"/>
    <x v="1"/>
    <x v="1"/>
    <x v="99"/>
    <x v="3"/>
    <x v="0"/>
    <n v="1"/>
    <s v=""/>
  </r>
  <r>
    <x v="3"/>
    <x v="1"/>
    <x v="1"/>
    <x v="99"/>
    <x v="5"/>
    <x v="0"/>
    <n v="1"/>
    <s v=""/>
  </r>
  <r>
    <x v="3"/>
    <x v="1"/>
    <x v="2"/>
    <x v="100"/>
    <x v="3"/>
    <x v="0"/>
    <n v="1"/>
    <s v=""/>
  </r>
  <r>
    <x v="3"/>
    <x v="1"/>
    <x v="2"/>
    <x v="101"/>
    <x v="3"/>
    <x v="0"/>
    <n v="1"/>
    <s v=""/>
  </r>
  <r>
    <x v="3"/>
    <x v="1"/>
    <x v="2"/>
    <x v="101"/>
    <x v="0"/>
    <x v="0"/>
    <n v="1"/>
    <s v=""/>
  </r>
  <r>
    <x v="3"/>
    <x v="1"/>
    <x v="2"/>
    <x v="102"/>
    <x v="1"/>
    <x v="0"/>
    <n v="1"/>
    <m/>
  </r>
  <r>
    <x v="3"/>
    <x v="1"/>
    <x v="2"/>
    <x v="102"/>
    <x v="0"/>
    <x v="2"/>
    <n v="1"/>
    <s v=""/>
  </r>
  <r>
    <x v="3"/>
    <x v="1"/>
    <x v="2"/>
    <x v="102"/>
    <x v="2"/>
    <x v="1"/>
    <n v="1"/>
    <s v=""/>
  </r>
  <r>
    <x v="3"/>
    <x v="1"/>
    <x v="2"/>
    <x v="103"/>
    <x v="0"/>
    <x v="2"/>
    <n v="1"/>
    <s v=""/>
  </r>
  <r>
    <x v="3"/>
    <x v="1"/>
    <x v="2"/>
    <x v="104"/>
    <x v="1"/>
    <x v="4"/>
    <n v="0"/>
    <m/>
  </r>
  <r>
    <x v="3"/>
    <x v="1"/>
    <x v="2"/>
    <x v="105"/>
    <x v="1"/>
    <x v="4"/>
    <n v="0"/>
    <m/>
  </r>
  <r>
    <x v="3"/>
    <x v="1"/>
    <x v="2"/>
    <x v="106"/>
    <x v="2"/>
    <x v="0"/>
    <n v="1"/>
    <s v=""/>
  </r>
  <r>
    <x v="3"/>
    <x v="1"/>
    <x v="2"/>
    <x v="107"/>
    <x v="0"/>
    <x v="1"/>
    <n v="1"/>
    <s v=""/>
  </r>
  <r>
    <x v="3"/>
    <x v="1"/>
    <x v="2"/>
    <x v="108"/>
    <x v="3"/>
    <x v="1"/>
    <n v="1"/>
    <s v=""/>
  </r>
  <r>
    <x v="3"/>
    <x v="1"/>
    <x v="2"/>
    <x v="108"/>
    <x v="3"/>
    <x v="0"/>
    <n v="2"/>
    <s v=""/>
  </r>
  <r>
    <x v="3"/>
    <x v="1"/>
    <x v="2"/>
    <x v="108"/>
    <x v="2"/>
    <x v="1"/>
    <n v="1"/>
    <s v=""/>
  </r>
  <r>
    <x v="3"/>
    <x v="1"/>
    <x v="2"/>
    <x v="108"/>
    <x v="2"/>
    <x v="0"/>
    <n v="1"/>
    <s v=""/>
  </r>
  <r>
    <x v="3"/>
    <x v="1"/>
    <x v="2"/>
    <x v="109"/>
    <x v="3"/>
    <x v="0"/>
    <n v="1"/>
    <s v=""/>
  </r>
  <r>
    <x v="3"/>
    <x v="1"/>
    <x v="2"/>
    <x v="110"/>
    <x v="2"/>
    <x v="0"/>
    <n v="1"/>
    <s v=""/>
  </r>
  <r>
    <x v="3"/>
    <x v="1"/>
    <x v="2"/>
    <x v="110"/>
    <x v="5"/>
    <x v="1"/>
    <n v="1"/>
    <s v=""/>
  </r>
  <r>
    <x v="3"/>
    <x v="1"/>
    <x v="2"/>
    <x v="111"/>
    <x v="3"/>
    <x v="1"/>
    <n v="1"/>
    <s v=""/>
  </r>
  <r>
    <x v="3"/>
    <x v="1"/>
    <x v="2"/>
    <x v="111"/>
    <x v="3"/>
    <x v="2"/>
    <n v="1"/>
    <s v=""/>
  </r>
  <r>
    <x v="3"/>
    <x v="1"/>
    <x v="2"/>
    <x v="111"/>
    <x v="2"/>
    <x v="1"/>
    <n v="3"/>
    <s v=""/>
  </r>
  <r>
    <x v="3"/>
    <x v="1"/>
    <x v="2"/>
    <x v="111"/>
    <x v="5"/>
    <x v="1"/>
    <n v="2"/>
    <s v=""/>
  </r>
  <r>
    <x v="3"/>
    <x v="1"/>
    <x v="2"/>
    <x v="112"/>
    <x v="5"/>
    <x v="1"/>
    <n v="1"/>
    <s v=""/>
  </r>
  <r>
    <x v="3"/>
    <x v="1"/>
    <x v="2"/>
    <x v="113"/>
    <x v="3"/>
    <x v="1"/>
    <n v="2"/>
    <s v=""/>
  </r>
  <r>
    <x v="3"/>
    <x v="1"/>
    <x v="2"/>
    <x v="113"/>
    <x v="3"/>
    <x v="2"/>
    <n v="1"/>
    <s v=""/>
  </r>
  <r>
    <x v="3"/>
    <x v="1"/>
    <x v="2"/>
    <x v="113"/>
    <x v="2"/>
    <x v="1"/>
    <n v="4"/>
    <s v=""/>
  </r>
  <r>
    <x v="3"/>
    <x v="1"/>
    <x v="2"/>
    <x v="113"/>
    <x v="2"/>
    <x v="0"/>
    <n v="1"/>
    <s v=""/>
  </r>
  <r>
    <x v="3"/>
    <x v="1"/>
    <x v="2"/>
    <x v="113"/>
    <x v="5"/>
    <x v="1"/>
    <n v="2"/>
    <s v=""/>
  </r>
  <r>
    <x v="3"/>
    <x v="1"/>
    <x v="2"/>
    <x v="114"/>
    <x v="2"/>
    <x v="0"/>
    <n v="1"/>
    <s v=""/>
  </r>
  <r>
    <x v="3"/>
    <x v="1"/>
    <x v="2"/>
    <x v="114"/>
    <x v="5"/>
    <x v="0"/>
    <n v="2"/>
    <s v=""/>
  </r>
  <r>
    <x v="3"/>
    <x v="1"/>
    <x v="2"/>
    <x v="115"/>
    <x v="3"/>
    <x v="1"/>
    <n v="1"/>
    <s v=""/>
  </r>
  <r>
    <x v="3"/>
    <x v="1"/>
    <x v="2"/>
    <x v="115"/>
    <x v="1"/>
    <x v="2"/>
    <n v="1"/>
    <s v=""/>
  </r>
  <r>
    <x v="3"/>
    <x v="1"/>
    <x v="2"/>
    <x v="115"/>
    <x v="2"/>
    <x v="2"/>
    <n v="1"/>
    <s v=""/>
  </r>
  <r>
    <x v="3"/>
    <x v="1"/>
    <x v="2"/>
    <x v="115"/>
    <x v="5"/>
    <x v="0"/>
    <n v="1"/>
    <s v=""/>
  </r>
  <r>
    <x v="3"/>
    <x v="1"/>
    <x v="2"/>
    <x v="116"/>
    <x v="2"/>
    <x v="1"/>
    <n v="1"/>
    <s v=""/>
  </r>
  <r>
    <x v="3"/>
    <x v="1"/>
    <x v="2"/>
    <x v="117"/>
    <x v="3"/>
    <x v="2"/>
    <n v="1"/>
    <s v=""/>
  </r>
  <r>
    <x v="3"/>
    <x v="1"/>
    <x v="2"/>
    <x v="117"/>
    <x v="2"/>
    <x v="2"/>
    <n v="1"/>
    <s v=""/>
  </r>
  <r>
    <x v="3"/>
    <x v="1"/>
    <x v="2"/>
    <x v="118"/>
    <x v="3"/>
    <x v="1"/>
    <n v="2"/>
    <s v=""/>
  </r>
  <r>
    <x v="3"/>
    <x v="1"/>
    <x v="2"/>
    <x v="118"/>
    <x v="0"/>
    <x v="1"/>
    <n v="1"/>
    <s v=""/>
  </r>
  <r>
    <x v="3"/>
    <x v="1"/>
    <x v="2"/>
    <x v="118"/>
    <x v="2"/>
    <x v="1"/>
    <n v="2"/>
    <s v=""/>
  </r>
  <r>
    <x v="3"/>
    <x v="1"/>
    <x v="2"/>
    <x v="118"/>
    <x v="2"/>
    <x v="0"/>
    <n v="1"/>
    <s v=""/>
  </r>
  <r>
    <x v="3"/>
    <x v="1"/>
    <x v="2"/>
    <x v="119"/>
    <x v="4"/>
    <x v="3"/>
    <s v=""/>
    <s v="plaque absente"/>
  </r>
  <r>
    <x v="3"/>
    <x v="2"/>
    <x v="0"/>
    <x v="120"/>
    <x v="1"/>
    <x v="4"/>
    <n v="0"/>
    <m/>
  </r>
  <r>
    <x v="3"/>
    <x v="2"/>
    <x v="0"/>
    <x v="121"/>
    <x v="2"/>
    <x v="1"/>
    <n v="1"/>
    <s v=""/>
  </r>
  <r>
    <x v="3"/>
    <x v="2"/>
    <x v="0"/>
    <x v="122"/>
    <x v="2"/>
    <x v="1"/>
    <n v="1"/>
    <s v=""/>
  </r>
  <r>
    <x v="3"/>
    <x v="2"/>
    <x v="0"/>
    <x v="122"/>
    <x v="5"/>
    <x v="1"/>
    <n v="1"/>
    <s v=""/>
  </r>
  <r>
    <x v="3"/>
    <x v="2"/>
    <x v="0"/>
    <x v="123"/>
    <x v="0"/>
    <x v="2"/>
    <n v="1"/>
    <s v=""/>
  </r>
  <r>
    <x v="3"/>
    <x v="2"/>
    <x v="0"/>
    <x v="123"/>
    <x v="2"/>
    <x v="0"/>
    <n v="3"/>
    <s v=""/>
  </r>
  <r>
    <x v="3"/>
    <x v="2"/>
    <x v="0"/>
    <x v="123"/>
    <x v="5"/>
    <x v="2"/>
    <n v="1"/>
    <s v=""/>
  </r>
  <r>
    <x v="3"/>
    <x v="2"/>
    <x v="0"/>
    <x v="124"/>
    <x v="3"/>
    <x v="0"/>
    <n v="1"/>
    <s v=""/>
  </r>
  <r>
    <x v="3"/>
    <x v="2"/>
    <x v="0"/>
    <x v="124"/>
    <x v="2"/>
    <x v="1"/>
    <n v="1"/>
    <s v=""/>
  </r>
  <r>
    <x v="3"/>
    <x v="2"/>
    <x v="0"/>
    <x v="124"/>
    <x v="2"/>
    <x v="0"/>
    <n v="6"/>
    <s v=""/>
  </r>
  <r>
    <x v="3"/>
    <x v="2"/>
    <x v="0"/>
    <x v="125"/>
    <x v="0"/>
    <x v="0"/>
    <n v="1"/>
    <s v=""/>
  </r>
  <r>
    <x v="3"/>
    <x v="2"/>
    <x v="0"/>
    <x v="125"/>
    <x v="2"/>
    <x v="0"/>
    <n v="2"/>
    <s v=""/>
  </r>
  <r>
    <x v="3"/>
    <x v="2"/>
    <x v="0"/>
    <x v="126"/>
    <x v="2"/>
    <x v="0"/>
    <n v="1"/>
    <s v=""/>
  </r>
  <r>
    <x v="3"/>
    <x v="2"/>
    <x v="0"/>
    <x v="126"/>
    <x v="2"/>
    <x v="2"/>
    <n v="1"/>
    <s v=""/>
  </r>
  <r>
    <x v="3"/>
    <x v="2"/>
    <x v="0"/>
    <x v="127"/>
    <x v="1"/>
    <x v="4"/>
    <n v="0"/>
    <m/>
  </r>
  <r>
    <x v="3"/>
    <x v="2"/>
    <x v="0"/>
    <x v="128"/>
    <x v="2"/>
    <x v="0"/>
    <n v="2"/>
    <s v=""/>
  </r>
  <r>
    <x v="3"/>
    <x v="2"/>
    <x v="0"/>
    <x v="129"/>
    <x v="2"/>
    <x v="0"/>
    <n v="3"/>
    <s v=""/>
  </r>
  <r>
    <x v="3"/>
    <x v="2"/>
    <x v="0"/>
    <x v="129"/>
    <x v="2"/>
    <x v="2"/>
    <n v="1"/>
    <s v=""/>
  </r>
  <r>
    <x v="3"/>
    <x v="2"/>
    <x v="0"/>
    <x v="129"/>
    <x v="5"/>
    <x v="0"/>
    <n v="3"/>
    <s v=""/>
  </r>
  <r>
    <x v="3"/>
    <x v="2"/>
    <x v="0"/>
    <x v="130"/>
    <x v="1"/>
    <x v="4"/>
    <n v="0"/>
    <m/>
  </r>
  <r>
    <x v="3"/>
    <x v="2"/>
    <x v="0"/>
    <x v="131"/>
    <x v="1"/>
    <x v="4"/>
    <n v="0"/>
    <m/>
  </r>
  <r>
    <x v="3"/>
    <x v="2"/>
    <x v="0"/>
    <x v="132"/>
    <x v="2"/>
    <x v="1"/>
    <n v="1"/>
    <s v=""/>
  </r>
  <r>
    <x v="3"/>
    <x v="2"/>
    <x v="0"/>
    <x v="133"/>
    <x v="2"/>
    <x v="1"/>
    <n v="1"/>
    <s v=""/>
  </r>
  <r>
    <x v="3"/>
    <x v="2"/>
    <x v="0"/>
    <x v="133"/>
    <x v="2"/>
    <x v="0"/>
    <n v="11"/>
    <s v=""/>
  </r>
  <r>
    <x v="3"/>
    <x v="2"/>
    <x v="0"/>
    <x v="133"/>
    <x v="5"/>
    <x v="0"/>
    <n v="1"/>
    <s v=""/>
  </r>
  <r>
    <x v="3"/>
    <x v="2"/>
    <x v="0"/>
    <x v="134"/>
    <x v="2"/>
    <x v="1"/>
    <n v="1"/>
    <s v=""/>
  </r>
  <r>
    <x v="3"/>
    <x v="2"/>
    <x v="0"/>
    <x v="134"/>
    <x v="2"/>
    <x v="0"/>
    <n v="5"/>
    <s v=""/>
  </r>
  <r>
    <x v="3"/>
    <x v="2"/>
    <x v="0"/>
    <x v="134"/>
    <x v="5"/>
    <x v="0"/>
    <n v="1"/>
    <s v=""/>
  </r>
  <r>
    <x v="3"/>
    <x v="2"/>
    <x v="0"/>
    <x v="135"/>
    <x v="1"/>
    <x v="4"/>
    <n v="0"/>
    <m/>
  </r>
  <r>
    <x v="3"/>
    <x v="2"/>
    <x v="0"/>
    <x v="136"/>
    <x v="2"/>
    <x v="0"/>
    <n v="1"/>
    <s v=""/>
  </r>
  <r>
    <x v="3"/>
    <x v="2"/>
    <x v="0"/>
    <x v="136"/>
    <x v="5"/>
    <x v="0"/>
    <n v="1"/>
    <s v=""/>
  </r>
  <r>
    <x v="3"/>
    <x v="2"/>
    <x v="0"/>
    <x v="137"/>
    <x v="2"/>
    <x v="0"/>
    <n v="3"/>
    <s v=""/>
  </r>
  <r>
    <x v="3"/>
    <x v="2"/>
    <x v="0"/>
    <x v="138"/>
    <x v="1"/>
    <x v="4"/>
    <n v="0"/>
    <m/>
  </r>
  <r>
    <x v="3"/>
    <x v="2"/>
    <x v="0"/>
    <x v="139"/>
    <x v="1"/>
    <x v="4"/>
    <n v="0"/>
    <m/>
  </r>
  <r>
    <x v="3"/>
    <x v="2"/>
    <x v="1"/>
    <x v="140"/>
    <x v="1"/>
    <x v="4"/>
    <n v="0"/>
    <m/>
  </r>
  <r>
    <x v="3"/>
    <x v="2"/>
    <x v="1"/>
    <x v="141"/>
    <x v="1"/>
    <x v="4"/>
    <n v="0"/>
    <m/>
  </r>
  <r>
    <x v="3"/>
    <x v="2"/>
    <x v="1"/>
    <x v="142"/>
    <x v="3"/>
    <x v="0"/>
    <n v="1"/>
    <s v=""/>
  </r>
  <r>
    <x v="3"/>
    <x v="2"/>
    <x v="1"/>
    <x v="142"/>
    <x v="2"/>
    <x v="0"/>
    <n v="2"/>
    <s v=""/>
  </r>
  <r>
    <x v="3"/>
    <x v="2"/>
    <x v="1"/>
    <x v="142"/>
    <x v="5"/>
    <x v="0"/>
    <n v="2"/>
    <s v=""/>
  </r>
  <r>
    <x v="3"/>
    <x v="2"/>
    <x v="1"/>
    <x v="143"/>
    <x v="2"/>
    <x v="0"/>
    <n v="5"/>
    <s v=""/>
  </r>
  <r>
    <x v="3"/>
    <x v="2"/>
    <x v="1"/>
    <x v="143"/>
    <x v="5"/>
    <x v="0"/>
    <n v="5"/>
    <s v=""/>
  </r>
  <r>
    <x v="3"/>
    <x v="2"/>
    <x v="1"/>
    <x v="144"/>
    <x v="5"/>
    <x v="0"/>
    <n v="1"/>
    <s v=""/>
  </r>
  <r>
    <x v="3"/>
    <x v="2"/>
    <x v="1"/>
    <x v="145"/>
    <x v="3"/>
    <x v="0"/>
    <n v="1"/>
    <s v=""/>
  </r>
  <r>
    <x v="3"/>
    <x v="2"/>
    <x v="1"/>
    <x v="145"/>
    <x v="2"/>
    <x v="0"/>
    <n v="2"/>
    <s v=""/>
  </r>
  <r>
    <x v="3"/>
    <x v="2"/>
    <x v="1"/>
    <x v="146"/>
    <x v="2"/>
    <x v="0"/>
    <n v="2"/>
    <s v=""/>
  </r>
  <r>
    <x v="3"/>
    <x v="2"/>
    <x v="1"/>
    <x v="147"/>
    <x v="2"/>
    <x v="0"/>
    <n v="4"/>
    <s v=""/>
  </r>
  <r>
    <x v="3"/>
    <x v="2"/>
    <x v="1"/>
    <x v="147"/>
    <x v="5"/>
    <x v="0"/>
    <n v="1"/>
    <s v=""/>
  </r>
  <r>
    <x v="3"/>
    <x v="2"/>
    <x v="1"/>
    <x v="148"/>
    <x v="1"/>
    <x v="4"/>
    <n v="0"/>
    <m/>
  </r>
  <r>
    <x v="3"/>
    <x v="2"/>
    <x v="1"/>
    <x v="149"/>
    <x v="2"/>
    <x v="0"/>
    <n v="4"/>
    <s v=""/>
  </r>
  <r>
    <x v="3"/>
    <x v="2"/>
    <x v="1"/>
    <x v="149"/>
    <x v="5"/>
    <x v="0"/>
    <n v="2"/>
    <s v=""/>
  </r>
  <r>
    <x v="3"/>
    <x v="2"/>
    <x v="1"/>
    <x v="150"/>
    <x v="2"/>
    <x v="0"/>
    <n v="1"/>
    <s v=""/>
  </r>
  <r>
    <x v="3"/>
    <x v="2"/>
    <x v="1"/>
    <x v="151"/>
    <x v="2"/>
    <x v="0"/>
    <n v="2"/>
    <s v=""/>
  </r>
  <r>
    <x v="3"/>
    <x v="2"/>
    <x v="1"/>
    <x v="151"/>
    <x v="5"/>
    <x v="0"/>
    <n v="3"/>
    <s v=""/>
  </r>
  <r>
    <x v="3"/>
    <x v="2"/>
    <x v="1"/>
    <x v="152"/>
    <x v="1"/>
    <x v="4"/>
    <n v="0"/>
    <m/>
  </r>
  <r>
    <x v="3"/>
    <x v="2"/>
    <x v="1"/>
    <x v="153"/>
    <x v="1"/>
    <x v="4"/>
    <n v="0"/>
    <m/>
  </r>
  <r>
    <x v="3"/>
    <x v="2"/>
    <x v="1"/>
    <x v="154"/>
    <x v="2"/>
    <x v="0"/>
    <n v="2"/>
    <s v=""/>
  </r>
  <r>
    <x v="3"/>
    <x v="2"/>
    <x v="1"/>
    <x v="155"/>
    <x v="0"/>
    <x v="1"/>
    <n v="1"/>
    <s v=""/>
  </r>
  <r>
    <x v="3"/>
    <x v="2"/>
    <x v="1"/>
    <x v="155"/>
    <x v="2"/>
    <x v="1"/>
    <n v="2"/>
    <s v=""/>
  </r>
  <r>
    <x v="3"/>
    <x v="2"/>
    <x v="1"/>
    <x v="155"/>
    <x v="5"/>
    <x v="2"/>
    <n v="1"/>
    <s v=""/>
  </r>
  <r>
    <x v="3"/>
    <x v="2"/>
    <x v="1"/>
    <x v="156"/>
    <x v="2"/>
    <x v="0"/>
    <n v="2"/>
    <s v=""/>
  </r>
  <r>
    <x v="3"/>
    <x v="2"/>
    <x v="1"/>
    <x v="157"/>
    <x v="2"/>
    <x v="0"/>
    <n v="4"/>
    <s v=""/>
  </r>
  <r>
    <x v="3"/>
    <x v="2"/>
    <x v="1"/>
    <x v="158"/>
    <x v="1"/>
    <x v="4"/>
    <n v="0"/>
    <m/>
  </r>
  <r>
    <x v="3"/>
    <x v="2"/>
    <x v="1"/>
    <x v="159"/>
    <x v="5"/>
    <x v="0"/>
    <n v="2"/>
    <s v=""/>
  </r>
  <r>
    <x v="3"/>
    <x v="2"/>
    <x v="2"/>
    <x v="160"/>
    <x v="2"/>
    <x v="0"/>
    <n v="1"/>
    <s v=""/>
  </r>
  <r>
    <x v="3"/>
    <x v="2"/>
    <x v="2"/>
    <x v="160"/>
    <x v="2"/>
    <x v="2"/>
    <n v="2"/>
    <s v=""/>
  </r>
  <r>
    <x v="3"/>
    <x v="2"/>
    <x v="2"/>
    <x v="160"/>
    <x v="5"/>
    <x v="0"/>
    <n v="2"/>
    <s v=""/>
  </r>
  <r>
    <x v="3"/>
    <x v="2"/>
    <x v="2"/>
    <x v="161"/>
    <x v="2"/>
    <x v="0"/>
    <n v="1"/>
    <s v=""/>
  </r>
  <r>
    <x v="3"/>
    <x v="2"/>
    <x v="2"/>
    <x v="161"/>
    <x v="5"/>
    <x v="0"/>
    <n v="1"/>
    <s v=""/>
  </r>
  <r>
    <x v="3"/>
    <x v="2"/>
    <x v="2"/>
    <x v="162"/>
    <x v="1"/>
    <x v="4"/>
    <n v="0"/>
    <m/>
  </r>
  <r>
    <x v="3"/>
    <x v="2"/>
    <x v="2"/>
    <x v="163"/>
    <x v="3"/>
    <x v="1"/>
    <n v="1"/>
    <s v=""/>
  </r>
  <r>
    <x v="3"/>
    <x v="2"/>
    <x v="2"/>
    <x v="163"/>
    <x v="1"/>
    <x v="1"/>
    <n v="1"/>
    <s v=""/>
  </r>
  <r>
    <x v="3"/>
    <x v="2"/>
    <x v="2"/>
    <x v="163"/>
    <x v="2"/>
    <x v="1"/>
    <n v="1"/>
    <s v=""/>
  </r>
  <r>
    <x v="3"/>
    <x v="2"/>
    <x v="2"/>
    <x v="163"/>
    <x v="2"/>
    <x v="0"/>
    <n v="1"/>
    <s v=""/>
  </r>
  <r>
    <x v="3"/>
    <x v="2"/>
    <x v="2"/>
    <x v="164"/>
    <x v="2"/>
    <x v="1"/>
    <n v="1"/>
    <s v=""/>
  </r>
  <r>
    <x v="3"/>
    <x v="2"/>
    <x v="2"/>
    <x v="165"/>
    <x v="1"/>
    <x v="4"/>
    <n v="0"/>
    <m/>
  </r>
  <r>
    <x v="3"/>
    <x v="2"/>
    <x v="2"/>
    <x v="166"/>
    <x v="2"/>
    <x v="0"/>
    <n v="2"/>
    <s v=""/>
  </r>
  <r>
    <x v="3"/>
    <x v="2"/>
    <x v="2"/>
    <x v="167"/>
    <x v="1"/>
    <x v="4"/>
    <n v="0"/>
    <m/>
  </r>
  <r>
    <x v="3"/>
    <x v="2"/>
    <x v="2"/>
    <x v="168"/>
    <x v="2"/>
    <x v="1"/>
    <n v="1"/>
    <s v=""/>
  </r>
  <r>
    <x v="3"/>
    <x v="2"/>
    <x v="2"/>
    <x v="168"/>
    <x v="2"/>
    <x v="0"/>
    <n v="3"/>
    <s v=""/>
  </r>
  <r>
    <x v="3"/>
    <x v="2"/>
    <x v="2"/>
    <x v="168"/>
    <x v="5"/>
    <x v="0"/>
    <n v="1"/>
    <s v=""/>
  </r>
  <r>
    <x v="3"/>
    <x v="2"/>
    <x v="2"/>
    <x v="169"/>
    <x v="1"/>
    <x v="4"/>
    <n v="0"/>
    <m/>
  </r>
  <r>
    <x v="3"/>
    <x v="2"/>
    <x v="2"/>
    <x v="170"/>
    <x v="2"/>
    <x v="1"/>
    <n v="2"/>
    <s v=""/>
  </r>
  <r>
    <x v="3"/>
    <x v="2"/>
    <x v="2"/>
    <x v="170"/>
    <x v="2"/>
    <x v="0"/>
    <n v="1"/>
    <s v=""/>
  </r>
  <r>
    <x v="3"/>
    <x v="2"/>
    <x v="2"/>
    <x v="170"/>
    <x v="2"/>
    <x v="2"/>
    <n v="1"/>
    <s v=""/>
  </r>
  <r>
    <x v="3"/>
    <x v="2"/>
    <x v="2"/>
    <x v="170"/>
    <x v="5"/>
    <x v="1"/>
    <n v="1"/>
    <s v=""/>
  </r>
  <r>
    <x v="3"/>
    <x v="2"/>
    <x v="2"/>
    <x v="171"/>
    <x v="2"/>
    <x v="0"/>
    <n v="5"/>
    <s v=""/>
  </r>
  <r>
    <x v="3"/>
    <x v="2"/>
    <x v="2"/>
    <x v="171"/>
    <x v="5"/>
    <x v="0"/>
    <n v="1"/>
    <s v=""/>
  </r>
  <r>
    <x v="3"/>
    <x v="2"/>
    <x v="2"/>
    <x v="172"/>
    <x v="2"/>
    <x v="2"/>
    <n v="1"/>
    <s v=""/>
  </r>
  <r>
    <x v="3"/>
    <x v="2"/>
    <x v="2"/>
    <x v="173"/>
    <x v="3"/>
    <x v="0"/>
    <n v="1"/>
    <s v=""/>
  </r>
  <r>
    <x v="3"/>
    <x v="2"/>
    <x v="2"/>
    <x v="173"/>
    <x v="2"/>
    <x v="1"/>
    <n v="1"/>
    <s v=""/>
  </r>
  <r>
    <x v="3"/>
    <x v="2"/>
    <x v="2"/>
    <x v="173"/>
    <x v="2"/>
    <x v="0"/>
    <n v="2"/>
    <s v=""/>
  </r>
  <r>
    <x v="3"/>
    <x v="2"/>
    <x v="2"/>
    <x v="173"/>
    <x v="2"/>
    <x v="2"/>
    <n v="2"/>
    <s v=""/>
  </r>
  <r>
    <x v="3"/>
    <x v="2"/>
    <x v="2"/>
    <x v="174"/>
    <x v="2"/>
    <x v="1"/>
    <n v="3"/>
    <s v=""/>
  </r>
  <r>
    <x v="3"/>
    <x v="2"/>
    <x v="2"/>
    <x v="174"/>
    <x v="2"/>
    <x v="0"/>
    <n v="2"/>
    <s v=""/>
  </r>
  <r>
    <x v="3"/>
    <x v="2"/>
    <x v="2"/>
    <x v="175"/>
    <x v="1"/>
    <x v="4"/>
    <n v="0"/>
    <m/>
  </r>
  <r>
    <x v="3"/>
    <x v="2"/>
    <x v="2"/>
    <x v="176"/>
    <x v="2"/>
    <x v="0"/>
    <n v="1"/>
    <s v=""/>
  </r>
  <r>
    <x v="3"/>
    <x v="2"/>
    <x v="2"/>
    <x v="177"/>
    <x v="0"/>
    <x v="2"/>
    <n v="1"/>
    <s v=""/>
  </r>
  <r>
    <x v="3"/>
    <x v="2"/>
    <x v="2"/>
    <x v="177"/>
    <x v="2"/>
    <x v="0"/>
    <n v="1"/>
    <s v=""/>
  </r>
  <r>
    <x v="3"/>
    <x v="2"/>
    <x v="2"/>
    <x v="178"/>
    <x v="2"/>
    <x v="0"/>
    <n v="1"/>
    <s v=""/>
  </r>
  <r>
    <x v="3"/>
    <x v="2"/>
    <x v="2"/>
    <x v="179"/>
    <x v="2"/>
    <x v="1"/>
    <n v="1"/>
    <s v=""/>
  </r>
  <r>
    <x v="3"/>
    <x v="2"/>
    <x v="2"/>
    <x v="179"/>
    <x v="2"/>
    <x v="0"/>
    <n v="1"/>
    <s v=""/>
  </r>
  <r>
    <x v="3"/>
    <x v="2"/>
    <x v="2"/>
    <x v="179"/>
    <x v="2"/>
    <x v="2"/>
    <n v="2"/>
    <s v=""/>
  </r>
  <r>
    <x v="4"/>
    <x v="0"/>
    <x v="0"/>
    <x v="0"/>
    <x v="1"/>
    <x v="4"/>
    <n v="0"/>
    <m/>
  </r>
  <r>
    <x v="4"/>
    <x v="0"/>
    <x v="0"/>
    <x v="16"/>
    <x v="4"/>
    <x v="3"/>
    <s v=""/>
    <s v="plaque absente"/>
  </r>
  <r>
    <x v="4"/>
    <x v="0"/>
    <x v="0"/>
    <x v="15"/>
    <x v="1"/>
    <x v="4"/>
    <n v="0"/>
    <m/>
  </r>
  <r>
    <x v="4"/>
    <x v="0"/>
    <x v="0"/>
    <x v="17"/>
    <x v="2"/>
    <x v="0"/>
    <n v="1"/>
    <s v=""/>
  </r>
  <r>
    <x v="4"/>
    <x v="0"/>
    <x v="0"/>
    <x v="14"/>
    <x v="1"/>
    <x v="4"/>
    <n v="0"/>
    <m/>
  </r>
  <r>
    <x v="4"/>
    <x v="0"/>
    <x v="0"/>
    <x v="18"/>
    <x v="1"/>
    <x v="2"/>
    <n v="1"/>
    <m/>
  </r>
  <r>
    <x v="4"/>
    <x v="0"/>
    <x v="0"/>
    <x v="13"/>
    <x v="1"/>
    <x v="4"/>
    <n v="0"/>
    <m/>
  </r>
  <r>
    <x v="4"/>
    <x v="0"/>
    <x v="0"/>
    <x v="19"/>
    <x v="1"/>
    <x v="4"/>
    <n v="0"/>
    <m/>
  </r>
  <r>
    <x v="4"/>
    <x v="0"/>
    <x v="0"/>
    <x v="20"/>
    <x v="1"/>
    <x v="4"/>
    <n v="0"/>
    <m/>
  </r>
  <r>
    <x v="4"/>
    <x v="0"/>
    <x v="0"/>
    <x v="12"/>
    <x v="1"/>
    <x v="4"/>
    <n v="0"/>
    <m/>
  </r>
  <r>
    <x v="4"/>
    <x v="0"/>
    <x v="0"/>
    <x v="21"/>
    <x v="2"/>
    <x v="1"/>
    <n v="1"/>
    <s v=""/>
  </r>
  <r>
    <x v="4"/>
    <x v="0"/>
    <x v="0"/>
    <x v="22"/>
    <x v="1"/>
    <x v="4"/>
    <n v="0"/>
    <m/>
  </r>
  <r>
    <x v="4"/>
    <x v="0"/>
    <x v="0"/>
    <x v="23"/>
    <x v="1"/>
    <x v="4"/>
    <n v="0"/>
    <m/>
  </r>
  <r>
    <x v="4"/>
    <x v="0"/>
    <x v="0"/>
    <x v="24"/>
    <x v="1"/>
    <x v="4"/>
    <n v="0"/>
    <m/>
  </r>
  <r>
    <x v="4"/>
    <x v="0"/>
    <x v="0"/>
    <x v="25"/>
    <x v="2"/>
    <x v="2"/>
    <n v="1"/>
    <s v=""/>
  </r>
  <r>
    <x v="4"/>
    <x v="0"/>
    <x v="0"/>
    <x v="26"/>
    <x v="1"/>
    <x v="4"/>
    <n v="0"/>
    <m/>
  </r>
  <r>
    <x v="4"/>
    <x v="0"/>
    <x v="0"/>
    <x v="27"/>
    <x v="1"/>
    <x v="4"/>
    <n v="0"/>
    <m/>
  </r>
  <r>
    <x v="4"/>
    <x v="0"/>
    <x v="0"/>
    <x v="28"/>
    <x v="1"/>
    <x v="4"/>
    <n v="0"/>
    <m/>
  </r>
  <r>
    <x v="4"/>
    <x v="0"/>
    <x v="0"/>
    <x v="11"/>
    <x v="2"/>
    <x v="0"/>
    <n v="1"/>
    <s v=""/>
  </r>
  <r>
    <x v="4"/>
    <x v="0"/>
    <x v="0"/>
    <x v="29"/>
    <x v="1"/>
    <x v="1"/>
    <n v="1"/>
    <s v=""/>
  </r>
  <r>
    <x v="4"/>
    <x v="0"/>
    <x v="1"/>
    <x v="30"/>
    <x v="1"/>
    <x v="4"/>
    <n v="0"/>
    <m/>
  </r>
  <r>
    <x v="4"/>
    <x v="0"/>
    <x v="1"/>
    <x v="31"/>
    <x v="1"/>
    <x v="4"/>
    <n v="0"/>
    <m/>
  </r>
  <r>
    <x v="4"/>
    <x v="0"/>
    <x v="1"/>
    <x v="32"/>
    <x v="5"/>
    <x v="0"/>
    <n v="1"/>
    <s v=""/>
  </r>
  <r>
    <x v="4"/>
    <x v="0"/>
    <x v="1"/>
    <x v="32"/>
    <x v="5"/>
    <x v="2"/>
    <n v="1"/>
    <s v=""/>
  </r>
  <r>
    <x v="4"/>
    <x v="0"/>
    <x v="1"/>
    <x v="33"/>
    <x v="4"/>
    <x v="3"/>
    <s v=""/>
    <s v="plaque absente"/>
  </r>
  <r>
    <x v="4"/>
    <x v="0"/>
    <x v="1"/>
    <x v="10"/>
    <x v="1"/>
    <x v="4"/>
    <n v="0"/>
    <m/>
  </r>
  <r>
    <x v="4"/>
    <x v="0"/>
    <x v="1"/>
    <x v="34"/>
    <x v="0"/>
    <x v="2"/>
    <n v="1"/>
    <s v=""/>
  </r>
  <r>
    <x v="4"/>
    <x v="0"/>
    <x v="1"/>
    <x v="34"/>
    <x v="2"/>
    <x v="0"/>
    <n v="1"/>
    <s v=""/>
  </r>
  <r>
    <x v="4"/>
    <x v="0"/>
    <x v="1"/>
    <x v="35"/>
    <x v="1"/>
    <x v="4"/>
    <n v="0"/>
    <m/>
  </r>
  <r>
    <x v="4"/>
    <x v="0"/>
    <x v="1"/>
    <x v="36"/>
    <x v="5"/>
    <x v="0"/>
    <n v="1"/>
    <s v=""/>
  </r>
  <r>
    <x v="4"/>
    <x v="0"/>
    <x v="1"/>
    <x v="37"/>
    <x v="1"/>
    <x v="4"/>
    <n v="0"/>
    <m/>
  </r>
  <r>
    <x v="4"/>
    <x v="0"/>
    <x v="1"/>
    <x v="9"/>
    <x v="0"/>
    <x v="0"/>
    <n v="1"/>
    <s v=""/>
  </r>
  <r>
    <x v="4"/>
    <x v="0"/>
    <x v="1"/>
    <x v="38"/>
    <x v="1"/>
    <x v="4"/>
    <n v="0"/>
    <m/>
  </r>
  <r>
    <x v="4"/>
    <x v="0"/>
    <x v="1"/>
    <x v="8"/>
    <x v="1"/>
    <x v="4"/>
    <n v="0"/>
    <m/>
  </r>
  <r>
    <x v="4"/>
    <x v="0"/>
    <x v="1"/>
    <x v="39"/>
    <x v="1"/>
    <x v="4"/>
    <n v="0"/>
    <m/>
  </r>
  <r>
    <x v="4"/>
    <x v="0"/>
    <x v="1"/>
    <x v="7"/>
    <x v="1"/>
    <x v="4"/>
    <n v="0"/>
    <m/>
  </r>
  <r>
    <x v="4"/>
    <x v="0"/>
    <x v="1"/>
    <x v="6"/>
    <x v="1"/>
    <x v="4"/>
    <n v="0"/>
    <m/>
  </r>
  <r>
    <x v="4"/>
    <x v="0"/>
    <x v="1"/>
    <x v="40"/>
    <x v="5"/>
    <x v="1"/>
    <n v="1"/>
    <s v=""/>
  </r>
  <r>
    <x v="4"/>
    <x v="0"/>
    <x v="1"/>
    <x v="41"/>
    <x v="1"/>
    <x v="4"/>
    <n v="0"/>
    <m/>
  </r>
  <r>
    <x v="4"/>
    <x v="0"/>
    <x v="1"/>
    <x v="42"/>
    <x v="1"/>
    <x v="4"/>
    <n v="0"/>
    <m/>
  </r>
  <r>
    <x v="4"/>
    <x v="0"/>
    <x v="1"/>
    <x v="5"/>
    <x v="1"/>
    <x v="4"/>
    <n v="0"/>
    <m/>
  </r>
  <r>
    <x v="4"/>
    <x v="0"/>
    <x v="1"/>
    <x v="43"/>
    <x v="1"/>
    <x v="4"/>
    <n v="0"/>
    <m/>
  </r>
  <r>
    <x v="4"/>
    <x v="0"/>
    <x v="2"/>
    <x v="44"/>
    <x v="1"/>
    <x v="4"/>
    <n v="0"/>
    <m/>
  </r>
  <r>
    <x v="4"/>
    <x v="0"/>
    <x v="2"/>
    <x v="45"/>
    <x v="1"/>
    <x v="4"/>
    <n v="0"/>
    <m/>
  </r>
  <r>
    <x v="4"/>
    <x v="0"/>
    <x v="2"/>
    <x v="46"/>
    <x v="1"/>
    <x v="4"/>
    <n v="0"/>
    <m/>
  </r>
  <r>
    <x v="4"/>
    <x v="0"/>
    <x v="2"/>
    <x v="4"/>
    <x v="1"/>
    <x v="4"/>
    <n v="0"/>
    <m/>
  </r>
  <r>
    <x v="4"/>
    <x v="0"/>
    <x v="2"/>
    <x v="47"/>
    <x v="1"/>
    <x v="4"/>
    <n v="0"/>
    <m/>
  </r>
  <r>
    <x v="4"/>
    <x v="0"/>
    <x v="2"/>
    <x v="48"/>
    <x v="1"/>
    <x v="4"/>
    <n v="0"/>
    <m/>
  </r>
  <r>
    <x v="4"/>
    <x v="0"/>
    <x v="2"/>
    <x v="49"/>
    <x v="1"/>
    <x v="4"/>
    <n v="0"/>
    <m/>
  </r>
  <r>
    <x v="4"/>
    <x v="0"/>
    <x v="2"/>
    <x v="50"/>
    <x v="3"/>
    <x v="0"/>
    <n v="1"/>
    <s v=""/>
  </r>
  <r>
    <x v="4"/>
    <x v="0"/>
    <x v="2"/>
    <x v="3"/>
    <x v="1"/>
    <x v="4"/>
    <n v="0"/>
    <m/>
  </r>
  <r>
    <x v="4"/>
    <x v="0"/>
    <x v="2"/>
    <x v="51"/>
    <x v="1"/>
    <x v="4"/>
    <n v="0"/>
    <m/>
  </r>
  <r>
    <x v="4"/>
    <x v="0"/>
    <x v="2"/>
    <x v="2"/>
    <x v="1"/>
    <x v="4"/>
    <n v="0"/>
    <m/>
  </r>
  <r>
    <x v="4"/>
    <x v="0"/>
    <x v="2"/>
    <x v="52"/>
    <x v="1"/>
    <x v="4"/>
    <n v="0"/>
    <m/>
  </r>
  <r>
    <x v="4"/>
    <x v="0"/>
    <x v="2"/>
    <x v="53"/>
    <x v="1"/>
    <x v="4"/>
    <n v="0"/>
    <m/>
  </r>
  <r>
    <x v="4"/>
    <x v="0"/>
    <x v="2"/>
    <x v="54"/>
    <x v="1"/>
    <x v="4"/>
    <n v="0"/>
    <m/>
  </r>
  <r>
    <x v="4"/>
    <x v="0"/>
    <x v="2"/>
    <x v="1"/>
    <x v="1"/>
    <x v="4"/>
    <n v="0"/>
    <m/>
  </r>
  <r>
    <x v="4"/>
    <x v="0"/>
    <x v="2"/>
    <x v="55"/>
    <x v="1"/>
    <x v="4"/>
    <n v="0"/>
    <m/>
  </r>
  <r>
    <x v="4"/>
    <x v="0"/>
    <x v="2"/>
    <x v="56"/>
    <x v="1"/>
    <x v="4"/>
    <n v="0"/>
    <m/>
  </r>
  <r>
    <x v="4"/>
    <x v="0"/>
    <x v="2"/>
    <x v="57"/>
    <x v="1"/>
    <x v="4"/>
    <n v="0"/>
    <m/>
  </r>
  <r>
    <x v="4"/>
    <x v="0"/>
    <x v="2"/>
    <x v="58"/>
    <x v="1"/>
    <x v="4"/>
    <n v="0"/>
    <m/>
  </r>
  <r>
    <x v="4"/>
    <x v="0"/>
    <x v="2"/>
    <x v="59"/>
    <x v="1"/>
    <x v="4"/>
    <n v="0"/>
    <m/>
  </r>
  <r>
    <x v="4"/>
    <x v="1"/>
    <x v="0"/>
    <x v="60"/>
    <x v="1"/>
    <x v="4"/>
    <n v="0"/>
    <m/>
  </r>
  <r>
    <x v="4"/>
    <x v="1"/>
    <x v="0"/>
    <x v="61"/>
    <x v="2"/>
    <x v="1"/>
    <n v="1"/>
    <s v=""/>
  </r>
  <r>
    <x v="4"/>
    <x v="1"/>
    <x v="0"/>
    <x v="62"/>
    <x v="1"/>
    <x v="4"/>
    <n v="0"/>
    <m/>
  </r>
  <r>
    <x v="4"/>
    <x v="1"/>
    <x v="0"/>
    <x v="63"/>
    <x v="1"/>
    <x v="4"/>
    <n v="0"/>
    <m/>
  </r>
  <r>
    <x v="4"/>
    <x v="1"/>
    <x v="0"/>
    <x v="64"/>
    <x v="1"/>
    <x v="4"/>
    <n v="0"/>
    <m/>
  </r>
  <r>
    <x v="4"/>
    <x v="1"/>
    <x v="0"/>
    <x v="65"/>
    <x v="2"/>
    <x v="0"/>
    <n v="1"/>
    <s v=""/>
  </r>
  <r>
    <x v="4"/>
    <x v="1"/>
    <x v="0"/>
    <x v="66"/>
    <x v="1"/>
    <x v="4"/>
    <n v="0"/>
    <m/>
  </r>
  <r>
    <x v="4"/>
    <x v="1"/>
    <x v="0"/>
    <x v="67"/>
    <x v="2"/>
    <x v="0"/>
    <n v="1"/>
    <s v=""/>
  </r>
  <r>
    <x v="4"/>
    <x v="1"/>
    <x v="0"/>
    <x v="68"/>
    <x v="1"/>
    <x v="4"/>
    <n v="0"/>
    <m/>
  </r>
  <r>
    <x v="4"/>
    <x v="1"/>
    <x v="0"/>
    <x v="69"/>
    <x v="2"/>
    <x v="0"/>
    <n v="1"/>
    <s v=""/>
  </r>
  <r>
    <x v="4"/>
    <x v="1"/>
    <x v="0"/>
    <x v="70"/>
    <x v="1"/>
    <x v="4"/>
    <n v="0"/>
    <m/>
  </r>
  <r>
    <x v="4"/>
    <x v="1"/>
    <x v="0"/>
    <x v="71"/>
    <x v="1"/>
    <x v="4"/>
    <n v="0"/>
    <m/>
  </r>
  <r>
    <x v="4"/>
    <x v="1"/>
    <x v="0"/>
    <x v="72"/>
    <x v="1"/>
    <x v="4"/>
    <n v="0"/>
    <m/>
  </r>
  <r>
    <x v="4"/>
    <x v="1"/>
    <x v="0"/>
    <x v="73"/>
    <x v="1"/>
    <x v="4"/>
    <n v="0"/>
    <m/>
  </r>
  <r>
    <x v="4"/>
    <x v="1"/>
    <x v="0"/>
    <x v="74"/>
    <x v="1"/>
    <x v="4"/>
    <n v="0"/>
    <m/>
  </r>
  <r>
    <x v="4"/>
    <x v="1"/>
    <x v="0"/>
    <x v="75"/>
    <x v="1"/>
    <x v="4"/>
    <n v="0"/>
    <m/>
  </r>
  <r>
    <x v="4"/>
    <x v="1"/>
    <x v="0"/>
    <x v="76"/>
    <x v="1"/>
    <x v="4"/>
    <n v="0"/>
    <m/>
  </r>
  <r>
    <x v="4"/>
    <x v="1"/>
    <x v="0"/>
    <x v="77"/>
    <x v="1"/>
    <x v="4"/>
    <n v="0"/>
    <m/>
  </r>
  <r>
    <x v="4"/>
    <x v="1"/>
    <x v="0"/>
    <x v="78"/>
    <x v="2"/>
    <x v="1"/>
    <n v="2"/>
    <s v=""/>
  </r>
  <r>
    <x v="4"/>
    <x v="1"/>
    <x v="0"/>
    <x v="79"/>
    <x v="2"/>
    <x v="1"/>
    <n v="1"/>
    <s v=""/>
  </r>
  <r>
    <x v="4"/>
    <x v="1"/>
    <x v="1"/>
    <x v="80"/>
    <x v="1"/>
    <x v="4"/>
    <n v="0"/>
    <m/>
  </r>
  <r>
    <x v="4"/>
    <x v="1"/>
    <x v="1"/>
    <x v="81"/>
    <x v="1"/>
    <x v="4"/>
    <n v="0"/>
    <m/>
  </r>
  <r>
    <x v="4"/>
    <x v="1"/>
    <x v="1"/>
    <x v="82"/>
    <x v="1"/>
    <x v="4"/>
    <n v="0"/>
    <m/>
  </r>
  <r>
    <x v="4"/>
    <x v="1"/>
    <x v="1"/>
    <x v="83"/>
    <x v="5"/>
    <x v="0"/>
    <n v="1"/>
    <s v=""/>
  </r>
  <r>
    <x v="4"/>
    <x v="1"/>
    <x v="1"/>
    <x v="84"/>
    <x v="1"/>
    <x v="4"/>
    <n v="0"/>
    <m/>
  </r>
  <r>
    <x v="4"/>
    <x v="1"/>
    <x v="1"/>
    <x v="85"/>
    <x v="1"/>
    <x v="4"/>
    <n v="0"/>
    <m/>
  </r>
  <r>
    <x v="4"/>
    <x v="1"/>
    <x v="1"/>
    <x v="86"/>
    <x v="5"/>
    <x v="0"/>
    <n v="2"/>
    <s v=""/>
  </r>
  <r>
    <x v="4"/>
    <x v="1"/>
    <x v="1"/>
    <x v="87"/>
    <x v="5"/>
    <x v="0"/>
    <n v="1"/>
    <s v=""/>
  </r>
  <r>
    <x v="4"/>
    <x v="1"/>
    <x v="1"/>
    <x v="88"/>
    <x v="5"/>
    <x v="0"/>
    <n v="2"/>
    <s v=""/>
  </r>
  <r>
    <x v="4"/>
    <x v="1"/>
    <x v="1"/>
    <x v="89"/>
    <x v="1"/>
    <x v="4"/>
    <n v="0"/>
    <m/>
  </r>
  <r>
    <x v="4"/>
    <x v="1"/>
    <x v="1"/>
    <x v="90"/>
    <x v="1"/>
    <x v="4"/>
    <n v="0"/>
    <m/>
  </r>
  <r>
    <x v="4"/>
    <x v="1"/>
    <x v="1"/>
    <x v="91"/>
    <x v="5"/>
    <x v="0"/>
    <n v="2"/>
    <s v=""/>
  </r>
  <r>
    <x v="4"/>
    <x v="1"/>
    <x v="1"/>
    <x v="92"/>
    <x v="1"/>
    <x v="4"/>
    <n v="0"/>
    <m/>
  </r>
  <r>
    <x v="4"/>
    <x v="1"/>
    <x v="1"/>
    <x v="93"/>
    <x v="1"/>
    <x v="4"/>
    <n v="0"/>
    <m/>
  </r>
  <r>
    <x v="4"/>
    <x v="1"/>
    <x v="1"/>
    <x v="94"/>
    <x v="1"/>
    <x v="4"/>
    <n v="0"/>
    <m/>
  </r>
  <r>
    <x v="4"/>
    <x v="1"/>
    <x v="1"/>
    <x v="95"/>
    <x v="3"/>
    <x v="0"/>
    <n v="1"/>
    <s v=""/>
  </r>
  <r>
    <x v="4"/>
    <x v="1"/>
    <x v="1"/>
    <x v="95"/>
    <x v="5"/>
    <x v="1"/>
    <n v="2"/>
    <s v=""/>
  </r>
  <r>
    <x v="4"/>
    <x v="1"/>
    <x v="1"/>
    <x v="96"/>
    <x v="1"/>
    <x v="4"/>
    <n v="0"/>
    <m/>
  </r>
  <r>
    <x v="4"/>
    <x v="1"/>
    <x v="1"/>
    <x v="97"/>
    <x v="1"/>
    <x v="4"/>
    <n v="0"/>
    <m/>
  </r>
  <r>
    <x v="4"/>
    <x v="1"/>
    <x v="1"/>
    <x v="98"/>
    <x v="5"/>
    <x v="0"/>
    <n v="2"/>
    <s v=""/>
  </r>
  <r>
    <x v="4"/>
    <x v="1"/>
    <x v="1"/>
    <x v="99"/>
    <x v="1"/>
    <x v="4"/>
    <n v="0"/>
    <m/>
  </r>
  <r>
    <x v="4"/>
    <x v="1"/>
    <x v="2"/>
    <x v="100"/>
    <x v="1"/>
    <x v="4"/>
    <n v="0"/>
    <m/>
  </r>
  <r>
    <x v="4"/>
    <x v="1"/>
    <x v="2"/>
    <x v="101"/>
    <x v="1"/>
    <x v="4"/>
    <n v="0"/>
    <m/>
  </r>
  <r>
    <x v="4"/>
    <x v="1"/>
    <x v="2"/>
    <x v="102"/>
    <x v="5"/>
    <x v="0"/>
    <n v="1"/>
    <s v=""/>
  </r>
  <r>
    <x v="4"/>
    <x v="1"/>
    <x v="2"/>
    <x v="103"/>
    <x v="5"/>
    <x v="0"/>
    <n v="1"/>
    <s v=""/>
  </r>
  <r>
    <x v="4"/>
    <x v="1"/>
    <x v="2"/>
    <x v="104"/>
    <x v="1"/>
    <x v="4"/>
    <n v="0"/>
    <m/>
  </r>
  <r>
    <x v="4"/>
    <x v="1"/>
    <x v="2"/>
    <x v="105"/>
    <x v="5"/>
    <x v="0"/>
    <n v="1"/>
    <s v=""/>
  </r>
  <r>
    <x v="4"/>
    <x v="1"/>
    <x v="2"/>
    <x v="106"/>
    <x v="1"/>
    <x v="4"/>
    <n v="0"/>
    <m/>
  </r>
  <r>
    <x v="4"/>
    <x v="1"/>
    <x v="2"/>
    <x v="107"/>
    <x v="1"/>
    <x v="4"/>
    <n v="0"/>
    <m/>
  </r>
  <r>
    <x v="4"/>
    <x v="1"/>
    <x v="2"/>
    <x v="108"/>
    <x v="1"/>
    <x v="4"/>
    <n v="0"/>
    <m/>
  </r>
  <r>
    <x v="4"/>
    <x v="1"/>
    <x v="2"/>
    <x v="109"/>
    <x v="1"/>
    <x v="4"/>
    <n v="0"/>
    <m/>
  </r>
  <r>
    <x v="4"/>
    <x v="1"/>
    <x v="2"/>
    <x v="110"/>
    <x v="1"/>
    <x v="4"/>
    <n v="0"/>
    <m/>
  </r>
  <r>
    <x v="4"/>
    <x v="1"/>
    <x v="2"/>
    <x v="111"/>
    <x v="1"/>
    <x v="4"/>
    <n v="0"/>
    <m/>
  </r>
  <r>
    <x v="4"/>
    <x v="1"/>
    <x v="2"/>
    <x v="112"/>
    <x v="1"/>
    <x v="4"/>
    <n v="0"/>
    <m/>
  </r>
  <r>
    <x v="4"/>
    <x v="1"/>
    <x v="2"/>
    <x v="113"/>
    <x v="1"/>
    <x v="4"/>
    <n v="0"/>
    <m/>
  </r>
  <r>
    <x v="4"/>
    <x v="1"/>
    <x v="2"/>
    <x v="114"/>
    <x v="5"/>
    <x v="0"/>
    <n v="1"/>
    <s v=""/>
  </r>
  <r>
    <x v="4"/>
    <x v="1"/>
    <x v="2"/>
    <x v="115"/>
    <x v="5"/>
    <x v="1"/>
    <n v="1"/>
    <s v=""/>
  </r>
  <r>
    <x v="4"/>
    <x v="1"/>
    <x v="2"/>
    <x v="116"/>
    <x v="1"/>
    <x v="4"/>
    <n v="0"/>
    <m/>
  </r>
  <r>
    <x v="4"/>
    <x v="1"/>
    <x v="2"/>
    <x v="117"/>
    <x v="5"/>
    <x v="1"/>
    <n v="1"/>
    <s v=""/>
  </r>
  <r>
    <x v="4"/>
    <x v="1"/>
    <x v="2"/>
    <x v="118"/>
    <x v="1"/>
    <x v="4"/>
    <n v="0"/>
    <m/>
  </r>
  <r>
    <x v="4"/>
    <x v="1"/>
    <x v="2"/>
    <x v="119"/>
    <x v="1"/>
    <x v="4"/>
    <n v="0"/>
    <m/>
  </r>
  <r>
    <x v="4"/>
    <x v="2"/>
    <x v="0"/>
    <x v="120"/>
    <x v="1"/>
    <x v="4"/>
    <n v="0"/>
    <m/>
  </r>
  <r>
    <x v="4"/>
    <x v="2"/>
    <x v="0"/>
    <x v="121"/>
    <x v="1"/>
    <x v="4"/>
    <n v="0"/>
    <m/>
  </r>
  <r>
    <x v="4"/>
    <x v="2"/>
    <x v="0"/>
    <x v="122"/>
    <x v="1"/>
    <x v="4"/>
    <n v="0"/>
    <m/>
  </r>
  <r>
    <x v="4"/>
    <x v="2"/>
    <x v="0"/>
    <x v="123"/>
    <x v="1"/>
    <x v="4"/>
    <n v="0"/>
    <m/>
  </r>
  <r>
    <x v="4"/>
    <x v="2"/>
    <x v="0"/>
    <x v="124"/>
    <x v="1"/>
    <x v="4"/>
    <n v="0"/>
    <m/>
  </r>
  <r>
    <x v="4"/>
    <x v="2"/>
    <x v="0"/>
    <x v="125"/>
    <x v="1"/>
    <x v="4"/>
    <n v="0"/>
    <m/>
  </r>
  <r>
    <x v="4"/>
    <x v="2"/>
    <x v="0"/>
    <x v="126"/>
    <x v="1"/>
    <x v="4"/>
    <n v="0"/>
    <m/>
  </r>
  <r>
    <x v="4"/>
    <x v="2"/>
    <x v="0"/>
    <x v="127"/>
    <x v="1"/>
    <x v="4"/>
    <n v="0"/>
    <m/>
  </r>
  <r>
    <x v="4"/>
    <x v="2"/>
    <x v="0"/>
    <x v="128"/>
    <x v="1"/>
    <x v="4"/>
    <n v="0"/>
    <m/>
  </r>
  <r>
    <x v="4"/>
    <x v="2"/>
    <x v="0"/>
    <x v="129"/>
    <x v="1"/>
    <x v="4"/>
    <n v="0"/>
    <m/>
  </r>
  <r>
    <x v="4"/>
    <x v="2"/>
    <x v="0"/>
    <x v="130"/>
    <x v="1"/>
    <x v="4"/>
    <n v="0"/>
    <m/>
  </r>
  <r>
    <x v="4"/>
    <x v="2"/>
    <x v="0"/>
    <x v="131"/>
    <x v="1"/>
    <x v="4"/>
    <n v="0"/>
    <m/>
  </r>
  <r>
    <x v="4"/>
    <x v="2"/>
    <x v="0"/>
    <x v="132"/>
    <x v="1"/>
    <x v="4"/>
    <n v="0"/>
    <m/>
  </r>
  <r>
    <x v="4"/>
    <x v="2"/>
    <x v="0"/>
    <x v="133"/>
    <x v="1"/>
    <x v="4"/>
    <n v="0"/>
    <m/>
  </r>
  <r>
    <x v="4"/>
    <x v="2"/>
    <x v="0"/>
    <x v="134"/>
    <x v="1"/>
    <x v="4"/>
    <n v="0"/>
    <m/>
  </r>
  <r>
    <x v="4"/>
    <x v="2"/>
    <x v="0"/>
    <x v="135"/>
    <x v="1"/>
    <x v="4"/>
    <n v="0"/>
    <m/>
  </r>
  <r>
    <x v="4"/>
    <x v="2"/>
    <x v="0"/>
    <x v="136"/>
    <x v="3"/>
    <x v="0"/>
    <n v="1"/>
    <s v=""/>
  </r>
  <r>
    <x v="4"/>
    <x v="2"/>
    <x v="0"/>
    <x v="137"/>
    <x v="1"/>
    <x v="4"/>
    <n v="0"/>
    <m/>
  </r>
  <r>
    <x v="4"/>
    <x v="2"/>
    <x v="0"/>
    <x v="138"/>
    <x v="1"/>
    <x v="4"/>
    <n v="0"/>
    <m/>
  </r>
  <r>
    <x v="4"/>
    <x v="2"/>
    <x v="0"/>
    <x v="139"/>
    <x v="1"/>
    <x v="4"/>
    <n v="0"/>
    <m/>
  </r>
  <r>
    <x v="4"/>
    <x v="2"/>
    <x v="1"/>
    <x v="140"/>
    <x v="1"/>
    <x v="4"/>
    <n v="0"/>
    <m/>
  </r>
  <r>
    <x v="4"/>
    <x v="2"/>
    <x v="1"/>
    <x v="141"/>
    <x v="4"/>
    <x v="3"/>
    <s v=""/>
    <s v="plaque absente"/>
  </r>
  <r>
    <x v="4"/>
    <x v="2"/>
    <x v="1"/>
    <x v="142"/>
    <x v="1"/>
    <x v="4"/>
    <n v="0"/>
    <m/>
  </r>
  <r>
    <x v="4"/>
    <x v="2"/>
    <x v="1"/>
    <x v="143"/>
    <x v="1"/>
    <x v="4"/>
    <n v="0"/>
    <m/>
  </r>
  <r>
    <x v="4"/>
    <x v="2"/>
    <x v="1"/>
    <x v="144"/>
    <x v="1"/>
    <x v="4"/>
    <n v="0"/>
    <m/>
  </r>
  <r>
    <x v="4"/>
    <x v="2"/>
    <x v="1"/>
    <x v="145"/>
    <x v="1"/>
    <x v="4"/>
    <n v="0"/>
    <m/>
  </r>
  <r>
    <x v="4"/>
    <x v="2"/>
    <x v="1"/>
    <x v="146"/>
    <x v="3"/>
    <x v="0"/>
    <n v="1"/>
    <s v=""/>
  </r>
  <r>
    <x v="4"/>
    <x v="2"/>
    <x v="1"/>
    <x v="147"/>
    <x v="1"/>
    <x v="4"/>
    <n v="0"/>
    <m/>
  </r>
  <r>
    <x v="4"/>
    <x v="2"/>
    <x v="1"/>
    <x v="148"/>
    <x v="1"/>
    <x v="4"/>
    <n v="0"/>
    <m/>
  </r>
  <r>
    <x v="4"/>
    <x v="2"/>
    <x v="1"/>
    <x v="149"/>
    <x v="1"/>
    <x v="4"/>
    <n v="0"/>
    <m/>
  </r>
  <r>
    <x v="4"/>
    <x v="2"/>
    <x v="1"/>
    <x v="150"/>
    <x v="1"/>
    <x v="4"/>
    <n v="0"/>
    <m/>
  </r>
  <r>
    <x v="4"/>
    <x v="2"/>
    <x v="1"/>
    <x v="151"/>
    <x v="1"/>
    <x v="4"/>
    <n v="0"/>
    <m/>
  </r>
  <r>
    <x v="4"/>
    <x v="2"/>
    <x v="1"/>
    <x v="152"/>
    <x v="1"/>
    <x v="4"/>
    <n v="0"/>
    <m/>
  </r>
  <r>
    <x v="4"/>
    <x v="2"/>
    <x v="1"/>
    <x v="153"/>
    <x v="1"/>
    <x v="4"/>
    <n v="0"/>
    <m/>
  </r>
  <r>
    <x v="4"/>
    <x v="2"/>
    <x v="1"/>
    <x v="154"/>
    <x v="1"/>
    <x v="4"/>
    <n v="0"/>
    <m/>
  </r>
  <r>
    <x v="4"/>
    <x v="2"/>
    <x v="1"/>
    <x v="155"/>
    <x v="1"/>
    <x v="4"/>
    <n v="0"/>
    <m/>
  </r>
  <r>
    <x v="4"/>
    <x v="2"/>
    <x v="1"/>
    <x v="156"/>
    <x v="1"/>
    <x v="4"/>
    <n v="0"/>
    <m/>
  </r>
  <r>
    <x v="4"/>
    <x v="2"/>
    <x v="1"/>
    <x v="157"/>
    <x v="1"/>
    <x v="4"/>
    <n v="0"/>
    <m/>
  </r>
  <r>
    <x v="4"/>
    <x v="2"/>
    <x v="1"/>
    <x v="158"/>
    <x v="1"/>
    <x v="4"/>
    <n v="0"/>
    <m/>
  </r>
  <r>
    <x v="4"/>
    <x v="2"/>
    <x v="1"/>
    <x v="159"/>
    <x v="1"/>
    <x v="4"/>
    <n v="0"/>
    <m/>
  </r>
  <r>
    <x v="4"/>
    <x v="2"/>
    <x v="2"/>
    <x v="160"/>
    <x v="1"/>
    <x v="4"/>
    <n v="0"/>
    <m/>
  </r>
  <r>
    <x v="4"/>
    <x v="2"/>
    <x v="2"/>
    <x v="161"/>
    <x v="1"/>
    <x v="4"/>
    <n v="0"/>
    <m/>
  </r>
  <r>
    <x v="4"/>
    <x v="2"/>
    <x v="2"/>
    <x v="162"/>
    <x v="1"/>
    <x v="4"/>
    <n v="0"/>
    <m/>
  </r>
  <r>
    <x v="4"/>
    <x v="2"/>
    <x v="2"/>
    <x v="163"/>
    <x v="1"/>
    <x v="4"/>
    <n v="0"/>
    <m/>
  </r>
  <r>
    <x v="4"/>
    <x v="2"/>
    <x v="2"/>
    <x v="164"/>
    <x v="2"/>
    <x v="1"/>
    <n v="1"/>
    <s v=""/>
  </r>
  <r>
    <x v="4"/>
    <x v="2"/>
    <x v="2"/>
    <x v="165"/>
    <x v="1"/>
    <x v="4"/>
    <n v="0"/>
    <m/>
  </r>
  <r>
    <x v="4"/>
    <x v="2"/>
    <x v="2"/>
    <x v="166"/>
    <x v="1"/>
    <x v="4"/>
    <n v="0"/>
    <m/>
  </r>
  <r>
    <x v="4"/>
    <x v="2"/>
    <x v="2"/>
    <x v="167"/>
    <x v="2"/>
    <x v="2"/>
    <n v="2"/>
    <s v=""/>
  </r>
  <r>
    <x v="4"/>
    <x v="2"/>
    <x v="2"/>
    <x v="168"/>
    <x v="1"/>
    <x v="4"/>
    <n v="0"/>
    <m/>
  </r>
  <r>
    <x v="4"/>
    <x v="2"/>
    <x v="2"/>
    <x v="169"/>
    <x v="1"/>
    <x v="4"/>
    <n v="0"/>
    <m/>
  </r>
  <r>
    <x v="4"/>
    <x v="2"/>
    <x v="2"/>
    <x v="170"/>
    <x v="1"/>
    <x v="4"/>
    <n v="0"/>
    <m/>
  </r>
  <r>
    <x v="4"/>
    <x v="2"/>
    <x v="2"/>
    <x v="171"/>
    <x v="1"/>
    <x v="4"/>
    <n v="0"/>
    <m/>
  </r>
  <r>
    <x v="4"/>
    <x v="2"/>
    <x v="2"/>
    <x v="172"/>
    <x v="1"/>
    <x v="4"/>
    <n v="0"/>
    <m/>
  </r>
  <r>
    <x v="4"/>
    <x v="2"/>
    <x v="2"/>
    <x v="173"/>
    <x v="1"/>
    <x v="4"/>
    <n v="0"/>
    <m/>
  </r>
  <r>
    <x v="4"/>
    <x v="2"/>
    <x v="2"/>
    <x v="174"/>
    <x v="1"/>
    <x v="4"/>
    <n v="0"/>
    <m/>
  </r>
  <r>
    <x v="4"/>
    <x v="2"/>
    <x v="2"/>
    <x v="175"/>
    <x v="4"/>
    <x v="3"/>
    <s v=""/>
    <s v="plaque absente"/>
  </r>
  <r>
    <x v="4"/>
    <x v="2"/>
    <x v="2"/>
    <x v="176"/>
    <x v="1"/>
    <x v="4"/>
    <n v="0"/>
    <m/>
  </r>
  <r>
    <x v="4"/>
    <x v="2"/>
    <x v="2"/>
    <x v="177"/>
    <x v="1"/>
    <x v="4"/>
    <n v="0"/>
    <m/>
  </r>
  <r>
    <x v="4"/>
    <x v="2"/>
    <x v="2"/>
    <x v="178"/>
    <x v="1"/>
    <x v="4"/>
    <n v="0"/>
    <m/>
  </r>
  <r>
    <x v="4"/>
    <x v="2"/>
    <x v="2"/>
    <x v="179"/>
    <x v="1"/>
    <x v="4"/>
    <n v="0"/>
    <m/>
  </r>
  <r>
    <x v="5"/>
    <x v="0"/>
    <x v="0"/>
    <x v="0"/>
    <x v="3"/>
    <x v="0"/>
    <n v="2"/>
    <s v=""/>
  </r>
  <r>
    <x v="5"/>
    <x v="0"/>
    <x v="0"/>
    <x v="0"/>
    <x v="1"/>
    <x v="0"/>
    <n v="1"/>
    <s v=""/>
  </r>
  <r>
    <x v="5"/>
    <x v="0"/>
    <x v="0"/>
    <x v="0"/>
    <x v="2"/>
    <x v="0"/>
    <n v="1"/>
    <s v=""/>
  </r>
  <r>
    <x v="5"/>
    <x v="0"/>
    <x v="0"/>
    <x v="0"/>
    <x v="5"/>
    <x v="0"/>
    <n v="2"/>
    <s v=""/>
  </r>
  <r>
    <x v="5"/>
    <x v="0"/>
    <x v="0"/>
    <x v="16"/>
    <x v="4"/>
    <x v="3"/>
    <s v=""/>
    <s v="plaque absente"/>
  </r>
  <r>
    <x v="5"/>
    <x v="0"/>
    <x v="0"/>
    <x v="15"/>
    <x v="2"/>
    <x v="0"/>
    <n v="1"/>
    <s v=""/>
  </r>
  <r>
    <x v="5"/>
    <x v="0"/>
    <x v="0"/>
    <x v="15"/>
    <x v="2"/>
    <x v="2"/>
    <n v="1"/>
    <s v=""/>
  </r>
  <r>
    <x v="5"/>
    <x v="0"/>
    <x v="0"/>
    <x v="17"/>
    <x v="0"/>
    <x v="0"/>
    <n v="1"/>
    <s v=""/>
  </r>
  <r>
    <x v="5"/>
    <x v="0"/>
    <x v="0"/>
    <x v="17"/>
    <x v="2"/>
    <x v="1"/>
    <n v="2"/>
    <s v=""/>
  </r>
  <r>
    <x v="5"/>
    <x v="0"/>
    <x v="0"/>
    <x v="17"/>
    <x v="2"/>
    <x v="0"/>
    <n v="5"/>
    <s v=""/>
  </r>
  <r>
    <x v="5"/>
    <x v="0"/>
    <x v="0"/>
    <x v="14"/>
    <x v="1"/>
    <x v="4"/>
    <n v="0"/>
    <m/>
  </r>
  <r>
    <x v="5"/>
    <x v="0"/>
    <x v="0"/>
    <x v="18"/>
    <x v="3"/>
    <x v="1"/>
    <n v="1"/>
    <s v=""/>
  </r>
  <r>
    <x v="5"/>
    <x v="0"/>
    <x v="0"/>
    <x v="18"/>
    <x v="2"/>
    <x v="1"/>
    <n v="3"/>
    <s v=""/>
  </r>
  <r>
    <x v="5"/>
    <x v="0"/>
    <x v="0"/>
    <x v="18"/>
    <x v="2"/>
    <x v="2"/>
    <n v="1"/>
    <s v=""/>
  </r>
  <r>
    <x v="5"/>
    <x v="0"/>
    <x v="0"/>
    <x v="13"/>
    <x v="1"/>
    <x v="4"/>
    <n v="0"/>
    <m/>
  </r>
  <r>
    <x v="5"/>
    <x v="0"/>
    <x v="0"/>
    <x v="19"/>
    <x v="3"/>
    <x v="2"/>
    <n v="1"/>
    <s v=""/>
  </r>
  <r>
    <x v="5"/>
    <x v="0"/>
    <x v="0"/>
    <x v="19"/>
    <x v="0"/>
    <x v="1"/>
    <n v="1"/>
    <s v=""/>
  </r>
  <r>
    <x v="5"/>
    <x v="0"/>
    <x v="0"/>
    <x v="19"/>
    <x v="2"/>
    <x v="1"/>
    <n v="2"/>
    <s v=""/>
  </r>
  <r>
    <x v="5"/>
    <x v="0"/>
    <x v="0"/>
    <x v="19"/>
    <x v="2"/>
    <x v="2"/>
    <n v="1"/>
    <s v=""/>
  </r>
  <r>
    <x v="5"/>
    <x v="0"/>
    <x v="0"/>
    <x v="20"/>
    <x v="3"/>
    <x v="1"/>
    <n v="1"/>
    <s v=""/>
  </r>
  <r>
    <x v="5"/>
    <x v="0"/>
    <x v="0"/>
    <x v="20"/>
    <x v="2"/>
    <x v="1"/>
    <n v="1"/>
    <s v=""/>
  </r>
  <r>
    <x v="5"/>
    <x v="0"/>
    <x v="0"/>
    <x v="12"/>
    <x v="3"/>
    <x v="1"/>
    <n v="4"/>
    <s v=""/>
  </r>
  <r>
    <x v="5"/>
    <x v="0"/>
    <x v="0"/>
    <x v="12"/>
    <x v="2"/>
    <x v="1"/>
    <n v="4"/>
    <s v=""/>
  </r>
  <r>
    <x v="5"/>
    <x v="0"/>
    <x v="0"/>
    <x v="12"/>
    <x v="2"/>
    <x v="2"/>
    <n v="1"/>
    <s v=""/>
  </r>
  <r>
    <x v="5"/>
    <x v="0"/>
    <x v="0"/>
    <x v="12"/>
    <x v="5"/>
    <x v="1"/>
    <n v="1"/>
    <s v=""/>
  </r>
  <r>
    <x v="5"/>
    <x v="0"/>
    <x v="0"/>
    <x v="21"/>
    <x v="0"/>
    <x v="2"/>
    <n v="1"/>
    <s v=""/>
  </r>
  <r>
    <x v="5"/>
    <x v="0"/>
    <x v="0"/>
    <x v="21"/>
    <x v="2"/>
    <x v="1"/>
    <n v="2"/>
    <s v=""/>
  </r>
  <r>
    <x v="5"/>
    <x v="0"/>
    <x v="0"/>
    <x v="21"/>
    <x v="2"/>
    <x v="2"/>
    <n v="1"/>
    <s v=""/>
  </r>
  <r>
    <x v="5"/>
    <x v="0"/>
    <x v="0"/>
    <x v="21"/>
    <x v="5"/>
    <x v="0"/>
    <n v="1"/>
    <s v=""/>
  </r>
  <r>
    <x v="5"/>
    <x v="0"/>
    <x v="0"/>
    <x v="22"/>
    <x v="1"/>
    <x v="4"/>
    <n v="0"/>
    <m/>
  </r>
  <r>
    <x v="5"/>
    <x v="0"/>
    <x v="0"/>
    <x v="23"/>
    <x v="1"/>
    <x v="4"/>
    <n v="0"/>
    <m/>
  </r>
  <r>
    <x v="5"/>
    <x v="0"/>
    <x v="0"/>
    <x v="24"/>
    <x v="2"/>
    <x v="0"/>
    <n v="1"/>
    <s v=""/>
  </r>
  <r>
    <x v="5"/>
    <x v="0"/>
    <x v="0"/>
    <x v="25"/>
    <x v="4"/>
    <x v="3"/>
    <s v=""/>
    <s v="plaque absente"/>
  </r>
  <r>
    <x v="5"/>
    <x v="0"/>
    <x v="0"/>
    <x v="26"/>
    <x v="3"/>
    <x v="0"/>
    <n v="2"/>
    <s v=""/>
  </r>
  <r>
    <x v="5"/>
    <x v="0"/>
    <x v="0"/>
    <x v="26"/>
    <x v="2"/>
    <x v="1"/>
    <n v="1"/>
    <s v=""/>
  </r>
  <r>
    <x v="5"/>
    <x v="0"/>
    <x v="0"/>
    <x v="26"/>
    <x v="2"/>
    <x v="0"/>
    <n v="1"/>
    <s v=""/>
  </r>
  <r>
    <x v="5"/>
    <x v="0"/>
    <x v="0"/>
    <x v="26"/>
    <x v="5"/>
    <x v="0"/>
    <n v="1"/>
    <s v=""/>
  </r>
  <r>
    <x v="5"/>
    <x v="0"/>
    <x v="0"/>
    <x v="27"/>
    <x v="3"/>
    <x v="1"/>
    <n v="4"/>
    <s v=""/>
  </r>
  <r>
    <x v="5"/>
    <x v="0"/>
    <x v="0"/>
    <x v="27"/>
    <x v="3"/>
    <x v="0"/>
    <n v="1"/>
    <s v=""/>
  </r>
  <r>
    <x v="5"/>
    <x v="0"/>
    <x v="0"/>
    <x v="27"/>
    <x v="2"/>
    <x v="1"/>
    <n v="4"/>
    <s v=""/>
  </r>
  <r>
    <x v="5"/>
    <x v="0"/>
    <x v="0"/>
    <x v="27"/>
    <x v="2"/>
    <x v="0"/>
    <n v="1"/>
    <s v=""/>
  </r>
  <r>
    <x v="5"/>
    <x v="0"/>
    <x v="0"/>
    <x v="28"/>
    <x v="2"/>
    <x v="0"/>
    <n v="1"/>
    <s v=""/>
  </r>
  <r>
    <x v="5"/>
    <x v="0"/>
    <x v="0"/>
    <x v="11"/>
    <x v="0"/>
    <x v="2"/>
    <n v="1"/>
    <s v=""/>
  </r>
  <r>
    <x v="5"/>
    <x v="0"/>
    <x v="0"/>
    <x v="11"/>
    <x v="2"/>
    <x v="1"/>
    <n v="1"/>
    <s v=""/>
  </r>
  <r>
    <x v="5"/>
    <x v="0"/>
    <x v="0"/>
    <x v="11"/>
    <x v="2"/>
    <x v="0"/>
    <n v="1"/>
    <s v=""/>
  </r>
  <r>
    <x v="5"/>
    <x v="0"/>
    <x v="0"/>
    <x v="11"/>
    <x v="5"/>
    <x v="2"/>
    <n v="1"/>
    <s v=""/>
  </r>
  <r>
    <x v="5"/>
    <x v="0"/>
    <x v="0"/>
    <x v="29"/>
    <x v="3"/>
    <x v="1"/>
    <n v="1"/>
    <s v=""/>
  </r>
  <r>
    <x v="5"/>
    <x v="0"/>
    <x v="0"/>
    <x v="29"/>
    <x v="3"/>
    <x v="0"/>
    <n v="1"/>
    <s v=""/>
  </r>
  <r>
    <x v="5"/>
    <x v="0"/>
    <x v="0"/>
    <x v="29"/>
    <x v="2"/>
    <x v="1"/>
    <n v="1"/>
    <s v=""/>
  </r>
  <r>
    <x v="5"/>
    <x v="0"/>
    <x v="0"/>
    <x v="29"/>
    <x v="2"/>
    <x v="0"/>
    <n v="2"/>
    <s v=""/>
  </r>
  <r>
    <x v="5"/>
    <x v="0"/>
    <x v="1"/>
    <x v="30"/>
    <x v="1"/>
    <x v="4"/>
    <n v="0"/>
    <m/>
  </r>
  <r>
    <x v="5"/>
    <x v="0"/>
    <x v="1"/>
    <x v="31"/>
    <x v="2"/>
    <x v="1"/>
    <n v="1"/>
    <s v=""/>
  </r>
  <r>
    <x v="5"/>
    <x v="0"/>
    <x v="1"/>
    <x v="31"/>
    <x v="2"/>
    <x v="0"/>
    <n v="1"/>
    <s v=""/>
  </r>
  <r>
    <x v="5"/>
    <x v="0"/>
    <x v="1"/>
    <x v="32"/>
    <x v="0"/>
    <x v="2"/>
    <n v="1"/>
    <s v=""/>
  </r>
  <r>
    <x v="5"/>
    <x v="0"/>
    <x v="1"/>
    <x v="32"/>
    <x v="2"/>
    <x v="2"/>
    <n v="1"/>
    <s v=""/>
  </r>
  <r>
    <x v="5"/>
    <x v="0"/>
    <x v="1"/>
    <x v="33"/>
    <x v="4"/>
    <x v="3"/>
    <s v=""/>
    <s v="plaque absente"/>
  </r>
  <r>
    <x v="5"/>
    <x v="0"/>
    <x v="1"/>
    <x v="10"/>
    <x v="3"/>
    <x v="0"/>
    <n v="1"/>
    <s v=""/>
  </r>
  <r>
    <x v="5"/>
    <x v="0"/>
    <x v="1"/>
    <x v="10"/>
    <x v="2"/>
    <x v="0"/>
    <n v="1"/>
    <s v=""/>
  </r>
  <r>
    <x v="5"/>
    <x v="0"/>
    <x v="1"/>
    <x v="10"/>
    <x v="5"/>
    <x v="0"/>
    <n v="2"/>
    <s v=""/>
  </r>
  <r>
    <x v="5"/>
    <x v="0"/>
    <x v="1"/>
    <x v="34"/>
    <x v="2"/>
    <x v="1"/>
    <n v="2"/>
    <s v=""/>
  </r>
  <r>
    <x v="5"/>
    <x v="0"/>
    <x v="1"/>
    <x v="34"/>
    <x v="2"/>
    <x v="0"/>
    <n v="1"/>
    <s v=""/>
  </r>
  <r>
    <x v="5"/>
    <x v="0"/>
    <x v="1"/>
    <x v="35"/>
    <x v="1"/>
    <x v="4"/>
    <n v="0"/>
    <m/>
  </r>
  <r>
    <x v="5"/>
    <x v="0"/>
    <x v="1"/>
    <x v="36"/>
    <x v="3"/>
    <x v="1"/>
    <n v="1"/>
    <s v=""/>
  </r>
  <r>
    <x v="5"/>
    <x v="0"/>
    <x v="1"/>
    <x v="36"/>
    <x v="5"/>
    <x v="1"/>
    <n v="3"/>
    <s v=""/>
  </r>
  <r>
    <x v="5"/>
    <x v="0"/>
    <x v="1"/>
    <x v="36"/>
    <x v="5"/>
    <x v="0"/>
    <n v="3"/>
    <s v=""/>
  </r>
  <r>
    <x v="5"/>
    <x v="0"/>
    <x v="1"/>
    <x v="37"/>
    <x v="5"/>
    <x v="2"/>
    <n v="1"/>
    <s v=""/>
  </r>
  <r>
    <x v="5"/>
    <x v="0"/>
    <x v="1"/>
    <x v="9"/>
    <x v="3"/>
    <x v="0"/>
    <n v="3"/>
    <s v=""/>
  </r>
  <r>
    <x v="5"/>
    <x v="0"/>
    <x v="1"/>
    <x v="38"/>
    <x v="2"/>
    <x v="0"/>
    <n v="1"/>
    <s v=""/>
  </r>
  <r>
    <x v="5"/>
    <x v="0"/>
    <x v="1"/>
    <x v="8"/>
    <x v="1"/>
    <x v="2"/>
    <n v="1"/>
    <s v=""/>
  </r>
  <r>
    <x v="5"/>
    <x v="0"/>
    <x v="1"/>
    <x v="39"/>
    <x v="2"/>
    <x v="2"/>
    <n v="1"/>
    <s v=""/>
  </r>
  <r>
    <x v="5"/>
    <x v="0"/>
    <x v="1"/>
    <x v="39"/>
    <x v="5"/>
    <x v="0"/>
    <n v="1"/>
    <s v=""/>
  </r>
  <r>
    <x v="5"/>
    <x v="0"/>
    <x v="1"/>
    <x v="7"/>
    <x v="3"/>
    <x v="0"/>
    <n v="2"/>
    <s v=""/>
  </r>
  <r>
    <x v="5"/>
    <x v="0"/>
    <x v="1"/>
    <x v="7"/>
    <x v="2"/>
    <x v="1"/>
    <n v="1"/>
    <s v=""/>
  </r>
  <r>
    <x v="5"/>
    <x v="0"/>
    <x v="1"/>
    <x v="6"/>
    <x v="1"/>
    <x v="0"/>
    <n v="1"/>
    <s v=""/>
  </r>
  <r>
    <x v="5"/>
    <x v="0"/>
    <x v="1"/>
    <x v="6"/>
    <x v="2"/>
    <x v="0"/>
    <n v="2"/>
    <s v=""/>
  </r>
  <r>
    <x v="5"/>
    <x v="0"/>
    <x v="1"/>
    <x v="40"/>
    <x v="3"/>
    <x v="1"/>
    <n v="1"/>
    <s v=""/>
  </r>
  <r>
    <x v="5"/>
    <x v="0"/>
    <x v="1"/>
    <x v="40"/>
    <x v="3"/>
    <x v="2"/>
    <n v="1"/>
    <s v=""/>
  </r>
  <r>
    <x v="5"/>
    <x v="0"/>
    <x v="1"/>
    <x v="40"/>
    <x v="2"/>
    <x v="1"/>
    <n v="5"/>
    <s v=""/>
  </r>
  <r>
    <x v="5"/>
    <x v="0"/>
    <x v="1"/>
    <x v="41"/>
    <x v="2"/>
    <x v="0"/>
    <n v="1"/>
    <s v=""/>
  </r>
  <r>
    <x v="5"/>
    <x v="0"/>
    <x v="1"/>
    <x v="42"/>
    <x v="2"/>
    <x v="0"/>
    <n v="1"/>
    <s v=""/>
  </r>
  <r>
    <x v="5"/>
    <x v="0"/>
    <x v="1"/>
    <x v="5"/>
    <x v="3"/>
    <x v="0"/>
    <n v="1"/>
    <s v=""/>
  </r>
  <r>
    <x v="5"/>
    <x v="0"/>
    <x v="1"/>
    <x v="5"/>
    <x v="2"/>
    <x v="2"/>
    <n v="1"/>
    <s v=""/>
  </r>
  <r>
    <x v="5"/>
    <x v="0"/>
    <x v="1"/>
    <x v="43"/>
    <x v="2"/>
    <x v="1"/>
    <n v="1"/>
    <s v=""/>
  </r>
  <r>
    <x v="5"/>
    <x v="0"/>
    <x v="2"/>
    <x v="44"/>
    <x v="2"/>
    <x v="0"/>
    <n v="1"/>
    <s v=""/>
  </r>
  <r>
    <x v="5"/>
    <x v="0"/>
    <x v="2"/>
    <x v="45"/>
    <x v="0"/>
    <x v="2"/>
    <n v="1"/>
    <s v=""/>
  </r>
  <r>
    <x v="5"/>
    <x v="0"/>
    <x v="2"/>
    <x v="45"/>
    <x v="2"/>
    <x v="0"/>
    <n v="1"/>
    <s v=""/>
  </r>
  <r>
    <x v="5"/>
    <x v="0"/>
    <x v="2"/>
    <x v="45"/>
    <x v="2"/>
    <x v="2"/>
    <n v="2"/>
    <s v=""/>
  </r>
  <r>
    <x v="5"/>
    <x v="0"/>
    <x v="2"/>
    <x v="46"/>
    <x v="1"/>
    <x v="4"/>
    <n v="0"/>
    <m/>
  </r>
  <r>
    <x v="5"/>
    <x v="0"/>
    <x v="2"/>
    <x v="4"/>
    <x v="2"/>
    <x v="1"/>
    <n v="2"/>
    <s v=""/>
  </r>
  <r>
    <x v="5"/>
    <x v="0"/>
    <x v="2"/>
    <x v="47"/>
    <x v="3"/>
    <x v="0"/>
    <n v="1"/>
    <s v=""/>
  </r>
  <r>
    <x v="5"/>
    <x v="0"/>
    <x v="2"/>
    <x v="47"/>
    <x v="3"/>
    <x v="2"/>
    <n v="1"/>
    <s v=""/>
  </r>
  <r>
    <x v="5"/>
    <x v="0"/>
    <x v="2"/>
    <x v="47"/>
    <x v="0"/>
    <x v="2"/>
    <n v="1"/>
    <s v=""/>
  </r>
  <r>
    <x v="5"/>
    <x v="0"/>
    <x v="2"/>
    <x v="48"/>
    <x v="3"/>
    <x v="1"/>
    <n v="1"/>
    <s v=""/>
  </r>
  <r>
    <x v="5"/>
    <x v="0"/>
    <x v="2"/>
    <x v="48"/>
    <x v="2"/>
    <x v="1"/>
    <n v="1"/>
    <s v=""/>
  </r>
  <r>
    <x v="5"/>
    <x v="0"/>
    <x v="2"/>
    <x v="48"/>
    <x v="2"/>
    <x v="0"/>
    <n v="1"/>
    <s v=""/>
  </r>
  <r>
    <x v="5"/>
    <x v="0"/>
    <x v="2"/>
    <x v="49"/>
    <x v="2"/>
    <x v="0"/>
    <n v="2"/>
    <s v=""/>
  </r>
  <r>
    <x v="5"/>
    <x v="0"/>
    <x v="2"/>
    <x v="50"/>
    <x v="3"/>
    <x v="2"/>
    <n v="1"/>
    <s v=""/>
  </r>
  <r>
    <x v="5"/>
    <x v="0"/>
    <x v="2"/>
    <x v="50"/>
    <x v="2"/>
    <x v="0"/>
    <n v="4"/>
    <s v=""/>
  </r>
  <r>
    <x v="5"/>
    <x v="0"/>
    <x v="2"/>
    <x v="3"/>
    <x v="2"/>
    <x v="1"/>
    <n v="1"/>
    <s v=""/>
  </r>
  <r>
    <x v="5"/>
    <x v="0"/>
    <x v="2"/>
    <x v="3"/>
    <x v="2"/>
    <x v="0"/>
    <n v="1"/>
    <s v=""/>
  </r>
  <r>
    <x v="5"/>
    <x v="0"/>
    <x v="2"/>
    <x v="51"/>
    <x v="2"/>
    <x v="2"/>
    <n v="1"/>
    <s v=""/>
  </r>
  <r>
    <x v="5"/>
    <x v="0"/>
    <x v="2"/>
    <x v="2"/>
    <x v="3"/>
    <x v="1"/>
    <n v="1"/>
    <s v=""/>
  </r>
  <r>
    <x v="5"/>
    <x v="0"/>
    <x v="2"/>
    <x v="52"/>
    <x v="1"/>
    <x v="1"/>
    <n v="1"/>
    <s v=""/>
  </r>
  <r>
    <x v="5"/>
    <x v="0"/>
    <x v="2"/>
    <x v="52"/>
    <x v="2"/>
    <x v="1"/>
    <n v="1"/>
    <s v=""/>
  </r>
  <r>
    <x v="5"/>
    <x v="0"/>
    <x v="2"/>
    <x v="52"/>
    <x v="2"/>
    <x v="0"/>
    <n v="1"/>
    <s v=""/>
  </r>
  <r>
    <x v="5"/>
    <x v="0"/>
    <x v="2"/>
    <x v="53"/>
    <x v="2"/>
    <x v="0"/>
    <n v="1"/>
    <s v=""/>
  </r>
  <r>
    <x v="5"/>
    <x v="0"/>
    <x v="2"/>
    <x v="53"/>
    <x v="5"/>
    <x v="0"/>
    <n v="1"/>
    <s v=""/>
  </r>
  <r>
    <x v="5"/>
    <x v="0"/>
    <x v="2"/>
    <x v="54"/>
    <x v="1"/>
    <x v="4"/>
    <n v="0"/>
    <m/>
  </r>
  <r>
    <x v="5"/>
    <x v="0"/>
    <x v="2"/>
    <x v="1"/>
    <x v="3"/>
    <x v="1"/>
    <n v="1"/>
    <s v=""/>
  </r>
  <r>
    <x v="5"/>
    <x v="0"/>
    <x v="2"/>
    <x v="1"/>
    <x v="2"/>
    <x v="0"/>
    <n v="2"/>
    <s v=""/>
  </r>
  <r>
    <x v="5"/>
    <x v="0"/>
    <x v="2"/>
    <x v="1"/>
    <x v="2"/>
    <x v="2"/>
    <n v="1"/>
    <s v=""/>
  </r>
  <r>
    <x v="5"/>
    <x v="0"/>
    <x v="2"/>
    <x v="1"/>
    <x v="5"/>
    <x v="0"/>
    <n v="1"/>
    <s v=""/>
  </r>
  <r>
    <x v="5"/>
    <x v="0"/>
    <x v="2"/>
    <x v="55"/>
    <x v="2"/>
    <x v="0"/>
    <n v="1"/>
    <s v=""/>
  </r>
  <r>
    <x v="5"/>
    <x v="0"/>
    <x v="2"/>
    <x v="56"/>
    <x v="2"/>
    <x v="1"/>
    <n v="1"/>
    <s v=""/>
  </r>
  <r>
    <x v="5"/>
    <x v="0"/>
    <x v="2"/>
    <x v="57"/>
    <x v="2"/>
    <x v="2"/>
    <n v="3"/>
    <s v=""/>
  </r>
  <r>
    <x v="5"/>
    <x v="0"/>
    <x v="2"/>
    <x v="58"/>
    <x v="2"/>
    <x v="1"/>
    <n v="1"/>
    <s v=""/>
  </r>
  <r>
    <x v="5"/>
    <x v="0"/>
    <x v="2"/>
    <x v="58"/>
    <x v="2"/>
    <x v="2"/>
    <n v="1"/>
    <s v=""/>
  </r>
  <r>
    <x v="5"/>
    <x v="0"/>
    <x v="2"/>
    <x v="59"/>
    <x v="1"/>
    <x v="4"/>
    <n v="0"/>
    <m/>
  </r>
  <r>
    <x v="5"/>
    <x v="1"/>
    <x v="0"/>
    <x v="60"/>
    <x v="2"/>
    <x v="0"/>
    <n v="4"/>
    <s v=""/>
  </r>
  <r>
    <x v="5"/>
    <x v="1"/>
    <x v="0"/>
    <x v="60"/>
    <x v="5"/>
    <x v="0"/>
    <n v="1"/>
    <s v=""/>
  </r>
  <r>
    <x v="5"/>
    <x v="1"/>
    <x v="0"/>
    <x v="61"/>
    <x v="1"/>
    <x v="4"/>
    <n v="0"/>
    <m/>
  </r>
  <r>
    <x v="5"/>
    <x v="1"/>
    <x v="0"/>
    <x v="62"/>
    <x v="1"/>
    <x v="4"/>
    <n v="0"/>
    <m/>
  </r>
  <r>
    <x v="5"/>
    <x v="1"/>
    <x v="0"/>
    <x v="63"/>
    <x v="2"/>
    <x v="1"/>
    <n v="1"/>
    <s v=""/>
  </r>
  <r>
    <x v="5"/>
    <x v="1"/>
    <x v="0"/>
    <x v="64"/>
    <x v="1"/>
    <x v="4"/>
    <n v="0"/>
    <m/>
  </r>
  <r>
    <x v="5"/>
    <x v="1"/>
    <x v="0"/>
    <x v="65"/>
    <x v="1"/>
    <x v="0"/>
    <n v="1"/>
    <s v=""/>
  </r>
  <r>
    <x v="5"/>
    <x v="1"/>
    <x v="0"/>
    <x v="66"/>
    <x v="2"/>
    <x v="0"/>
    <n v="1"/>
    <s v=""/>
  </r>
  <r>
    <x v="5"/>
    <x v="1"/>
    <x v="0"/>
    <x v="67"/>
    <x v="2"/>
    <x v="0"/>
    <n v="1"/>
    <s v=""/>
  </r>
  <r>
    <x v="5"/>
    <x v="1"/>
    <x v="0"/>
    <x v="68"/>
    <x v="1"/>
    <x v="4"/>
    <n v="0"/>
    <m/>
  </r>
  <r>
    <x v="5"/>
    <x v="1"/>
    <x v="0"/>
    <x v="69"/>
    <x v="2"/>
    <x v="0"/>
    <n v="4"/>
    <s v=""/>
  </r>
  <r>
    <x v="5"/>
    <x v="1"/>
    <x v="0"/>
    <x v="70"/>
    <x v="1"/>
    <x v="4"/>
    <n v="0"/>
    <m/>
  </r>
  <r>
    <x v="5"/>
    <x v="1"/>
    <x v="0"/>
    <x v="71"/>
    <x v="2"/>
    <x v="0"/>
    <n v="1"/>
    <s v=""/>
  </r>
  <r>
    <x v="5"/>
    <x v="1"/>
    <x v="0"/>
    <x v="72"/>
    <x v="2"/>
    <x v="1"/>
    <n v="1"/>
    <s v=""/>
  </r>
  <r>
    <x v="5"/>
    <x v="1"/>
    <x v="0"/>
    <x v="73"/>
    <x v="2"/>
    <x v="1"/>
    <n v="1"/>
    <s v=""/>
  </r>
  <r>
    <x v="5"/>
    <x v="1"/>
    <x v="0"/>
    <x v="74"/>
    <x v="2"/>
    <x v="1"/>
    <n v="2"/>
    <s v=""/>
  </r>
  <r>
    <x v="5"/>
    <x v="1"/>
    <x v="0"/>
    <x v="74"/>
    <x v="5"/>
    <x v="1"/>
    <n v="1"/>
    <s v=""/>
  </r>
  <r>
    <x v="5"/>
    <x v="1"/>
    <x v="0"/>
    <x v="75"/>
    <x v="2"/>
    <x v="0"/>
    <n v="4"/>
    <s v=""/>
  </r>
  <r>
    <x v="5"/>
    <x v="1"/>
    <x v="0"/>
    <x v="75"/>
    <x v="2"/>
    <x v="2"/>
    <n v="2"/>
    <s v=""/>
  </r>
  <r>
    <x v="5"/>
    <x v="1"/>
    <x v="0"/>
    <x v="76"/>
    <x v="1"/>
    <x v="1"/>
    <n v="1"/>
    <s v=""/>
  </r>
  <r>
    <x v="5"/>
    <x v="1"/>
    <x v="0"/>
    <x v="76"/>
    <x v="2"/>
    <x v="1"/>
    <n v="1"/>
    <s v=""/>
  </r>
  <r>
    <x v="5"/>
    <x v="1"/>
    <x v="0"/>
    <x v="76"/>
    <x v="2"/>
    <x v="0"/>
    <n v="9"/>
    <s v=""/>
  </r>
  <r>
    <x v="5"/>
    <x v="1"/>
    <x v="0"/>
    <x v="76"/>
    <x v="5"/>
    <x v="1"/>
    <n v="2"/>
    <s v=""/>
  </r>
  <r>
    <x v="5"/>
    <x v="1"/>
    <x v="0"/>
    <x v="77"/>
    <x v="2"/>
    <x v="1"/>
    <n v="1"/>
    <s v=""/>
  </r>
  <r>
    <x v="5"/>
    <x v="1"/>
    <x v="0"/>
    <x v="78"/>
    <x v="2"/>
    <x v="1"/>
    <n v="4"/>
    <s v=""/>
  </r>
  <r>
    <x v="5"/>
    <x v="1"/>
    <x v="0"/>
    <x v="78"/>
    <x v="2"/>
    <x v="2"/>
    <n v="1"/>
    <s v=""/>
  </r>
  <r>
    <x v="5"/>
    <x v="1"/>
    <x v="0"/>
    <x v="79"/>
    <x v="0"/>
    <x v="1"/>
    <n v="1"/>
    <s v=""/>
  </r>
  <r>
    <x v="5"/>
    <x v="1"/>
    <x v="0"/>
    <x v="79"/>
    <x v="2"/>
    <x v="1"/>
    <n v="3"/>
    <s v=""/>
  </r>
  <r>
    <x v="5"/>
    <x v="1"/>
    <x v="0"/>
    <x v="79"/>
    <x v="2"/>
    <x v="0"/>
    <n v="2"/>
    <s v=""/>
  </r>
  <r>
    <x v="5"/>
    <x v="1"/>
    <x v="1"/>
    <x v="80"/>
    <x v="5"/>
    <x v="1"/>
    <n v="1"/>
    <s v=""/>
  </r>
  <r>
    <x v="5"/>
    <x v="1"/>
    <x v="1"/>
    <x v="81"/>
    <x v="1"/>
    <x v="4"/>
    <n v="0"/>
    <m/>
  </r>
  <r>
    <x v="5"/>
    <x v="1"/>
    <x v="1"/>
    <x v="82"/>
    <x v="5"/>
    <x v="0"/>
    <n v="1"/>
    <s v=""/>
  </r>
  <r>
    <x v="5"/>
    <x v="1"/>
    <x v="1"/>
    <x v="83"/>
    <x v="2"/>
    <x v="0"/>
    <n v="1"/>
    <s v=""/>
  </r>
  <r>
    <x v="5"/>
    <x v="1"/>
    <x v="1"/>
    <x v="84"/>
    <x v="1"/>
    <x v="4"/>
    <n v="0"/>
    <m/>
  </r>
  <r>
    <x v="5"/>
    <x v="1"/>
    <x v="1"/>
    <x v="85"/>
    <x v="3"/>
    <x v="1"/>
    <n v="1"/>
    <s v=""/>
  </r>
  <r>
    <x v="5"/>
    <x v="1"/>
    <x v="1"/>
    <x v="85"/>
    <x v="2"/>
    <x v="0"/>
    <n v="1"/>
    <s v=""/>
  </r>
  <r>
    <x v="5"/>
    <x v="1"/>
    <x v="1"/>
    <x v="85"/>
    <x v="5"/>
    <x v="0"/>
    <n v="1"/>
    <s v=""/>
  </r>
  <r>
    <x v="5"/>
    <x v="1"/>
    <x v="1"/>
    <x v="86"/>
    <x v="5"/>
    <x v="0"/>
    <n v="1"/>
    <s v=""/>
  </r>
  <r>
    <x v="5"/>
    <x v="1"/>
    <x v="1"/>
    <x v="87"/>
    <x v="2"/>
    <x v="0"/>
    <n v="3"/>
    <s v=""/>
  </r>
  <r>
    <x v="5"/>
    <x v="1"/>
    <x v="1"/>
    <x v="87"/>
    <x v="5"/>
    <x v="0"/>
    <n v="1"/>
    <s v=""/>
  </r>
  <r>
    <x v="5"/>
    <x v="1"/>
    <x v="1"/>
    <x v="88"/>
    <x v="5"/>
    <x v="0"/>
    <n v="1"/>
    <s v=""/>
  </r>
  <r>
    <x v="5"/>
    <x v="1"/>
    <x v="1"/>
    <x v="89"/>
    <x v="2"/>
    <x v="0"/>
    <n v="1"/>
    <s v=""/>
  </r>
  <r>
    <x v="5"/>
    <x v="1"/>
    <x v="1"/>
    <x v="90"/>
    <x v="2"/>
    <x v="0"/>
    <n v="1"/>
    <s v=""/>
  </r>
  <r>
    <x v="5"/>
    <x v="1"/>
    <x v="1"/>
    <x v="90"/>
    <x v="2"/>
    <x v="2"/>
    <n v="1"/>
    <s v=""/>
  </r>
  <r>
    <x v="5"/>
    <x v="1"/>
    <x v="1"/>
    <x v="91"/>
    <x v="2"/>
    <x v="1"/>
    <n v="1"/>
    <s v=""/>
  </r>
  <r>
    <x v="5"/>
    <x v="1"/>
    <x v="1"/>
    <x v="91"/>
    <x v="2"/>
    <x v="0"/>
    <n v="1"/>
    <s v=""/>
  </r>
  <r>
    <x v="5"/>
    <x v="1"/>
    <x v="1"/>
    <x v="91"/>
    <x v="5"/>
    <x v="1"/>
    <n v="1"/>
    <s v=""/>
  </r>
  <r>
    <x v="5"/>
    <x v="1"/>
    <x v="1"/>
    <x v="92"/>
    <x v="1"/>
    <x v="4"/>
    <n v="0"/>
    <m/>
  </r>
  <r>
    <x v="5"/>
    <x v="1"/>
    <x v="1"/>
    <x v="93"/>
    <x v="1"/>
    <x v="4"/>
    <n v="0"/>
    <m/>
  </r>
  <r>
    <x v="5"/>
    <x v="1"/>
    <x v="1"/>
    <x v="94"/>
    <x v="1"/>
    <x v="4"/>
    <n v="0"/>
    <m/>
  </r>
  <r>
    <x v="5"/>
    <x v="1"/>
    <x v="1"/>
    <x v="95"/>
    <x v="2"/>
    <x v="1"/>
    <n v="1"/>
    <s v=""/>
  </r>
  <r>
    <x v="5"/>
    <x v="1"/>
    <x v="1"/>
    <x v="95"/>
    <x v="2"/>
    <x v="0"/>
    <n v="1"/>
    <s v=""/>
  </r>
  <r>
    <x v="5"/>
    <x v="1"/>
    <x v="1"/>
    <x v="96"/>
    <x v="0"/>
    <x v="0"/>
    <n v="1"/>
    <s v=""/>
  </r>
  <r>
    <x v="5"/>
    <x v="1"/>
    <x v="1"/>
    <x v="96"/>
    <x v="5"/>
    <x v="1"/>
    <n v="1"/>
    <s v=""/>
  </r>
  <r>
    <x v="5"/>
    <x v="1"/>
    <x v="1"/>
    <x v="96"/>
    <x v="5"/>
    <x v="0"/>
    <n v="1"/>
    <s v=""/>
  </r>
  <r>
    <x v="5"/>
    <x v="1"/>
    <x v="1"/>
    <x v="97"/>
    <x v="3"/>
    <x v="1"/>
    <n v="1"/>
    <s v=""/>
  </r>
  <r>
    <x v="5"/>
    <x v="1"/>
    <x v="1"/>
    <x v="97"/>
    <x v="0"/>
    <x v="0"/>
    <n v="1"/>
    <s v=""/>
  </r>
  <r>
    <x v="5"/>
    <x v="1"/>
    <x v="1"/>
    <x v="97"/>
    <x v="2"/>
    <x v="1"/>
    <n v="4"/>
    <s v=""/>
  </r>
  <r>
    <x v="5"/>
    <x v="1"/>
    <x v="1"/>
    <x v="97"/>
    <x v="2"/>
    <x v="0"/>
    <n v="3"/>
    <s v=""/>
  </r>
  <r>
    <x v="5"/>
    <x v="1"/>
    <x v="1"/>
    <x v="97"/>
    <x v="5"/>
    <x v="1"/>
    <n v="1"/>
    <s v=""/>
  </r>
  <r>
    <x v="5"/>
    <x v="1"/>
    <x v="1"/>
    <x v="97"/>
    <x v="5"/>
    <x v="0"/>
    <n v="1"/>
    <s v=""/>
  </r>
  <r>
    <x v="5"/>
    <x v="1"/>
    <x v="1"/>
    <x v="98"/>
    <x v="2"/>
    <x v="0"/>
    <n v="4"/>
    <s v=""/>
  </r>
  <r>
    <x v="5"/>
    <x v="1"/>
    <x v="1"/>
    <x v="98"/>
    <x v="5"/>
    <x v="0"/>
    <n v="1"/>
    <s v=""/>
  </r>
  <r>
    <x v="5"/>
    <x v="1"/>
    <x v="1"/>
    <x v="99"/>
    <x v="2"/>
    <x v="0"/>
    <n v="1"/>
    <s v=""/>
  </r>
  <r>
    <x v="5"/>
    <x v="1"/>
    <x v="1"/>
    <x v="99"/>
    <x v="5"/>
    <x v="0"/>
    <n v="1"/>
    <s v=""/>
  </r>
  <r>
    <x v="5"/>
    <x v="1"/>
    <x v="2"/>
    <x v="100"/>
    <x v="2"/>
    <x v="0"/>
    <n v="1"/>
    <s v=""/>
  </r>
  <r>
    <x v="5"/>
    <x v="1"/>
    <x v="2"/>
    <x v="101"/>
    <x v="2"/>
    <x v="0"/>
    <n v="1"/>
    <s v=""/>
  </r>
  <r>
    <x v="5"/>
    <x v="1"/>
    <x v="2"/>
    <x v="102"/>
    <x v="1"/>
    <x v="4"/>
    <n v="0"/>
    <m/>
  </r>
  <r>
    <x v="5"/>
    <x v="1"/>
    <x v="2"/>
    <x v="103"/>
    <x v="2"/>
    <x v="2"/>
    <n v="2"/>
    <s v=""/>
  </r>
  <r>
    <x v="5"/>
    <x v="1"/>
    <x v="2"/>
    <x v="104"/>
    <x v="1"/>
    <x v="4"/>
    <n v="0"/>
    <m/>
  </r>
  <r>
    <x v="5"/>
    <x v="1"/>
    <x v="2"/>
    <x v="105"/>
    <x v="3"/>
    <x v="0"/>
    <n v="1"/>
    <s v=""/>
  </r>
  <r>
    <x v="5"/>
    <x v="1"/>
    <x v="2"/>
    <x v="105"/>
    <x v="2"/>
    <x v="0"/>
    <n v="2"/>
    <s v=""/>
  </r>
  <r>
    <x v="5"/>
    <x v="1"/>
    <x v="2"/>
    <x v="105"/>
    <x v="5"/>
    <x v="0"/>
    <n v="2"/>
    <s v=""/>
  </r>
  <r>
    <x v="5"/>
    <x v="1"/>
    <x v="2"/>
    <x v="106"/>
    <x v="1"/>
    <x v="4"/>
    <n v="0"/>
    <m/>
  </r>
  <r>
    <x v="5"/>
    <x v="1"/>
    <x v="2"/>
    <x v="107"/>
    <x v="0"/>
    <x v="2"/>
    <n v="1"/>
    <s v=""/>
  </r>
  <r>
    <x v="5"/>
    <x v="1"/>
    <x v="2"/>
    <x v="108"/>
    <x v="0"/>
    <x v="2"/>
    <n v="2"/>
    <s v=""/>
  </r>
  <r>
    <x v="5"/>
    <x v="1"/>
    <x v="2"/>
    <x v="108"/>
    <x v="2"/>
    <x v="1"/>
    <n v="1"/>
    <s v=""/>
  </r>
  <r>
    <x v="5"/>
    <x v="1"/>
    <x v="2"/>
    <x v="108"/>
    <x v="2"/>
    <x v="0"/>
    <n v="1"/>
    <s v=""/>
  </r>
  <r>
    <x v="5"/>
    <x v="1"/>
    <x v="2"/>
    <x v="109"/>
    <x v="3"/>
    <x v="2"/>
    <n v="1"/>
    <s v=""/>
  </r>
  <r>
    <x v="5"/>
    <x v="1"/>
    <x v="2"/>
    <x v="109"/>
    <x v="0"/>
    <x v="2"/>
    <n v="2"/>
    <s v=""/>
  </r>
  <r>
    <x v="5"/>
    <x v="1"/>
    <x v="2"/>
    <x v="109"/>
    <x v="2"/>
    <x v="1"/>
    <n v="1"/>
    <s v=""/>
  </r>
  <r>
    <x v="5"/>
    <x v="1"/>
    <x v="2"/>
    <x v="109"/>
    <x v="2"/>
    <x v="0"/>
    <n v="2"/>
    <s v=""/>
  </r>
  <r>
    <x v="5"/>
    <x v="1"/>
    <x v="2"/>
    <x v="109"/>
    <x v="2"/>
    <x v="2"/>
    <n v="2"/>
    <s v=""/>
  </r>
  <r>
    <x v="5"/>
    <x v="1"/>
    <x v="2"/>
    <x v="110"/>
    <x v="2"/>
    <x v="1"/>
    <n v="3"/>
    <s v=""/>
  </r>
  <r>
    <x v="5"/>
    <x v="1"/>
    <x v="2"/>
    <x v="110"/>
    <x v="2"/>
    <x v="2"/>
    <n v="1"/>
    <s v=""/>
  </r>
  <r>
    <x v="5"/>
    <x v="1"/>
    <x v="2"/>
    <x v="111"/>
    <x v="2"/>
    <x v="1"/>
    <n v="3"/>
    <s v=""/>
  </r>
  <r>
    <x v="5"/>
    <x v="1"/>
    <x v="2"/>
    <x v="112"/>
    <x v="1"/>
    <x v="4"/>
    <n v="0"/>
    <m/>
  </r>
  <r>
    <x v="5"/>
    <x v="1"/>
    <x v="2"/>
    <x v="113"/>
    <x v="2"/>
    <x v="1"/>
    <n v="2"/>
    <s v=""/>
  </r>
  <r>
    <x v="5"/>
    <x v="1"/>
    <x v="2"/>
    <x v="114"/>
    <x v="3"/>
    <x v="2"/>
    <n v="1"/>
    <s v=""/>
  </r>
  <r>
    <x v="5"/>
    <x v="1"/>
    <x v="2"/>
    <x v="114"/>
    <x v="2"/>
    <x v="1"/>
    <n v="1"/>
    <s v=""/>
  </r>
  <r>
    <x v="5"/>
    <x v="1"/>
    <x v="2"/>
    <x v="115"/>
    <x v="2"/>
    <x v="1"/>
    <n v="3"/>
    <s v=""/>
  </r>
  <r>
    <x v="5"/>
    <x v="1"/>
    <x v="2"/>
    <x v="115"/>
    <x v="2"/>
    <x v="0"/>
    <n v="1"/>
    <s v=""/>
  </r>
  <r>
    <x v="5"/>
    <x v="1"/>
    <x v="2"/>
    <x v="116"/>
    <x v="2"/>
    <x v="2"/>
    <n v="1"/>
    <s v=""/>
  </r>
  <r>
    <x v="5"/>
    <x v="1"/>
    <x v="2"/>
    <x v="116"/>
    <x v="5"/>
    <x v="0"/>
    <n v="1"/>
    <s v=""/>
  </r>
  <r>
    <x v="5"/>
    <x v="1"/>
    <x v="2"/>
    <x v="117"/>
    <x v="2"/>
    <x v="1"/>
    <n v="2"/>
    <s v=""/>
  </r>
  <r>
    <x v="5"/>
    <x v="1"/>
    <x v="2"/>
    <x v="117"/>
    <x v="2"/>
    <x v="2"/>
    <n v="1"/>
    <s v=""/>
  </r>
  <r>
    <x v="5"/>
    <x v="1"/>
    <x v="2"/>
    <x v="117"/>
    <x v="5"/>
    <x v="1"/>
    <n v="1"/>
    <s v=""/>
  </r>
  <r>
    <x v="5"/>
    <x v="1"/>
    <x v="2"/>
    <x v="118"/>
    <x v="1"/>
    <x v="4"/>
    <n v="0"/>
    <m/>
  </r>
  <r>
    <x v="5"/>
    <x v="1"/>
    <x v="2"/>
    <x v="119"/>
    <x v="2"/>
    <x v="1"/>
    <n v="1"/>
    <s v=""/>
  </r>
  <r>
    <x v="5"/>
    <x v="2"/>
    <x v="0"/>
    <x v="120"/>
    <x v="2"/>
    <x v="0"/>
    <n v="2"/>
    <s v=""/>
  </r>
  <r>
    <x v="5"/>
    <x v="2"/>
    <x v="0"/>
    <x v="121"/>
    <x v="1"/>
    <x v="4"/>
    <n v="0"/>
    <m/>
  </r>
  <r>
    <x v="5"/>
    <x v="2"/>
    <x v="0"/>
    <x v="122"/>
    <x v="2"/>
    <x v="1"/>
    <n v="1"/>
    <s v=""/>
  </r>
  <r>
    <x v="5"/>
    <x v="2"/>
    <x v="0"/>
    <x v="123"/>
    <x v="1"/>
    <x v="4"/>
    <n v="0"/>
    <m/>
  </r>
  <r>
    <x v="5"/>
    <x v="2"/>
    <x v="0"/>
    <x v="124"/>
    <x v="1"/>
    <x v="4"/>
    <n v="0"/>
    <m/>
  </r>
  <r>
    <x v="5"/>
    <x v="2"/>
    <x v="0"/>
    <x v="125"/>
    <x v="2"/>
    <x v="0"/>
    <n v="1"/>
    <s v=""/>
  </r>
  <r>
    <x v="5"/>
    <x v="2"/>
    <x v="0"/>
    <x v="126"/>
    <x v="3"/>
    <x v="1"/>
    <n v="1"/>
    <s v=""/>
  </r>
  <r>
    <x v="5"/>
    <x v="2"/>
    <x v="0"/>
    <x v="126"/>
    <x v="2"/>
    <x v="2"/>
    <n v="1"/>
    <s v=""/>
  </r>
  <r>
    <x v="5"/>
    <x v="2"/>
    <x v="0"/>
    <x v="127"/>
    <x v="1"/>
    <x v="4"/>
    <n v="0"/>
    <m/>
  </r>
  <r>
    <x v="5"/>
    <x v="2"/>
    <x v="0"/>
    <x v="128"/>
    <x v="1"/>
    <x v="4"/>
    <n v="0"/>
    <m/>
  </r>
  <r>
    <x v="5"/>
    <x v="2"/>
    <x v="0"/>
    <x v="129"/>
    <x v="1"/>
    <x v="4"/>
    <n v="0"/>
    <m/>
  </r>
  <r>
    <x v="5"/>
    <x v="2"/>
    <x v="0"/>
    <x v="130"/>
    <x v="1"/>
    <x v="4"/>
    <n v="0"/>
    <m/>
  </r>
  <r>
    <x v="5"/>
    <x v="2"/>
    <x v="0"/>
    <x v="131"/>
    <x v="2"/>
    <x v="0"/>
    <n v="1"/>
    <s v=""/>
  </r>
  <r>
    <x v="5"/>
    <x v="2"/>
    <x v="0"/>
    <x v="132"/>
    <x v="2"/>
    <x v="1"/>
    <n v="3"/>
    <s v=""/>
  </r>
  <r>
    <x v="5"/>
    <x v="2"/>
    <x v="0"/>
    <x v="132"/>
    <x v="2"/>
    <x v="0"/>
    <n v="1"/>
    <s v=""/>
  </r>
  <r>
    <x v="5"/>
    <x v="2"/>
    <x v="0"/>
    <x v="133"/>
    <x v="2"/>
    <x v="1"/>
    <n v="3"/>
    <s v=""/>
  </r>
  <r>
    <x v="5"/>
    <x v="2"/>
    <x v="0"/>
    <x v="134"/>
    <x v="1"/>
    <x v="4"/>
    <n v="0"/>
    <m/>
  </r>
  <r>
    <x v="5"/>
    <x v="2"/>
    <x v="0"/>
    <x v="135"/>
    <x v="2"/>
    <x v="1"/>
    <n v="3"/>
    <s v=""/>
  </r>
  <r>
    <x v="5"/>
    <x v="2"/>
    <x v="0"/>
    <x v="135"/>
    <x v="2"/>
    <x v="0"/>
    <n v="1"/>
    <s v=""/>
  </r>
  <r>
    <x v="5"/>
    <x v="2"/>
    <x v="0"/>
    <x v="135"/>
    <x v="2"/>
    <x v="2"/>
    <n v="1"/>
    <s v=""/>
  </r>
  <r>
    <x v="5"/>
    <x v="2"/>
    <x v="0"/>
    <x v="136"/>
    <x v="2"/>
    <x v="1"/>
    <n v="3"/>
    <s v=""/>
  </r>
  <r>
    <x v="5"/>
    <x v="2"/>
    <x v="0"/>
    <x v="136"/>
    <x v="2"/>
    <x v="0"/>
    <n v="1"/>
    <s v=""/>
  </r>
  <r>
    <x v="5"/>
    <x v="2"/>
    <x v="0"/>
    <x v="136"/>
    <x v="5"/>
    <x v="1"/>
    <n v="2"/>
    <s v=""/>
  </r>
  <r>
    <x v="5"/>
    <x v="2"/>
    <x v="0"/>
    <x v="137"/>
    <x v="1"/>
    <x v="4"/>
    <n v="0"/>
    <m/>
  </r>
  <r>
    <x v="5"/>
    <x v="2"/>
    <x v="0"/>
    <x v="138"/>
    <x v="1"/>
    <x v="4"/>
    <n v="0"/>
    <m/>
  </r>
  <r>
    <x v="5"/>
    <x v="2"/>
    <x v="0"/>
    <x v="139"/>
    <x v="1"/>
    <x v="4"/>
    <n v="0"/>
    <m/>
  </r>
  <r>
    <x v="5"/>
    <x v="2"/>
    <x v="1"/>
    <x v="140"/>
    <x v="1"/>
    <x v="4"/>
    <n v="0"/>
    <m/>
  </r>
  <r>
    <x v="5"/>
    <x v="2"/>
    <x v="1"/>
    <x v="141"/>
    <x v="6"/>
    <x v="4"/>
    <m/>
    <s v="plaque absente"/>
  </r>
  <r>
    <x v="5"/>
    <x v="2"/>
    <x v="1"/>
    <x v="142"/>
    <x v="2"/>
    <x v="0"/>
    <n v="6"/>
    <s v=""/>
  </r>
  <r>
    <x v="5"/>
    <x v="2"/>
    <x v="1"/>
    <x v="143"/>
    <x v="1"/>
    <x v="4"/>
    <n v="0"/>
    <m/>
  </r>
  <r>
    <x v="5"/>
    <x v="2"/>
    <x v="1"/>
    <x v="144"/>
    <x v="1"/>
    <x v="4"/>
    <n v="0"/>
    <m/>
  </r>
  <r>
    <x v="5"/>
    <x v="2"/>
    <x v="1"/>
    <x v="145"/>
    <x v="1"/>
    <x v="4"/>
    <n v="0"/>
    <m/>
  </r>
  <r>
    <x v="5"/>
    <x v="2"/>
    <x v="1"/>
    <x v="146"/>
    <x v="0"/>
    <x v="2"/>
    <n v="1"/>
    <s v=""/>
  </r>
  <r>
    <x v="5"/>
    <x v="2"/>
    <x v="1"/>
    <x v="146"/>
    <x v="2"/>
    <x v="0"/>
    <n v="3"/>
    <s v=""/>
  </r>
  <r>
    <x v="5"/>
    <x v="2"/>
    <x v="1"/>
    <x v="147"/>
    <x v="1"/>
    <x v="4"/>
    <n v="0"/>
    <m/>
  </r>
  <r>
    <x v="5"/>
    <x v="2"/>
    <x v="1"/>
    <x v="148"/>
    <x v="2"/>
    <x v="0"/>
    <n v="1"/>
    <s v=""/>
  </r>
  <r>
    <x v="5"/>
    <x v="2"/>
    <x v="1"/>
    <x v="149"/>
    <x v="1"/>
    <x v="4"/>
    <n v="0"/>
    <m/>
  </r>
  <r>
    <x v="5"/>
    <x v="2"/>
    <x v="1"/>
    <x v="150"/>
    <x v="1"/>
    <x v="4"/>
    <n v="0"/>
    <m/>
  </r>
  <r>
    <x v="5"/>
    <x v="2"/>
    <x v="1"/>
    <x v="151"/>
    <x v="5"/>
    <x v="0"/>
    <n v="1"/>
    <s v=""/>
  </r>
  <r>
    <x v="5"/>
    <x v="2"/>
    <x v="1"/>
    <x v="152"/>
    <x v="1"/>
    <x v="4"/>
    <n v="0"/>
    <m/>
  </r>
  <r>
    <x v="5"/>
    <x v="2"/>
    <x v="1"/>
    <x v="153"/>
    <x v="1"/>
    <x v="4"/>
    <n v="0"/>
    <m/>
  </r>
  <r>
    <x v="5"/>
    <x v="2"/>
    <x v="1"/>
    <x v="154"/>
    <x v="0"/>
    <x v="2"/>
    <n v="1"/>
    <s v=""/>
  </r>
  <r>
    <x v="5"/>
    <x v="2"/>
    <x v="1"/>
    <x v="154"/>
    <x v="2"/>
    <x v="0"/>
    <n v="2"/>
    <s v=""/>
  </r>
  <r>
    <x v="5"/>
    <x v="2"/>
    <x v="1"/>
    <x v="155"/>
    <x v="2"/>
    <x v="1"/>
    <n v="2"/>
    <s v=""/>
  </r>
  <r>
    <x v="5"/>
    <x v="2"/>
    <x v="1"/>
    <x v="155"/>
    <x v="2"/>
    <x v="0"/>
    <n v="1"/>
    <s v=""/>
  </r>
  <r>
    <x v="5"/>
    <x v="2"/>
    <x v="1"/>
    <x v="156"/>
    <x v="1"/>
    <x v="4"/>
    <n v="0"/>
    <m/>
  </r>
  <r>
    <x v="5"/>
    <x v="2"/>
    <x v="1"/>
    <x v="157"/>
    <x v="1"/>
    <x v="4"/>
    <n v="0"/>
    <m/>
  </r>
  <r>
    <x v="5"/>
    <x v="2"/>
    <x v="1"/>
    <x v="158"/>
    <x v="1"/>
    <x v="4"/>
    <n v="0"/>
    <m/>
  </r>
  <r>
    <x v="5"/>
    <x v="2"/>
    <x v="1"/>
    <x v="159"/>
    <x v="1"/>
    <x v="0"/>
    <n v="1"/>
    <s v=""/>
  </r>
  <r>
    <x v="5"/>
    <x v="2"/>
    <x v="1"/>
    <x v="159"/>
    <x v="2"/>
    <x v="0"/>
    <n v="1"/>
    <s v=""/>
  </r>
  <r>
    <x v="5"/>
    <x v="2"/>
    <x v="2"/>
    <x v="160"/>
    <x v="2"/>
    <x v="0"/>
    <n v="3"/>
    <s v=""/>
  </r>
  <r>
    <x v="5"/>
    <x v="2"/>
    <x v="2"/>
    <x v="161"/>
    <x v="2"/>
    <x v="0"/>
    <n v="1"/>
    <s v=""/>
  </r>
  <r>
    <x v="5"/>
    <x v="2"/>
    <x v="2"/>
    <x v="161"/>
    <x v="2"/>
    <x v="2"/>
    <n v="1"/>
    <s v=""/>
  </r>
  <r>
    <x v="5"/>
    <x v="2"/>
    <x v="2"/>
    <x v="162"/>
    <x v="2"/>
    <x v="2"/>
    <n v="1"/>
    <s v=""/>
  </r>
  <r>
    <x v="5"/>
    <x v="2"/>
    <x v="2"/>
    <x v="163"/>
    <x v="1"/>
    <x v="2"/>
    <n v="1"/>
    <s v=""/>
  </r>
  <r>
    <x v="5"/>
    <x v="2"/>
    <x v="2"/>
    <x v="164"/>
    <x v="1"/>
    <x v="1"/>
    <n v="1"/>
    <s v=""/>
  </r>
  <r>
    <x v="5"/>
    <x v="2"/>
    <x v="2"/>
    <x v="164"/>
    <x v="2"/>
    <x v="1"/>
    <n v="2"/>
    <s v=""/>
  </r>
  <r>
    <x v="5"/>
    <x v="2"/>
    <x v="2"/>
    <x v="164"/>
    <x v="2"/>
    <x v="2"/>
    <n v="1"/>
    <s v=""/>
  </r>
  <r>
    <x v="5"/>
    <x v="2"/>
    <x v="2"/>
    <x v="165"/>
    <x v="2"/>
    <x v="0"/>
    <n v="1"/>
    <s v=""/>
  </r>
  <r>
    <x v="5"/>
    <x v="2"/>
    <x v="2"/>
    <x v="165"/>
    <x v="2"/>
    <x v="2"/>
    <n v="2"/>
    <s v=""/>
  </r>
  <r>
    <x v="5"/>
    <x v="2"/>
    <x v="2"/>
    <x v="166"/>
    <x v="2"/>
    <x v="1"/>
    <n v="2"/>
    <s v=""/>
  </r>
  <r>
    <x v="5"/>
    <x v="2"/>
    <x v="2"/>
    <x v="166"/>
    <x v="2"/>
    <x v="0"/>
    <n v="1"/>
    <s v=""/>
  </r>
  <r>
    <x v="5"/>
    <x v="2"/>
    <x v="2"/>
    <x v="166"/>
    <x v="2"/>
    <x v="2"/>
    <n v="1"/>
    <s v=""/>
  </r>
  <r>
    <x v="5"/>
    <x v="2"/>
    <x v="2"/>
    <x v="167"/>
    <x v="2"/>
    <x v="1"/>
    <n v="2"/>
    <s v=""/>
  </r>
  <r>
    <x v="5"/>
    <x v="2"/>
    <x v="2"/>
    <x v="167"/>
    <x v="2"/>
    <x v="0"/>
    <n v="1"/>
    <s v=""/>
  </r>
  <r>
    <x v="5"/>
    <x v="2"/>
    <x v="2"/>
    <x v="168"/>
    <x v="2"/>
    <x v="0"/>
    <n v="1"/>
    <s v=""/>
  </r>
  <r>
    <x v="5"/>
    <x v="2"/>
    <x v="2"/>
    <x v="168"/>
    <x v="2"/>
    <x v="2"/>
    <n v="1"/>
    <s v=""/>
  </r>
  <r>
    <x v="5"/>
    <x v="2"/>
    <x v="2"/>
    <x v="169"/>
    <x v="2"/>
    <x v="2"/>
    <n v="2"/>
    <s v=""/>
  </r>
  <r>
    <x v="5"/>
    <x v="2"/>
    <x v="2"/>
    <x v="170"/>
    <x v="2"/>
    <x v="1"/>
    <n v="1"/>
    <s v=""/>
  </r>
  <r>
    <x v="5"/>
    <x v="2"/>
    <x v="2"/>
    <x v="171"/>
    <x v="3"/>
    <x v="0"/>
    <n v="1"/>
    <s v=""/>
  </r>
  <r>
    <x v="5"/>
    <x v="2"/>
    <x v="2"/>
    <x v="171"/>
    <x v="2"/>
    <x v="1"/>
    <n v="3"/>
    <s v=""/>
  </r>
  <r>
    <x v="5"/>
    <x v="2"/>
    <x v="2"/>
    <x v="171"/>
    <x v="2"/>
    <x v="0"/>
    <n v="3"/>
    <s v=""/>
  </r>
  <r>
    <x v="5"/>
    <x v="2"/>
    <x v="2"/>
    <x v="172"/>
    <x v="1"/>
    <x v="0"/>
    <n v="1"/>
    <s v=""/>
  </r>
  <r>
    <x v="5"/>
    <x v="2"/>
    <x v="2"/>
    <x v="172"/>
    <x v="2"/>
    <x v="2"/>
    <n v="2"/>
    <s v=""/>
  </r>
  <r>
    <x v="5"/>
    <x v="2"/>
    <x v="2"/>
    <x v="172"/>
    <x v="5"/>
    <x v="2"/>
    <n v="1"/>
    <s v=""/>
  </r>
  <r>
    <x v="5"/>
    <x v="2"/>
    <x v="2"/>
    <x v="173"/>
    <x v="2"/>
    <x v="0"/>
    <n v="4"/>
    <s v=""/>
  </r>
  <r>
    <x v="5"/>
    <x v="2"/>
    <x v="2"/>
    <x v="174"/>
    <x v="2"/>
    <x v="1"/>
    <n v="1"/>
    <s v=""/>
  </r>
  <r>
    <x v="5"/>
    <x v="2"/>
    <x v="2"/>
    <x v="175"/>
    <x v="4"/>
    <x v="3"/>
    <s v=""/>
    <s v="plaque absente"/>
  </r>
  <r>
    <x v="5"/>
    <x v="2"/>
    <x v="2"/>
    <x v="176"/>
    <x v="2"/>
    <x v="0"/>
    <n v="2"/>
    <s v=""/>
  </r>
  <r>
    <x v="5"/>
    <x v="2"/>
    <x v="2"/>
    <x v="177"/>
    <x v="2"/>
    <x v="2"/>
    <n v="1"/>
    <s v=""/>
  </r>
  <r>
    <x v="5"/>
    <x v="2"/>
    <x v="2"/>
    <x v="178"/>
    <x v="2"/>
    <x v="0"/>
    <n v="2"/>
    <s v=""/>
  </r>
  <r>
    <x v="5"/>
    <x v="2"/>
    <x v="2"/>
    <x v="178"/>
    <x v="5"/>
    <x v="0"/>
    <n v="1"/>
    <s v=""/>
  </r>
  <r>
    <x v="5"/>
    <x v="2"/>
    <x v="2"/>
    <x v="179"/>
    <x v="2"/>
    <x v="1"/>
    <n v="1"/>
    <s v=""/>
  </r>
  <r>
    <x v="5"/>
    <x v="2"/>
    <x v="2"/>
    <x v="179"/>
    <x v="2"/>
    <x v="0"/>
    <n v="1"/>
    <s v=""/>
  </r>
  <r>
    <x v="6"/>
    <x v="0"/>
    <x v="0"/>
    <x v="0"/>
    <x v="3"/>
    <x v="2"/>
    <n v="1"/>
    <s v=""/>
  </r>
  <r>
    <x v="6"/>
    <x v="0"/>
    <x v="0"/>
    <x v="16"/>
    <x v="1"/>
    <x v="4"/>
    <n v="0"/>
    <m/>
  </r>
  <r>
    <x v="6"/>
    <x v="0"/>
    <x v="0"/>
    <x v="15"/>
    <x v="1"/>
    <x v="4"/>
    <n v="0"/>
    <m/>
  </r>
  <r>
    <x v="6"/>
    <x v="0"/>
    <x v="0"/>
    <x v="17"/>
    <x v="1"/>
    <x v="4"/>
    <n v="0"/>
    <m/>
  </r>
  <r>
    <x v="6"/>
    <x v="0"/>
    <x v="0"/>
    <x v="14"/>
    <x v="1"/>
    <x v="4"/>
    <n v="0"/>
    <m/>
  </r>
  <r>
    <x v="6"/>
    <x v="0"/>
    <x v="0"/>
    <x v="18"/>
    <x v="1"/>
    <x v="4"/>
    <n v="0"/>
    <m/>
  </r>
  <r>
    <x v="6"/>
    <x v="0"/>
    <x v="0"/>
    <x v="13"/>
    <x v="1"/>
    <x v="4"/>
    <n v="0"/>
    <m/>
  </r>
  <r>
    <x v="6"/>
    <x v="0"/>
    <x v="0"/>
    <x v="19"/>
    <x v="1"/>
    <x v="4"/>
    <n v="0"/>
    <m/>
  </r>
  <r>
    <x v="6"/>
    <x v="0"/>
    <x v="0"/>
    <x v="20"/>
    <x v="1"/>
    <x v="4"/>
    <n v="0"/>
    <m/>
  </r>
  <r>
    <x v="6"/>
    <x v="0"/>
    <x v="0"/>
    <x v="12"/>
    <x v="3"/>
    <x v="1"/>
    <n v="1"/>
    <s v=""/>
  </r>
  <r>
    <x v="6"/>
    <x v="0"/>
    <x v="0"/>
    <x v="21"/>
    <x v="1"/>
    <x v="4"/>
    <n v="0"/>
    <m/>
  </r>
  <r>
    <x v="6"/>
    <x v="0"/>
    <x v="0"/>
    <x v="22"/>
    <x v="5"/>
    <x v="2"/>
    <n v="1"/>
    <s v=""/>
  </r>
  <r>
    <x v="6"/>
    <x v="0"/>
    <x v="0"/>
    <x v="23"/>
    <x v="1"/>
    <x v="4"/>
    <n v="0"/>
    <m/>
  </r>
  <r>
    <x v="6"/>
    <x v="0"/>
    <x v="0"/>
    <x v="24"/>
    <x v="1"/>
    <x v="4"/>
    <n v="0"/>
    <m/>
  </r>
  <r>
    <x v="6"/>
    <x v="0"/>
    <x v="0"/>
    <x v="25"/>
    <x v="4"/>
    <x v="3"/>
    <s v=""/>
    <s v="plaque absente"/>
  </r>
  <r>
    <x v="6"/>
    <x v="0"/>
    <x v="0"/>
    <x v="26"/>
    <x v="3"/>
    <x v="0"/>
    <n v="1"/>
    <s v=""/>
  </r>
  <r>
    <x v="6"/>
    <x v="0"/>
    <x v="0"/>
    <x v="27"/>
    <x v="3"/>
    <x v="1"/>
    <n v="1"/>
    <s v=""/>
  </r>
  <r>
    <x v="6"/>
    <x v="0"/>
    <x v="0"/>
    <x v="27"/>
    <x v="2"/>
    <x v="1"/>
    <n v="1"/>
    <s v=""/>
  </r>
  <r>
    <x v="6"/>
    <x v="0"/>
    <x v="0"/>
    <x v="28"/>
    <x v="1"/>
    <x v="4"/>
    <n v="0"/>
    <m/>
  </r>
  <r>
    <x v="6"/>
    <x v="0"/>
    <x v="0"/>
    <x v="11"/>
    <x v="1"/>
    <x v="4"/>
    <n v="0"/>
    <m/>
  </r>
  <r>
    <x v="6"/>
    <x v="0"/>
    <x v="0"/>
    <x v="29"/>
    <x v="1"/>
    <x v="4"/>
    <n v="0"/>
    <m/>
  </r>
  <r>
    <x v="6"/>
    <x v="0"/>
    <x v="0"/>
    <x v="30"/>
    <x v="1"/>
    <x v="4"/>
    <n v="0"/>
    <m/>
  </r>
  <r>
    <x v="6"/>
    <x v="0"/>
    <x v="1"/>
    <x v="31"/>
    <x v="3"/>
    <x v="1"/>
    <n v="1"/>
    <s v=""/>
  </r>
  <r>
    <x v="6"/>
    <x v="0"/>
    <x v="1"/>
    <x v="31"/>
    <x v="3"/>
    <x v="2"/>
    <n v="1"/>
    <s v=""/>
  </r>
  <r>
    <x v="6"/>
    <x v="0"/>
    <x v="1"/>
    <x v="32"/>
    <x v="3"/>
    <x v="1"/>
    <n v="2"/>
    <s v=""/>
  </r>
  <r>
    <x v="6"/>
    <x v="0"/>
    <x v="1"/>
    <x v="33"/>
    <x v="1"/>
    <x v="4"/>
    <n v="0"/>
    <m/>
  </r>
  <r>
    <x v="6"/>
    <x v="0"/>
    <x v="1"/>
    <x v="10"/>
    <x v="5"/>
    <x v="0"/>
    <n v="1"/>
    <s v=""/>
  </r>
  <r>
    <x v="6"/>
    <x v="0"/>
    <x v="1"/>
    <x v="34"/>
    <x v="1"/>
    <x v="4"/>
    <n v="0"/>
    <m/>
  </r>
  <r>
    <x v="6"/>
    <x v="0"/>
    <x v="1"/>
    <x v="35"/>
    <x v="5"/>
    <x v="0"/>
    <n v="1"/>
    <s v=""/>
  </r>
  <r>
    <x v="6"/>
    <x v="0"/>
    <x v="1"/>
    <x v="36"/>
    <x v="5"/>
    <x v="0"/>
    <n v="1"/>
    <s v=""/>
  </r>
  <r>
    <x v="6"/>
    <x v="0"/>
    <x v="1"/>
    <x v="37"/>
    <x v="1"/>
    <x v="0"/>
    <n v="2"/>
    <s v=""/>
  </r>
  <r>
    <x v="6"/>
    <x v="0"/>
    <x v="1"/>
    <x v="9"/>
    <x v="1"/>
    <x v="4"/>
    <n v="0"/>
    <m/>
  </r>
  <r>
    <x v="6"/>
    <x v="0"/>
    <x v="1"/>
    <x v="38"/>
    <x v="1"/>
    <x v="4"/>
    <n v="0"/>
    <m/>
  </r>
  <r>
    <x v="6"/>
    <x v="0"/>
    <x v="1"/>
    <x v="8"/>
    <x v="1"/>
    <x v="4"/>
    <n v="0"/>
    <m/>
  </r>
  <r>
    <x v="6"/>
    <x v="0"/>
    <x v="1"/>
    <x v="39"/>
    <x v="3"/>
    <x v="0"/>
    <n v="1"/>
    <s v=""/>
  </r>
  <r>
    <x v="6"/>
    <x v="0"/>
    <x v="1"/>
    <x v="39"/>
    <x v="5"/>
    <x v="0"/>
    <n v="1"/>
    <s v=""/>
  </r>
  <r>
    <x v="6"/>
    <x v="0"/>
    <x v="1"/>
    <x v="7"/>
    <x v="1"/>
    <x v="4"/>
    <n v="0"/>
    <m/>
  </r>
  <r>
    <x v="6"/>
    <x v="0"/>
    <x v="1"/>
    <x v="6"/>
    <x v="1"/>
    <x v="4"/>
    <n v="0"/>
    <m/>
  </r>
  <r>
    <x v="6"/>
    <x v="0"/>
    <x v="1"/>
    <x v="40"/>
    <x v="5"/>
    <x v="0"/>
    <n v="1"/>
    <s v=""/>
  </r>
  <r>
    <x v="6"/>
    <x v="0"/>
    <x v="1"/>
    <x v="41"/>
    <x v="5"/>
    <x v="1"/>
    <n v="1"/>
    <s v=""/>
  </r>
  <r>
    <x v="6"/>
    <x v="0"/>
    <x v="1"/>
    <x v="42"/>
    <x v="1"/>
    <x v="4"/>
    <n v="0"/>
    <m/>
  </r>
  <r>
    <x v="6"/>
    <x v="0"/>
    <x v="1"/>
    <x v="5"/>
    <x v="1"/>
    <x v="4"/>
    <n v="0"/>
    <m/>
  </r>
  <r>
    <x v="6"/>
    <x v="0"/>
    <x v="1"/>
    <x v="43"/>
    <x v="1"/>
    <x v="4"/>
    <n v="0"/>
    <m/>
  </r>
  <r>
    <x v="6"/>
    <x v="0"/>
    <x v="2"/>
    <x v="44"/>
    <x v="1"/>
    <x v="4"/>
    <n v="0"/>
    <m/>
  </r>
  <r>
    <x v="6"/>
    <x v="0"/>
    <x v="2"/>
    <x v="45"/>
    <x v="5"/>
    <x v="0"/>
    <n v="1"/>
    <s v=""/>
  </r>
  <r>
    <x v="6"/>
    <x v="0"/>
    <x v="2"/>
    <x v="46"/>
    <x v="1"/>
    <x v="4"/>
    <n v="0"/>
    <m/>
  </r>
  <r>
    <x v="6"/>
    <x v="0"/>
    <x v="2"/>
    <x v="4"/>
    <x v="1"/>
    <x v="4"/>
    <n v="0"/>
    <m/>
  </r>
  <r>
    <x v="6"/>
    <x v="0"/>
    <x v="2"/>
    <x v="47"/>
    <x v="1"/>
    <x v="4"/>
    <n v="0"/>
    <m/>
  </r>
  <r>
    <x v="6"/>
    <x v="0"/>
    <x v="2"/>
    <x v="48"/>
    <x v="1"/>
    <x v="4"/>
    <n v="0"/>
    <m/>
  </r>
  <r>
    <x v="6"/>
    <x v="0"/>
    <x v="2"/>
    <x v="49"/>
    <x v="1"/>
    <x v="4"/>
    <n v="0"/>
    <m/>
  </r>
  <r>
    <x v="6"/>
    <x v="0"/>
    <x v="2"/>
    <x v="50"/>
    <x v="1"/>
    <x v="4"/>
    <n v="0"/>
    <m/>
  </r>
  <r>
    <x v="6"/>
    <x v="0"/>
    <x v="2"/>
    <x v="3"/>
    <x v="1"/>
    <x v="4"/>
    <n v="0"/>
    <m/>
  </r>
  <r>
    <x v="6"/>
    <x v="0"/>
    <x v="2"/>
    <x v="51"/>
    <x v="1"/>
    <x v="4"/>
    <n v="0"/>
    <m/>
  </r>
  <r>
    <x v="6"/>
    <x v="0"/>
    <x v="2"/>
    <x v="2"/>
    <x v="1"/>
    <x v="4"/>
    <n v="0"/>
    <m/>
  </r>
  <r>
    <x v="6"/>
    <x v="0"/>
    <x v="2"/>
    <x v="52"/>
    <x v="1"/>
    <x v="4"/>
    <n v="0"/>
    <m/>
  </r>
  <r>
    <x v="6"/>
    <x v="0"/>
    <x v="2"/>
    <x v="53"/>
    <x v="1"/>
    <x v="4"/>
    <n v="0"/>
    <m/>
  </r>
  <r>
    <x v="6"/>
    <x v="0"/>
    <x v="2"/>
    <x v="54"/>
    <x v="1"/>
    <x v="4"/>
    <n v="0"/>
    <m/>
  </r>
  <r>
    <x v="6"/>
    <x v="0"/>
    <x v="2"/>
    <x v="1"/>
    <x v="1"/>
    <x v="4"/>
    <n v="0"/>
    <m/>
  </r>
  <r>
    <x v="6"/>
    <x v="0"/>
    <x v="2"/>
    <x v="55"/>
    <x v="1"/>
    <x v="4"/>
    <n v="0"/>
    <m/>
  </r>
  <r>
    <x v="6"/>
    <x v="0"/>
    <x v="2"/>
    <x v="56"/>
    <x v="1"/>
    <x v="4"/>
    <n v="0"/>
    <m/>
  </r>
  <r>
    <x v="6"/>
    <x v="0"/>
    <x v="2"/>
    <x v="57"/>
    <x v="1"/>
    <x v="4"/>
    <n v="0"/>
    <m/>
  </r>
  <r>
    <x v="6"/>
    <x v="0"/>
    <x v="2"/>
    <x v="58"/>
    <x v="1"/>
    <x v="4"/>
    <n v="0"/>
    <m/>
  </r>
  <r>
    <x v="6"/>
    <x v="0"/>
    <x v="2"/>
    <x v="59"/>
    <x v="1"/>
    <x v="4"/>
    <n v="0"/>
    <m/>
  </r>
  <r>
    <x v="6"/>
    <x v="1"/>
    <x v="0"/>
    <x v="60"/>
    <x v="1"/>
    <x v="4"/>
    <n v="0"/>
    <m/>
  </r>
  <r>
    <x v="6"/>
    <x v="1"/>
    <x v="0"/>
    <x v="61"/>
    <x v="3"/>
    <x v="1"/>
    <n v="1"/>
    <s v=""/>
  </r>
  <r>
    <x v="6"/>
    <x v="1"/>
    <x v="0"/>
    <x v="62"/>
    <x v="1"/>
    <x v="4"/>
    <n v="0"/>
    <m/>
  </r>
  <r>
    <x v="6"/>
    <x v="1"/>
    <x v="0"/>
    <x v="63"/>
    <x v="2"/>
    <x v="1"/>
    <n v="2"/>
    <s v=""/>
  </r>
  <r>
    <x v="6"/>
    <x v="1"/>
    <x v="0"/>
    <x v="64"/>
    <x v="3"/>
    <x v="0"/>
    <n v="1"/>
    <s v=""/>
  </r>
  <r>
    <x v="6"/>
    <x v="1"/>
    <x v="0"/>
    <x v="64"/>
    <x v="2"/>
    <x v="0"/>
    <n v="1"/>
    <s v=""/>
  </r>
  <r>
    <x v="6"/>
    <x v="1"/>
    <x v="0"/>
    <x v="65"/>
    <x v="1"/>
    <x v="4"/>
    <n v="0"/>
    <m/>
  </r>
  <r>
    <x v="6"/>
    <x v="1"/>
    <x v="0"/>
    <x v="66"/>
    <x v="3"/>
    <x v="0"/>
    <n v="1"/>
    <s v=""/>
  </r>
  <r>
    <x v="6"/>
    <x v="1"/>
    <x v="0"/>
    <x v="67"/>
    <x v="1"/>
    <x v="4"/>
    <n v="0"/>
    <m/>
  </r>
  <r>
    <x v="6"/>
    <x v="1"/>
    <x v="0"/>
    <x v="68"/>
    <x v="3"/>
    <x v="0"/>
    <n v="1"/>
    <s v=""/>
  </r>
  <r>
    <x v="6"/>
    <x v="1"/>
    <x v="0"/>
    <x v="68"/>
    <x v="2"/>
    <x v="0"/>
    <n v="2"/>
    <s v=""/>
  </r>
  <r>
    <x v="6"/>
    <x v="1"/>
    <x v="0"/>
    <x v="69"/>
    <x v="2"/>
    <x v="0"/>
    <n v="1"/>
    <s v=""/>
  </r>
  <r>
    <x v="6"/>
    <x v="1"/>
    <x v="0"/>
    <x v="70"/>
    <x v="1"/>
    <x v="4"/>
    <n v="0"/>
    <m/>
  </r>
  <r>
    <x v="6"/>
    <x v="1"/>
    <x v="0"/>
    <x v="71"/>
    <x v="0"/>
    <x v="1"/>
    <n v="1"/>
    <s v=""/>
  </r>
  <r>
    <x v="6"/>
    <x v="1"/>
    <x v="0"/>
    <x v="72"/>
    <x v="1"/>
    <x v="4"/>
    <n v="0"/>
    <m/>
  </r>
  <r>
    <x v="6"/>
    <x v="1"/>
    <x v="0"/>
    <x v="73"/>
    <x v="3"/>
    <x v="0"/>
    <n v="1"/>
    <s v=""/>
  </r>
  <r>
    <x v="6"/>
    <x v="1"/>
    <x v="0"/>
    <x v="73"/>
    <x v="2"/>
    <x v="0"/>
    <n v="2"/>
    <s v=""/>
  </r>
  <r>
    <x v="6"/>
    <x v="1"/>
    <x v="0"/>
    <x v="74"/>
    <x v="2"/>
    <x v="1"/>
    <n v="1"/>
    <s v=""/>
  </r>
  <r>
    <x v="6"/>
    <x v="1"/>
    <x v="0"/>
    <x v="75"/>
    <x v="1"/>
    <x v="4"/>
    <n v="0"/>
    <m/>
  </r>
  <r>
    <x v="6"/>
    <x v="1"/>
    <x v="0"/>
    <x v="76"/>
    <x v="1"/>
    <x v="4"/>
    <n v="0"/>
    <m/>
  </r>
  <r>
    <x v="6"/>
    <x v="1"/>
    <x v="0"/>
    <x v="77"/>
    <x v="1"/>
    <x v="4"/>
    <n v="0"/>
    <m/>
  </r>
  <r>
    <x v="6"/>
    <x v="1"/>
    <x v="0"/>
    <x v="78"/>
    <x v="1"/>
    <x v="4"/>
    <n v="0"/>
    <m/>
  </r>
  <r>
    <x v="6"/>
    <x v="1"/>
    <x v="0"/>
    <x v="79"/>
    <x v="1"/>
    <x v="0"/>
    <n v="1"/>
    <s v=""/>
  </r>
  <r>
    <x v="6"/>
    <x v="1"/>
    <x v="0"/>
    <x v="79"/>
    <x v="2"/>
    <x v="0"/>
    <n v="2"/>
    <s v=""/>
  </r>
  <r>
    <x v="6"/>
    <x v="1"/>
    <x v="1"/>
    <x v="80"/>
    <x v="1"/>
    <x v="4"/>
    <n v="0"/>
    <m/>
  </r>
  <r>
    <x v="6"/>
    <x v="1"/>
    <x v="1"/>
    <x v="81"/>
    <x v="5"/>
    <x v="0"/>
    <n v="1"/>
    <s v=""/>
  </r>
  <r>
    <x v="6"/>
    <x v="1"/>
    <x v="1"/>
    <x v="82"/>
    <x v="5"/>
    <x v="0"/>
    <n v="1"/>
    <s v=""/>
  </r>
  <r>
    <x v="6"/>
    <x v="1"/>
    <x v="1"/>
    <x v="83"/>
    <x v="1"/>
    <x v="4"/>
    <n v="0"/>
    <m/>
  </r>
  <r>
    <x v="6"/>
    <x v="1"/>
    <x v="1"/>
    <x v="84"/>
    <x v="1"/>
    <x v="4"/>
    <n v="0"/>
    <m/>
  </r>
  <r>
    <x v="6"/>
    <x v="1"/>
    <x v="1"/>
    <x v="85"/>
    <x v="1"/>
    <x v="4"/>
    <n v="0"/>
    <m/>
  </r>
  <r>
    <x v="6"/>
    <x v="1"/>
    <x v="1"/>
    <x v="86"/>
    <x v="1"/>
    <x v="4"/>
    <n v="0"/>
    <m/>
  </r>
  <r>
    <x v="6"/>
    <x v="1"/>
    <x v="1"/>
    <x v="87"/>
    <x v="1"/>
    <x v="4"/>
    <n v="0"/>
    <m/>
  </r>
  <r>
    <x v="6"/>
    <x v="1"/>
    <x v="1"/>
    <x v="88"/>
    <x v="1"/>
    <x v="4"/>
    <n v="0"/>
    <m/>
  </r>
  <r>
    <x v="6"/>
    <x v="1"/>
    <x v="1"/>
    <x v="89"/>
    <x v="1"/>
    <x v="4"/>
    <n v="0"/>
    <m/>
  </r>
  <r>
    <x v="6"/>
    <x v="1"/>
    <x v="1"/>
    <x v="90"/>
    <x v="3"/>
    <x v="0"/>
    <n v="1"/>
    <s v=""/>
  </r>
  <r>
    <x v="6"/>
    <x v="1"/>
    <x v="1"/>
    <x v="91"/>
    <x v="6"/>
    <x v="4"/>
    <m/>
    <m/>
  </r>
  <r>
    <x v="6"/>
    <x v="1"/>
    <x v="1"/>
    <x v="92"/>
    <x v="3"/>
    <x v="0"/>
    <n v="1"/>
    <s v=""/>
  </r>
  <r>
    <x v="6"/>
    <x v="1"/>
    <x v="1"/>
    <x v="92"/>
    <x v="5"/>
    <x v="0"/>
    <n v="1"/>
    <s v=""/>
  </r>
  <r>
    <x v="6"/>
    <x v="1"/>
    <x v="1"/>
    <x v="93"/>
    <x v="2"/>
    <x v="0"/>
    <n v="1"/>
    <s v=""/>
  </r>
  <r>
    <x v="6"/>
    <x v="1"/>
    <x v="1"/>
    <x v="93"/>
    <x v="5"/>
    <x v="0"/>
    <n v="1"/>
    <s v=""/>
  </r>
  <r>
    <x v="6"/>
    <x v="1"/>
    <x v="1"/>
    <x v="94"/>
    <x v="6"/>
    <x v="4"/>
    <m/>
    <s v="plaque absente"/>
  </r>
  <r>
    <x v="6"/>
    <x v="1"/>
    <x v="1"/>
    <x v="95"/>
    <x v="3"/>
    <x v="0"/>
    <n v="1"/>
    <s v=""/>
  </r>
  <r>
    <x v="6"/>
    <x v="1"/>
    <x v="1"/>
    <x v="95"/>
    <x v="2"/>
    <x v="1"/>
    <n v="1"/>
    <s v=""/>
  </r>
  <r>
    <x v="6"/>
    <x v="1"/>
    <x v="1"/>
    <x v="96"/>
    <x v="1"/>
    <x v="4"/>
    <n v="0"/>
    <m/>
  </r>
  <r>
    <x v="6"/>
    <x v="1"/>
    <x v="1"/>
    <x v="97"/>
    <x v="1"/>
    <x v="4"/>
    <n v="0"/>
    <m/>
  </r>
  <r>
    <x v="6"/>
    <x v="1"/>
    <x v="1"/>
    <x v="98"/>
    <x v="1"/>
    <x v="4"/>
    <n v="0"/>
    <m/>
  </r>
  <r>
    <x v="6"/>
    <x v="1"/>
    <x v="1"/>
    <x v="99"/>
    <x v="1"/>
    <x v="4"/>
    <n v="0"/>
    <m/>
  </r>
  <r>
    <x v="6"/>
    <x v="1"/>
    <x v="2"/>
    <x v="100"/>
    <x v="3"/>
    <x v="0"/>
    <n v="1"/>
    <s v=""/>
  </r>
  <r>
    <x v="6"/>
    <x v="1"/>
    <x v="2"/>
    <x v="101"/>
    <x v="3"/>
    <x v="1"/>
    <n v="2"/>
    <s v=""/>
  </r>
  <r>
    <x v="6"/>
    <x v="1"/>
    <x v="2"/>
    <x v="102"/>
    <x v="1"/>
    <x v="4"/>
    <n v="0"/>
    <m/>
  </r>
  <r>
    <x v="6"/>
    <x v="1"/>
    <x v="2"/>
    <x v="103"/>
    <x v="1"/>
    <x v="4"/>
    <n v="0"/>
    <m/>
  </r>
  <r>
    <x v="6"/>
    <x v="1"/>
    <x v="2"/>
    <x v="104"/>
    <x v="1"/>
    <x v="4"/>
    <n v="0"/>
    <m/>
  </r>
  <r>
    <x v="6"/>
    <x v="1"/>
    <x v="2"/>
    <x v="105"/>
    <x v="1"/>
    <x v="4"/>
    <n v="0"/>
    <m/>
  </r>
  <r>
    <x v="6"/>
    <x v="1"/>
    <x v="2"/>
    <x v="106"/>
    <x v="2"/>
    <x v="0"/>
    <n v="1"/>
    <s v=""/>
  </r>
  <r>
    <x v="6"/>
    <x v="1"/>
    <x v="2"/>
    <x v="107"/>
    <x v="1"/>
    <x v="4"/>
    <n v="0"/>
    <m/>
  </r>
  <r>
    <x v="6"/>
    <x v="1"/>
    <x v="2"/>
    <x v="108"/>
    <x v="5"/>
    <x v="0"/>
    <n v="1"/>
    <s v=""/>
  </r>
  <r>
    <x v="6"/>
    <x v="1"/>
    <x v="2"/>
    <x v="109"/>
    <x v="1"/>
    <x v="4"/>
    <n v="0"/>
    <m/>
  </r>
  <r>
    <x v="6"/>
    <x v="1"/>
    <x v="2"/>
    <x v="110"/>
    <x v="1"/>
    <x v="4"/>
    <n v="0"/>
    <m/>
  </r>
  <r>
    <x v="6"/>
    <x v="1"/>
    <x v="2"/>
    <x v="111"/>
    <x v="3"/>
    <x v="1"/>
    <n v="2"/>
    <s v=""/>
  </r>
  <r>
    <x v="6"/>
    <x v="1"/>
    <x v="2"/>
    <x v="112"/>
    <x v="1"/>
    <x v="4"/>
    <n v="0"/>
    <m/>
  </r>
  <r>
    <x v="6"/>
    <x v="1"/>
    <x v="2"/>
    <x v="113"/>
    <x v="5"/>
    <x v="1"/>
    <n v="1"/>
    <s v=""/>
  </r>
  <r>
    <x v="6"/>
    <x v="1"/>
    <x v="2"/>
    <x v="114"/>
    <x v="1"/>
    <x v="4"/>
    <n v="0"/>
    <m/>
  </r>
  <r>
    <x v="6"/>
    <x v="1"/>
    <x v="2"/>
    <x v="115"/>
    <x v="3"/>
    <x v="1"/>
    <n v="1"/>
    <s v=""/>
  </r>
  <r>
    <x v="6"/>
    <x v="1"/>
    <x v="2"/>
    <x v="115"/>
    <x v="5"/>
    <x v="0"/>
    <n v="1"/>
    <s v=""/>
  </r>
  <r>
    <x v="6"/>
    <x v="1"/>
    <x v="2"/>
    <x v="116"/>
    <x v="1"/>
    <x v="4"/>
    <n v="0"/>
    <m/>
  </r>
  <r>
    <x v="6"/>
    <x v="1"/>
    <x v="2"/>
    <x v="117"/>
    <x v="1"/>
    <x v="4"/>
    <n v="0"/>
    <m/>
  </r>
  <r>
    <x v="6"/>
    <x v="1"/>
    <x v="2"/>
    <x v="118"/>
    <x v="1"/>
    <x v="4"/>
    <n v="0"/>
    <m/>
  </r>
  <r>
    <x v="6"/>
    <x v="1"/>
    <x v="2"/>
    <x v="119"/>
    <x v="1"/>
    <x v="4"/>
    <n v="0"/>
    <m/>
  </r>
  <r>
    <x v="6"/>
    <x v="2"/>
    <x v="0"/>
    <x v="120"/>
    <x v="1"/>
    <x v="4"/>
    <n v="0"/>
    <m/>
  </r>
  <r>
    <x v="6"/>
    <x v="2"/>
    <x v="0"/>
    <x v="121"/>
    <x v="1"/>
    <x v="4"/>
    <n v="0"/>
    <m/>
  </r>
  <r>
    <x v="6"/>
    <x v="2"/>
    <x v="0"/>
    <x v="122"/>
    <x v="1"/>
    <x v="4"/>
    <n v="0"/>
    <m/>
  </r>
  <r>
    <x v="6"/>
    <x v="2"/>
    <x v="0"/>
    <x v="123"/>
    <x v="1"/>
    <x v="4"/>
    <n v="0"/>
    <m/>
  </r>
  <r>
    <x v="6"/>
    <x v="2"/>
    <x v="0"/>
    <x v="124"/>
    <x v="1"/>
    <x v="4"/>
    <n v="0"/>
    <m/>
  </r>
  <r>
    <x v="6"/>
    <x v="2"/>
    <x v="0"/>
    <x v="125"/>
    <x v="1"/>
    <x v="4"/>
    <n v="0"/>
    <m/>
  </r>
  <r>
    <x v="6"/>
    <x v="2"/>
    <x v="0"/>
    <x v="126"/>
    <x v="1"/>
    <x v="4"/>
    <n v="0"/>
    <m/>
  </r>
  <r>
    <x v="6"/>
    <x v="2"/>
    <x v="0"/>
    <x v="127"/>
    <x v="1"/>
    <x v="4"/>
    <n v="0"/>
    <m/>
  </r>
  <r>
    <x v="6"/>
    <x v="2"/>
    <x v="0"/>
    <x v="128"/>
    <x v="1"/>
    <x v="4"/>
    <n v="0"/>
    <m/>
  </r>
  <r>
    <x v="6"/>
    <x v="2"/>
    <x v="0"/>
    <x v="129"/>
    <x v="1"/>
    <x v="4"/>
    <n v="0"/>
    <m/>
  </r>
  <r>
    <x v="6"/>
    <x v="2"/>
    <x v="0"/>
    <x v="130"/>
    <x v="1"/>
    <x v="4"/>
    <n v="0"/>
    <m/>
  </r>
  <r>
    <x v="6"/>
    <x v="2"/>
    <x v="0"/>
    <x v="131"/>
    <x v="3"/>
    <x v="2"/>
    <n v="1"/>
    <s v=""/>
  </r>
  <r>
    <x v="6"/>
    <x v="2"/>
    <x v="0"/>
    <x v="132"/>
    <x v="1"/>
    <x v="4"/>
    <n v="0"/>
    <m/>
  </r>
  <r>
    <x v="6"/>
    <x v="2"/>
    <x v="0"/>
    <x v="133"/>
    <x v="1"/>
    <x v="4"/>
    <n v="0"/>
    <m/>
  </r>
  <r>
    <x v="6"/>
    <x v="2"/>
    <x v="0"/>
    <x v="134"/>
    <x v="1"/>
    <x v="4"/>
    <n v="0"/>
    <m/>
  </r>
  <r>
    <x v="6"/>
    <x v="2"/>
    <x v="0"/>
    <x v="135"/>
    <x v="1"/>
    <x v="4"/>
    <n v="0"/>
    <m/>
  </r>
  <r>
    <x v="6"/>
    <x v="2"/>
    <x v="0"/>
    <x v="136"/>
    <x v="1"/>
    <x v="4"/>
    <n v="0"/>
    <m/>
  </r>
  <r>
    <x v="6"/>
    <x v="2"/>
    <x v="0"/>
    <x v="137"/>
    <x v="1"/>
    <x v="4"/>
    <n v="0"/>
    <m/>
  </r>
  <r>
    <x v="6"/>
    <x v="2"/>
    <x v="0"/>
    <x v="138"/>
    <x v="1"/>
    <x v="4"/>
    <n v="0"/>
    <m/>
  </r>
  <r>
    <x v="6"/>
    <x v="2"/>
    <x v="0"/>
    <x v="139"/>
    <x v="1"/>
    <x v="4"/>
    <n v="0"/>
    <m/>
  </r>
  <r>
    <x v="6"/>
    <x v="2"/>
    <x v="1"/>
    <x v="140"/>
    <x v="1"/>
    <x v="4"/>
    <n v="0"/>
    <m/>
  </r>
  <r>
    <x v="6"/>
    <x v="2"/>
    <x v="1"/>
    <x v="141"/>
    <x v="1"/>
    <x v="4"/>
    <n v="0"/>
    <m/>
  </r>
  <r>
    <x v="6"/>
    <x v="2"/>
    <x v="1"/>
    <x v="142"/>
    <x v="5"/>
    <x v="0"/>
    <n v="1"/>
    <s v=""/>
  </r>
  <r>
    <x v="6"/>
    <x v="2"/>
    <x v="1"/>
    <x v="143"/>
    <x v="0"/>
    <x v="2"/>
    <n v="1"/>
    <s v=""/>
  </r>
  <r>
    <x v="6"/>
    <x v="2"/>
    <x v="1"/>
    <x v="143"/>
    <x v="5"/>
    <x v="0"/>
    <n v="2"/>
    <s v=""/>
  </r>
  <r>
    <x v="6"/>
    <x v="2"/>
    <x v="1"/>
    <x v="144"/>
    <x v="3"/>
    <x v="1"/>
    <n v="1"/>
    <s v=""/>
  </r>
  <r>
    <x v="6"/>
    <x v="2"/>
    <x v="1"/>
    <x v="145"/>
    <x v="4"/>
    <x v="3"/>
    <m/>
    <s v="plaque absente"/>
  </r>
  <r>
    <x v="6"/>
    <x v="2"/>
    <x v="1"/>
    <x v="146"/>
    <x v="1"/>
    <x v="4"/>
    <n v="0"/>
    <m/>
  </r>
  <r>
    <x v="6"/>
    <x v="2"/>
    <x v="1"/>
    <x v="147"/>
    <x v="1"/>
    <x v="4"/>
    <n v="0"/>
    <m/>
  </r>
  <r>
    <x v="6"/>
    <x v="2"/>
    <x v="1"/>
    <x v="148"/>
    <x v="1"/>
    <x v="4"/>
    <n v="0"/>
    <m/>
  </r>
  <r>
    <x v="6"/>
    <x v="2"/>
    <x v="1"/>
    <x v="149"/>
    <x v="1"/>
    <x v="4"/>
    <n v="0"/>
    <m/>
  </r>
  <r>
    <x v="6"/>
    <x v="2"/>
    <x v="1"/>
    <x v="150"/>
    <x v="1"/>
    <x v="4"/>
    <n v="0"/>
    <m/>
  </r>
  <r>
    <x v="6"/>
    <x v="2"/>
    <x v="1"/>
    <x v="151"/>
    <x v="1"/>
    <x v="4"/>
    <n v="0"/>
    <m/>
  </r>
  <r>
    <x v="6"/>
    <x v="2"/>
    <x v="1"/>
    <x v="151"/>
    <x v="5"/>
    <x v="0"/>
    <n v="1"/>
    <s v=""/>
  </r>
  <r>
    <x v="6"/>
    <x v="2"/>
    <x v="1"/>
    <x v="152"/>
    <x v="1"/>
    <x v="4"/>
    <n v="0"/>
    <m/>
  </r>
  <r>
    <x v="6"/>
    <x v="2"/>
    <x v="1"/>
    <x v="153"/>
    <x v="3"/>
    <x v="0"/>
    <n v="1"/>
    <s v=""/>
  </r>
  <r>
    <x v="6"/>
    <x v="2"/>
    <x v="1"/>
    <x v="154"/>
    <x v="1"/>
    <x v="4"/>
    <n v="0"/>
    <m/>
  </r>
  <r>
    <x v="6"/>
    <x v="2"/>
    <x v="1"/>
    <x v="155"/>
    <x v="1"/>
    <x v="4"/>
    <n v="0"/>
    <m/>
  </r>
  <r>
    <x v="6"/>
    <x v="2"/>
    <x v="1"/>
    <x v="156"/>
    <x v="1"/>
    <x v="4"/>
    <n v="0"/>
    <m/>
  </r>
  <r>
    <x v="6"/>
    <x v="2"/>
    <x v="1"/>
    <x v="157"/>
    <x v="1"/>
    <x v="4"/>
    <n v="0"/>
    <m/>
  </r>
  <r>
    <x v="6"/>
    <x v="2"/>
    <x v="1"/>
    <x v="158"/>
    <x v="1"/>
    <x v="4"/>
    <n v="0"/>
    <m/>
  </r>
  <r>
    <x v="6"/>
    <x v="2"/>
    <x v="1"/>
    <x v="159"/>
    <x v="1"/>
    <x v="4"/>
    <n v="0"/>
    <m/>
  </r>
  <r>
    <x v="6"/>
    <x v="2"/>
    <x v="2"/>
    <x v="160"/>
    <x v="1"/>
    <x v="4"/>
    <n v="0"/>
    <m/>
  </r>
  <r>
    <x v="6"/>
    <x v="2"/>
    <x v="2"/>
    <x v="161"/>
    <x v="1"/>
    <x v="4"/>
    <n v="0"/>
    <m/>
  </r>
  <r>
    <x v="6"/>
    <x v="2"/>
    <x v="2"/>
    <x v="162"/>
    <x v="1"/>
    <x v="4"/>
    <n v="0"/>
    <m/>
  </r>
  <r>
    <x v="6"/>
    <x v="2"/>
    <x v="2"/>
    <x v="163"/>
    <x v="1"/>
    <x v="4"/>
    <n v="0"/>
    <m/>
  </r>
  <r>
    <x v="6"/>
    <x v="2"/>
    <x v="2"/>
    <x v="164"/>
    <x v="1"/>
    <x v="4"/>
    <n v="0"/>
    <m/>
  </r>
  <r>
    <x v="6"/>
    <x v="2"/>
    <x v="2"/>
    <x v="165"/>
    <x v="1"/>
    <x v="4"/>
    <n v="0"/>
    <m/>
  </r>
  <r>
    <x v="6"/>
    <x v="2"/>
    <x v="2"/>
    <x v="166"/>
    <x v="1"/>
    <x v="4"/>
    <n v="0"/>
    <m/>
  </r>
  <r>
    <x v="6"/>
    <x v="2"/>
    <x v="2"/>
    <x v="167"/>
    <x v="1"/>
    <x v="4"/>
    <n v="0"/>
    <m/>
  </r>
  <r>
    <x v="6"/>
    <x v="2"/>
    <x v="2"/>
    <x v="168"/>
    <x v="1"/>
    <x v="4"/>
    <n v="0"/>
    <m/>
  </r>
  <r>
    <x v="6"/>
    <x v="2"/>
    <x v="2"/>
    <x v="169"/>
    <x v="1"/>
    <x v="4"/>
    <n v="0"/>
    <m/>
  </r>
  <r>
    <x v="6"/>
    <x v="2"/>
    <x v="2"/>
    <x v="170"/>
    <x v="1"/>
    <x v="4"/>
    <n v="0"/>
    <m/>
  </r>
  <r>
    <x v="6"/>
    <x v="2"/>
    <x v="2"/>
    <x v="171"/>
    <x v="1"/>
    <x v="4"/>
    <n v="0"/>
    <m/>
  </r>
  <r>
    <x v="6"/>
    <x v="2"/>
    <x v="2"/>
    <x v="172"/>
    <x v="1"/>
    <x v="4"/>
    <n v="0"/>
    <m/>
  </r>
  <r>
    <x v="6"/>
    <x v="2"/>
    <x v="2"/>
    <x v="173"/>
    <x v="1"/>
    <x v="4"/>
    <n v="0"/>
    <m/>
  </r>
  <r>
    <x v="6"/>
    <x v="2"/>
    <x v="2"/>
    <x v="174"/>
    <x v="1"/>
    <x v="4"/>
    <n v="0"/>
    <m/>
  </r>
  <r>
    <x v="6"/>
    <x v="2"/>
    <x v="2"/>
    <x v="175"/>
    <x v="1"/>
    <x v="4"/>
    <n v="0"/>
    <m/>
  </r>
  <r>
    <x v="6"/>
    <x v="2"/>
    <x v="2"/>
    <x v="176"/>
    <x v="0"/>
    <x v="0"/>
    <n v="1"/>
    <s v=""/>
  </r>
  <r>
    <x v="6"/>
    <x v="2"/>
    <x v="2"/>
    <x v="177"/>
    <x v="1"/>
    <x v="4"/>
    <n v="0"/>
    <m/>
  </r>
  <r>
    <x v="6"/>
    <x v="2"/>
    <x v="2"/>
    <x v="178"/>
    <x v="1"/>
    <x v="4"/>
    <n v="0"/>
    <m/>
  </r>
  <r>
    <x v="6"/>
    <x v="2"/>
    <x v="2"/>
    <x v="179"/>
    <x v="2"/>
    <x v="2"/>
    <n v="1"/>
    <s v=""/>
  </r>
  <r>
    <x v="7"/>
    <x v="0"/>
    <x v="2"/>
    <x v="0"/>
    <x v="1"/>
    <x v="4"/>
    <n v="0"/>
    <m/>
  </r>
  <r>
    <x v="7"/>
    <x v="0"/>
    <x v="0"/>
    <x v="0"/>
    <x v="0"/>
    <x v="0"/>
    <n v="1"/>
    <s v=""/>
  </r>
  <r>
    <x v="7"/>
    <x v="0"/>
    <x v="2"/>
    <x v="16"/>
    <x v="1"/>
    <x v="4"/>
    <n v="0"/>
    <m/>
  </r>
  <r>
    <x v="7"/>
    <x v="0"/>
    <x v="0"/>
    <x v="16"/>
    <x v="1"/>
    <x v="4"/>
    <n v="0"/>
    <m/>
  </r>
  <r>
    <x v="7"/>
    <x v="0"/>
    <x v="2"/>
    <x v="15"/>
    <x v="1"/>
    <x v="4"/>
    <n v="0"/>
    <m/>
  </r>
  <r>
    <x v="7"/>
    <x v="0"/>
    <x v="0"/>
    <x v="15"/>
    <x v="3"/>
    <x v="1"/>
    <n v="1"/>
    <s v=""/>
  </r>
  <r>
    <x v="7"/>
    <x v="0"/>
    <x v="0"/>
    <x v="15"/>
    <x v="2"/>
    <x v="1"/>
    <n v="4"/>
    <s v=""/>
  </r>
  <r>
    <x v="7"/>
    <x v="0"/>
    <x v="0"/>
    <x v="15"/>
    <x v="2"/>
    <x v="0"/>
    <n v="2"/>
    <s v=""/>
  </r>
  <r>
    <x v="7"/>
    <x v="0"/>
    <x v="2"/>
    <x v="17"/>
    <x v="1"/>
    <x v="4"/>
    <n v="0"/>
    <m/>
  </r>
  <r>
    <x v="7"/>
    <x v="0"/>
    <x v="0"/>
    <x v="17"/>
    <x v="0"/>
    <x v="0"/>
    <n v="1"/>
    <s v=""/>
  </r>
  <r>
    <x v="7"/>
    <x v="0"/>
    <x v="0"/>
    <x v="14"/>
    <x v="0"/>
    <x v="2"/>
    <n v="1"/>
    <s v=""/>
  </r>
  <r>
    <x v="7"/>
    <x v="0"/>
    <x v="0"/>
    <x v="14"/>
    <x v="2"/>
    <x v="0"/>
    <n v="5"/>
    <s v=""/>
  </r>
  <r>
    <x v="7"/>
    <x v="0"/>
    <x v="0"/>
    <x v="14"/>
    <x v="5"/>
    <x v="0"/>
    <n v="1"/>
    <s v=""/>
  </r>
  <r>
    <x v="7"/>
    <x v="0"/>
    <x v="0"/>
    <x v="18"/>
    <x v="3"/>
    <x v="1"/>
    <n v="1"/>
    <s v=""/>
  </r>
  <r>
    <x v="7"/>
    <x v="0"/>
    <x v="0"/>
    <x v="18"/>
    <x v="2"/>
    <x v="1"/>
    <n v="1"/>
    <s v=""/>
  </r>
  <r>
    <x v="7"/>
    <x v="0"/>
    <x v="0"/>
    <x v="18"/>
    <x v="2"/>
    <x v="2"/>
    <n v="1"/>
    <s v=""/>
  </r>
  <r>
    <x v="7"/>
    <x v="0"/>
    <x v="0"/>
    <x v="13"/>
    <x v="2"/>
    <x v="1"/>
    <n v="2"/>
    <s v=""/>
  </r>
  <r>
    <x v="7"/>
    <x v="0"/>
    <x v="0"/>
    <x v="19"/>
    <x v="2"/>
    <x v="1"/>
    <n v="2"/>
    <s v=""/>
  </r>
  <r>
    <x v="7"/>
    <x v="0"/>
    <x v="0"/>
    <x v="20"/>
    <x v="1"/>
    <x v="4"/>
    <n v="0"/>
    <m/>
  </r>
  <r>
    <x v="7"/>
    <x v="0"/>
    <x v="0"/>
    <x v="12"/>
    <x v="2"/>
    <x v="1"/>
    <n v="1"/>
    <s v=""/>
  </r>
  <r>
    <x v="7"/>
    <x v="0"/>
    <x v="0"/>
    <x v="12"/>
    <x v="2"/>
    <x v="0"/>
    <n v="1"/>
    <s v=""/>
  </r>
  <r>
    <x v="7"/>
    <x v="0"/>
    <x v="0"/>
    <x v="21"/>
    <x v="0"/>
    <x v="2"/>
    <n v="1"/>
    <s v=""/>
  </r>
  <r>
    <x v="7"/>
    <x v="0"/>
    <x v="0"/>
    <x v="21"/>
    <x v="2"/>
    <x v="1"/>
    <n v="3"/>
    <s v=""/>
  </r>
  <r>
    <x v="7"/>
    <x v="0"/>
    <x v="0"/>
    <x v="21"/>
    <x v="2"/>
    <x v="2"/>
    <n v="3"/>
    <s v=""/>
  </r>
  <r>
    <x v="7"/>
    <x v="0"/>
    <x v="0"/>
    <x v="22"/>
    <x v="2"/>
    <x v="1"/>
    <n v="1"/>
    <s v=""/>
  </r>
  <r>
    <x v="7"/>
    <x v="0"/>
    <x v="0"/>
    <x v="23"/>
    <x v="2"/>
    <x v="2"/>
    <n v="3"/>
    <s v=""/>
  </r>
  <r>
    <x v="7"/>
    <x v="0"/>
    <x v="0"/>
    <x v="24"/>
    <x v="2"/>
    <x v="1"/>
    <n v="4"/>
    <s v=""/>
  </r>
  <r>
    <x v="7"/>
    <x v="0"/>
    <x v="0"/>
    <x v="24"/>
    <x v="2"/>
    <x v="0"/>
    <n v="1"/>
    <s v=""/>
  </r>
  <r>
    <x v="7"/>
    <x v="0"/>
    <x v="0"/>
    <x v="25"/>
    <x v="2"/>
    <x v="1"/>
    <n v="3"/>
    <s v=""/>
  </r>
  <r>
    <x v="7"/>
    <x v="0"/>
    <x v="0"/>
    <x v="25"/>
    <x v="5"/>
    <x v="2"/>
    <n v="1"/>
    <s v=""/>
  </r>
  <r>
    <x v="7"/>
    <x v="0"/>
    <x v="0"/>
    <x v="26"/>
    <x v="3"/>
    <x v="0"/>
    <n v="1"/>
    <s v=""/>
  </r>
  <r>
    <x v="7"/>
    <x v="0"/>
    <x v="0"/>
    <x v="26"/>
    <x v="2"/>
    <x v="1"/>
    <n v="1"/>
    <s v=""/>
  </r>
  <r>
    <x v="7"/>
    <x v="0"/>
    <x v="0"/>
    <x v="27"/>
    <x v="2"/>
    <x v="1"/>
    <n v="5"/>
    <s v=""/>
  </r>
  <r>
    <x v="7"/>
    <x v="0"/>
    <x v="0"/>
    <x v="27"/>
    <x v="2"/>
    <x v="0"/>
    <n v="1"/>
    <s v=""/>
  </r>
  <r>
    <x v="7"/>
    <x v="0"/>
    <x v="0"/>
    <x v="28"/>
    <x v="2"/>
    <x v="1"/>
    <n v="2"/>
    <s v=""/>
  </r>
  <r>
    <x v="7"/>
    <x v="0"/>
    <x v="0"/>
    <x v="11"/>
    <x v="2"/>
    <x v="0"/>
    <n v="2"/>
    <s v=""/>
  </r>
  <r>
    <x v="7"/>
    <x v="0"/>
    <x v="0"/>
    <x v="11"/>
    <x v="2"/>
    <x v="2"/>
    <n v="1"/>
    <s v=""/>
  </r>
  <r>
    <x v="7"/>
    <x v="0"/>
    <x v="0"/>
    <x v="29"/>
    <x v="1"/>
    <x v="1"/>
    <n v="1"/>
    <s v=""/>
  </r>
  <r>
    <x v="7"/>
    <x v="0"/>
    <x v="0"/>
    <x v="29"/>
    <x v="2"/>
    <x v="1"/>
    <n v="3"/>
    <s v=""/>
  </r>
  <r>
    <x v="7"/>
    <x v="0"/>
    <x v="1"/>
    <x v="30"/>
    <x v="1"/>
    <x v="2"/>
    <n v="1"/>
    <s v=""/>
  </r>
  <r>
    <x v="7"/>
    <x v="0"/>
    <x v="1"/>
    <x v="30"/>
    <x v="2"/>
    <x v="1"/>
    <n v="5"/>
    <s v=""/>
  </r>
  <r>
    <x v="7"/>
    <x v="0"/>
    <x v="1"/>
    <x v="30"/>
    <x v="2"/>
    <x v="2"/>
    <n v="1"/>
    <s v=""/>
  </r>
  <r>
    <x v="7"/>
    <x v="0"/>
    <x v="1"/>
    <x v="30"/>
    <x v="5"/>
    <x v="1"/>
    <n v="1"/>
    <s v=""/>
  </r>
  <r>
    <x v="7"/>
    <x v="0"/>
    <x v="1"/>
    <x v="31"/>
    <x v="1"/>
    <x v="4"/>
    <n v="0"/>
    <m/>
  </r>
  <r>
    <x v="7"/>
    <x v="0"/>
    <x v="1"/>
    <x v="32"/>
    <x v="5"/>
    <x v="1"/>
    <n v="1"/>
    <s v=""/>
  </r>
  <r>
    <x v="7"/>
    <x v="0"/>
    <x v="1"/>
    <x v="33"/>
    <x v="2"/>
    <x v="0"/>
    <n v="1"/>
    <s v=""/>
  </r>
  <r>
    <x v="7"/>
    <x v="0"/>
    <x v="1"/>
    <x v="10"/>
    <x v="2"/>
    <x v="0"/>
    <n v="1"/>
    <s v=""/>
  </r>
  <r>
    <x v="7"/>
    <x v="0"/>
    <x v="1"/>
    <x v="34"/>
    <x v="2"/>
    <x v="0"/>
    <n v="1"/>
    <s v=""/>
  </r>
  <r>
    <x v="7"/>
    <x v="0"/>
    <x v="1"/>
    <x v="35"/>
    <x v="2"/>
    <x v="0"/>
    <n v="1"/>
    <s v=""/>
  </r>
  <r>
    <x v="7"/>
    <x v="0"/>
    <x v="1"/>
    <x v="36"/>
    <x v="2"/>
    <x v="1"/>
    <n v="1"/>
    <s v=""/>
  </r>
  <r>
    <x v="7"/>
    <x v="0"/>
    <x v="1"/>
    <x v="36"/>
    <x v="2"/>
    <x v="0"/>
    <n v="1"/>
    <s v=""/>
  </r>
  <r>
    <x v="7"/>
    <x v="0"/>
    <x v="1"/>
    <x v="36"/>
    <x v="2"/>
    <x v="2"/>
    <n v="2"/>
    <s v=""/>
  </r>
  <r>
    <x v="7"/>
    <x v="0"/>
    <x v="1"/>
    <x v="36"/>
    <x v="5"/>
    <x v="1"/>
    <n v="1"/>
    <s v=""/>
  </r>
  <r>
    <x v="7"/>
    <x v="0"/>
    <x v="1"/>
    <x v="36"/>
    <x v="5"/>
    <x v="0"/>
    <n v="1"/>
    <s v=""/>
  </r>
  <r>
    <x v="7"/>
    <x v="0"/>
    <x v="1"/>
    <x v="37"/>
    <x v="2"/>
    <x v="1"/>
    <n v="2"/>
    <s v=""/>
  </r>
  <r>
    <x v="7"/>
    <x v="0"/>
    <x v="1"/>
    <x v="37"/>
    <x v="2"/>
    <x v="0"/>
    <n v="5"/>
    <s v=""/>
  </r>
  <r>
    <x v="7"/>
    <x v="0"/>
    <x v="1"/>
    <x v="37"/>
    <x v="2"/>
    <x v="2"/>
    <n v="1"/>
    <s v=""/>
  </r>
  <r>
    <x v="7"/>
    <x v="0"/>
    <x v="1"/>
    <x v="9"/>
    <x v="0"/>
    <x v="0"/>
    <n v="1"/>
    <s v=""/>
  </r>
  <r>
    <x v="7"/>
    <x v="0"/>
    <x v="1"/>
    <x v="9"/>
    <x v="2"/>
    <x v="0"/>
    <n v="1"/>
    <s v=""/>
  </r>
  <r>
    <x v="7"/>
    <x v="0"/>
    <x v="1"/>
    <x v="38"/>
    <x v="2"/>
    <x v="0"/>
    <n v="3"/>
    <s v=""/>
  </r>
  <r>
    <x v="7"/>
    <x v="0"/>
    <x v="1"/>
    <x v="38"/>
    <x v="5"/>
    <x v="0"/>
    <n v="1"/>
    <s v=""/>
  </r>
  <r>
    <x v="7"/>
    <x v="0"/>
    <x v="1"/>
    <x v="8"/>
    <x v="1"/>
    <x v="4"/>
    <n v="0"/>
    <m/>
  </r>
  <r>
    <x v="7"/>
    <x v="0"/>
    <x v="1"/>
    <x v="39"/>
    <x v="2"/>
    <x v="1"/>
    <n v="1"/>
    <s v=""/>
  </r>
  <r>
    <x v="7"/>
    <x v="0"/>
    <x v="1"/>
    <x v="39"/>
    <x v="2"/>
    <x v="0"/>
    <n v="4"/>
    <s v=""/>
  </r>
  <r>
    <x v="7"/>
    <x v="0"/>
    <x v="1"/>
    <x v="39"/>
    <x v="2"/>
    <x v="2"/>
    <n v="2"/>
    <s v=""/>
  </r>
  <r>
    <x v="7"/>
    <x v="0"/>
    <x v="1"/>
    <x v="7"/>
    <x v="3"/>
    <x v="2"/>
    <n v="1"/>
    <s v=""/>
  </r>
  <r>
    <x v="7"/>
    <x v="0"/>
    <x v="1"/>
    <x v="7"/>
    <x v="0"/>
    <x v="0"/>
    <n v="1"/>
    <s v=""/>
  </r>
  <r>
    <x v="7"/>
    <x v="0"/>
    <x v="1"/>
    <x v="7"/>
    <x v="0"/>
    <x v="2"/>
    <n v="1"/>
    <s v=""/>
  </r>
  <r>
    <x v="7"/>
    <x v="0"/>
    <x v="1"/>
    <x v="7"/>
    <x v="2"/>
    <x v="1"/>
    <n v="2"/>
    <s v=""/>
  </r>
  <r>
    <x v="7"/>
    <x v="0"/>
    <x v="1"/>
    <x v="7"/>
    <x v="2"/>
    <x v="0"/>
    <n v="3"/>
    <s v=""/>
  </r>
  <r>
    <x v="7"/>
    <x v="0"/>
    <x v="1"/>
    <x v="7"/>
    <x v="2"/>
    <x v="2"/>
    <n v="4"/>
    <s v=""/>
  </r>
  <r>
    <x v="7"/>
    <x v="0"/>
    <x v="1"/>
    <x v="6"/>
    <x v="0"/>
    <x v="2"/>
    <n v="1"/>
    <s v=""/>
  </r>
  <r>
    <x v="7"/>
    <x v="0"/>
    <x v="1"/>
    <x v="6"/>
    <x v="2"/>
    <x v="1"/>
    <n v="1"/>
    <s v=""/>
  </r>
  <r>
    <x v="7"/>
    <x v="0"/>
    <x v="1"/>
    <x v="6"/>
    <x v="2"/>
    <x v="0"/>
    <n v="2"/>
    <s v=""/>
  </r>
  <r>
    <x v="7"/>
    <x v="0"/>
    <x v="1"/>
    <x v="6"/>
    <x v="5"/>
    <x v="0"/>
    <n v="1"/>
    <s v=""/>
  </r>
  <r>
    <x v="7"/>
    <x v="0"/>
    <x v="1"/>
    <x v="40"/>
    <x v="2"/>
    <x v="1"/>
    <n v="2"/>
    <s v=""/>
  </r>
  <r>
    <x v="7"/>
    <x v="0"/>
    <x v="1"/>
    <x v="41"/>
    <x v="1"/>
    <x v="4"/>
    <n v="0"/>
    <m/>
  </r>
  <r>
    <x v="7"/>
    <x v="0"/>
    <x v="1"/>
    <x v="42"/>
    <x v="2"/>
    <x v="1"/>
    <n v="1"/>
    <s v=""/>
  </r>
  <r>
    <x v="7"/>
    <x v="0"/>
    <x v="1"/>
    <x v="5"/>
    <x v="1"/>
    <x v="0"/>
    <n v="1"/>
    <s v=""/>
  </r>
  <r>
    <x v="7"/>
    <x v="0"/>
    <x v="1"/>
    <x v="43"/>
    <x v="2"/>
    <x v="1"/>
    <n v="1"/>
    <s v=""/>
  </r>
  <r>
    <x v="7"/>
    <x v="0"/>
    <x v="2"/>
    <x v="44"/>
    <x v="2"/>
    <x v="0"/>
    <n v="5"/>
    <s v=""/>
  </r>
  <r>
    <x v="7"/>
    <x v="0"/>
    <x v="2"/>
    <x v="45"/>
    <x v="2"/>
    <x v="1"/>
    <n v="2"/>
    <s v=""/>
  </r>
  <r>
    <x v="7"/>
    <x v="0"/>
    <x v="2"/>
    <x v="45"/>
    <x v="2"/>
    <x v="2"/>
    <n v="1"/>
    <s v=""/>
  </r>
  <r>
    <x v="7"/>
    <x v="0"/>
    <x v="2"/>
    <x v="46"/>
    <x v="2"/>
    <x v="0"/>
    <n v="1"/>
    <s v=""/>
  </r>
  <r>
    <x v="7"/>
    <x v="0"/>
    <x v="2"/>
    <x v="46"/>
    <x v="5"/>
    <x v="0"/>
    <n v="1"/>
    <s v=""/>
  </r>
  <r>
    <x v="7"/>
    <x v="0"/>
    <x v="2"/>
    <x v="4"/>
    <x v="2"/>
    <x v="1"/>
    <n v="1"/>
    <s v=""/>
  </r>
  <r>
    <x v="7"/>
    <x v="0"/>
    <x v="2"/>
    <x v="47"/>
    <x v="2"/>
    <x v="1"/>
    <n v="1"/>
    <s v=""/>
  </r>
  <r>
    <x v="7"/>
    <x v="0"/>
    <x v="2"/>
    <x v="47"/>
    <x v="2"/>
    <x v="0"/>
    <n v="1"/>
    <s v=""/>
  </r>
  <r>
    <x v="7"/>
    <x v="0"/>
    <x v="2"/>
    <x v="48"/>
    <x v="2"/>
    <x v="1"/>
    <n v="1"/>
    <s v=""/>
  </r>
  <r>
    <x v="7"/>
    <x v="0"/>
    <x v="2"/>
    <x v="48"/>
    <x v="2"/>
    <x v="0"/>
    <n v="2"/>
    <s v=""/>
  </r>
  <r>
    <x v="7"/>
    <x v="0"/>
    <x v="2"/>
    <x v="48"/>
    <x v="5"/>
    <x v="1"/>
    <n v="1"/>
    <s v=""/>
  </r>
  <r>
    <x v="7"/>
    <x v="0"/>
    <x v="2"/>
    <x v="48"/>
    <x v="5"/>
    <x v="0"/>
    <n v="1"/>
    <s v=""/>
  </r>
  <r>
    <x v="7"/>
    <x v="0"/>
    <x v="2"/>
    <x v="49"/>
    <x v="2"/>
    <x v="1"/>
    <n v="1"/>
    <s v=""/>
  </r>
  <r>
    <x v="7"/>
    <x v="0"/>
    <x v="2"/>
    <x v="49"/>
    <x v="5"/>
    <x v="0"/>
    <n v="1"/>
    <s v=""/>
  </r>
  <r>
    <x v="7"/>
    <x v="0"/>
    <x v="2"/>
    <x v="50"/>
    <x v="2"/>
    <x v="0"/>
    <n v="4"/>
    <s v=""/>
  </r>
  <r>
    <x v="7"/>
    <x v="0"/>
    <x v="2"/>
    <x v="3"/>
    <x v="1"/>
    <x v="4"/>
    <n v="0"/>
    <m/>
  </r>
  <r>
    <x v="7"/>
    <x v="0"/>
    <x v="2"/>
    <x v="51"/>
    <x v="2"/>
    <x v="1"/>
    <n v="2"/>
    <s v=""/>
  </r>
  <r>
    <x v="7"/>
    <x v="0"/>
    <x v="2"/>
    <x v="2"/>
    <x v="2"/>
    <x v="0"/>
    <n v="3"/>
    <s v=""/>
  </r>
  <r>
    <x v="7"/>
    <x v="0"/>
    <x v="2"/>
    <x v="52"/>
    <x v="2"/>
    <x v="0"/>
    <n v="3"/>
    <s v=""/>
  </r>
  <r>
    <x v="7"/>
    <x v="0"/>
    <x v="2"/>
    <x v="53"/>
    <x v="1"/>
    <x v="4"/>
    <n v="0"/>
    <m/>
  </r>
  <r>
    <x v="7"/>
    <x v="0"/>
    <x v="2"/>
    <x v="54"/>
    <x v="2"/>
    <x v="0"/>
    <n v="3"/>
    <s v=""/>
  </r>
  <r>
    <x v="7"/>
    <x v="0"/>
    <x v="2"/>
    <x v="1"/>
    <x v="3"/>
    <x v="1"/>
    <n v="1"/>
    <s v=""/>
  </r>
  <r>
    <x v="7"/>
    <x v="0"/>
    <x v="2"/>
    <x v="1"/>
    <x v="2"/>
    <x v="1"/>
    <n v="1"/>
    <s v=""/>
  </r>
  <r>
    <x v="7"/>
    <x v="0"/>
    <x v="2"/>
    <x v="55"/>
    <x v="2"/>
    <x v="0"/>
    <n v="1"/>
    <s v=""/>
  </r>
  <r>
    <x v="7"/>
    <x v="0"/>
    <x v="2"/>
    <x v="56"/>
    <x v="2"/>
    <x v="1"/>
    <n v="1"/>
    <s v=""/>
  </r>
  <r>
    <x v="7"/>
    <x v="0"/>
    <x v="2"/>
    <x v="56"/>
    <x v="2"/>
    <x v="2"/>
    <n v="1"/>
    <s v=""/>
  </r>
  <r>
    <x v="7"/>
    <x v="0"/>
    <x v="2"/>
    <x v="57"/>
    <x v="2"/>
    <x v="2"/>
    <n v="1"/>
    <s v=""/>
  </r>
  <r>
    <x v="7"/>
    <x v="0"/>
    <x v="2"/>
    <x v="58"/>
    <x v="2"/>
    <x v="2"/>
    <n v="1"/>
    <s v=""/>
  </r>
  <r>
    <x v="7"/>
    <x v="0"/>
    <x v="2"/>
    <x v="59"/>
    <x v="1"/>
    <x v="4"/>
    <n v="0"/>
    <m/>
  </r>
  <r>
    <x v="7"/>
    <x v="1"/>
    <x v="0"/>
    <x v="60"/>
    <x v="1"/>
    <x v="0"/>
    <n v="1"/>
    <s v=""/>
  </r>
  <r>
    <x v="7"/>
    <x v="1"/>
    <x v="0"/>
    <x v="60"/>
    <x v="2"/>
    <x v="0"/>
    <n v="1"/>
    <s v=""/>
  </r>
  <r>
    <x v="7"/>
    <x v="1"/>
    <x v="0"/>
    <x v="60"/>
    <x v="5"/>
    <x v="0"/>
    <n v="1"/>
    <s v=""/>
  </r>
  <r>
    <x v="7"/>
    <x v="1"/>
    <x v="0"/>
    <x v="61"/>
    <x v="2"/>
    <x v="1"/>
    <n v="2"/>
    <s v=""/>
  </r>
  <r>
    <x v="7"/>
    <x v="1"/>
    <x v="0"/>
    <x v="61"/>
    <x v="2"/>
    <x v="0"/>
    <n v="1"/>
    <s v=""/>
  </r>
  <r>
    <x v="7"/>
    <x v="1"/>
    <x v="0"/>
    <x v="62"/>
    <x v="2"/>
    <x v="1"/>
    <n v="2"/>
    <s v=""/>
  </r>
  <r>
    <x v="7"/>
    <x v="1"/>
    <x v="0"/>
    <x v="62"/>
    <x v="2"/>
    <x v="2"/>
    <n v="1"/>
    <s v=""/>
  </r>
  <r>
    <x v="7"/>
    <x v="1"/>
    <x v="0"/>
    <x v="63"/>
    <x v="1"/>
    <x v="1"/>
    <n v="1"/>
    <s v=""/>
  </r>
  <r>
    <x v="7"/>
    <x v="1"/>
    <x v="0"/>
    <x v="63"/>
    <x v="2"/>
    <x v="2"/>
    <n v="1"/>
    <s v=""/>
  </r>
  <r>
    <x v="7"/>
    <x v="1"/>
    <x v="0"/>
    <x v="64"/>
    <x v="2"/>
    <x v="1"/>
    <n v="1"/>
    <s v=""/>
  </r>
  <r>
    <x v="7"/>
    <x v="1"/>
    <x v="0"/>
    <x v="64"/>
    <x v="2"/>
    <x v="0"/>
    <n v="1"/>
    <s v=""/>
  </r>
  <r>
    <x v="7"/>
    <x v="1"/>
    <x v="0"/>
    <x v="65"/>
    <x v="2"/>
    <x v="1"/>
    <n v="4"/>
    <s v=""/>
  </r>
  <r>
    <x v="7"/>
    <x v="1"/>
    <x v="0"/>
    <x v="65"/>
    <x v="2"/>
    <x v="0"/>
    <n v="3"/>
    <s v=""/>
  </r>
  <r>
    <x v="7"/>
    <x v="1"/>
    <x v="0"/>
    <x v="66"/>
    <x v="2"/>
    <x v="1"/>
    <n v="7"/>
    <s v=""/>
  </r>
  <r>
    <x v="7"/>
    <x v="1"/>
    <x v="0"/>
    <x v="66"/>
    <x v="2"/>
    <x v="0"/>
    <n v="3"/>
    <s v=""/>
  </r>
  <r>
    <x v="7"/>
    <x v="1"/>
    <x v="0"/>
    <x v="67"/>
    <x v="2"/>
    <x v="0"/>
    <n v="2"/>
    <s v=""/>
  </r>
  <r>
    <x v="7"/>
    <x v="1"/>
    <x v="0"/>
    <x v="68"/>
    <x v="2"/>
    <x v="1"/>
    <n v="1"/>
    <s v=""/>
  </r>
  <r>
    <x v="7"/>
    <x v="1"/>
    <x v="0"/>
    <x v="68"/>
    <x v="2"/>
    <x v="0"/>
    <n v="3"/>
    <s v=""/>
  </r>
  <r>
    <x v="7"/>
    <x v="1"/>
    <x v="0"/>
    <x v="69"/>
    <x v="1"/>
    <x v="0"/>
    <n v="1"/>
    <s v=""/>
  </r>
  <r>
    <x v="7"/>
    <x v="1"/>
    <x v="0"/>
    <x v="69"/>
    <x v="0"/>
    <x v="0"/>
    <n v="1"/>
    <s v=""/>
  </r>
  <r>
    <x v="7"/>
    <x v="1"/>
    <x v="0"/>
    <x v="69"/>
    <x v="2"/>
    <x v="1"/>
    <n v="3"/>
    <s v=""/>
  </r>
  <r>
    <x v="7"/>
    <x v="1"/>
    <x v="0"/>
    <x v="69"/>
    <x v="2"/>
    <x v="0"/>
    <n v="7"/>
    <s v=""/>
  </r>
  <r>
    <x v="7"/>
    <x v="1"/>
    <x v="0"/>
    <x v="70"/>
    <x v="2"/>
    <x v="0"/>
    <n v="7"/>
    <s v=""/>
  </r>
  <r>
    <x v="7"/>
    <x v="1"/>
    <x v="0"/>
    <x v="71"/>
    <x v="1"/>
    <x v="4"/>
    <n v="0"/>
    <m/>
  </r>
  <r>
    <x v="7"/>
    <x v="1"/>
    <x v="0"/>
    <x v="72"/>
    <x v="2"/>
    <x v="1"/>
    <n v="1"/>
    <s v=""/>
  </r>
  <r>
    <x v="7"/>
    <x v="1"/>
    <x v="0"/>
    <x v="72"/>
    <x v="2"/>
    <x v="0"/>
    <n v="3"/>
    <s v=""/>
  </r>
  <r>
    <x v="7"/>
    <x v="1"/>
    <x v="0"/>
    <x v="73"/>
    <x v="2"/>
    <x v="0"/>
    <n v="5"/>
    <s v=""/>
  </r>
  <r>
    <x v="7"/>
    <x v="1"/>
    <x v="0"/>
    <x v="74"/>
    <x v="2"/>
    <x v="1"/>
    <n v="1"/>
    <s v=""/>
  </r>
  <r>
    <x v="7"/>
    <x v="1"/>
    <x v="0"/>
    <x v="75"/>
    <x v="2"/>
    <x v="2"/>
    <n v="1"/>
    <s v=""/>
  </r>
  <r>
    <x v="7"/>
    <x v="1"/>
    <x v="0"/>
    <x v="76"/>
    <x v="2"/>
    <x v="0"/>
    <n v="3"/>
    <s v=""/>
  </r>
  <r>
    <x v="7"/>
    <x v="1"/>
    <x v="0"/>
    <x v="77"/>
    <x v="0"/>
    <x v="0"/>
    <n v="1"/>
    <s v=""/>
  </r>
  <r>
    <x v="7"/>
    <x v="1"/>
    <x v="0"/>
    <x v="77"/>
    <x v="2"/>
    <x v="0"/>
    <n v="5"/>
    <s v=""/>
  </r>
  <r>
    <x v="7"/>
    <x v="1"/>
    <x v="0"/>
    <x v="78"/>
    <x v="2"/>
    <x v="1"/>
    <n v="1"/>
    <s v=""/>
  </r>
  <r>
    <x v="7"/>
    <x v="1"/>
    <x v="0"/>
    <x v="78"/>
    <x v="2"/>
    <x v="0"/>
    <n v="3"/>
    <s v=""/>
  </r>
  <r>
    <x v="7"/>
    <x v="1"/>
    <x v="0"/>
    <x v="79"/>
    <x v="2"/>
    <x v="0"/>
    <n v="6"/>
    <s v=""/>
  </r>
  <r>
    <x v="7"/>
    <x v="1"/>
    <x v="0"/>
    <x v="80"/>
    <x v="1"/>
    <x v="4"/>
    <n v="0"/>
    <m/>
  </r>
  <r>
    <x v="7"/>
    <x v="1"/>
    <x v="1"/>
    <x v="81"/>
    <x v="2"/>
    <x v="1"/>
    <n v="1"/>
    <s v=""/>
  </r>
  <r>
    <x v="7"/>
    <x v="1"/>
    <x v="1"/>
    <x v="82"/>
    <x v="2"/>
    <x v="0"/>
    <n v="5"/>
    <s v=""/>
  </r>
  <r>
    <x v="7"/>
    <x v="1"/>
    <x v="1"/>
    <x v="83"/>
    <x v="2"/>
    <x v="0"/>
    <n v="1"/>
    <s v=""/>
  </r>
  <r>
    <x v="7"/>
    <x v="1"/>
    <x v="1"/>
    <x v="84"/>
    <x v="2"/>
    <x v="0"/>
    <n v="1"/>
    <s v=""/>
  </r>
  <r>
    <x v="7"/>
    <x v="1"/>
    <x v="1"/>
    <x v="84"/>
    <x v="5"/>
    <x v="0"/>
    <n v="1"/>
    <s v=""/>
  </r>
  <r>
    <x v="7"/>
    <x v="1"/>
    <x v="1"/>
    <x v="85"/>
    <x v="2"/>
    <x v="1"/>
    <n v="1"/>
    <s v=""/>
  </r>
  <r>
    <x v="7"/>
    <x v="1"/>
    <x v="1"/>
    <x v="85"/>
    <x v="5"/>
    <x v="1"/>
    <n v="1"/>
    <s v=""/>
  </r>
  <r>
    <x v="7"/>
    <x v="1"/>
    <x v="1"/>
    <x v="86"/>
    <x v="5"/>
    <x v="1"/>
    <n v="1"/>
    <s v=""/>
  </r>
  <r>
    <x v="7"/>
    <x v="1"/>
    <x v="1"/>
    <x v="86"/>
    <x v="5"/>
    <x v="0"/>
    <n v="1"/>
    <s v=""/>
  </r>
  <r>
    <x v="7"/>
    <x v="1"/>
    <x v="1"/>
    <x v="87"/>
    <x v="0"/>
    <x v="0"/>
    <n v="1"/>
    <s v=""/>
  </r>
  <r>
    <x v="7"/>
    <x v="1"/>
    <x v="1"/>
    <x v="87"/>
    <x v="2"/>
    <x v="0"/>
    <n v="1"/>
    <s v=""/>
  </r>
  <r>
    <x v="7"/>
    <x v="1"/>
    <x v="1"/>
    <x v="87"/>
    <x v="5"/>
    <x v="0"/>
    <n v="1"/>
    <s v=""/>
  </r>
  <r>
    <x v="7"/>
    <x v="1"/>
    <x v="1"/>
    <x v="88"/>
    <x v="1"/>
    <x v="4"/>
    <n v="0"/>
    <m/>
  </r>
  <r>
    <x v="7"/>
    <x v="1"/>
    <x v="1"/>
    <x v="89"/>
    <x v="2"/>
    <x v="0"/>
    <n v="2"/>
    <s v=""/>
  </r>
  <r>
    <x v="7"/>
    <x v="1"/>
    <x v="1"/>
    <x v="89"/>
    <x v="5"/>
    <x v="0"/>
    <n v="1"/>
    <s v=""/>
  </r>
  <r>
    <x v="7"/>
    <x v="1"/>
    <x v="1"/>
    <x v="90"/>
    <x v="2"/>
    <x v="0"/>
    <n v="1"/>
    <s v=""/>
  </r>
  <r>
    <x v="7"/>
    <x v="1"/>
    <x v="1"/>
    <x v="90"/>
    <x v="5"/>
    <x v="0"/>
    <n v="1"/>
    <s v=""/>
  </r>
  <r>
    <x v="7"/>
    <x v="1"/>
    <x v="1"/>
    <x v="91"/>
    <x v="3"/>
    <x v="0"/>
    <n v="1"/>
    <s v=""/>
  </r>
  <r>
    <x v="7"/>
    <x v="1"/>
    <x v="1"/>
    <x v="91"/>
    <x v="5"/>
    <x v="0"/>
    <n v="1"/>
    <s v=""/>
  </r>
  <r>
    <x v="7"/>
    <x v="1"/>
    <x v="1"/>
    <x v="92"/>
    <x v="2"/>
    <x v="0"/>
    <n v="2"/>
    <s v=""/>
  </r>
  <r>
    <x v="7"/>
    <x v="1"/>
    <x v="1"/>
    <x v="92"/>
    <x v="5"/>
    <x v="0"/>
    <n v="1"/>
    <s v=""/>
  </r>
  <r>
    <x v="7"/>
    <x v="1"/>
    <x v="1"/>
    <x v="93"/>
    <x v="2"/>
    <x v="0"/>
    <n v="4"/>
    <s v=""/>
  </r>
  <r>
    <x v="7"/>
    <x v="1"/>
    <x v="1"/>
    <x v="93"/>
    <x v="2"/>
    <x v="2"/>
    <n v="1"/>
    <s v=""/>
  </r>
  <r>
    <x v="7"/>
    <x v="1"/>
    <x v="1"/>
    <x v="94"/>
    <x v="1"/>
    <x v="0"/>
    <n v="1"/>
    <s v=""/>
  </r>
  <r>
    <x v="7"/>
    <x v="1"/>
    <x v="1"/>
    <x v="94"/>
    <x v="0"/>
    <x v="2"/>
    <n v="1"/>
    <s v=""/>
  </r>
  <r>
    <x v="7"/>
    <x v="1"/>
    <x v="1"/>
    <x v="94"/>
    <x v="2"/>
    <x v="0"/>
    <n v="1"/>
    <s v=""/>
  </r>
  <r>
    <x v="7"/>
    <x v="1"/>
    <x v="1"/>
    <x v="95"/>
    <x v="3"/>
    <x v="0"/>
    <n v="1"/>
    <s v=""/>
  </r>
  <r>
    <x v="7"/>
    <x v="1"/>
    <x v="1"/>
    <x v="95"/>
    <x v="2"/>
    <x v="0"/>
    <n v="2"/>
    <s v=""/>
  </r>
  <r>
    <x v="7"/>
    <x v="1"/>
    <x v="1"/>
    <x v="96"/>
    <x v="2"/>
    <x v="1"/>
    <n v="3"/>
    <s v=""/>
  </r>
  <r>
    <x v="7"/>
    <x v="1"/>
    <x v="1"/>
    <x v="96"/>
    <x v="2"/>
    <x v="0"/>
    <n v="2"/>
    <s v=""/>
  </r>
  <r>
    <x v="7"/>
    <x v="1"/>
    <x v="1"/>
    <x v="96"/>
    <x v="5"/>
    <x v="0"/>
    <n v="1"/>
    <s v=""/>
  </r>
  <r>
    <x v="7"/>
    <x v="1"/>
    <x v="1"/>
    <x v="97"/>
    <x v="2"/>
    <x v="1"/>
    <n v="2"/>
    <s v=""/>
  </r>
  <r>
    <x v="7"/>
    <x v="1"/>
    <x v="1"/>
    <x v="98"/>
    <x v="2"/>
    <x v="0"/>
    <n v="10"/>
    <s v=""/>
  </r>
  <r>
    <x v="7"/>
    <x v="1"/>
    <x v="1"/>
    <x v="98"/>
    <x v="5"/>
    <x v="0"/>
    <n v="1"/>
    <s v=""/>
  </r>
  <r>
    <x v="7"/>
    <x v="1"/>
    <x v="1"/>
    <x v="99"/>
    <x v="2"/>
    <x v="0"/>
    <n v="1"/>
    <s v=""/>
  </r>
  <r>
    <x v="7"/>
    <x v="1"/>
    <x v="1"/>
    <x v="99"/>
    <x v="5"/>
    <x v="0"/>
    <n v="3"/>
    <s v=""/>
  </r>
  <r>
    <x v="7"/>
    <x v="1"/>
    <x v="2"/>
    <x v="100"/>
    <x v="1"/>
    <x v="4"/>
    <n v="0"/>
    <m/>
  </r>
  <r>
    <x v="7"/>
    <x v="1"/>
    <x v="2"/>
    <x v="101"/>
    <x v="2"/>
    <x v="0"/>
    <n v="3"/>
    <s v=""/>
  </r>
  <r>
    <x v="7"/>
    <x v="1"/>
    <x v="2"/>
    <x v="102"/>
    <x v="2"/>
    <x v="1"/>
    <n v="2"/>
    <s v=""/>
  </r>
  <r>
    <x v="7"/>
    <x v="1"/>
    <x v="2"/>
    <x v="103"/>
    <x v="1"/>
    <x v="4"/>
    <n v="0"/>
    <m/>
  </r>
  <r>
    <x v="7"/>
    <x v="1"/>
    <x v="2"/>
    <x v="104"/>
    <x v="2"/>
    <x v="1"/>
    <n v="1"/>
    <s v=""/>
  </r>
  <r>
    <x v="7"/>
    <x v="1"/>
    <x v="2"/>
    <x v="105"/>
    <x v="2"/>
    <x v="1"/>
    <n v="1"/>
    <s v=""/>
  </r>
  <r>
    <x v="7"/>
    <x v="1"/>
    <x v="2"/>
    <x v="105"/>
    <x v="5"/>
    <x v="0"/>
    <n v="1"/>
    <s v=""/>
  </r>
  <r>
    <x v="7"/>
    <x v="1"/>
    <x v="2"/>
    <x v="106"/>
    <x v="1"/>
    <x v="4"/>
    <n v="0"/>
    <m/>
  </r>
  <r>
    <x v="7"/>
    <x v="1"/>
    <x v="2"/>
    <x v="107"/>
    <x v="3"/>
    <x v="0"/>
    <n v="1"/>
    <s v=""/>
  </r>
  <r>
    <x v="7"/>
    <x v="1"/>
    <x v="2"/>
    <x v="107"/>
    <x v="2"/>
    <x v="1"/>
    <n v="1"/>
    <s v=""/>
  </r>
  <r>
    <x v="7"/>
    <x v="1"/>
    <x v="2"/>
    <x v="107"/>
    <x v="2"/>
    <x v="0"/>
    <n v="1"/>
    <s v=""/>
  </r>
  <r>
    <x v="7"/>
    <x v="1"/>
    <x v="2"/>
    <x v="108"/>
    <x v="2"/>
    <x v="0"/>
    <n v="1"/>
    <s v=""/>
  </r>
  <r>
    <x v="7"/>
    <x v="1"/>
    <x v="2"/>
    <x v="108"/>
    <x v="5"/>
    <x v="0"/>
    <n v="2"/>
    <s v=""/>
  </r>
  <r>
    <x v="7"/>
    <x v="1"/>
    <x v="2"/>
    <x v="109"/>
    <x v="2"/>
    <x v="1"/>
    <n v="3"/>
    <s v=""/>
  </r>
  <r>
    <x v="7"/>
    <x v="1"/>
    <x v="2"/>
    <x v="109"/>
    <x v="2"/>
    <x v="2"/>
    <n v="4"/>
    <s v=""/>
  </r>
  <r>
    <x v="7"/>
    <x v="1"/>
    <x v="2"/>
    <x v="109"/>
    <x v="5"/>
    <x v="1"/>
    <n v="1"/>
    <s v=""/>
  </r>
  <r>
    <x v="7"/>
    <x v="1"/>
    <x v="2"/>
    <x v="110"/>
    <x v="2"/>
    <x v="1"/>
    <n v="1"/>
    <s v=""/>
  </r>
  <r>
    <x v="7"/>
    <x v="1"/>
    <x v="2"/>
    <x v="111"/>
    <x v="2"/>
    <x v="1"/>
    <n v="2"/>
    <s v=""/>
  </r>
  <r>
    <x v="7"/>
    <x v="1"/>
    <x v="2"/>
    <x v="112"/>
    <x v="1"/>
    <x v="2"/>
    <n v="1"/>
    <s v=""/>
  </r>
  <r>
    <x v="7"/>
    <x v="1"/>
    <x v="2"/>
    <x v="112"/>
    <x v="2"/>
    <x v="0"/>
    <n v="3"/>
    <s v=""/>
  </r>
  <r>
    <x v="7"/>
    <x v="1"/>
    <x v="2"/>
    <x v="112"/>
    <x v="2"/>
    <x v="2"/>
    <n v="1"/>
    <s v=""/>
  </r>
  <r>
    <x v="7"/>
    <x v="1"/>
    <x v="2"/>
    <x v="113"/>
    <x v="1"/>
    <x v="4"/>
    <n v="0"/>
    <m/>
  </r>
  <r>
    <x v="7"/>
    <x v="1"/>
    <x v="2"/>
    <x v="114"/>
    <x v="1"/>
    <x v="4"/>
    <n v="0"/>
    <m/>
  </r>
  <r>
    <x v="7"/>
    <x v="1"/>
    <x v="2"/>
    <x v="115"/>
    <x v="1"/>
    <x v="4"/>
    <n v="0"/>
    <m/>
  </r>
  <r>
    <x v="7"/>
    <x v="1"/>
    <x v="2"/>
    <x v="116"/>
    <x v="2"/>
    <x v="1"/>
    <n v="1"/>
    <s v=""/>
  </r>
  <r>
    <x v="7"/>
    <x v="1"/>
    <x v="2"/>
    <x v="116"/>
    <x v="2"/>
    <x v="2"/>
    <n v="3"/>
    <s v=""/>
  </r>
  <r>
    <x v="7"/>
    <x v="1"/>
    <x v="2"/>
    <x v="117"/>
    <x v="2"/>
    <x v="1"/>
    <n v="1"/>
    <s v=""/>
  </r>
  <r>
    <x v="7"/>
    <x v="1"/>
    <x v="2"/>
    <x v="117"/>
    <x v="2"/>
    <x v="0"/>
    <n v="1"/>
    <s v=""/>
  </r>
  <r>
    <x v="7"/>
    <x v="1"/>
    <x v="2"/>
    <x v="118"/>
    <x v="2"/>
    <x v="1"/>
    <n v="1"/>
    <s v=""/>
  </r>
  <r>
    <x v="7"/>
    <x v="1"/>
    <x v="2"/>
    <x v="118"/>
    <x v="2"/>
    <x v="0"/>
    <n v="2"/>
    <s v=""/>
  </r>
  <r>
    <x v="7"/>
    <x v="1"/>
    <x v="2"/>
    <x v="118"/>
    <x v="5"/>
    <x v="0"/>
    <n v="1"/>
    <s v=""/>
  </r>
  <r>
    <x v="7"/>
    <x v="1"/>
    <x v="2"/>
    <x v="119"/>
    <x v="2"/>
    <x v="1"/>
    <n v="4"/>
    <s v=""/>
  </r>
  <r>
    <x v="7"/>
    <x v="1"/>
    <x v="2"/>
    <x v="119"/>
    <x v="5"/>
    <x v="1"/>
    <n v="1"/>
    <s v=""/>
  </r>
  <r>
    <x v="7"/>
    <x v="2"/>
    <x v="0"/>
    <x v="120"/>
    <x v="1"/>
    <x v="4"/>
    <n v="0"/>
    <m/>
  </r>
  <r>
    <x v="7"/>
    <x v="2"/>
    <x v="0"/>
    <x v="121"/>
    <x v="1"/>
    <x v="4"/>
    <n v="0"/>
    <m/>
  </r>
  <r>
    <x v="7"/>
    <x v="2"/>
    <x v="0"/>
    <x v="122"/>
    <x v="1"/>
    <x v="4"/>
    <n v="0"/>
    <m/>
  </r>
  <r>
    <x v="7"/>
    <x v="2"/>
    <x v="0"/>
    <x v="123"/>
    <x v="1"/>
    <x v="4"/>
    <n v="0"/>
    <m/>
  </r>
  <r>
    <x v="7"/>
    <x v="2"/>
    <x v="0"/>
    <x v="124"/>
    <x v="1"/>
    <x v="4"/>
    <n v="0"/>
    <m/>
  </r>
  <r>
    <x v="7"/>
    <x v="2"/>
    <x v="0"/>
    <x v="125"/>
    <x v="1"/>
    <x v="4"/>
    <n v="0"/>
    <m/>
  </r>
  <r>
    <x v="7"/>
    <x v="2"/>
    <x v="0"/>
    <x v="126"/>
    <x v="1"/>
    <x v="4"/>
    <n v="0"/>
    <m/>
  </r>
  <r>
    <x v="7"/>
    <x v="2"/>
    <x v="0"/>
    <x v="127"/>
    <x v="2"/>
    <x v="0"/>
    <n v="1"/>
    <s v=""/>
  </r>
  <r>
    <x v="7"/>
    <x v="2"/>
    <x v="0"/>
    <x v="128"/>
    <x v="1"/>
    <x v="4"/>
    <n v="0"/>
    <m/>
  </r>
  <r>
    <x v="7"/>
    <x v="2"/>
    <x v="0"/>
    <x v="129"/>
    <x v="1"/>
    <x v="4"/>
    <n v="0"/>
    <m/>
  </r>
  <r>
    <x v="7"/>
    <x v="2"/>
    <x v="0"/>
    <x v="130"/>
    <x v="2"/>
    <x v="1"/>
    <n v="1"/>
    <s v=""/>
  </r>
  <r>
    <x v="7"/>
    <x v="2"/>
    <x v="0"/>
    <x v="130"/>
    <x v="2"/>
    <x v="0"/>
    <n v="1"/>
    <s v=""/>
  </r>
  <r>
    <x v="7"/>
    <x v="2"/>
    <x v="0"/>
    <x v="131"/>
    <x v="1"/>
    <x v="4"/>
    <n v="0"/>
    <m/>
  </r>
  <r>
    <x v="7"/>
    <x v="2"/>
    <x v="0"/>
    <x v="132"/>
    <x v="2"/>
    <x v="0"/>
    <n v="1"/>
    <s v=""/>
  </r>
  <r>
    <x v="7"/>
    <x v="2"/>
    <x v="0"/>
    <x v="133"/>
    <x v="2"/>
    <x v="1"/>
    <n v="1"/>
    <s v=""/>
  </r>
  <r>
    <x v="7"/>
    <x v="2"/>
    <x v="0"/>
    <x v="134"/>
    <x v="1"/>
    <x v="4"/>
    <n v="0"/>
    <m/>
  </r>
  <r>
    <x v="7"/>
    <x v="2"/>
    <x v="0"/>
    <x v="135"/>
    <x v="1"/>
    <x v="4"/>
    <n v="0"/>
    <m/>
  </r>
  <r>
    <x v="7"/>
    <x v="2"/>
    <x v="0"/>
    <x v="136"/>
    <x v="2"/>
    <x v="1"/>
    <n v="1"/>
    <s v=""/>
  </r>
  <r>
    <x v="7"/>
    <x v="2"/>
    <x v="0"/>
    <x v="137"/>
    <x v="2"/>
    <x v="1"/>
    <n v="1"/>
    <s v=""/>
  </r>
  <r>
    <x v="7"/>
    <x v="2"/>
    <x v="0"/>
    <x v="138"/>
    <x v="1"/>
    <x v="4"/>
    <n v="0"/>
    <m/>
  </r>
  <r>
    <x v="7"/>
    <x v="2"/>
    <x v="0"/>
    <x v="139"/>
    <x v="2"/>
    <x v="2"/>
    <n v="1"/>
    <s v=""/>
  </r>
  <r>
    <x v="7"/>
    <x v="2"/>
    <x v="1"/>
    <x v="140"/>
    <x v="1"/>
    <x v="4"/>
    <n v="0"/>
    <m/>
  </r>
  <r>
    <x v="7"/>
    <x v="2"/>
    <x v="1"/>
    <x v="141"/>
    <x v="2"/>
    <x v="0"/>
    <n v="2"/>
    <s v=""/>
  </r>
  <r>
    <x v="7"/>
    <x v="2"/>
    <x v="1"/>
    <x v="142"/>
    <x v="2"/>
    <x v="0"/>
    <n v="3"/>
    <s v=""/>
  </r>
  <r>
    <x v="7"/>
    <x v="2"/>
    <x v="1"/>
    <x v="143"/>
    <x v="1"/>
    <x v="4"/>
    <n v="0"/>
    <m/>
  </r>
  <r>
    <x v="7"/>
    <x v="2"/>
    <x v="1"/>
    <x v="144"/>
    <x v="2"/>
    <x v="1"/>
    <n v="2"/>
    <s v=""/>
  </r>
  <r>
    <x v="7"/>
    <x v="2"/>
    <x v="1"/>
    <x v="145"/>
    <x v="0"/>
    <x v="0"/>
    <n v="1"/>
    <s v=""/>
  </r>
  <r>
    <x v="7"/>
    <x v="2"/>
    <x v="1"/>
    <x v="146"/>
    <x v="1"/>
    <x v="0"/>
    <n v="1"/>
    <s v=""/>
  </r>
  <r>
    <x v="7"/>
    <x v="2"/>
    <x v="1"/>
    <x v="146"/>
    <x v="2"/>
    <x v="0"/>
    <n v="1"/>
    <s v=""/>
  </r>
  <r>
    <x v="7"/>
    <x v="2"/>
    <x v="1"/>
    <x v="147"/>
    <x v="3"/>
    <x v="1"/>
    <n v="1"/>
    <s v=""/>
  </r>
  <r>
    <x v="7"/>
    <x v="2"/>
    <x v="1"/>
    <x v="147"/>
    <x v="0"/>
    <x v="0"/>
    <n v="1"/>
    <s v=""/>
  </r>
  <r>
    <x v="7"/>
    <x v="2"/>
    <x v="1"/>
    <x v="147"/>
    <x v="2"/>
    <x v="2"/>
    <n v="1"/>
    <s v=""/>
  </r>
  <r>
    <x v="7"/>
    <x v="2"/>
    <x v="1"/>
    <x v="148"/>
    <x v="5"/>
    <x v="0"/>
    <n v="1"/>
    <s v=""/>
  </r>
  <r>
    <x v="7"/>
    <x v="2"/>
    <x v="1"/>
    <x v="149"/>
    <x v="2"/>
    <x v="1"/>
    <n v="1"/>
    <s v=""/>
  </r>
  <r>
    <x v="7"/>
    <x v="2"/>
    <x v="1"/>
    <x v="149"/>
    <x v="2"/>
    <x v="0"/>
    <n v="1"/>
    <s v=""/>
  </r>
  <r>
    <x v="7"/>
    <x v="2"/>
    <x v="1"/>
    <x v="150"/>
    <x v="1"/>
    <x v="4"/>
    <n v="0"/>
    <m/>
  </r>
  <r>
    <x v="7"/>
    <x v="2"/>
    <x v="1"/>
    <x v="151"/>
    <x v="1"/>
    <x v="4"/>
    <n v="0"/>
    <m/>
  </r>
  <r>
    <x v="7"/>
    <x v="2"/>
    <x v="1"/>
    <x v="152"/>
    <x v="1"/>
    <x v="4"/>
    <n v="0"/>
    <m/>
  </r>
  <r>
    <x v="7"/>
    <x v="2"/>
    <x v="1"/>
    <x v="153"/>
    <x v="2"/>
    <x v="1"/>
    <n v="2"/>
    <s v=""/>
  </r>
  <r>
    <x v="7"/>
    <x v="2"/>
    <x v="1"/>
    <x v="154"/>
    <x v="2"/>
    <x v="0"/>
    <n v="3"/>
    <s v=""/>
  </r>
  <r>
    <x v="7"/>
    <x v="2"/>
    <x v="1"/>
    <x v="155"/>
    <x v="2"/>
    <x v="2"/>
    <n v="3"/>
    <s v=""/>
  </r>
  <r>
    <x v="7"/>
    <x v="2"/>
    <x v="1"/>
    <x v="156"/>
    <x v="2"/>
    <x v="1"/>
    <n v="1"/>
    <s v=""/>
  </r>
  <r>
    <x v="7"/>
    <x v="2"/>
    <x v="1"/>
    <x v="156"/>
    <x v="2"/>
    <x v="0"/>
    <n v="1"/>
    <s v=""/>
  </r>
  <r>
    <x v="7"/>
    <x v="2"/>
    <x v="1"/>
    <x v="156"/>
    <x v="5"/>
    <x v="0"/>
    <n v="1"/>
    <s v=""/>
  </r>
  <r>
    <x v="7"/>
    <x v="2"/>
    <x v="1"/>
    <x v="157"/>
    <x v="0"/>
    <x v="0"/>
    <n v="1"/>
    <s v=""/>
  </r>
  <r>
    <x v="7"/>
    <x v="2"/>
    <x v="1"/>
    <x v="157"/>
    <x v="5"/>
    <x v="0"/>
    <n v="1"/>
    <s v=""/>
  </r>
  <r>
    <x v="7"/>
    <x v="2"/>
    <x v="1"/>
    <x v="158"/>
    <x v="1"/>
    <x v="4"/>
    <n v="0"/>
    <m/>
  </r>
  <r>
    <x v="7"/>
    <x v="2"/>
    <x v="1"/>
    <x v="159"/>
    <x v="0"/>
    <x v="1"/>
    <n v="1"/>
    <s v=""/>
  </r>
  <r>
    <x v="7"/>
    <x v="2"/>
    <x v="1"/>
    <x v="159"/>
    <x v="0"/>
    <x v="0"/>
    <n v="1"/>
    <s v=""/>
  </r>
  <r>
    <x v="7"/>
    <x v="2"/>
    <x v="1"/>
    <x v="160"/>
    <x v="1"/>
    <x v="4"/>
    <n v="0"/>
    <m/>
  </r>
  <r>
    <x v="7"/>
    <x v="2"/>
    <x v="2"/>
    <x v="161"/>
    <x v="2"/>
    <x v="0"/>
    <n v="1"/>
    <s v=""/>
  </r>
  <r>
    <x v="7"/>
    <x v="2"/>
    <x v="2"/>
    <x v="162"/>
    <x v="2"/>
    <x v="1"/>
    <n v="2"/>
    <s v=""/>
  </r>
  <r>
    <x v="7"/>
    <x v="2"/>
    <x v="2"/>
    <x v="162"/>
    <x v="2"/>
    <x v="2"/>
    <n v="1"/>
    <s v=""/>
  </r>
  <r>
    <x v="7"/>
    <x v="2"/>
    <x v="2"/>
    <x v="163"/>
    <x v="3"/>
    <x v="1"/>
    <n v="1"/>
    <s v=""/>
  </r>
  <r>
    <x v="7"/>
    <x v="2"/>
    <x v="2"/>
    <x v="163"/>
    <x v="2"/>
    <x v="1"/>
    <n v="1"/>
    <s v=""/>
  </r>
  <r>
    <x v="7"/>
    <x v="2"/>
    <x v="2"/>
    <x v="164"/>
    <x v="0"/>
    <x v="1"/>
    <n v="1"/>
    <s v=""/>
  </r>
  <r>
    <x v="7"/>
    <x v="2"/>
    <x v="2"/>
    <x v="164"/>
    <x v="2"/>
    <x v="1"/>
    <n v="6"/>
    <s v=""/>
  </r>
  <r>
    <x v="7"/>
    <x v="2"/>
    <x v="2"/>
    <x v="165"/>
    <x v="1"/>
    <x v="4"/>
    <n v="0"/>
    <m/>
  </r>
  <r>
    <x v="7"/>
    <x v="2"/>
    <x v="2"/>
    <x v="166"/>
    <x v="2"/>
    <x v="0"/>
    <n v="1"/>
    <s v=""/>
  </r>
  <r>
    <x v="7"/>
    <x v="2"/>
    <x v="2"/>
    <x v="166"/>
    <x v="2"/>
    <x v="2"/>
    <n v="1"/>
    <s v=""/>
  </r>
  <r>
    <x v="7"/>
    <x v="2"/>
    <x v="2"/>
    <x v="167"/>
    <x v="1"/>
    <x v="0"/>
    <n v="1"/>
    <s v=""/>
  </r>
  <r>
    <x v="7"/>
    <x v="2"/>
    <x v="2"/>
    <x v="167"/>
    <x v="2"/>
    <x v="0"/>
    <n v="1"/>
    <s v=""/>
  </r>
  <r>
    <x v="7"/>
    <x v="2"/>
    <x v="2"/>
    <x v="168"/>
    <x v="1"/>
    <x v="4"/>
    <n v="0"/>
    <m/>
  </r>
  <r>
    <x v="7"/>
    <x v="2"/>
    <x v="2"/>
    <x v="169"/>
    <x v="2"/>
    <x v="2"/>
    <n v="1"/>
    <s v=""/>
  </r>
  <r>
    <x v="7"/>
    <x v="2"/>
    <x v="2"/>
    <x v="170"/>
    <x v="2"/>
    <x v="1"/>
    <n v="1"/>
    <s v=""/>
  </r>
  <r>
    <x v="7"/>
    <x v="2"/>
    <x v="2"/>
    <x v="171"/>
    <x v="2"/>
    <x v="0"/>
    <n v="1"/>
    <s v=""/>
  </r>
  <r>
    <x v="7"/>
    <x v="2"/>
    <x v="2"/>
    <x v="172"/>
    <x v="2"/>
    <x v="1"/>
    <n v="1"/>
    <s v=""/>
  </r>
  <r>
    <x v="7"/>
    <x v="2"/>
    <x v="2"/>
    <x v="172"/>
    <x v="2"/>
    <x v="0"/>
    <n v="1"/>
    <s v=""/>
  </r>
  <r>
    <x v="7"/>
    <x v="2"/>
    <x v="2"/>
    <x v="173"/>
    <x v="0"/>
    <x v="1"/>
    <n v="1"/>
    <s v=""/>
  </r>
  <r>
    <x v="7"/>
    <x v="2"/>
    <x v="2"/>
    <x v="173"/>
    <x v="2"/>
    <x v="1"/>
    <n v="1"/>
    <s v=""/>
  </r>
  <r>
    <x v="7"/>
    <x v="2"/>
    <x v="2"/>
    <x v="173"/>
    <x v="2"/>
    <x v="0"/>
    <n v="5"/>
    <s v=""/>
  </r>
  <r>
    <x v="7"/>
    <x v="2"/>
    <x v="2"/>
    <x v="174"/>
    <x v="2"/>
    <x v="0"/>
    <n v="4"/>
    <s v=""/>
  </r>
  <r>
    <x v="7"/>
    <x v="2"/>
    <x v="2"/>
    <x v="175"/>
    <x v="1"/>
    <x v="4"/>
    <n v="0"/>
    <m/>
  </r>
  <r>
    <x v="7"/>
    <x v="2"/>
    <x v="2"/>
    <x v="176"/>
    <x v="3"/>
    <x v="0"/>
    <n v="1"/>
    <s v=""/>
  </r>
  <r>
    <x v="7"/>
    <x v="2"/>
    <x v="2"/>
    <x v="176"/>
    <x v="2"/>
    <x v="1"/>
    <n v="1"/>
    <s v=""/>
  </r>
  <r>
    <x v="7"/>
    <x v="2"/>
    <x v="2"/>
    <x v="176"/>
    <x v="2"/>
    <x v="0"/>
    <n v="1"/>
    <s v=""/>
  </r>
  <r>
    <x v="7"/>
    <x v="2"/>
    <x v="2"/>
    <x v="177"/>
    <x v="1"/>
    <x v="4"/>
    <n v="0"/>
    <m/>
  </r>
  <r>
    <x v="7"/>
    <x v="2"/>
    <x v="2"/>
    <x v="178"/>
    <x v="2"/>
    <x v="0"/>
    <n v="9"/>
    <s v=""/>
  </r>
  <r>
    <x v="7"/>
    <x v="2"/>
    <x v="2"/>
    <x v="179"/>
    <x v="2"/>
    <x v="0"/>
    <n v="2"/>
    <s v=""/>
  </r>
  <r>
    <x v="7"/>
    <x v="2"/>
    <x v="2"/>
    <x v="179"/>
    <x v="5"/>
    <x v="0"/>
    <n v="1"/>
    <s v=""/>
  </r>
  <r>
    <x v="8"/>
    <x v="0"/>
    <x v="0"/>
    <x v="0"/>
    <x v="1"/>
    <x v="0"/>
    <n v="1"/>
    <s v=""/>
  </r>
  <r>
    <x v="8"/>
    <x v="0"/>
    <x v="0"/>
    <x v="16"/>
    <x v="1"/>
    <x v="4"/>
    <n v="0"/>
    <m/>
  </r>
  <r>
    <x v="8"/>
    <x v="0"/>
    <x v="0"/>
    <x v="15"/>
    <x v="1"/>
    <x v="4"/>
    <n v="0"/>
    <m/>
  </r>
  <r>
    <x v="8"/>
    <x v="0"/>
    <x v="0"/>
    <x v="17"/>
    <x v="2"/>
    <x v="1"/>
    <n v="1"/>
    <s v=""/>
  </r>
  <r>
    <x v="8"/>
    <x v="0"/>
    <x v="0"/>
    <x v="14"/>
    <x v="1"/>
    <x v="4"/>
    <n v="0"/>
    <m/>
  </r>
  <r>
    <x v="8"/>
    <x v="0"/>
    <x v="0"/>
    <x v="18"/>
    <x v="1"/>
    <x v="4"/>
    <n v="0"/>
    <m/>
  </r>
  <r>
    <x v="8"/>
    <x v="0"/>
    <x v="0"/>
    <x v="13"/>
    <x v="1"/>
    <x v="4"/>
    <n v="0"/>
    <m/>
  </r>
  <r>
    <x v="8"/>
    <x v="0"/>
    <x v="0"/>
    <x v="19"/>
    <x v="3"/>
    <x v="2"/>
    <n v="1"/>
    <s v=""/>
  </r>
  <r>
    <x v="8"/>
    <x v="0"/>
    <x v="0"/>
    <x v="20"/>
    <x v="4"/>
    <x v="3"/>
    <s v=""/>
    <s v="plaque absente"/>
  </r>
  <r>
    <x v="8"/>
    <x v="0"/>
    <x v="0"/>
    <x v="12"/>
    <x v="4"/>
    <x v="3"/>
    <s v=""/>
    <s v="plaque absente"/>
  </r>
  <r>
    <x v="8"/>
    <x v="0"/>
    <x v="0"/>
    <x v="21"/>
    <x v="1"/>
    <x v="4"/>
    <n v="0"/>
    <m/>
  </r>
  <r>
    <x v="8"/>
    <x v="0"/>
    <x v="0"/>
    <x v="22"/>
    <x v="1"/>
    <x v="4"/>
    <n v="0"/>
    <m/>
  </r>
  <r>
    <x v="8"/>
    <x v="0"/>
    <x v="0"/>
    <x v="23"/>
    <x v="1"/>
    <x v="4"/>
    <n v="0"/>
    <m/>
  </r>
  <r>
    <x v="8"/>
    <x v="0"/>
    <x v="0"/>
    <x v="24"/>
    <x v="3"/>
    <x v="2"/>
    <n v="1"/>
    <s v=""/>
  </r>
  <r>
    <x v="8"/>
    <x v="0"/>
    <x v="0"/>
    <x v="25"/>
    <x v="4"/>
    <x v="3"/>
    <s v=""/>
    <s v="plaque absente"/>
  </r>
  <r>
    <x v="8"/>
    <x v="0"/>
    <x v="0"/>
    <x v="26"/>
    <x v="4"/>
    <x v="3"/>
    <s v=""/>
    <s v="plaque absente"/>
  </r>
  <r>
    <x v="8"/>
    <x v="0"/>
    <x v="0"/>
    <x v="27"/>
    <x v="3"/>
    <x v="1"/>
    <n v="1"/>
    <s v=""/>
  </r>
  <r>
    <x v="8"/>
    <x v="0"/>
    <x v="0"/>
    <x v="27"/>
    <x v="5"/>
    <x v="0"/>
    <n v="1"/>
    <s v=""/>
  </r>
  <r>
    <x v="8"/>
    <x v="0"/>
    <x v="0"/>
    <x v="28"/>
    <x v="1"/>
    <x v="4"/>
    <n v="0"/>
    <m/>
  </r>
  <r>
    <x v="8"/>
    <x v="0"/>
    <x v="0"/>
    <x v="11"/>
    <x v="1"/>
    <x v="4"/>
    <n v="0"/>
    <m/>
  </r>
  <r>
    <x v="8"/>
    <x v="0"/>
    <x v="0"/>
    <x v="29"/>
    <x v="1"/>
    <x v="4"/>
    <n v="0"/>
    <m/>
  </r>
  <r>
    <x v="8"/>
    <x v="0"/>
    <x v="1"/>
    <x v="30"/>
    <x v="1"/>
    <x v="4"/>
    <n v="0"/>
    <m/>
  </r>
  <r>
    <x v="8"/>
    <x v="0"/>
    <x v="1"/>
    <x v="31"/>
    <x v="1"/>
    <x v="4"/>
    <n v="0"/>
    <m/>
  </r>
  <r>
    <x v="8"/>
    <x v="0"/>
    <x v="1"/>
    <x v="32"/>
    <x v="5"/>
    <x v="1"/>
    <n v="1"/>
    <s v=""/>
  </r>
  <r>
    <x v="8"/>
    <x v="0"/>
    <x v="1"/>
    <x v="33"/>
    <x v="1"/>
    <x v="4"/>
    <n v="0"/>
    <m/>
  </r>
  <r>
    <x v="8"/>
    <x v="0"/>
    <x v="1"/>
    <x v="10"/>
    <x v="4"/>
    <x v="3"/>
    <s v=""/>
    <s v="plaque absente"/>
  </r>
  <r>
    <x v="8"/>
    <x v="0"/>
    <x v="1"/>
    <x v="34"/>
    <x v="4"/>
    <x v="3"/>
    <s v=""/>
    <s v="plaque absente"/>
  </r>
  <r>
    <x v="8"/>
    <x v="0"/>
    <x v="1"/>
    <x v="35"/>
    <x v="3"/>
    <x v="0"/>
    <n v="1"/>
    <s v=""/>
  </r>
  <r>
    <x v="8"/>
    <x v="0"/>
    <x v="1"/>
    <x v="36"/>
    <x v="3"/>
    <x v="0"/>
    <n v="1"/>
    <s v=""/>
  </r>
  <r>
    <x v="8"/>
    <x v="0"/>
    <x v="1"/>
    <x v="36"/>
    <x v="5"/>
    <x v="0"/>
    <n v="1"/>
    <s v=""/>
  </r>
  <r>
    <x v="8"/>
    <x v="0"/>
    <x v="1"/>
    <x v="37"/>
    <x v="1"/>
    <x v="4"/>
    <n v="0"/>
    <m/>
  </r>
  <r>
    <x v="8"/>
    <x v="0"/>
    <x v="1"/>
    <x v="9"/>
    <x v="1"/>
    <x v="4"/>
    <n v="0"/>
    <m/>
  </r>
  <r>
    <x v="8"/>
    <x v="0"/>
    <x v="1"/>
    <x v="38"/>
    <x v="1"/>
    <x v="4"/>
    <n v="0"/>
    <m/>
  </r>
  <r>
    <x v="8"/>
    <x v="0"/>
    <x v="1"/>
    <x v="8"/>
    <x v="1"/>
    <x v="4"/>
    <n v="0"/>
    <m/>
  </r>
  <r>
    <x v="8"/>
    <x v="0"/>
    <x v="1"/>
    <x v="39"/>
    <x v="5"/>
    <x v="0"/>
    <n v="2"/>
    <s v=""/>
  </r>
  <r>
    <x v="8"/>
    <x v="0"/>
    <x v="1"/>
    <x v="7"/>
    <x v="1"/>
    <x v="4"/>
    <n v="0"/>
    <m/>
  </r>
  <r>
    <x v="8"/>
    <x v="0"/>
    <x v="1"/>
    <x v="6"/>
    <x v="4"/>
    <x v="3"/>
    <s v=""/>
    <s v="plaque absente"/>
  </r>
  <r>
    <x v="8"/>
    <x v="0"/>
    <x v="1"/>
    <x v="40"/>
    <x v="4"/>
    <x v="3"/>
    <s v=""/>
    <s v="plaque absente"/>
  </r>
  <r>
    <x v="8"/>
    <x v="0"/>
    <x v="1"/>
    <x v="41"/>
    <x v="1"/>
    <x v="4"/>
    <n v="0"/>
    <m/>
  </r>
  <r>
    <x v="8"/>
    <x v="0"/>
    <x v="1"/>
    <x v="42"/>
    <x v="1"/>
    <x v="4"/>
    <n v="0"/>
    <m/>
  </r>
  <r>
    <x v="8"/>
    <x v="0"/>
    <x v="1"/>
    <x v="5"/>
    <x v="1"/>
    <x v="4"/>
    <n v="0"/>
    <m/>
  </r>
  <r>
    <x v="8"/>
    <x v="0"/>
    <x v="1"/>
    <x v="43"/>
    <x v="1"/>
    <x v="4"/>
    <n v="0"/>
    <m/>
  </r>
  <r>
    <x v="8"/>
    <x v="0"/>
    <x v="2"/>
    <x v="44"/>
    <x v="1"/>
    <x v="4"/>
    <n v="0"/>
    <m/>
  </r>
  <r>
    <x v="8"/>
    <x v="0"/>
    <x v="2"/>
    <x v="45"/>
    <x v="1"/>
    <x v="4"/>
    <n v="0"/>
    <m/>
  </r>
  <r>
    <x v="8"/>
    <x v="0"/>
    <x v="2"/>
    <x v="46"/>
    <x v="1"/>
    <x v="4"/>
    <n v="0"/>
    <m/>
  </r>
  <r>
    <x v="8"/>
    <x v="0"/>
    <x v="2"/>
    <x v="4"/>
    <x v="1"/>
    <x v="4"/>
    <n v="0"/>
    <m/>
  </r>
  <r>
    <x v="8"/>
    <x v="0"/>
    <x v="2"/>
    <x v="47"/>
    <x v="4"/>
    <x v="3"/>
    <s v=""/>
    <s v="plaque absente"/>
  </r>
  <r>
    <x v="8"/>
    <x v="0"/>
    <x v="2"/>
    <x v="48"/>
    <x v="4"/>
    <x v="3"/>
    <s v=""/>
    <s v="plaque absente"/>
  </r>
  <r>
    <x v="8"/>
    <x v="0"/>
    <x v="2"/>
    <x v="49"/>
    <x v="1"/>
    <x v="4"/>
    <n v="0"/>
    <m/>
  </r>
  <r>
    <x v="8"/>
    <x v="0"/>
    <x v="2"/>
    <x v="50"/>
    <x v="5"/>
    <x v="0"/>
    <n v="1"/>
    <s v=""/>
  </r>
  <r>
    <x v="8"/>
    <x v="0"/>
    <x v="2"/>
    <x v="3"/>
    <x v="1"/>
    <x v="4"/>
    <n v="0"/>
    <m/>
  </r>
  <r>
    <x v="8"/>
    <x v="0"/>
    <x v="2"/>
    <x v="51"/>
    <x v="1"/>
    <x v="4"/>
    <n v="0"/>
    <m/>
  </r>
  <r>
    <x v="8"/>
    <x v="0"/>
    <x v="2"/>
    <x v="2"/>
    <x v="1"/>
    <x v="4"/>
    <n v="0"/>
    <m/>
  </r>
  <r>
    <x v="8"/>
    <x v="0"/>
    <x v="2"/>
    <x v="52"/>
    <x v="1"/>
    <x v="4"/>
    <n v="0"/>
    <m/>
  </r>
  <r>
    <x v="8"/>
    <x v="0"/>
    <x v="2"/>
    <x v="53"/>
    <x v="1"/>
    <x v="4"/>
    <n v="0"/>
    <m/>
  </r>
  <r>
    <x v="8"/>
    <x v="0"/>
    <x v="2"/>
    <x v="54"/>
    <x v="1"/>
    <x v="4"/>
    <n v="0"/>
    <m/>
  </r>
  <r>
    <x v="8"/>
    <x v="0"/>
    <x v="2"/>
    <x v="1"/>
    <x v="4"/>
    <x v="3"/>
    <s v=""/>
    <s v="plaque absente"/>
  </r>
  <r>
    <x v="8"/>
    <x v="0"/>
    <x v="2"/>
    <x v="55"/>
    <x v="4"/>
    <x v="3"/>
    <s v=""/>
    <s v="plaque absente"/>
  </r>
  <r>
    <x v="8"/>
    <x v="0"/>
    <x v="2"/>
    <x v="56"/>
    <x v="1"/>
    <x v="4"/>
    <n v="0"/>
    <m/>
  </r>
  <r>
    <x v="8"/>
    <x v="0"/>
    <x v="2"/>
    <x v="57"/>
    <x v="1"/>
    <x v="4"/>
    <n v="0"/>
    <m/>
  </r>
  <r>
    <x v="8"/>
    <x v="0"/>
    <x v="2"/>
    <x v="58"/>
    <x v="1"/>
    <x v="4"/>
    <n v="0"/>
    <m/>
  </r>
  <r>
    <x v="8"/>
    <x v="0"/>
    <x v="2"/>
    <x v="59"/>
    <x v="1"/>
    <x v="4"/>
    <n v="0"/>
    <m/>
  </r>
  <r>
    <x v="8"/>
    <x v="1"/>
    <x v="0"/>
    <x v="60"/>
    <x v="1"/>
    <x v="4"/>
    <n v="0"/>
    <m/>
  </r>
  <r>
    <x v="8"/>
    <x v="1"/>
    <x v="0"/>
    <x v="61"/>
    <x v="1"/>
    <x v="4"/>
    <n v="0"/>
    <m/>
  </r>
  <r>
    <x v="8"/>
    <x v="1"/>
    <x v="0"/>
    <x v="62"/>
    <x v="1"/>
    <x v="4"/>
    <n v="0"/>
    <m/>
  </r>
  <r>
    <x v="8"/>
    <x v="1"/>
    <x v="0"/>
    <x v="63"/>
    <x v="1"/>
    <x v="4"/>
    <n v="0"/>
    <m/>
  </r>
  <r>
    <x v="8"/>
    <x v="1"/>
    <x v="0"/>
    <x v="64"/>
    <x v="4"/>
    <x v="3"/>
    <s v=""/>
    <s v="plaque absente"/>
  </r>
  <r>
    <x v="8"/>
    <x v="1"/>
    <x v="0"/>
    <x v="65"/>
    <x v="4"/>
    <x v="3"/>
    <s v=""/>
    <s v="plaque absente"/>
  </r>
  <r>
    <x v="8"/>
    <x v="1"/>
    <x v="0"/>
    <x v="66"/>
    <x v="3"/>
    <x v="0"/>
    <n v="1"/>
    <s v=""/>
  </r>
  <r>
    <x v="8"/>
    <x v="1"/>
    <x v="0"/>
    <x v="67"/>
    <x v="2"/>
    <x v="1"/>
    <n v="1"/>
    <s v=""/>
  </r>
  <r>
    <x v="8"/>
    <x v="1"/>
    <x v="0"/>
    <x v="68"/>
    <x v="1"/>
    <x v="4"/>
    <n v="0"/>
    <m/>
  </r>
  <r>
    <x v="8"/>
    <x v="1"/>
    <x v="0"/>
    <x v="69"/>
    <x v="1"/>
    <x v="4"/>
    <n v="0"/>
    <m/>
  </r>
  <r>
    <x v="8"/>
    <x v="1"/>
    <x v="0"/>
    <x v="70"/>
    <x v="1"/>
    <x v="4"/>
    <n v="0"/>
    <m/>
  </r>
  <r>
    <x v="8"/>
    <x v="1"/>
    <x v="0"/>
    <x v="71"/>
    <x v="1"/>
    <x v="4"/>
    <n v="0"/>
    <m/>
  </r>
  <r>
    <x v="8"/>
    <x v="1"/>
    <x v="0"/>
    <x v="72"/>
    <x v="1"/>
    <x v="4"/>
    <n v="0"/>
    <m/>
  </r>
  <r>
    <x v="8"/>
    <x v="1"/>
    <x v="0"/>
    <x v="73"/>
    <x v="2"/>
    <x v="2"/>
    <n v="1"/>
    <s v=""/>
  </r>
  <r>
    <x v="8"/>
    <x v="1"/>
    <x v="0"/>
    <x v="74"/>
    <x v="4"/>
    <x v="3"/>
    <s v=""/>
    <s v="plaque absente"/>
  </r>
  <r>
    <x v="8"/>
    <x v="1"/>
    <x v="0"/>
    <x v="75"/>
    <x v="4"/>
    <x v="3"/>
    <s v=""/>
    <s v="plaque absente"/>
  </r>
  <r>
    <x v="8"/>
    <x v="1"/>
    <x v="0"/>
    <x v="76"/>
    <x v="2"/>
    <x v="0"/>
    <n v="1"/>
    <s v=""/>
  </r>
  <r>
    <x v="8"/>
    <x v="1"/>
    <x v="0"/>
    <x v="77"/>
    <x v="3"/>
    <x v="0"/>
    <n v="1"/>
    <s v=""/>
  </r>
  <r>
    <x v="8"/>
    <x v="1"/>
    <x v="0"/>
    <x v="78"/>
    <x v="1"/>
    <x v="4"/>
    <n v="0"/>
    <m/>
  </r>
  <r>
    <x v="8"/>
    <x v="1"/>
    <x v="0"/>
    <x v="79"/>
    <x v="1"/>
    <x v="4"/>
    <n v="0"/>
    <m/>
  </r>
  <r>
    <x v="8"/>
    <x v="1"/>
    <x v="1"/>
    <x v="80"/>
    <x v="1"/>
    <x v="4"/>
    <n v="0"/>
    <m/>
  </r>
  <r>
    <x v="8"/>
    <x v="1"/>
    <x v="1"/>
    <x v="81"/>
    <x v="3"/>
    <x v="1"/>
    <n v="1"/>
    <s v=""/>
  </r>
  <r>
    <x v="8"/>
    <x v="1"/>
    <x v="1"/>
    <x v="82"/>
    <x v="5"/>
    <x v="0"/>
    <n v="2"/>
    <s v=""/>
  </r>
  <r>
    <x v="8"/>
    <x v="1"/>
    <x v="1"/>
    <x v="83"/>
    <x v="1"/>
    <x v="4"/>
    <n v="0"/>
    <m/>
  </r>
  <r>
    <x v="8"/>
    <x v="1"/>
    <x v="1"/>
    <x v="84"/>
    <x v="4"/>
    <x v="3"/>
    <s v=""/>
    <s v="plaque absente"/>
  </r>
  <r>
    <x v="8"/>
    <x v="1"/>
    <x v="1"/>
    <x v="85"/>
    <x v="4"/>
    <x v="3"/>
    <s v=""/>
    <s v="plaque absente"/>
  </r>
  <r>
    <x v="8"/>
    <x v="1"/>
    <x v="1"/>
    <x v="86"/>
    <x v="1"/>
    <x v="4"/>
    <n v="0"/>
    <m/>
  </r>
  <r>
    <x v="8"/>
    <x v="1"/>
    <x v="1"/>
    <x v="87"/>
    <x v="1"/>
    <x v="4"/>
    <n v="0"/>
    <m/>
  </r>
  <r>
    <x v="8"/>
    <x v="1"/>
    <x v="1"/>
    <x v="88"/>
    <x v="1"/>
    <x v="4"/>
    <n v="0"/>
    <m/>
  </r>
  <r>
    <x v="8"/>
    <x v="1"/>
    <x v="1"/>
    <x v="89"/>
    <x v="1"/>
    <x v="4"/>
    <n v="0"/>
    <m/>
  </r>
  <r>
    <x v="8"/>
    <x v="1"/>
    <x v="1"/>
    <x v="90"/>
    <x v="1"/>
    <x v="4"/>
    <n v="0"/>
    <m/>
  </r>
  <r>
    <x v="8"/>
    <x v="1"/>
    <x v="1"/>
    <x v="91"/>
    <x v="5"/>
    <x v="0"/>
    <n v="1"/>
    <s v=""/>
  </r>
  <r>
    <x v="8"/>
    <x v="1"/>
    <x v="1"/>
    <x v="92"/>
    <x v="5"/>
    <x v="1"/>
    <n v="1"/>
    <s v=""/>
  </r>
  <r>
    <x v="8"/>
    <x v="1"/>
    <x v="1"/>
    <x v="93"/>
    <x v="1"/>
    <x v="4"/>
    <n v="0"/>
    <m/>
  </r>
  <r>
    <x v="8"/>
    <x v="1"/>
    <x v="1"/>
    <x v="94"/>
    <x v="4"/>
    <x v="3"/>
    <s v=""/>
    <s v="plaque absente"/>
  </r>
  <r>
    <x v="8"/>
    <x v="1"/>
    <x v="1"/>
    <x v="95"/>
    <x v="4"/>
    <x v="3"/>
    <s v=""/>
    <s v="plaque absente"/>
  </r>
  <r>
    <x v="8"/>
    <x v="1"/>
    <x v="1"/>
    <x v="96"/>
    <x v="1"/>
    <x v="4"/>
    <n v="0"/>
    <m/>
  </r>
  <r>
    <x v="8"/>
    <x v="1"/>
    <x v="1"/>
    <x v="97"/>
    <x v="1"/>
    <x v="4"/>
    <n v="0"/>
    <m/>
  </r>
  <r>
    <x v="8"/>
    <x v="1"/>
    <x v="1"/>
    <x v="98"/>
    <x v="1"/>
    <x v="4"/>
    <n v="0"/>
    <m/>
  </r>
  <r>
    <x v="8"/>
    <x v="1"/>
    <x v="1"/>
    <x v="99"/>
    <x v="1"/>
    <x v="4"/>
    <n v="0"/>
    <m/>
  </r>
  <r>
    <x v="8"/>
    <x v="1"/>
    <x v="2"/>
    <x v="100"/>
    <x v="1"/>
    <x v="4"/>
    <n v="0"/>
    <m/>
  </r>
  <r>
    <x v="8"/>
    <x v="1"/>
    <x v="2"/>
    <x v="101"/>
    <x v="1"/>
    <x v="4"/>
    <n v="0"/>
    <m/>
  </r>
  <r>
    <x v="8"/>
    <x v="1"/>
    <x v="2"/>
    <x v="102"/>
    <x v="1"/>
    <x v="4"/>
    <n v="0"/>
    <m/>
  </r>
  <r>
    <x v="8"/>
    <x v="1"/>
    <x v="2"/>
    <x v="103"/>
    <x v="1"/>
    <x v="4"/>
    <n v="0"/>
    <m/>
  </r>
  <r>
    <x v="8"/>
    <x v="1"/>
    <x v="2"/>
    <x v="104"/>
    <x v="4"/>
    <x v="3"/>
    <s v=""/>
    <s v="plaque absente"/>
  </r>
  <r>
    <x v="8"/>
    <x v="1"/>
    <x v="2"/>
    <x v="105"/>
    <x v="4"/>
    <x v="3"/>
    <s v=""/>
    <s v="plaque absente"/>
  </r>
  <r>
    <x v="8"/>
    <x v="1"/>
    <x v="2"/>
    <x v="106"/>
    <x v="1"/>
    <x v="4"/>
    <n v="0"/>
    <m/>
  </r>
  <r>
    <x v="8"/>
    <x v="1"/>
    <x v="2"/>
    <x v="107"/>
    <x v="1"/>
    <x v="4"/>
    <n v="0"/>
    <m/>
  </r>
  <r>
    <x v="8"/>
    <x v="1"/>
    <x v="2"/>
    <x v="108"/>
    <x v="1"/>
    <x v="4"/>
    <n v="0"/>
    <m/>
  </r>
  <r>
    <x v="8"/>
    <x v="1"/>
    <x v="2"/>
    <x v="109"/>
    <x v="1"/>
    <x v="4"/>
    <n v="0"/>
    <m/>
  </r>
  <r>
    <x v="8"/>
    <x v="1"/>
    <x v="2"/>
    <x v="110"/>
    <x v="1"/>
    <x v="4"/>
    <n v="0"/>
    <m/>
  </r>
  <r>
    <x v="8"/>
    <x v="1"/>
    <x v="2"/>
    <x v="111"/>
    <x v="1"/>
    <x v="4"/>
    <n v="0"/>
    <m/>
  </r>
  <r>
    <x v="8"/>
    <x v="1"/>
    <x v="2"/>
    <x v="112"/>
    <x v="1"/>
    <x v="4"/>
    <n v="0"/>
    <m/>
  </r>
  <r>
    <x v="8"/>
    <x v="1"/>
    <x v="2"/>
    <x v="113"/>
    <x v="5"/>
    <x v="1"/>
    <n v="1"/>
    <s v=""/>
  </r>
  <r>
    <x v="8"/>
    <x v="1"/>
    <x v="2"/>
    <x v="114"/>
    <x v="4"/>
    <x v="3"/>
    <s v=""/>
    <s v="plaque absente"/>
  </r>
  <r>
    <x v="8"/>
    <x v="1"/>
    <x v="2"/>
    <x v="115"/>
    <x v="4"/>
    <x v="3"/>
    <s v=""/>
    <s v="plaque absente"/>
  </r>
  <r>
    <x v="8"/>
    <x v="1"/>
    <x v="2"/>
    <x v="116"/>
    <x v="1"/>
    <x v="4"/>
    <n v="0"/>
    <m/>
  </r>
  <r>
    <x v="8"/>
    <x v="1"/>
    <x v="2"/>
    <x v="117"/>
    <x v="1"/>
    <x v="4"/>
    <n v="0"/>
    <m/>
  </r>
  <r>
    <x v="8"/>
    <x v="1"/>
    <x v="2"/>
    <x v="118"/>
    <x v="1"/>
    <x v="4"/>
    <n v="0"/>
    <m/>
  </r>
  <r>
    <x v="8"/>
    <x v="1"/>
    <x v="2"/>
    <x v="119"/>
    <x v="1"/>
    <x v="4"/>
    <n v="0"/>
    <m/>
  </r>
  <r>
    <x v="8"/>
    <x v="2"/>
    <x v="0"/>
    <x v="120"/>
    <x v="1"/>
    <x v="4"/>
    <n v="0"/>
    <m/>
  </r>
  <r>
    <x v="8"/>
    <x v="2"/>
    <x v="0"/>
    <x v="121"/>
    <x v="1"/>
    <x v="4"/>
    <n v="0"/>
    <m/>
  </r>
  <r>
    <x v="8"/>
    <x v="2"/>
    <x v="0"/>
    <x v="122"/>
    <x v="1"/>
    <x v="4"/>
    <n v="0"/>
    <m/>
  </r>
  <r>
    <x v="8"/>
    <x v="2"/>
    <x v="0"/>
    <x v="123"/>
    <x v="1"/>
    <x v="4"/>
    <n v="0"/>
    <m/>
  </r>
  <r>
    <x v="8"/>
    <x v="2"/>
    <x v="0"/>
    <x v="124"/>
    <x v="6"/>
    <x v="3"/>
    <s v=""/>
    <s v="plaque absente"/>
  </r>
  <r>
    <x v="8"/>
    <x v="2"/>
    <x v="0"/>
    <x v="125"/>
    <x v="6"/>
    <x v="3"/>
    <s v=""/>
    <s v="plaque absente"/>
  </r>
  <r>
    <x v="8"/>
    <x v="2"/>
    <x v="0"/>
    <x v="126"/>
    <x v="1"/>
    <x v="4"/>
    <n v="0"/>
    <m/>
  </r>
  <r>
    <x v="8"/>
    <x v="2"/>
    <x v="0"/>
    <x v="127"/>
    <x v="1"/>
    <x v="4"/>
    <n v="0"/>
    <m/>
  </r>
  <r>
    <x v="8"/>
    <x v="2"/>
    <x v="0"/>
    <x v="128"/>
    <x v="1"/>
    <x v="4"/>
    <n v="0"/>
    <m/>
  </r>
  <r>
    <x v="8"/>
    <x v="2"/>
    <x v="0"/>
    <x v="129"/>
    <x v="1"/>
    <x v="4"/>
    <n v="0"/>
    <m/>
  </r>
  <r>
    <x v="8"/>
    <x v="2"/>
    <x v="0"/>
    <x v="130"/>
    <x v="1"/>
    <x v="4"/>
    <n v="0"/>
    <m/>
  </r>
  <r>
    <x v="8"/>
    <x v="2"/>
    <x v="0"/>
    <x v="131"/>
    <x v="2"/>
    <x v="2"/>
    <n v="1"/>
    <s v=""/>
  </r>
  <r>
    <x v="8"/>
    <x v="2"/>
    <x v="0"/>
    <x v="132"/>
    <x v="1"/>
    <x v="4"/>
    <n v="0"/>
    <m/>
  </r>
  <r>
    <x v="8"/>
    <x v="2"/>
    <x v="0"/>
    <x v="133"/>
    <x v="1"/>
    <x v="4"/>
    <n v="0"/>
    <m/>
  </r>
  <r>
    <x v="8"/>
    <x v="2"/>
    <x v="0"/>
    <x v="134"/>
    <x v="4"/>
    <x v="3"/>
    <s v=""/>
    <s v="plaque absente"/>
  </r>
  <r>
    <x v="8"/>
    <x v="2"/>
    <x v="0"/>
    <x v="135"/>
    <x v="4"/>
    <x v="3"/>
    <s v=""/>
    <s v="plaque absente"/>
  </r>
  <r>
    <x v="8"/>
    <x v="2"/>
    <x v="0"/>
    <x v="136"/>
    <x v="1"/>
    <x v="4"/>
    <n v="0"/>
    <m/>
  </r>
  <r>
    <x v="8"/>
    <x v="2"/>
    <x v="0"/>
    <x v="137"/>
    <x v="1"/>
    <x v="4"/>
    <n v="0"/>
    <m/>
  </r>
  <r>
    <x v="8"/>
    <x v="2"/>
    <x v="0"/>
    <x v="138"/>
    <x v="1"/>
    <x v="4"/>
    <n v="0"/>
    <m/>
  </r>
  <r>
    <x v="8"/>
    <x v="2"/>
    <x v="0"/>
    <x v="139"/>
    <x v="1"/>
    <x v="4"/>
    <n v="0"/>
    <m/>
  </r>
  <r>
    <x v="8"/>
    <x v="2"/>
    <x v="1"/>
    <x v="140"/>
    <x v="1"/>
    <x v="4"/>
    <n v="0"/>
    <m/>
  </r>
  <r>
    <x v="8"/>
    <x v="2"/>
    <x v="1"/>
    <x v="141"/>
    <x v="1"/>
    <x v="4"/>
    <n v="0"/>
    <m/>
  </r>
  <r>
    <x v="8"/>
    <x v="2"/>
    <x v="1"/>
    <x v="142"/>
    <x v="1"/>
    <x v="4"/>
    <n v="0"/>
    <m/>
  </r>
  <r>
    <x v="8"/>
    <x v="2"/>
    <x v="1"/>
    <x v="143"/>
    <x v="1"/>
    <x v="4"/>
    <n v="0"/>
    <m/>
  </r>
  <r>
    <x v="8"/>
    <x v="2"/>
    <x v="1"/>
    <x v="144"/>
    <x v="4"/>
    <x v="3"/>
    <s v=""/>
    <s v="plaque absente"/>
  </r>
  <r>
    <x v="8"/>
    <x v="2"/>
    <x v="1"/>
    <x v="145"/>
    <x v="4"/>
    <x v="3"/>
    <s v=""/>
    <s v="plaque absente"/>
  </r>
  <r>
    <x v="8"/>
    <x v="2"/>
    <x v="1"/>
    <x v="146"/>
    <x v="0"/>
    <x v="2"/>
    <n v="1"/>
    <s v=""/>
  </r>
  <r>
    <x v="8"/>
    <x v="2"/>
    <x v="1"/>
    <x v="147"/>
    <x v="1"/>
    <x v="4"/>
    <n v="0"/>
    <m/>
  </r>
  <r>
    <x v="8"/>
    <x v="2"/>
    <x v="1"/>
    <x v="148"/>
    <x v="1"/>
    <x v="4"/>
    <n v="0"/>
    <m/>
  </r>
  <r>
    <x v="8"/>
    <x v="2"/>
    <x v="1"/>
    <x v="149"/>
    <x v="1"/>
    <x v="4"/>
    <n v="0"/>
    <m/>
  </r>
  <r>
    <x v="8"/>
    <x v="2"/>
    <x v="1"/>
    <x v="150"/>
    <x v="1"/>
    <x v="4"/>
    <n v="0"/>
    <m/>
  </r>
  <r>
    <x v="8"/>
    <x v="2"/>
    <x v="1"/>
    <x v="151"/>
    <x v="5"/>
    <x v="0"/>
    <n v="1"/>
    <s v=""/>
  </r>
  <r>
    <x v="8"/>
    <x v="2"/>
    <x v="1"/>
    <x v="152"/>
    <x v="1"/>
    <x v="4"/>
    <n v="0"/>
    <m/>
  </r>
  <r>
    <x v="8"/>
    <x v="2"/>
    <x v="1"/>
    <x v="153"/>
    <x v="1"/>
    <x v="4"/>
    <n v="0"/>
    <m/>
  </r>
  <r>
    <x v="8"/>
    <x v="2"/>
    <x v="1"/>
    <x v="154"/>
    <x v="4"/>
    <x v="3"/>
    <s v=""/>
    <s v="plaque absente"/>
  </r>
  <r>
    <x v="8"/>
    <x v="2"/>
    <x v="1"/>
    <x v="155"/>
    <x v="4"/>
    <x v="3"/>
    <s v=""/>
    <s v="plaque absente"/>
  </r>
  <r>
    <x v="8"/>
    <x v="2"/>
    <x v="1"/>
    <x v="156"/>
    <x v="5"/>
    <x v="0"/>
    <n v="1"/>
    <s v=""/>
  </r>
  <r>
    <x v="8"/>
    <x v="2"/>
    <x v="1"/>
    <x v="157"/>
    <x v="1"/>
    <x v="4"/>
    <n v="0"/>
    <m/>
  </r>
  <r>
    <x v="8"/>
    <x v="2"/>
    <x v="1"/>
    <x v="158"/>
    <x v="1"/>
    <x v="4"/>
    <n v="0"/>
    <m/>
  </r>
  <r>
    <x v="8"/>
    <x v="2"/>
    <x v="1"/>
    <x v="159"/>
    <x v="1"/>
    <x v="4"/>
    <n v="0"/>
    <m/>
  </r>
  <r>
    <x v="8"/>
    <x v="2"/>
    <x v="2"/>
    <x v="160"/>
    <x v="1"/>
    <x v="4"/>
    <n v="0"/>
    <m/>
  </r>
  <r>
    <x v="8"/>
    <x v="2"/>
    <x v="2"/>
    <x v="161"/>
    <x v="1"/>
    <x v="4"/>
    <n v="0"/>
    <m/>
  </r>
  <r>
    <x v="8"/>
    <x v="2"/>
    <x v="2"/>
    <x v="162"/>
    <x v="4"/>
    <x v="3"/>
    <s v=""/>
    <s v="plaque absente"/>
  </r>
  <r>
    <x v="8"/>
    <x v="2"/>
    <x v="2"/>
    <x v="163"/>
    <x v="4"/>
    <x v="3"/>
    <s v=""/>
    <s v="plaque absente"/>
  </r>
  <r>
    <x v="8"/>
    <x v="2"/>
    <x v="2"/>
    <x v="164"/>
    <x v="1"/>
    <x v="4"/>
    <n v="0"/>
    <m/>
  </r>
  <r>
    <x v="8"/>
    <x v="2"/>
    <x v="2"/>
    <x v="165"/>
    <x v="1"/>
    <x v="4"/>
    <n v="0"/>
    <m/>
  </r>
  <r>
    <x v="8"/>
    <x v="2"/>
    <x v="2"/>
    <x v="166"/>
    <x v="1"/>
    <x v="4"/>
    <n v="0"/>
    <m/>
  </r>
  <r>
    <x v="8"/>
    <x v="2"/>
    <x v="2"/>
    <x v="167"/>
    <x v="1"/>
    <x v="4"/>
    <n v="0"/>
    <m/>
  </r>
  <r>
    <x v="8"/>
    <x v="2"/>
    <x v="2"/>
    <x v="168"/>
    <x v="1"/>
    <x v="4"/>
    <n v="0"/>
    <m/>
  </r>
  <r>
    <x v="8"/>
    <x v="2"/>
    <x v="2"/>
    <x v="169"/>
    <x v="1"/>
    <x v="4"/>
    <n v="0"/>
    <m/>
  </r>
  <r>
    <x v="8"/>
    <x v="2"/>
    <x v="2"/>
    <x v="170"/>
    <x v="3"/>
    <x v="1"/>
    <n v="1"/>
    <s v=""/>
  </r>
  <r>
    <x v="8"/>
    <x v="2"/>
    <x v="2"/>
    <x v="171"/>
    <x v="2"/>
    <x v="1"/>
    <n v="1"/>
    <s v=""/>
  </r>
  <r>
    <x v="8"/>
    <x v="2"/>
    <x v="2"/>
    <x v="172"/>
    <x v="1"/>
    <x v="4"/>
    <n v="0"/>
    <m/>
  </r>
  <r>
    <x v="8"/>
    <x v="2"/>
    <x v="2"/>
    <x v="173"/>
    <x v="1"/>
    <x v="4"/>
    <n v="0"/>
    <m/>
  </r>
  <r>
    <x v="8"/>
    <x v="2"/>
    <x v="2"/>
    <x v="174"/>
    <x v="4"/>
    <x v="3"/>
    <s v=""/>
    <s v="plaque absente"/>
  </r>
  <r>
    <x v="8"/>
    <x v="2"/>
    <x v="2"/>
    <x v="175"/>
    <x v="4"/>
    <x v="3"/>
    <s v=""/>
    <s v="plaque absente"/>
  </r>
  <r>
    <x v="8"/>
    <x v="2"/>
    <x v="2"/>
    <x v="176"/>
    <x v="1"/>
    <x v="4"/>
    <n v="0"/>
    <m/>
  </r>
  <r>
    <x v="8"/>
    <x v="2"/>
    <x v="2"/>
    <x v="177"/>
    <x v="1"/>
    <x v="4"/>
    <n v="0"/>
    <m/>
  </r>
  <r>
    <x v="8"/>
    <x v="2"/>
    <x v="2"/>
    <x v="178"/>
    <x v="3"/>
    <x v="2"/>
    <n v="1"/>
    <s v=""/>
  </r>
  <r>
    <x v="8"/>
    <x v="2"/>
    <x v="2"/>
    <x v="179"/>
    <x v="1"/>
    <x v="4"/>
    <n v="0"/>
    <m/>
  </r>
  <r>
    <x v="9"/>
    <x v="0"/>
    <x v="0"/>
    <x v="0"/>
    <x v="5"/>
    <x v="0"/>
    <n v="1"/>
    <s v=""/>
  </r>
  <r>
    <x v="9"/>
    <x v="0"/>
    <x v="0"/>
    <x v="16"/>
    <x v="3"/>
    <x v="0"/>
    <n v="1"/>
    <s v=""/>
  </r>
  <r>
    <x v="9"/>
    <x v="0"/>
    <x v="0"/>
    <x v="16"/>
    <x v="2"/>
    <x v="0"/>
    <n v="2"/>
    <s v=""/>
  </r>
  <r>
    <x v="9"/>
    <x v="0"/>
    <x v="0"/>
    <x v="15"/>
    <x v="2"/>
    <x v="1"/>
    <n v="1"/>
    <s v=""/>
  </r>
  <r>
    <x v="9"/>
    <x v="0"/>
    <x v="0"/>
    <x v="15"/>
    <x v="2"/>
    <x v="2"/>
    <n v="1"/>
    <s v=""/>
  </r>
  <r>
    <x v="9"/>
    <x v="0"/>
    <x v="0"/>
    <x v="17"/>
    <x v="2"/>
    <x v="1"/>
    <n v="1"/>
    <s v=""/>
  </r>
  <r>
    <x v="9"/>
    <x v="0"/>
    <x v="0"/>
    <x v="14"/>
    <x v="2"/>
    <x v="0"/>
    <n v="2"/>
    <s v=""/>
  </r>
  <r>
    <x v="9"/>
    <x v="0"/>
    <x v="0"/>
    <x v="14"/>
    <x v="5"/>
    <x v="0"/>
    <n v="1"/>
    <s v=""/>
  </r>
  <r>
    <x v="9"/>
    <x v="0"/>
    <x v="0"/>
    <x v="18"/>
    <x v="2"/>
    <x v="1"/>
    <n v="1"/>
    <s v=""/>
  </r>
  <r>
    <x v="9"/>
    <x v="0"/>
    <x v="0"/>
    <x v="18"/>
    <x v="2"/>
    <x v="0"/>
    <n v="1"/>
    <s v=""/>
  </r>
  <r>
    <x v="9"/>
    <x v="0"/>
    <x v="0"/>
    <x v="13"/>
    <x v="4"/>
    <x v="3"/>
    <s v=""/>
    <s v="plaque absente"/>
  </r>
  <r>
    <x v="9"/>
    <x v="0"/>
    <x v="0"/>
    <x v="19"/>
    <x v="4"/>
    <x v="3"/>
    <s v=""/>
    <s v="plaque absente"/>
  </r>
  <r>
    <x v="9"/>
    <x v="0"/>
    <x v="0"/>
    <x v="20"/>
    <x v="4"/>
    <x v="3"/>
    <s v=""/>
    <s v="plaque absente"/>
  </r>
  <r>
    <x v="9"/>
    <x v="0"/>
    <x v="0"/>
    <x v="12"/>
    <x v="4"/>
    <x v="3"/>
    <s v=""/>
    <s v="plaque absente"/>
  </r>
  <r>
    <x v="9"/>
    <x v="0"/>
    <x v="0"/>
    <x v="21"/>
    <x v="4"/>
    <x v="3"/>
    <s v=""/>
    <s v="plaque absente"/>
  </r>
  <r>
    <x v="9"/>
    <x v="0"/>
    <x v="0"/>
    <x v="22"/>
    <x v="4"/>
    <x v="3"/>
    <s v=""/>
    <s v="plaque absente"/>
  </r>
  <r>
    <x v="9"/>
    <x v="0"/>
    <x v="0"/>
    <x v="23"/>
    <x v="4"/>
    <x v="3"/>
    <s v=""/>
    <s v="plaque absente"/>
  </r>
  <r>
    <x v="9"/>
    <x v="0"/>
    <x v="0"/>
    <x v="24"/>
    <x v="4"/>
    <x v="3"/>
    <s v=""/>
    <s v="plaque absente"/>
  </r>
  <r>
    <x v="9"/>
    <x v="0"/>
    <x v="0"/>
    <x v="25"/>
    <x v="4"/>
    <x v="3"/>
    <s v=""/>
    <s v="plaque absente"/>
  </r>
  <r>
    <x v="9"/>
    <x v="0"/>
    <x v="0"/>
    <x v="26"/>
    <x v="4"/>
    <x v="3"/>
    <s v=""/>
    <s v="plaque absente"/>
  </r>
  <r>
    <x v="9"/>
    <x v="0"/>
    <x v="0"/>
    <x v="27"/>
    <x v="3"/>
    <x v="1"/>
    <n v="4"/>
    <s v=""/>
  </r>
  <r>
    <x v="9"/>
    <x v="0"/>
    <x v="0"/>
    <x v="27"/>
    <x v="0"/>
    <x v="2"/>
    <n v="1"/>
    <s v=""/>
  </r>
  <r>
    <x v="9"/>
    <x v="0"/>
    <x v="0"/>
    <x v="27"/>
    <x v="2"/>
    <x v="1"/>
    <n v="4"/>
    <s v=""/>
  </r>
  <r>
    <x v="9"/>
    <x v="0"/>
    <x v="0"/>
    <x v="27"/>
    <x v="2"/>
    <x v="2"/>
    <n v="1"/>
    <s v=""/>
  </r>
  <r>
    <x v="9"/>
    <x v="0"/>
    <x v="0"/>
    <x v="28"/>
    <x v="3"/>
    <x v="0"/>
    <n v="1"/>
    <s v=""/>
  </r>
  <r>
    <x v="9"/>
    <x v="0"/>
    <x v="0"/>
    <x v="28"/>
    <x v="2"/>
    <x v="1"/>
    <n v="1"/>
    <s v=""/>
  </r>
  <r>
    <x v="9"/>
    <x v="0"/>
    <x v="0"/>
    <x v="11"/>
    <x v="2"/>
    <x v="0"/>
    <n v="1"/>
    <s v=""/>
  </r>
  <r>
    <x v="9"/>
    <x v="0"/>
    <x v="0"/>
    <x v="29"/>
    <x v="2"/>
    <x v="0"/>
    <n v="3"/>
    <s v=""/>
  </r>
  <r>
    <x v="9"/>
    <x v="0"/>
    <x v="0"/>
    <x v="29"/>
    <x v="2"/>
    <x v="2"/>
    <n v="2"/>
    <s v=""/>
  </r>
  <r>
    <x v="9"/>
    <x v="0"/>
    <x v="1"/>
    <x v="30"/>
    <x v="4"/>
    <x v="3"/>
    <s v=""/>
    <s v="plaque absente"/>
  </r>
  <r>
    <x v="9"/>
    <x v="0"/>
    <x v="1"/>
    <x v="31"/>
    <x v="4"/>
    <x v="3"/>
    <s v=""/>
    <s v="plaque absente"/>
  </r>
  <r>
    <x v="9"/>
    <x v="0"/>
    <x v="1"/>
    <x v="32"/>
    <x v="4"/>
    <x v="3"/>
    <s v=""/>
    <s v="plaque absente"/>
  </r>
  <r>
    <x v="9"/>
    <x v="0"/>
    <x v="1"/>
    <x v="33"/>
    <x v="4"/>
    <x v="3"/>
    <s v=""/>
    <s v="plaque absente"/>
  </r>
  <r>
    <x v="9"/>
    <x v="0"/>
    <x v="1"/>
    <x v="10"/>
    <x v="5"/>
    <x v="1"/>
    <n v="1"/>
    <s v=""/>
  </r>
  <r>
    <x v="9"/>
    <x v="0"/>
    <x v="1"/>
    <x v="34"/>
    <x v="2"/>
    <x v="1"/>
    <n v="1"/>
    <s v=""/>
  </r>
  <r>
    <x v="9"/>
    <x v="0"/>
    <x v="1"/>
    <x v="34"/>
    <x v="2"/>
    <x v="0"/>
    <n v="2"/>
    <s v=""/>
  </r>
  <r>
    <x v="9"/>
    <x v="0"/>
    <x v="1"/>
    <x v="34"/>
    <x v="2"/>
    <x v="2"/>
    <n v="1"/>
    <s v=""/>
  </r>
  <r>
    <x v="9"/>
    <x v="0"/>
    <x v="1"/>
    <x v="35"/>
    <x v="2"/>
    <x v="1"/>
    <n v="1"/>
    <s v=""/>
  </r>
  <r>
    <x v="9"/>
    <x v="0"/>
    <x v="1"/>
    <x v="36"/>
    <x v="2"/>
    <x v="1"/>
    <n v="1"/>
    <s v=""/>
  </r>
  <r>
    <x v="9"/>
    <x v="0"/>
    <x v="1"/>
    <x v="36"/>
    <x v="5"/>
    <x v="0"/>
    <n v="2"/>
    <s v=""/>
  </r>
  <r>
    <x v="9"/>
    <x v="0"/>
    <x v="1"/>
    <x v="37"/>
    <x v="3"/>
    <x v="2"/>
    <n v="1"/>
    <s v=""/>
  </r>
  <r>
    <x v="9"/>
    <x v="0"/>
    <x v="1"/>
    <x v="37"/>
    <x v="2"/>
    <x v="0"/>
    <n v="2"/>
    <s v=""/>
  </r>
  <r>
    <x v="9"/>
    <x v="0"/>
    <x v="1"/>
    <x v="37"/>
    <x v="2"/>
    <x v="2"/>
    <n v="1"/>
    <s v=""/>
  </r>
  <r>
    <x v="9"/>
    <x v="0"/>
    <x v="1"/>
    <x v="9"/>
    <x v="3"/>
    <x v="2"/>
    <n v="1"/>
    <s v=""/>
  </r>
  <r>
    <x v="9"/>
    <x v="0"/>
    <x v="1"/>
    <x v="9"/>
    <x v="2"/>
    <x v="0"/>
    <n v="1"/>
    <s v=""/>
  </r>
  <r>
    <x v="9"/>
    <x v="0"/>
    <x v="1"/>
    <x v="38"/>
    <x v="2"/>
    <x v="0"/>
    <n v="3"/>
    <s v=""/>
  </r>
  <r>
    <x v="9"/>
    <x v="0"/>
    <x v="1"/>
    <x v="38"/>
    <x v="5"/>
    <x v="0"/>
    <n v="2"/>
    <s v=""/>
  </r>
  <r>
    <x v="9"/>
    <x v="0"/>
    <x v="1"/>
    <x v="8"/>
    <x v="1"/>
    <x v="4"/>
    <n v="0"/>
    <m/>
  </r>
  <r>
    <x v="9"/>
    <x v="0"/>
    <x v="1"/>
    <x v="39"/>
    <x v="2"/>
    <x v="0"/>
    <n v="3"/>
    <s v=""/>
  </r>
  <r>
    <x v="9"/>
    <x v="0"/>
    <x v="1"/>
    <x v="39"/>
    <x v="5"/>
    <x v="0"/>
    <n v="10"/>
    <s v=""/>
  </r>
  <r>
    <x v="9"/>
    <x v="0"/>
    <x v="1"/>
    <x v="7"/>
    <x v="1"/>
    <x v="4"/>
    <n v="0"/>
    <m/>
  </r>
  <r>
    <x v="9"/>
    <x v="0"/>
    <x v="1"/>
    <x v="6"/>
    <x v="4"/>
    <x v="3"/>
    <s v=""/>
    <s v="plaque absente"/>
  </r>
  <r>
    <x v="9"/>
    <x v="0"/>
    <x v="1"/>
    <x v="40"/>
    <x v="4"/>
    <x v="3"/>
    <s v=""/>
    <s v="plaque absente"/>
  </r>
  <r>
    <x v="9"/>
    <x v="0"/>
    <x v="1"/>
    <x v="41"/>
    <x v="4"/>
    <x v="3"/>
    <s v=""/>
    <s v="plaque absente"/>
  </r>
  <r>
    <x v="9"/>
    <x v="0"/>
    <x v="1"/>
    <x v="42"/>
    <x v="4"/>
    <x v="3"/>
    <s v=""/>
    <s v="plaque absente"/>
  </r>
  <r>
    <x v="9"/>
    <x v="0"/>
    <x v="1"/>
    <x v="5"/>
    <x v="4"/>
    <x v="3"/>
    <s v=""/>
    <s v="plaque absente"/>
  </r>
  <r>
    <x v="9"/>
    <x v="0"/>
    <x v="1"/>
    <x v="43"/>
    <x v="4"/>
    <x v="3"/>
    <s v=""/>
    <s v="plaque absente"/>
  </r>
  <r>
    <x v="9"/>
    <x v="0"/>
    <x v="2"/>
    <x v="44"/>
    <x v="2"/>
    <x v="0"/>
    <n v="5"/>
    <s v=""/>
  </r>
  <r>
    <x v="9"/>
    <x v="0"/>
    <x v="2"/>
    <x v="45"/>
    <x v="5"/>
    <x v="0"/>
    <n v="1"/>
    <s v=""/>
  </r>
  <r>
    <x v="9"/>
    <x v="0"/>
    <x v="2"/>
    <x v="46"/>
    <x v="1"/>
    <x v="4"/>
    <n v="0"/>
    <m/>
  </r>
  <r>
    <x v="9"/>
    <x v="0"/>
    <x v="2"/>
    <x v="4"/>
    <x v="2"/>
    <x v="0"/>
    <n v="1"/>
    <s v=""/>
  </r>
  <r>
    <x v="9"/>
    <x v="0"/>
    <x v="2"/>
    <x v="47"/>
    <x v="2"/>
    <x v="0"/>
    <n v="1"/>
    <s v=""/>
  </r>
  <r>
    <x v="9"/>
    <x v="0"/>
    <x v="2"/>
    <x v="47"/>
    <x v="5"/>
    <x v="0"/>
    <n v="1"/>
    <s v=""/>
  </r>
  <r>
    <x v="9"/>
    <x v="0"/>
    <x v="2"/>
    <x v="48"/>
    <x v="2"/>
    <x v="1"/>
    <n v="1"/>
    <s v=""/>
  </r>
  <r>
    <x v="9"/>
    <x v="0"/>
    <x v="2"/>
    <x v="49"/>
    <x v="2"/>
    <x v="0"/>
    <n v="1"/>
    <s v=""/>
  </r>
  <r>
    <x v="9"/>
    <x v="0"/>
    <x v="2"/>
    <x v="49"/>
    <x v="5"/>
    <x v="0"/>
    <n v="1"/>
    <s v=""/>
  </r>
  <r>
    <x v="9"/>
    <x v="0"/>
    <x v="2"/>
    <x v="50"/>
    <x v="2"/>
    <x v="0"/>
    <n v="1"/>
    <s v=""/>
  </r>
  <r>
    <x v="9"/>
    <x v="0"/>
    <x v="2"/>
    <x v="50"/>
    <x v="5"/>
    <x v="0"/>
    <n v="1"/>
    <s v=""/>
  </r>
  <r>
    <x v="9"/>
    <x v="0"/>
    <x v="2"/>
    <x v="3"/>
    <x v="2"/>
    <x v="1"/>
    <n v="1"/>
    <s v=""/>
  </r>
  <r>
    <x v="9"/>
    <x v="0"/>
    <x v="2"/>
    <x v="51"/>
    <x v="5"/>
    <x v="2"/>
    <n v="1"/>
    <s v=""/>
  </r>
  <r>
    <x v="9"/>
    <x v="0"/>
    <x v="2"/>
    <x v="2"/>
    <x v="2"/>
    <x v="1"/>
    <n v="1"/>
    <s v=""/>
  </r>
  <r>
    <x v="9"/>
    <x v="0"/>
    <x v="2"/>
    <x v="2"/>
    <x v="5"/>
    <x v="1"/>
    <n v="1"/>
    <s v=""/>
  </r>
  <r>
    <x v="9"/>
    <x v="0"/>
    <x v="2"/>
    <x v="52"/>
    <x v="2"/>
    <x v="2"/>
    <n v="1"/>
    <s v=""/>
  </r>
  <r>
    <x v="9"/>
    <x v="0"/>
    <x v="2"/>
    <x v="53"/>
    <x v="1"/>
    <x v="4"/>
    <n v="0"/>
    <m/>
  </r>
  <r>
    <x v="9"/>
    <x v="0"/>
    <x v="2"/>
    <x v="54"/>
    <x v="1"/>
    <x v="4"/>
    <n v="0"/>
    <m/>
  </r>
  <r>
    <x v="9"/>
    <x v="0"/>
    <x v="2"/>
    <x v="1"/>
    <x v="2"/>
    <x v="0"/>
    <n v="1"/>
    <s v=""/>
  </r>
  <r>
    <x v="9"/>
    <x v="0"/>
    <x v="2"/>
    <x v="55"/>
    <x v="1"/>
    <x v="4"/>
    <n v="0"/>
    <m/>
  </r>
  <r>
    <x v="9"/>
    <x v="0"/>
    <x v="2"/>
    <x v="56"/>
    <x v="1"/>
    <x v="4"/>
    <n v="0"/>
    <m/>
  </r>
  <r>
    <x v="9"/>
    <x v="0"/>
    <x v="2"/>
    <x v="57"/>
    <x v="2"/>
    <x v="1"/>
    <n v="1"/>
    <s v=""/>
  </r>
  <r>
    <x v="9"/>
    <x v="0"/>
    <x v="2"/>
    <x v="58"/>
    <x v="1"/>
    <x v="4"/>
    <n v="0"/>
    <m/>
  </r>
  <r>
    <x v="9"/>
    <x v="0"/>
    <x v="2"/>
    <x v="59"/>
    <x v="1"/>
    <x v="4"/>
    <n v="0"/>
    <m/>
  </r>
  <r>
    <x v="9"/>
    <x v="1"/>
    <x v="0"/>
    <x v="60"/>
    <x v="2"/>
    <x v="0"/>
    <n v="2"/>
    <s v=""/>
  </r>
  <r>
    <x v="9"/>
    <x v="1"/>
    <x v="0"/>
    <x v="61"/>
    <x v="1"/>
    <x v="4"/>
    <n v="0"/>
    <m/>
  </r>
  <r>
    <x v="9"/>
    <x v="1"/>
    <x v="0"/>
    <x v="62"/>
    <x v="2"/>
    <x v="1"/>
    <n v="1"/>
    <s v=""/>
  </r>
  <r>
    <x v="9"/>
    <x v="1"/>
    <x v="0"/>
    <x v="62"/>
    <x v="2"/>
    <x v="0"/>
    <n v="1"/>
    <s v=""/>
  </r>
  <r>
    <x v="9"/>
    <x v="1"/>
    <x v="0"/>
    <x v="62"/>
    <x v="5"/>
    <x v="1"/>
    <n v="1"/>
    <s v=""/>
  </r>
  <r>
    <x v="9"/>
    <x v="1"/>
    <x v="0"/>
    <x v="63"/>
    <x v="1"/>
    <x v="4"/>
    <n v="0"/>
    <m/>
  </r>
  <r>
    <x v="9"/>
    <x v="1"/>
    <x v="0"/>
    <x v="64"/>
    <x v="2"/>
    <x v="2"/>
    <n v="1"/>
    <s v=""/>
  </r>
  <r>
    <x v="9"/>
    <x v="1"/>
    <x v="0"/>
    <x v="65"/>
    <x v="2"/>
    <x v="0"/>
    <n v="2"/>
    <s v=""/>
  </r>
  <r>
    <x v="9"/>
    <x v="1"/>
    <x v="0"/>
    <x v="66"/>
    <x v="2"/>
    <x v="0"/>
    <n v="3"/>
    <s v=""/>
  </r>
  <r>
    <x v="9"/>
    <x v="1"/>
    <x v="0"/>
    <x v="67"/>
    <x v="1"/>
    <x v="4"/>
    <n v="0"/>
    <m/>
  </r>
  <r>
    <x v="9"/>
    <x v="1"/>
    <x v="0"/>
    <x v="68"/>
    <x v="2"/>
    <x v="0"/>
    <n v="6"/>
    <s v=""/>
  </r>
  <r>
    <x v="9"/>
    <x v="1"/>
    <x v="0"/>
    <x v="69"/>
    <x v="1"/>
    <x v="4"/>
    <n v="0"/>
    <m/>
  </r>
  <r>
    <x v="9"/>
    <x v="1"/>
    <x v="0"/>
    <x v="70"/>
    <x v="4"/>
    <x v="3"/>
    <s v=""/>
    <s v="plaque absente"/>
  </r>
  <r>
    <x v="9"/>
    <x v="1"/>
    <x v="0"/>
    <x v="71"/>
    <x v="4"/>
    <x v="3"/>
    <s v=""/>
    <s v="plaque absente"/>
  </r>
  <r>
    <x v="9"/>
    <x v="1"/>
    <x v="0"/>
    <x v="72"/>
    <x v="4"/>
    <x v="3"/>
    <s v=""/>
    <s v="plaque absente"/>
  </r>
  <r>
    <x v="9"/>
    <x v="1"/>
    <x v="0"/>
    <x v="73"/>
    <x v="4"/>
    <x v="3"/>
    <s v=""/>
    <s v="plaque absente"/>
  </r>
  <r>
    <x v="9"/>
    <x v="1"/>
    <x v="0"/>
    <x v="74"/>
    <x v="4"/>
    <x v="3"/>
    <s v=""/>
    <s v="plaque absente"/>
  </r>
  <r>
    <x v="9"/>
    <x v="1"/>
    <x v="0"/>
    <x v="75"/>
    <x v="4"/>
    <x v="3"/>
    <s v=""/>
    <s v="plaque absente"/>
  </r>
  <r>
    <x v="9"/>
    <x v="1"/>
    <x v="0"/>
    <x v="76"/>
    <x v="4"/>
    <x v="3"/>
    <s v=""/>
    <s v="plaque absente"/>
  </r>
  <r>
    <x v="9"/>
    <x v="1"/>
    <x v="0"/>
    <x v="77"/>
    <x v="4"/>
    <x v="3"/>
    <s v=""/>
    <s v="plaque absente"/>
  </r>
  <r>
    <x v="9"/>
    <x v="1"/>
    <x v="0"/>
    <x v="78"/>
    <x v="4"/>
    <x v="3"/>
    <s v=""/>
    <s v="plaque absente"/>
  </r>
  <r>
    <x v="9"/>
    <x v="1"/>
    <x v="0"/>
    <x v="79"/>
    <x v="4"/>
    <x v="3"/>
    <s v=""/>
    <s v="plaque absente"/>
  </r>
  <r>
    <x v="9"/>
    <x v="1"/>
    <x v="1"/>
    <x v="80"/>
    <x v="4"/>
    <x v="3"/>
    <s v=""/>
    <s v="plaque absente"/>
  </r>
  <r>
    <x v="9"/>
    <x v="1"/>
    <x v="1"/>
    <x v="81"/>
    <x v="2"/>
    <x v="1"/>
    <n v="1"/>
    <s v=""/>
  </r>
  <r>
    <x v="9"/>
    <x v="1"/>
    <x v="1"/>
    <x v="81"/>
    <x v="2"/>
    <x v="2"/>
    <n v="1"/>
    <s v=""/>
  </r>
  <r>
    <x v="9"/>
    <x v="1"/>
    <x v="1"/>
    <x v="82"/>
    <x v="2"/>
    <x v="1"/>
    <n v="3"/>
    <s v=""/>
  </r>
  <r>
    <x v="9"/>
    <x v="1"/>
    <x v="1"/>
    <x v="82"/>
    <x v="5"/>
    <x v="0"/>
    <n v="1"/>
    <s v=""/>
  </r>
  <r>
    <x v="9"/>
    <x v="1"/>
    <x v="1"/>
    <x v="83"/>
    <x v="2"/>
    <x v="2"/>
    <n v="1"/>
    <s v=""/>
  </r>
  <r>
    <x v="9"/>
    <x v="1"/>
    <x v="1"/>
    <x v="84"/>
    <x v="2"/>
    <x v="0"/>
    <n v="1"/>
    <s v=""/>
  </r>
  <r>
    <x v="9"/>
    <x v="1"/>
    <x v="1"/>
    <x v="84"/>
    <x v="2"/>
    <x v="2"/>
    <n v="1"/>
    <s v=""/>
  </r>
  <r>
    <x v="9"/>
    <x v="1"/>
    <x v="1"/>
    <x v="84"/>
    <x v="5"/>
    <x v="0"/>
    <n v="1"/>
    <s v=""/>
  </r>
  <r>
    <x v="9"/>
    <x v="1"/>
    <x v="1"/>
    <x v="85"/>
    <x v="3"/>
    <x v="0"/>
    <n v="1"/>
    <s v=""/>
  </r>
  <r>
    <x v="9"/>
    <x v="1"/>
    <x v="1"/>
    <x v="85"/>
    <x v="2"/>
    <x v="1"/>
    <n v="2"/>
    <s v=""/>
  </r>
  <r>
    <x v="9"/>
    <x v="1"/>
    <x v="1"/>
    <x v="86"/>
    <x v="6"/>
    <x v="4"/>
    <m/>
    <m/>
  </r>
  <r>
    <x v="9"/>
    <x v="1"/>
    <x v="1"/>
    <x v="87"/>
    <x v="0"/>
    <x v="2"/>
    <n v="1"/>
    <s v=""/>
  </r>
  <r>
    <x v="9"/>
    <x v="1"/>
    <x v="1"/>
    <x v="88"/>
    <x v="4"/>
    <x v="3"/>
    <s v=""/>
    <s v="plaque absente"/>
  </r>
  <r>
    <x v="9"/>
    <x v="1"/>
    <x v="1"/>
    <x v="89"/>
    <x v="2"/>
    <x v="1"/>
    <n v="1"/>
    <s v=""/>
  </r>
  <r>
    <x v="9"/>
    <x v="1"/>
    <x v="1"/>
    <x v="89"/>
    <x v="2"/>
    <x v="0"/>
    <n v="1"/>
    <s v=""/>
  </r>
  <r>
    <x v="9"/>
    <x v="1"/>
    <x v="1"/>
    <x v="90"/>
    <x v="2"/>
    <x v="2"/>
    <n v="1"/>
    <s v=""/>
  </r>
  <r>
    <x v="9"/>
    <x v="1"/>
    <x v="1"/>
    <x v="91"/>
    <x v="4"/>
    <x v="3"/>
    <s v=""/>
    <s v="plaque absente"/>
  </r>
  <r>
    <x v="9"/>
    <x v="1"/>
    <x v="1"/>
    <x v="92"/>
    <x v="4"/>
    <x v="3"/>
    <s v=""/>
    <s v="plaque absente"/>
  </r>
  <r>
    <x v="9"/>
    <x v="1"/>
    <x v="1"/>
    <x v="93"/>
    <x v="4"/>
    <x v="3"/>
    <s v=""/>
    <s v="plaque absente"/>
  </r>
  <r>
    <x v="9"/>
    <x v="1"/>
    <x v="1"/>
    <x v="94"/>
    <x v="4"/>
    <x v="3"/>
    <s v=""/>
    <s v="plaque absente"/>
  </r>
  <r>
    <x v="9"/>
    <x v="1"/>
    <x v="1"/>
    <x v="95"/>
    <x v="4"/>
    <x v="3"/>
    <s v=""/>
    <s v="plaque absente"/>
  </r>
  <r>
    <x v="9"/>
    <x v="1"/>
    <x v="1"/>
    <x v="96"/>
    <x v="4"/>
    <x v="3"/>
    <s v=""/>
    <s v="plaque absente"/>
  </r>
  <r>
    <x v="9"/>
    <x v="1"/>
    <x v="1"/>
    <x v="97"/>
    <x v="4"/>
    <x v="3"/>
    <s v=""/>
    <s v="plaque absente"/>
  </r>
  <r>
    <x v="9"/>
    <x v="1"/>
    <x v="1"/>
    <x v="98"/>
    <x v="4"/>
    <x v="3"/>
    <s v=""/>
    <s v="plaque absente"/>
  </r>
  <r>
    <x v="9"/>
    <x v="1"/>
    <x v="1"/>
    <x v="99"/>
    <x v="1"/>
    <x v="4"/>
    <n v="0"/>
    <m/>
  </r>
  <r>
    <x v="9"/>
    <x v="1"/>
    <x v="2"/>
    <x v="100"/>
    <x v="1"/>
    <x v="4"/>
    <n v="0"/>
    <m/>
  </r>
  <r>
    <x v="9"/>
    <x v="1"/>
    <x v="2"/>
    <x v="101"/>
    <x v="1"/>
    <x v="4"/>
    <n v="0"/>
    <m/>
  </r>
  <r>
    <x v="9"/>
    <x v="1"/>
    <x v="2"/>
    <x v="102"/>
    <x v="1"/>
    <x v="4"/>
    <n v="0"/>
    <m/>
  </r>
  <r>
    <x v="9"/>
    <x v="1"/>
    <x v="2"/>
    <x v="103"/>
    <x v="5"/>
    <x v="0"/>
    <n v="1"/>
    <s v=""/>
  </r>
  <r>
    <x v="9"/>
    <x v="1"/>
    <x v="2"/>
    <x v="104"/>
    <x v="1"/>
    <x v="4"/>
    <n v="0"/>
    <m/>
  </r>
  <r>
    <x v="9"/>
    <x v="1"/>
    <x v="2"/>
    <x v="105"/>
    <x v="2"/>
    <x v="2"/>
    <n v="1"/>
    <s v=""/>
  </r>
  <r>
    <x v="9"/>
    <x v="1"/>
    <x v="2"/>
    <x v="105"/>
    <x v="5"/>
    <x v="0"/>
    <n v="2"/>
    <s v=""/>
  </r>
  <r>
    <x v="9"/>
    <x v="1"/>
    <x v="2"/>
    <x v="106"/>
    <x v="6"/>
    <x v="4"/>
    <m/>
    <m/>
  </r>
  <r>
    <x v="9"/>
    <x v="1"/>
    <x v="2"/>
    <x v="107"/>
    <x v="2"/>
    <x v="0"/>
    <n v="1"/>
    <s v=""/>
  </r>
  <r>
    <x v="9"/>
    <x v="1"/>
    <x v="2"/>
    <x v="107"/>
    <x v="5"/>
    <x v="1"/>
    <n v="1"/>
    <s v=""/>
  </r>
  <r>
    <x v="9"/>
    <x v="1"/>
    <x v="2"/>
    <x v="108"/>
    <x v="3"/>
    <x v="1"/>
    <n v="1"/>
    <s v=""/>
  </r>
  <r>
    <x v="9"/>
    <x v="1"/>
    <x v="2"/>
    <x v="108"/>
    <x v="3"/>
    <x v="0"/>
    <n v="1"/>
    <s v=""/>
  </r>
  <r>
    <x v="9"/>
    <x v="1"/>
    <x v="2"/>
    <x v="108"/>
    <x v="2"/>
    <x v="0"/>
    <n v="3"/>
    <s v=""/>
  </r>
  <r>
    <x v="9"/>
    <x v="1"/>
    <x v="2"/>
    <x v="108"/>
    <x v="5"/>
    <x v="0"/>
    <n v="2"/>
    <s v=""/>
  </r>
  <r>
    <x v="9"/>
    <x v="1"/>
    <x v="2"/>
    <x v="109"/>
    <x v="1"/>
    <x v="4"/>
    <n v="0"/>
    <m/>
  </r>
  <r>
    <x v="9"/>
    <x v="1"/>
    <x v="2"/>
    <x v="110"/>
    <x v="1"/>
    <x v="4"/>
    <n v="0"/>
    <m/>
  </r>
  <r>
    <x v="9"/>
    <x v="1"/>
    <x v="2"/>
    <x v="111"/>
    <x v="1"/>
    <x v="4"/>
    <n v="0"/>
    <m/>
  </r>
  <r>
    <x v="9"/>
    <x v="1"/>
    <x v="2"/>
    <x v="112"/>
    <x v="1"/>
    <x v="4"/>
    <n v="0"/>
    <m/>
  </r>
  <r>
    <x v="9"/>
    <x v="1"/>
    <x v="2"/>
    <x v="113"/>
    <x v="3"/>
    <x v="1"/>
    <n v="1"/>
    <s v=""/>
  </r>
  <r>
    <x v="9"/>
    <x v="1"/>
    <x v="2"/>
    <x v="113"/>
    <x v="3"/>
    <x v="0"/>
    <n v="1"/>
    <s v=""/>
  </r>
  <r>
    <x v="9"/>
    <x v="1"/>
    <x v="2"/>
    <x v="113"/>
    <x v="5"/>
    <x v="1"/>
    <n v="1"/>
    <s v=""/>
  </r>
  <r>
    <x v="9"/>
    <x v="1"/>
    <x v="2"/>
    <x v="114"/>
    <x v="1"/>
    <x v="4"/>
    <n v="0"/>
    <m/>
  </r>
  <r>
    <x v="9"/>
    <x v="1"/>
    <x v="2"/>
    <x v="115"/>
    <x v="1"/>
    <x v="4"/>
    <n v="0"/>
    <m/>
  </r>
  <r>
    <x v="9"/>
    <x v="1"/>
    <x v="2"/>
    <x v="116"/>
    <x v="1"/>
    <x v="4"/>
    <n v="0"/>
    <m/>
  </r>
  <r>
    <x v="9"/>
    <x v="1"/>
    <x v="2"/>
    <x v="117"/>
    <x v="2"/>
    <x v="0"/>
    <n v="2"/>
    <s v=""/>
  </r>
  <r>
    <x v="9"/>
    <x v="1"/>
    <x v="2"/>
    <x v="118"/>
    <x v="1"/>
    <x v="4"/>
    <n v="0"/>
    <m/>
  </r>
  <r>
    <x v="9"/>
    <x v="1"/>
    <x v="2"/>
    <x v="119"/>
    <x v="3"/>
    <x v="1"/>
    <n v="1"/>
    <s v=""/>
  </r>
  <r>
    <x v="9"/>
    <x v="1"/>
    <x v="2"/>
    <x v="119"/>
    <x v="1"/>
    <x v="1"/>
    <n v="1"/>
    <s v=""/>
  </r>
  <r>
    <x v="9"/>
    <x v="1"/>
    <x v="2"/>
    <x v="119"/>
    <x v="2"/>
    <x v="1"/>
    <n v="4"/>
    <s v=""/>
  </r>
  <r>
    <x v="9"/>
    <x v="1"/>
    <x v="2"/>
    <x v="119"/>
    <x v="2"/>
    <x v="0"/>
    <n v="1"/>
    <s v=""/>
  </r>
  <r>
    <x v="9"/>
    <x v="1"/>
    <x v="2"/>
    <x v="119"/>
    <x v="5"/>
    <x v="1"/>
    <n v="1"/>
    <s v=""/>
  </r>
  <r>
    <x v="9"/>
    <x v="2"/>
    <x v="0"/>
    <x v="120"/>
    <x v="1"/>
    <x v="4"/>
    <n v="0"/>
    <m/>
  </r>
  <r>
    <x v="9"/>
    <x v="2"/>
    <x v="0"/>
    <x v="121"/>
    <x v="1"/>
    <x v="4"/>
    <n v="0"/>
    <m/>
  </r>
  <r>
    <x v="9"/>
    <x v="2"/>
    <x v="0"/>
    <x v="122"/>
    <x v="1"/>
    <x v="4"/>
    <n v="0"/>
    <m/>
  </r>
  <r>
    <x v="9"/>
    <x v="2"/>
    <x v="0"/>
    <x v="123"/>
    <x v="2"/>
    <x v="0"/>
    <n v="1"/>
    <s v=""/>
  </r>
  <r>
    <x v="9"/>
    <x v="2"/>
    <x v="0"/>
    <x v="124"/>
    <x v="1"/>
    <x v="4"/>
    <n v="0"/>
    <m/>
  </r>
  <r>
    <x v="9"/>
    <x v="2"/>
    <x v="0"/>
    <x v="125"/>
    <x v="1"/>
    <x v="4"/>
    <n v="0"/>
    <m/>
  </r>
  <r>
    <x v="9"/>
    <x v="2"/>
    <x v="0"/>
    <x v="126"/>
    <x v="1"/>
    <x v="4"/>
    <n v="0"/>
    <m/>
  </r>
  <r>
    <x v="9"/>
    <x v="2"/>
    <x v="0"/>
    <x v="127"/>
    <x v="2"/>
    <x v="0"/>
    <n v="3"/>
    <s v=""/>
  </r>
  <r>
    <x v="9"/>
    <x v="2"/>
    <x v="0"/>
    <x v="127"/>
    <x v="5"/>
    <x v="0"/>
    <n v="1"/>
    <s v=""/>
  </r>
  <r>
    <x v="9"/>
    <x v="2"/>
    <x v="0"/>
    <x v="128"/>
    <x v="1"/>
    <x v="4"/>
    <n v="0"/>
    <m/>
  </r>
  <r>
    <x v="9"/>
    <x v="2"/>
    <x v="0"/>
    <x v="129"/>
    <x v="1"/>
    <x v="4"/>
    <n v="0"/>
    <m/>
  </r>
  <r>
    <x v="9"/>
    <x v="2"/>
    <x v="0"/>
    <x v="130"/>
    <x v="2"/>
    <x v="0"/>
    <n v="1"/>
    <s v=""/>
  </r>
  <r>
    <x v="9"/>
    <x v="2"/>
    <x v="0"/>
    <x v="131"/>
    <x v="1"/>
    <x v="4"/>
    <n v="0"/>
    <m/>
  </r>
  <r>
    <x v="9"/>
    <x v="2"/>
    <x v="0"/>
    <x v="132"/>
    <x v="2"/>
    <x v="0"/>
    <n v="1"/>
    <s v=""/>
  </r>
  <r>
    <x v="9"/>
    <x v="2"/>
    <x v="0"/>
    <x v="133"/>
    <x v="1"/>
    <x v="4"/>
    <n v="0"/>
    <m/>
  </r>
  <r>
    <x v="9"/>
    <x v="2"/>
    <x v="0"/>
    <x v="134"/>
    <x v="1"/>
    <x v="4"/>
    <n v="0"/>
    <m/>
  </r>
  <r>
    <x v="9"/>
    <x v="2"/>
    <x v="0"/>
    <x v="135"/>
    <x v="1"/>
    <x v="4"/>
    <n v="0"/>
    <m/>
  </r>
  <r>
    <x v="9"/>
    <x v="2"/>
    <x v="0"/>
    <x v="136"/>
    <x v="1"/>
    <x v="4"/>
    <n v="0"/>
    <m/>
  </r>
  <r>
    <x v="9"/>
    <x v="2"/>
    <x v="0"/>
    <x v="137"/>
    <x v="1"/>
    <x v="4"/>
    <n v="0"/>
    <m/>
  </r>
  <r>
    <x v="9"/>
    <x v="2"/>
    <x v="0"/>
    <x v="138"/>
    <x v="1"/>
    <x v="4"/>
    <n v="0"/>
    <m/>
  </r>
  <r>
    <x v="9"/>
    <x v="2"/>
    <x v="0"/>
    <x v="139"/>
    <x v="1"/>
    <x v="4"/>
    <n v="0"/>
    <m/>
  </r>
  <r>
    <x v="9"/>
    <x v="2"/>
    <x v="1"/>
    <x v="140"/>
    <x v="2"/>
    <x v="0"/>
    <n v="1"/>
    <s v=""/>
  </r>
  <r>
    <x v="9"/>
    <x v="2"/>
    <x v="1"/>
    <x v="140"/>
    <x v="5"/>
    <x v="0"/>
    <n v="1"/>
    <s v=""/>
  </r>
  <r>
    <x v="9"/>
    <x v="2"/>
    <x v="1"/>
    <x v="141"/>
    <x v="1"/>
    <x v="4"/>
    <n v="0"/>
    <m/>
  </r>
  <r>
    <x v="9"/>
    <x v="2"/>
    <x v="1"/>
    <x v="142"/>
    <x v="4"/>
    <x v="3"/>
    <s v=""/>
    <s v="plaque absente"/>
  </r>
  <r>
    <x v="9"/>
    <x v="2"/>
    <x v="1"/>
    <x v="143"/>
    <x v="4"/>
    <x v="3"/>
    <s v=""/>
    <s v="plaque absente"/>
  </r>
  <r>
    <x v="9"/>
    <x v="2"/>
    <x v="1"/>
    <x v="144"/>
    <x v="1"/>
    <x v="4"/>
    <n v="0"/>
    <m/>
  </r>
  <r>
    <x v="9"/>
    <x v="2"/>
    <x v="1"/>
    <x v="145"/>
    <x v="1"/>
    <x v="4"/>
    <n v="0"/>
    <m/>
  </r>
  <r>
    <x v="9"/>
    <x v="2"/>
    <x v="1"/>
    <x v="146"/>
    <x v="1"/>
    <x v="4"/>
    <n v="0"/>
    <m/>
  </r>
  <r>
    <x v="9"/>
    <x v="2"/>
    <x v="1"/>
    <x v="147"/>
    <x v="1"/>
    <x v="4"/>
    <n v="0"/>
    <m/>
  </r>
  <r>
    <x v="9"/>
    <x v="2"/>
    <x v="1"/>
    <x v="148"/>
    <x v="1"/>
    <x v="4"/>
    <n v="0"/>
    <m/>
  </r>
  <r>
    <x v="9"/>
    <x v="2"/>
    <x v="1"/>
    <x v="149"/>
    <x v="2"/>
    <x v="1"/>
    <n v="2"/>
    <s v=""/>
  </r>
  <r>
    <x v="9"/>
    <x v="2"/>
    <x v="1"/>
    <x v="149"/>
    <x v="2"/>
    <x v="2"/>
    <n v="1"/>
    <s v=""/>
  </r>
  <r>
    <x v="9"/>
    <x v="2"/>
    <x v="1"/>
    <x v="150"/>
    <x v="5"/>
    <x v="0"/>
    <n v="1"/>
    <s v=""/>
  </r>
  <r>
    <x v="9"/>
    <x v="2"/>
    <x v="1"/>
    <x v="151"/>
    <x v="5"/>
    <x v="0"/>
    <n v="1"/>
    <s v=""/>
  </r>
  <r>
    <x v="9"/>
    <x v="2"/>
    <x v="1"/>
    <x v="152"/>
    <x v="1"/>
    <x v="4"/>
    <n v="0"/>
    <m/>
  </r>
  <r>
    <x v="9"/>
    <x v="2"/>
    <x v="1"/>
    <x v="153"/>
    <x v="2"/>
    <x v="1"/>
    <n v="1"/>
    <s v=""/>
  </r>
  <r>
    <x v="9"/>
    <x v="2"/>
    <x v="1"/>
    <x v="154"/>
    <x v="1"/>
    <x v="4"/>
    <n v="0"/>
    <m/>
  </r>
  <r>
    <x v="9"/>
    <x v="2"/>
    <x v="1"/>
    <x v="155"/>
    <x v="4"/>
    <x v="3"/>
    <s v=""/>
    <s v="plaque absente"/>
  </r>
  <r>
    <x v="9"/>
    <x v="2"/>
    <x v="1"/>
    <x v="156"/>
    <x v="4"/>
    <x v="3"/>
    <s v=""/>
    <s v="plaque absente"/>
  </r>
  <r>
    <x v="9"/>
    <x v="2"/>
    <x v="1"/>
    <x v="157"/>
    <x v="1"/>
    <x v="4"/>
    <n v="0"/>
    <m/>
  </r>
  <r>
    <x v="9"/>
    <x v="2"/>
    <x v="1"/>
    <x v="158"/>
    <x v="1"/>
    <x v="4"/>
    <n v="0"/>
    <m/>
  </r>
  <r>
    <x v="9"/>
    <x v="2"/>
    <x v="1"/>
    <x v="159"/>
    <x v="5"/>
    <x v="0"/>
    <n v="1"/>
    <s v=""/>
  </r>
  <r>
    <x v="9"/>
    <x v="2"/>
    <x v="2"/>
    <x v="160"/>
    <x v="1"/>
    <x v="4"/>
    <n v="0"/>
    <m/>
  </r>
  <r>
    <x v="9"/>
    <x v="2"/>
    <x v="2"/>
    <x v="161"/>
    <x v="2"/>
    <x v="0"/>
    <n v="1"/>
    <s v=""/>
  </r>
  <r>
    <x v="9"/>
    <x v="2"/>
    <x v="2"/>
    <x v="161"/>
    <x v="2"/>
    <x v="2"/>
    <n v="2"/>
    <s v=""/>
  </r>
  <r>
    <x v="9"/>
    <x v="2"/>
    <x v="2"/>
    <x v="162"/>
    <x v="4"/>
    <x v="3"/>
    <s v=""/>
    <s v="plaque absente"/>
  </r>
  <r>
    <x v="9"/>
    <x v="2"/>
    <x v="2"/>
    <x v="163"/>
    <x v="2"/>
    <x v="1"/>
    <n v="1"/>
    <s v=""/>
  </r>
  <r>
    <x v="9"/>
    <x v="2"/>
    <x v="2"/>
    <x v="163"/>
    <x v="2"/>
    <x v="2"/>
    <n v="1"/>
    <s v=""/>
  </r>
  <r>
    <x v="9"/>
    <x v="2"/>
    <x v="2"/>
    <x v="163"/>
    <x v="5"/>
    <x v="1"/>
    <n v="1"/>
    <s v=""/>
  </r>
  <r>
    <x v="9"/>
    <x v="2"/>
    <x v="2"/>
    <x v="164"/>
    <x v="4"/>
    <x v="3"/>
    <s v=""/>
    <s v="plaque absente"/>
  </r>
  <r>
    <x v="9"/>
    <x v="2"/>
    <x v="2"/>
    <x v="165"/>
    <x v="2"/>
    <x v="1"/>
    <n v="1"/>
    <s v=""/>
  </r>
  <r>
    <x v="9"/>
    <x v="2"/>
    <x v="2"/>
    <x v="166"/>
    <x v="2"/>
    <x v="1"/>
    <n v="1"/>
    <s v=""/>
  </r>
  <r>
    <x v="9"/>
    <x v="2"/>
    <x v="2"/>
    <x v="166"/>
    <x v="2"/>
    <x v="0"/>
    <n v="2"/>
    <s v=""/>
  </r>
  <r>
    <x v="9"/>
    <x v="2"/>
    <x v="2"/>
    <x v="167"/>
    <x v="1"/>
    <x v="4"/>
    <n v="0"/>
    <m/>
  </r>
  <r>
    <x v="9"/>
    <x v="2"/>
    <x v="2"/>
    <x v="168"/>
    <x v="2"/>
    <x v="1"/>
    <n v="4"/>
    <s v=""/>
  </r>
  <r>
    <x v="9"/>
    <x v="2"/>
    <x v="2"/>
    <x v="168"/>
    <x v="2"/>
    <x v="0"/>
    <n v="1"/>
    <s v=""/>
  </r>
  <r>
    <x v="9"/>
    <x v="2"/>
    <x v="2"/>
    <x v="168"/>
    <x v="5"/>
    <x v="0"/>
    <n v="1"/>
    <s v=""/>
  </r>
  <r>
    <x v="9"/>
    <x v="2"/>
    <x v="2"/>
    <x v="169"/>
    <x v="1"/>
    <x v="4"/>
    <n v="0"/>
    <m/>
  </r>
  <r>
    <x v="9"/>
    <x v="2"/>
    <x v="2"/>
    <x v="170"/>
    <x v="2"/>
    <x v="1"/>
    <n v="2"/>
    <s v=""/>
  </r>
  <r>
    <x v="9"/>
    <x v="2"/>
    <x v="2"/>
    <x v="170"/>
    <x v="2"/>
    <x v="2"/>
    <n v="1"/>
    <s v=""/>
  </r>
  <r>
    <x v="9"/>
    <x v="2"/>
    <x v="2"/>
    <x v="170"/>
    <x v="5"/>
    <x v="0"/>
    <n v="1"/>
    <s v=""/>
  </r>
  <r>
    <x v="9"/>
    <x v="2"/>
    <x v="2"/>
    <x v="171"/>
    <x v="2"/>
    <x v="0"/>
    <n v="1"/>
    <s v=""/>
  </r>
  <r>
    <x v="9"/>
    <x v="2"/>
    <x v="2"/>
    <x v="172"/>
    <x v="1"/>
    <x v="4"/>
    <n v="0"/>
    <m/>
  </r>
  <r>
    <x v="9"/>
    <x v="2"/>
    <x v="2"/>
    <x v="173"/>
    <x v="4"/>
    <x v="3"/>
    <s v=""/>
    <s v="plaque absente"/>
  </r>
  <r>
    <x v="9"/>
    <x v="2"/>
    <x v="2"/>
    <x v="174"/>
    <x v="2"/>
    <x v="0"/>
    <n v="2"/>
    <s v=""/>
  </r>
  <r>
    <x v="9"/>
    <x v="2"/>
    <x v="2"/>
    <x v="175"/>
    <x v="4"/>
    <x v="3"/>
    <s v=""/>
    <s v="plaque absente"/>
  </r>
  <r>
    <x v="9"/>
    <x v="2"/>
    <x v="2"/>
    <x v="176"/>
    <x v="1"/>
    <x v="4"/>
    <n v="0"/>
    <m/>
  </r>
  <r>
    <x v="9"/>
    <x v="2"/>
    <x v="2"/>
    <x v="177"/>
    <x v="2"/>
    <x v="1"/>
    <n v="1"/>
    <s v=""/>
  </r>
  <r>
    <x v="9"/>
    <x v="2"/>
    <x v="2"/>
    <x v="177"/>
    <x v="2"/>
    <x v="0"/>
    <n v="1"/>
    <s v=""/>
  </r>
  <r>
    <x v="9"/>
    <x v="2"/>
    <x v="2"/>
    <x v="177"/>
    <x v="2"/>
    <x v="2"/>
    <n v="1"/>
    <s v=""/>
  </r>
  <r>
    <x v="9"/>
    <x v="2"/>
    <x v="2"/>
    <x v="178"/>
    <x v="2"/>
    <x v="1"/>
    <n v="1"/>
    <s v=""/>
  </r>
  <r>
    <x v="9"/>
    <x v="2"/>
    <x v="2"/>
    <x v="178"/>
    <x v="2"/>
    <x v="0"/>
    <n v="2"/>
    <s v=""/>
  </r>
  <r>
    <x v="9"/>
    <x v="2"/>
    <x v="2"/>
    <x v="179"/>
    <x v="1"/>
    <x v="4"/>
    <n v="0"/>
    <m/>
  </r>
  <r>
    <x v="10"/>
    <x v="0"/>
    <x v="0"/>
    <x v="0"/>
    <x v="5"/>
    <x v="0"/>
    <n v="2"/>
    <s v=""/>
  </r>
  <r>
    <x v="10"/>
    <x v="0"/>
    <x v="0"/>
    <x v="16"/>
    <x v="3"/>
    <x v="0"/>
    <n v="5"/>
    <s v=""/>
  </r>
  <r>
    <x v="10"/>
    <x v="0"/>
    <x v="0"/>
    <x v="16"/>
    <x v="5"/>
    <x v="0"/>
    <n v="2"/>
    <s v=""/>
  </r>
  <r>
    <x v="10"/>
    <x v="0"/>
    <x v="0"/>
    <x v="15"/>
    <x v="1"/>
    <x v="4"/>
    <n v="0"/>
    <m/>
  </r>
  <r>
    <x v="10"/>
    <x v="0"/>
    <x v="0"/>
    <x v="17"/>
    <x v="1"/>
    <x v="4"/>
    <n v="0"/>
    <m/>
  </r>
  <r>
    <x v="10"/>
    <x v="0"/>
    <x v="0"/>
    <x v="14"/>
    <x v="3"/>
    <x v="0"/>
    <n v="1"/>
    <s v=""/>
  </r>
  <r>
    <x v="10"/>
    <x v="0"/>
    <x v="0"/>
    <x v="14"/>
    <x v="2"/>
    <x v="0"/>
    <n v="1"/>
    <s v=""/>
  </r>
  <r>
    <x v="10"/>
    <x v="0"/>
    <x v="0"/>
    <x v="18"/>
    <x v="1"/>
    <x v="4"/>
    <n v="0"/>
    <m/>
  </r>
  <r>
    <x v="10"/>
    <x v="0"/>
    <x v="0"/>
    <x v="13"/>
    <x v="3"/>
    <x v="0"/>
    <n v="1"/>
    <s v=""/>
  </r>
  <r>
    <x v="10"/>
    <x v="0"/>
    <x v="0"/>
    <x v="19"/>
    <x v="1"/>
    <x v="4"/>
    <n v="0"/>
    <m/>
  </r>
  <r>
    <x v="10"/>
    <x v="0"/>
    <x v="0"/>
    <x v="20"/>
    <x v="1"/>
    <x v="4"/>
    <n v="0"/>
    <m/>
  </r>
  <r>
    <x v="10"/>
    <x v="0"/>
    <x v="0"/>
    <x v="12"/>
    <x v="2"/>
    <x v="1"/>
    <n v="1"/>
    <s v=""/>
  </r>
  <r>
    <x v="10"/>
    <x v="0"/>
    <x v="0"/>
    <x v="12"/>
    <x v="5"/>
    <x v="0"/>
    <n v="1"/>
    <s v=""/>
  </r>
  <r>
    <x v="10"/>
    <x v="0"/>
    <x v="0"/>
    <x v="21"/>
    <x v="1"/>
    <x v="4"/>
    <n v="0"/>
    <m/>
  </r>
  <r>
    <x v="10"/>
    <x v="0"/>
    <x v="0"/>
    <x v="22"/>
    <x v="1"/>
    <x v="4"/>
    <n v="0"/>
    <m/>
  </r>
  <r>
    <x v="10"/>
    <x v="0"/>
    <x v="0"/>
    <x v="23"/>
    <x v="1"/>
    <x v="4"/>
    <n v="0"/>
    <m/>
  </r>
  <r>
    <x v="10"/>
    <x v="0"/>
    <x v="0"/>
    <x v="24"/>
    <x v="1"/>
    <x v="4"/>
    <n v="0"/>
    <m/>
  </r>
  <r>
    <x v="10"/>
    <x v="0"/>
    <x v="0"/>
    <x v="25"/>
    <x v="1"/>
    <x v="4"/>
    <n v="0"/>
    <m/>
  </r>
  <r>
    <x v="10"/>
    <x v="0"/>
    <x v="0"/>
    <x v="26"/>
    <x v="1"/>
    <x v="4"/>
    <n v="0"/>
    <m/>
  </r>
  <r>
    <x v="10"/>
    <x v="0"/>
    <x v="0"/>
    <x v="27"/>
    <x v="1"/>
    <x v="4"/>
    <n v="0"/>
    <m/>
  </r>
  <r>
    <x v="10"/>
    <x v="0"/>
    <x v="0"/>
    <x v="28"/>
    <x v="1"/>
    <x v="4"/>
    <n v="0"/>
    <m/>
  </r>
  <r>
    <x v="10"/>
    <x v="0"/>
    <x v="0"/>
    <x v="11"/>
    <x v="3"/>
    <x v="1"/>
    <n v="1"/>
    <s v=""/>
  </r>
  <r>
    <x v="10"/>
    <x v="0"/>
    <x v="0"/>
    <x v="29"/>
    <x v="1"/>
    <x v="4"/>
    <n v="0"/>
    <m/>
  </r>
  <r>
    <x v="10"/>
    <x v="0"/>
    <x v="1"/>
    <x v="30"/>
    <x v="1"/>
    <x v="4"/>
    <n v="0"/>
    <m/>
  </r>
  <r>
    <x v="10"/>
    <x v="0"/>
    <x v="1"/>
    <x v="31"/>
    <x v="3"/>
    <x v="1"/>
    <n v="1"/>
    <s v=""/>
  </r>
  <r>
    <x v="10"/>
    <x v="0"/>
    <x v="1"/>
    <x v="31"/>
    <x v="2"/>
    <x v="1"/>
    <n v="1"/>
    <s v=""/>
  </r>
  <r>
    <x v="10"/>
    <x v="0"/>
    <x v="1"/>
    <x v="32"/>
    <x v="1"/>
    <x v="4"/>
    <n v="0"/>
    <m/>
  </r>
  <r>
    <x v="10"/>
    <x v="0"/>
    <x v="1"/>
    <x v="33"/>
    <x v="2"/>
    <x v="1"/>
    <n v="1"/>
    <s v=""/>
  </r>
  <r>
    <x v="10"/>
    <x v="0"/>
    <x v="1"/>
    <x v="33"/>
    <x v="5"/>
    <x v="0"/>
    <n v="1"/>
    <s v=""/>
  </r>
  <r>
    <x v="10"/>
    <x v="0"/>
    <x v="1"/>
    <x v="10"/>
    <x v="1"/>
    <x v="4"/>
    <n v="0"/>
    <m/>
  </r>
  <r>
    <x v="10"/>
    <x v="0"/>
    <x v="1"/>
    <x v="34"/>
    <x v="5"/>
    <x v="0"/>
    <n v="2"/>
    <s v=""/>
  </r>
  <r>
    <x v="10"/>
    <x v="0"/>
    <x v="1"/>
    <x v="35"/>
    <x v="5"/>
    <x v="0"/>
    <n v="1"/>
    <s v=""/>
  </r>
  <r>
    <x v="10"/>
    <x v="0"/>
    <x v="1"/>
    <x v="36"/>
    <x v="3"/>
    <x v="0"/>
    <n v="1"/>
    <s v=""/>
  </r>
  <r>
    <x v="10"/>
    <x v="0"/>
    <x v="1"/>
    <x v="37"/>
    <x v="1"/>
    <x v="4"/>
    <n v="0"/>
    <m/>
  </r>
  <r>
    <x v="10"/>
    <x v="0"/>
    <x v="1"/>
    <x v="9"/>
    <x v="1"/>
    <x v="4"/>
    <n v="0"/>
    <m/>
  </r>
  <r>
    <x v="10"/>
    <x v="0"/>
    <x v="1"/>
    <x v="38"/>
    <x v="5"/>
    <x v="0"/>
    <n v="3"/>
    <s v=""/>
  </r>
  <r>
    <x v="10"/>
    <x v="0"/>
    <x v="1"/>
    <x v="8"/>
    <x v="1"/>
    <x v="4"/>
    <n v="0"/>
    <m/>
  </r>
  <r>
    <x v="10"/>
    <x v="0"/>
    <x v="1"/>
    <x v="39"/>
    <x v="3"/>
    <x v="0"/>
    <n v="1"/>
    <s v=""/>
  </r>
  <r>
    <x v="10"/>
    <x v="0"/>
    <x v="1"/>
    <x v="39"/>
    <x v="5"/>
    <x v="0"/>
    <n v="4"/>
    <s v=""/>
  </r>
  <r>
    <x v="10"/>
    <x v="0"/>
    <x v="1"/>
    <x v="7"/>
    <x v="1"/>
    <x v="4"/>
    <n v="0"/>
    <m/>
  </r>
  <r>
    <x v="10"/>
    <x v="0"/>
    <x v="1"/>
    <x v="6"/>
    <x v="5"/>
    <x v="0"/>
    <n v="1"/>
    <s v=""/>
  </r>
  <r>
    <x v="10"/>
    <x v="0"/>
    <x v="1"/>
    <x v="40"/>
    <x v="1"/>
    <x v="4"/>
    <n v="0"/>
    <m/>
  </r>
  <r>
    <x v="10"/>
    <x v="0"/>
    <x v="1"/>
    <x v="41"/>
    <x v="3"/>
    <x v="1"/>
    <n v="1"/>
    <s v=""/>
  </r>
  <r>
    <x v="10"/>
    <x v="0"/>
    <x v="1"/>
    <x v="42"/>
    <x v="4"/>
    <x v="3"/>
    <s v=""/>
    <s v="plaque absente"/>
  </r>
  <r>
    <x v="10"/>
    <x v="0"/>
    <x v="1"/>
    <x v="5"/>
    <x v="2"/>
    <x v="0"/>
    <n v="1"/>
    <s v=""/>
  </r>
  <r>
    <x v="10"/>
    <x v="0"/>
    <x v="1"/>
    <x v="43"/>
    <x v="2"/>
    <x v="0"/>
    <n v="1"/>
    <s v=""/>
  </r>
  <r>
    <x v="10"/>
    <x v="0"/>
    <x v="2"/>
    <x v="44"/>
    <x v="1"/>
    <x v="4"/>
    <n v="0"/>
    <m/>
  </r>
  <r>
    <x v="10"/>
    <x v="0"/>
    <x v="2"/>
    <x v="45"/>
    <x v="1"/>
    <x v="4"/>
    <n v="0"/>
    <m/>
  </r>
  <r>
    <x v="10"/>
    <x v="0"/>
    <x v="2"/>
    <x v="46"/>
    <x v="1"/>
    <x v="4"/>
    <n v="0"/>
    <m/>
  </r>
  <r>
    <x v="10"/>
    <x v="0"/>
    <x v="2"/>
    <x v="4"/>
    <x v="4"/>
    <x v="3"/>
    <s v=""/>
    <s v="plaque absente"/>
  </r>
  <r>
    <x v="10"/>
    <x v="0"/>
    <x v="2"/>
    <x v="47"/>
    <x v="1"/>
    <x v="4"/>
    <n v="0"/>
    <m/>
  </r>
  <r>
    <x v="10"/>
    <x v="0"/>
    <x v="2"/>
    <x v="48"/>
    <x v="1"/>
    <x v="4"/>
    <n v="0"/>
    <m/>
  </r>
  <r>
    <x v="10"/>
    <x v="0"/>
    <x v="2"/>
    <x v="49"/>
    <x v="2"/>
    <x v="0"/>
    <n v="1"/>
    <s v=""/>
  </r>
  <r>
    <x v="10"/>
    <x v="0"/>
    <x v="2"/>
    <x v="50"/>
    <x v="1"/>
    <x v="4"/>
    <n v="0"/>
    <m/>
  </r>
  <r>
    <x v="10"/>
    <x v="0"/>
    <x v="2"/>
    <x v="3"/>
    <x v="1"/>
    <x v="4"/>
    <n v="0"/>
    <m/>
  </r>
  <r>
    <x v="10"/>
    <x v="0"/>
    <x v="2"/>
    <x v="51"/>
    <x v="5"/>
    <x v="1"/>
    <n v="1"/>
    <s v=""/>
  </r>
  <r>
    <x v="10"/>
    <x v="0"/>
    <x v="2"/>
    <x v="2"/>
    <x v="1"/>
    <x v="4"/>
    <n v="0"/>
    <m/>
  </r>
  <r>
    <x v="10"/>
    <x v="0"/>
    <x v="2"/>
    <x v="52"/>
    <x v="1"/>
    <x v="4"/>
    <n v="0"/>
    <m/>
  </r>
  <r>
    <x v="10"/>
    <x v="0"/>
    <x v="2"/>
    <x v="53"/>
    <x v="1"/>
    <x v="4"/>
    <n v="0"/>
    <m/>
  </r>
  <r>
    <x v="10"/>
    <x v="0"/>
    <x v="2"/>
    <x v="54"/>
    <x v="1"/>
    <x v="4"/>
    <n v="0"/>
    <m/>
  </r>
  <r>
    <x v="10"/>
    <x v="0"/>
    <x v="2"/>
    <x v="1"/>
    <x v="3"/>
    <x v="1"/>
    <n v="1"/>
    <s v=""/>
  </r>
  <r>
    <x v="10"/>
    <x v="0"/>
    <x v="2"/>
    <x v="55"/>
    <x v="1"/>
    <x v="4"/>
    <n v="0"/>
    <m/>
  </r>
  <r>
    <x v="10"/>
    <x v="0"/>
    <x v="2"/>
    <x v="56"/>
    <x v="1"/>
    <x v="4"/>
    <n v="0"/>
    <m/>
  </r>
  <r>
    <x v="10"/>
    <x v="0"/>
    <x v="2"/>
    <x v="57"/>
    <x v="1"/>
    <x v="4"/>
    <n v="0"/>
    <m/>
  </r>
  <r>
    <x v="10"/>
    <x v="0"/>
    <x v="2"/>
    <x v="58"/>
    <x v="1"/>
    <x v="4"/>
    <n v="0"/>
    <m/>
  </r>
  <r>
    <x v="10"/>
    <x v="0"/>
    <x v="2"/>
    <x v="59"/>
    <x v="4"/>
    <x v="3"/>
    <s v=""/>
    <s v="plaque absente"/>
  </r>
  <r>
    <x v="10"/>
    <x v="1"/>
    <x v="0"/>
    <x v="60"/>
    <x v="1"/>
    <x v="4"/>
    <n v="0"/>
    <m/>
  </r>
  <r>
    <x v="10"/>
    <x v="1"/>
    <x v="0"/>
    <x v="61"/>
    <x v="1"/>
    <x v="4"/>
    <n v="0"/>
    <m/>
  </r>
  <r>
    <x v="10"/>
    <x v="1"/>
    <x v="0"/>
    <x v="62"/>
    <x v="1"/>
    <x v="4"/>
    <n v="0"/>
    <m/>
  </r>
  <r>
    <x v="10"/>
    <x v="1"/>
    <x v="0"/>
    <x v="63"/>
    <x v="1"/>
    <x v="4"/>
    <n v="0"/>
    <m/>
  </r>
  <r>
    <x v="10"/>
    <x v="1"/>
    <x v="0"/>
    <x v="64"/>
    <x v="1"/>
    <x v="4"/>
    <n v="0"/>
    <m/>
  </r>
  <r>
    <x v="10"/>
    <x v="1"/>
    <x v="0"/>
    <x v="65"/>
    <x v="1"/>
    <x v="4"/>
    <n v="0"/>
    <m/>
  </r>
  <r>
    <x v="10"/>
    <x v="1"/>
    <x v="0"/>
    <x v="66"/>
    <x v="2"/>
    <x v="0"/>
    <n v="1"/>
    <s v=""/>
  </r>
  <r>
    <x v="10"/>
    <x v="1"/>
    <x v="0"/>
    <x v="67"/>
    <x v="1"/>
    <x v="4"/>
    <n v="0"/>
    <m/>
  </r>
  <r>
    <x v="10"/>
    <x v="1"/>
    <x v="0"/>
    <x v="68"/>
    <x v="1"/>
    <x v="4"/>
    <n v="0"/>
    <m/>
  </r>
  <r>
    <x v="10"/>
    <x v="1"/>
    <x v="0"/>
    <x v="69"/>
    <x v="2"/>
    <x v="0"/>
    <n v="1"/>
    <s v=""/>
  </r>
  <r>
    <x v="10"/>
    <x v="1"/>
    <x v="0"/>
    <x v="70"/>
    <x v="1"/>
    <x v="4"/>
    <n v="0"/>
    <m/>
  </r>
  <r>
    <x v="10"/>
    <x v="1"/>
    <x v="0"/>
    <x v="71"/>
    <x v="1"/>
    <x v="4"/>
    <n v="0"/>
    <m/>
  </r>
  <r>
    <x v="10"/>
    <x v="1"/>
    <x v="0"/>
    <x v="72"/>
    <x v="1"/>
    <x v="4"/>
    <n v="0"/>
    <m/>
  </r>
  <r>
    <x v="10"/>
    <x v="1"/>
    <x v="0"/>
    <x v="73"/>
    <x v="1"/>
    <x v="4"/>
    <n v="0"/>
    <m/>
  </r>
  <r>
    <x v="10"/>
    <x v="1"/>
    <x v="0"/>
    <x v="74"/>
    <x v="5"/>
    <x v="0"/>
    <n v="1"/>
    <s v=""/>
  </r>
  <r>
    <x v="10"/>
    <x v="1"/>
    <x v="0"/>
    <x v="75"/>
    <x v="3"/>
    <x v="0"/>
    <n v="1"/>
    <s v=""/>
  </r>
  <r>
    <x v="10"/>
    <x v="1"/>
    <x v="0"/>
    <x v="76"/>
    <x v="1"/>
    <x v="4"/>
    <n v="0"/>
    <m/>
  </r>
  <r>
    <x v="10"/>
    <x v="1"/>
    <x v="0"/>
    <x v="77"/>
    <x v="1"/>
    <x v="4"/>
    <n v="0"/>
    <m/>
  </r>
  <r>
    <x v="10"/>
    <x v="1"/>
    <x v="0"/>
    <x v="78"/>
    <x v="1"/>
    <x v="4"/>
    <n v="0"/>
    <m/>
  </r>
  <r>
    <x v="10"/>
    <x v="1"/>
    <x v="0"/>
    <x v="79"/>
    <x v="3"/>
    <x v="0"/>
    <n v="1"/>
    <s v=""/>
  </r>
  <r>
    <x v="10"/>
    <x v="1"/>
    <x v="0"/>
    <x v="79"/>
    <x v="2"/>
    <x v="0"/>
    <n v="2"/>
    <s v=""/>
  </r>
  <r>
    <x v="10"/>
    <x v="1"/>
    <x v="1"/>
    <x v="80"/>
    <x v="5"/>
    <x v="0"/>
    <n v="2"/>
    <s v=""/>
  </r>
  <r>
    <x v="10"/>
    <x v="1"/>
    <x v="1"/>
    <x v="81"/>
    <x v="1"/>
    <x v="4"/>
    <n v="0"/>
    <m/>
  </r>
  <r>
    <x v="10"/>
    <x v="1"/>
    <x v="1"/>
    <x v="82"/>
    <x v="1"/>
    <x v="4"/>
    <n v="0"/>
    <m/>
  </r>
  <r>
    <x v="10"/>
    <x v="1"/>
    <x v="1"/>
    <x v="83"/>
    <x v="1"/>
    <x v="4"/>
    <n v="0"/>
    <m/>
  </r>
  <r>
    <x v="10"/>
    <x v="1"/>
    <x v="1"/>
    <x v="84"/>
    <x v="3"/>
    <x v="0"/>
    <n v="1"/>
    <s v=""/>
  </r>
  <r>
    <x v="10"/>
    <x v="1"/>
    <x v="1"/>
    <x v="84"/>
    <x v="5"/>
    <x v="0"/>
    <n v="5"/>
    <s v=""/>
  </r>
  <r>
    <x v="10"/>
    <x v="1"/>
    <x v="1"/>
    <x v="85"/>
    <x v="1"/>
    <x v="4"/>
    <n v="0"/>
    <m/>
  </r>
  <r>
    <x v="10"/>
    <x v="1"/>
    <x v="1"/>
    <x v="86"/>
    <x v="1"/>
    <x v="4"/>
    <n v="0"/>
    <m/>
  </r>
  <r>
    <x v="10"/>
    <x v="1"/>
    <x v="1"/>
    <x v="87"/>
    <x v="3"/>
    <x v="2"/>
    <n v="1"/>
    <s v=""/>
  </r>
  <r>
    <x v="10"/>
    <x v="1"/>
    <x v="1"/>
    <x v="88"/>
    <x v="1"/>
    <x v="4"/>
    <n v="0"/>
    <m/>
  </r>
  <r>
    <x v="10"/>
    <x v="1"/>
    <x v="1"/>
    <x v="89"/>
    <x v="5"/>
    <x v="1"/>
    <n v="1"/>
    <s v=""/>
  </r>
  <r>
    <x v="10"/>
    <x v="1"/>
    <x v="1"/>
    <x v="89"/>
    <x v="5"/>
    <x v="0"/>
    <n v="3"/>
    <s v=""/>
  </r>
  <r>
    <x v="10"/>
    <x v="1"/>
    <x v="1"/>
    <x v="90"/>
    <x v="5"/>
    <x v="1"/>
    <n v="1"/>
    <s v=""/>
  </r>
  <r>
    <x v="10"/>
    <x v="1"/>
    <x v="1"/>
    <x v="91"/>
    <x v="2"/>
    <x v="0"/>
    <n v="1"/>
    <s v=""/>
  </r>
  <r>
    <x v="10"/>
    <x v="1"/>
    <x v="1"/>
    <x v="91"/>
    <x v="5"/>
    <x v="1"/>
    <n v="1"/>
    <s v=""/>
  </r>
  <r>
    <x v="10"/>
    <x v="1"/>
    <x v="1"/>
    <x v="92"/>
    <x v="1"/>
    <x v="4"/>
    <n v="0"/>
    <m/>
  </r>
  <r>
    <x v="10"/>
    <x v="1"/>
    <x v="1"/>
    <x v="93"/>
    <x v="5"/>
    <x v="0"/>
    <n v="1"/>
    <s v=""/>
  </r>
  <r>
    <x v="10"/>
    <x v="1"/>
    <x v="1"/>
    <x v="94"/>
    <x v="1"/>
    <x v="4"/>
    <n v="0"/>
    <m/>
  </r>
  <r>
    <x v="10"/>
    <x v="1"/>
    <x v="1"/>
    <x v="95"/>
    <x v="1"/>
    <x v="4"/>
    <n v="0"/>
    <m/>
  </r>
  <r>
    <x v="10"/>
    <x v="1"/>
    <x v="1"/>
    <x v="96"/>
    <x v="1"/>
    <x v="4"/>
    <n v="0"/>
    <m/>
  </r>
  <r>
    <x v="10"/>
    <x v="1"/>
    <x v="1"/>
    <x v="97"/>
    <x v="1"/>
    <x v="4"/>
    <n v="0"/>
    <m/>
  </r>
  <r>
    <x v="10"/>
    <x v="1"/>
    <x v="1"/>
    <x v="98"/>
    <x v="5"/>
    <x v="0"/>
    <n v="1"/>
    <s v=""/>
  </r>
  <r>
    <x v="10"/>
    <x v="1"/>
    <x v="1"/>
    <x v="99"/>
    <x v="1"/>
    <x v="4"/>
    <n v="0"/>
    <m/>
  </r>
  <r>
    <x v="10"/>
    <x v="1"/>
    <x v="2"/>
    <x v="100"/>
    <x v="3"/>
    <x v="1"/>
    <n v="1"/>
    <s v=""/>
  </r>
  <r>
    <x v="10"/>
    <x v="1"/>
    <x v="2"/>
    <x v="101"/>
    <x v="1"/>
    <x v="4"/>
    <n v="0"/>
    <m/>
  </r>
  <r>
    <x v="10"/>
    <x v="1"/>
    <x v="2"/>
    <x v="102"/>
    <x v="3"/>
    <x v="1"/>
    <n v="1"/>
    <s v=""/>
  </r>
  <r>
    <x v="10"/>
    <x v="1"/>
    <x v="2"/>
    <x v="103"/>
    <x v="1"/>
    <x v="4"/>
    <n v="0"/>
    <m/>
  </r>
  <r>
    <x v="10"/>
    <x v="1"/>
    <x v="2"/>
    <x v="104"/>
    <x v="1"/>
    <x v="4"/>
    <n v="0"/>
    <m/>
  </r>
  <r>
    <x v="10"/>
    <x v="1"/>
    <x v="2"/>
    <x v="105"/>
    <x v="1"/>
    <x v="4"/>
    <n v="0"/>
    <m/>
  </r>
  <r>
    <x v="10"/>
    <x v="1"/>
    <x v="2"/>
    <x v="106"/>
    <x v="3"/>
    <x v="2"/>
    <n v="1"/>
    <s v=""/>
  </r>
  <r>
    <x v="10"/>
    <x v="1"/>
    <x v="2"/>
    <x v="107"/>
    <x v="1"/>
    <x v="4"/>
    <n v="0"/>
    <m/>
  </r>
  <r>
    <x v="10"/>
    <x v="1"/>
    <x v="2"/>
    <x v="108"/>
    <x v="1"/>
    <x v="4"/>
    <n v="0"/>
    <m/>
  </r>
  <r>
    <x v="10"/>
    <x v="1"/>
    <x v="2"/>
    <x v="109"/>
    <x v="1"/>
    <x v="4"/>
    <n v="0"/>
    <m/>
  </r>
  <r>
    <x v="10"/>
    <x v="1"/>
    <x v="2"/>
    <x v="110"/>
    <x v="5"/>
    <x v="1"/>
    <n v="2"/>
    <s v=""/>
  </r>
  <r>
    <x v="10"/>
    <x v="1"/>
    <x v="2"/>
    <x v="111"/>
    <x v="1"/>
    <x v="4"/>
    <n v="0"/>
    <m/>
  </r>
  <r>
    <x v="10"/>
    <x v="1"/>
    <x v="2"/>
    <x v="112"/>
    <x v="2"/>
    <x v="0"/>
    <n v="1"/>
    <s v=""/>
  </r>
  <r>
    <x v="10"/>
    <x v="1"/>
    <x v="2"/>
    <x v="113"/>
    <x v="1"/>
    <x v="4"/>
    <n v="0"/>
    <m/>
  </r>
  <r>
    <x v="10"/>
    <x v="1"/>
    <x v="2"/>
    <x v="114"/>
    <x v="1"/>
    <x v="4"/>
    <n v="0"/>
    <m/>
  </r>
  <r>
    <x v="10"/>
    <x v="1"/>
    <x v="2"/>
    <x v="115"/>
    <x v="5"/>
    <x v="0"/>
    <n v="1"/>
    <s v=""/>
  </r>
  <r>
    <x v="10"/>
    <x v="1"/>
    <x v="2"/>
    <x v="116"/>
    <x v="1"/>
    <x v="4"/>
    <n v="0"/>
    <m/>
  </r>
  <r>
    <x v="10"/>
    <x v="1"/>
    <x v="2"/>
    <x v="117"/>
    <x v="1"/>
    <x v="4"/>
    <n v="0"/>
    <m/>
  </r>
  <r>
    <x v="10"/>
    <x v="1"/>
    <x v="2"/>
    <x v="118"/>
    <x v="1"/>
    <x v="4"/>
    <n v="0"/>
    <m/>
  </r>
  <r>
    <x v="10"/>
    <x v="1"/>
    <x v="2"/>
    <x v="119"/>
    <x v="1"/>
    <x v="4"/>
    <n v="0"/>
    <m/>
  </r>
  <r>
    <x v="10"/>
    <x v="2"/>
    <x v="0"/>
    <x v="120"/>
    <x v="1"/>
    <x v="4"/>
    <n v="0"/>
    <m/>
  </r>
  <r>
    <x v="10"/>
    <x v="2"/>
    <x v="0"/>
    <x v="121"/>
    <x v="1"/>
    <x v="4"/>
    <n v="0"/>
    <m/>
  </r>
  <r>
    <x v="10"/>
    <x v="2"/>
    <x v="0"/>
    <x v="122"/>
    <x v="4"/>
    <x v="3"/>
    <s v=""/>
    <s v="plaque absente"/>
  </r>
  <r>
    <x v="10"/>
    <x v="2"/>
    <x v="0"/>
    <x v="123"/>
    <x v="1"/>
    <x v="4"/>
    <n v="0"/>
    <m/>
  </r>
  <r>
    <x v="10"/>
    <x v="2"/>
    <x v="0"/>
    <x v="124"/>
    <x v="1"/>
    <x v="4"/>
    <n v="0"/>
    <m/>
  </r>
  <r>
    <x v="10"/>
    <x v="2"/>
    <x v="0"/>
    <x v="125"/>
    <x v="1"/>
    <x v="4"/>
    <n v="0"/>
    <m/>
  </r>
  <r>
    <x v="10"/>
    <x v="2"/>
    <x v="0"/>
    <x v="126"/>
    <x v="4"/>
    <x v="3"/>
    <s v=""/>
    <s v="plaque absente"/>
  </r>
  <r>
    <x v="10"/>
    <x v="2"/>
    <x v="0"/>
    <x v="127"/>
    <x v="1"/>
    <x v="4"/>
    <n v="0"/>
    <m/>
  </r>
  <r>
    <x v="10"/>
    <x v="2"/>
    <x v="0"/>
    <x v="128"/>
    <x v="1"/>
    <x v="4"/>
    <n v="0"/>
    <m/>
  </r>
  <r>
    <x v="10"/>
    <x v="2"/>
    <x v="0"/>
    <x v="129"/>
    <x v="1"/>
    <x v="4"/>
    <n v="0"/>
    <m/>
  </r>
  <r>
    <x v="10"/>
    <x v="2"/>
    <x v="0"/>
    <x v="130"/>
    <x v="4"/>
    <x v="3"/>
    <s v=""/>
    <s v="plaque absente"/>
  </r>
  <r>
    <x v="10"/>
    <x v="2"/>
    <x v="0"/>
    <x v="131"/>
    <x v="1"/>
    <x v="4"/>
    <n v="0"/>
    <m/>
  </r>
  <r>
    <x v="10"/>
    <x v="2"/>
    <x v="0"/>
    <x v="132"/>
    <x v="1"/>
    <x v="4"/>
    <n v="0"/>
    <m/>
  </r>
  <r>
    <x v="10"/>
    <x v="2"/>
    <x v="0"/>
    <x v="133"/>
    <x v="2"/>
    <x v="0"/>
    <n v="1"/>
    <s v=""/>
  </r>
  <r>
    <x v="10"/>
    <x v="2"/>
    <x v="0"/>
    <x v="134"/>
    <x v="1"/>
    <x v="4"/>
    <n v="0"/>
    <m/>
  </r>
  <r>
    <x v="10"/>
    <x v="2"/>
    <x v="0"/>
    <x v="135"/>
    <x v="1"/>
    <x v="4"/>
    <n v="0"/>
    <m/>
  </r>
  <r>
    <x v="10"/>
    <x v="2"/>
    <x v="0"/>
    <x v="136"/>
    <x v="1"/>
    <x v="4"/>
    <n v="0"/>
    <m/>
  </r>
  <r>
    <x v="10"/>
    <x v="2"/>
    <x v="0"/>
    <x v="137"/>
    <x v="1"/>
    <x v="4"/>
    <n v="0"/>
    <m/>
  </r>
  <r>
    <x v="10"/>
    <x v="2"/>
    <x v="0"/>
    <x v="138"/>
    <x v="2"/>
    <x v="0"/>
    <n v="1"/>
    <s v=""/>
  </r>
  <r>
    <x v="10"/>
    <x v="2"/>
    <x v="0"/>
    <x v="139"/>
    <x v="1"/>
    <x v="4"/>
    <n v="0"/>
    <m/>
  </r>
  <r>
    <x v="10"/>
    <x v="2"/>
    <x v="1"/>
    <x v="140"/>
    <x v="1"/>
    <x v="4"/>
    <n v="0"/>
    <m/>
  </r>
  <r>
    <x v="10"/>
    <x v="2"/>
    <x v="1"/>
    <x v="141"/>
    <x v="5"/>
    <x v="1"/>
    <n v="1"/>
    <s v=""/>
  </r>
  <r>
    <x v="10"/>
    <x v="2"/>
    <x v="1"/>
    <x v="142"/>
    <x v="5"/>
    <x v="0"/>
    <n v="2"/>
    <s v=""/>
  </r>
  <r>
    <x v="10"/>
    <x v="2"/>
    <x v="1"/>
    <x v="143"/>
    <x v="1"/>
    <x v="4"/>
    <n v="0"/>
    <m/>
  </r>
  <r>
    <x v="10"/>
    <x v="2"/>
    <x v="1"/>
    <x v="144"/>
    <x v="1"/>
    <x v="4"/>
    <n v="0"/>
    <m/>
  </r>
  <r>
    <x v="10"/>
    <x v="2"/>
    <x v="1"/>
    <x v="145"/>
    <x v="1"/>
    <x v="4"/>
    <n v="0"/>
    <m/>
  </r>
  <r>
    <x v="10"/>
    <x v="2"/>
    <x v="1"/>
    <x v="146"/>
    <x v="1"/>
    <x v="4"/>
    <n v="0"/>
    <m/>
  </r>
  <r>
    <x v="10"/>
    <x v="2"/>
    <x v="1"/>
    <x v="147"/>
    <x v="1"/>
    <x v="4"/>
    <n v="0"/>
    <m/>
  </r>
  <r>
    <x v="10"/>
    <x v="2"/>
    <x v="1"/>
    <x v="148"/>
    <x v="1"/>
    <x v="4"/>
    <n v="0"/>
    <m/>
  </r>
  <r>
    <x v="10"/>
    <x v="2"/>
    <x v="1"/>
    <x v="149"/>
    <x v="1"/>
    <x v="4"/>
    <n v="0"/>
    <m/>
  </r>
  <r>
    <x v="10"/>
    <x v="2"/>
    <x v="1"/>
    <x v="150"/>
    <x v="1"/>
    <x v="4"/>
    <n v="0"/>
    <m/>
  </r>
  <r>
    <x v="10"/>
    <x v="2"/>
    <x v="1"/>
    <x v="151"/>
    <x v="1"/>
    <x v="4"/>
    <n v="0"/>
    <m/>
  </r>
  <r>
    <x v="10"/>
    <x v="2"/>
    <x v="1"/>
    <x v="152"/>
    <x v="1"/>
    <x v="4"/>
    <n v="0"/>
    <m/>
  </r>
  <r>
    <x v="10"/>
    <x v="2"/>
    <x v="1"/>
    <x v="153"/>
    <x v="1"/>
    <x v="4"/>
    <n v="0"/>
    <m/>
  </r>
  <r>
    <x v="10"/>
    <x v="2"/>
    <x v="1"/>
    <x v="154"/>
    <x v="1"/>
    <x v="4"/>
    <n v="0"/>
    <m/>
  </r>
  <r>
    <x v="10"/>
    <x v="2"/>
    <x v="1"/>
    <x v="155"/>
    <x v="3"/>
    <x v="0"/>
    <n v="1"/>
    <s v=""/>
  </r>
  <r>
    <x v="10"/>
    <x v="2"/>
    <x v="1"/>
    <x v="155"/>
    <x v="2"/>
    <x v="0"/>
    <n v="1"/>
    <s v=""/>
  </r>
  <r>
    <x v="10"/>
    <x v="2"/>
    <x v="1"/>
    <x v="156"/>
    <x v="5"/>
    <x v="0"/>
    <n v="1"/>
    <s v=""/>
  </r>
  <r>
    <x v="10"/>
    <x v="2"/>
    <x v="1"/>
    <x v="157"/>
    <x v="1"/>
    <x v="4"/>
    <n v="0"/>
    <m/>
  </r>
  <r>
    <x v="10"/>
    <x v="2"/>
    <x v="1"/>
    <x v="158"/>
    <x v="3"/>
    <x v="0"/>
    <n v="1"/>
    <s v=""/>
  </r>
  <r>
    <x v="10"/>
    <x v="2"/>
    <x v="1"/>
    <x v="159"/>
    <x v="5"/>
    <x v="0"/>
    <n v="1"/>
    <s v=""/>
  </r>
  <r>
    <x v="10"/>
    <x v="2"/>
    <x v="2"/>
    <x v="160"/>
    <x v="1"/>
    <x v="4"/>
    <n v="0"/>
    <m/>
  </r>
  <r>
    <x v="10"/>
    <x v="2"/>
    <x v="2"/>
    <x v="161"/>
    <x v="1"/>
    <x v="4"/>
    <n v="0"/>
    <m/>
  </r>
  <r>
    <x v="10"/>
    <x v="2"/>
    <x v="2"/>
    <x v="162"/>
    <x v="1"/>
    <x v="4"/>
    <n v="0"/>
    <m/>
  </r>
  <r>
    <x v="10"/>
    <x v="2"/>
    <x v="2"/>
    <x v="163"/>
    <x v="1"/>
    <x v="4"/>
    <n v="0"/>
    <m/>
  </r>
  <r>
    <x v="10"/>
    <x v="2"/>
    <x v="2"/>
    <x v="164"/>
    <x v="1"/>
    <x v="4"/>
    <n v="0"/>
    <m/>
  </r>
  <r>
    <x v="10"/>
    <x v="2"/>
    <x v="2"/>
    <x v="165"/>
    <x v="1"/>
    <x v="4"/>
    <n v="0"/>
    <m/>
  </r>
  <r>
    <x v="10"/>
    <x v="2"/>
    <x v="2"/>
    <x v="166"/>
    <x v="1"/>
    <x v="4"/>
    <n v="0"/>
    <m/>
  </r>
  <r>
    <x v="10"/>
    <x v="2"/>
    <x v="2"/>
    <x v="167"/>
    <x v="1"/>
    <x v="4"/>
    <n v="0"/>
    <m/>
  </r>
  <r>
    <x v="10"/>
    <x v="2"/>
    <x v="2"/>
    <x v="168"/>
    <x v="1"/>
    <x v="4"/>
    <n v="0"/>
    <m/>
  </r>
  <r>
    <x v="10"/>
    <x v="2"/>
    <x v="2"/>
    <x v="169"/>
    <x v="2"/>
    <x v="0"/>
    <n v="1"/>
    <s v=""/>
  </r>
  <r>
    <x v="10"/>
    <x v="2"/>
    <x v="2"/>
    <x v="170"/>
    <x v="1"/>
    <x v="4"/>
    <n v="0"/>
    <m/>
  </r>
  <r>
    <x v="10"/>
    <x v="2"/>
    <x v="2"/>
    <x v="171"/>
    <x v="1"/>
    <x v="4"/>
    <n v="0"/>
    <m/>
  </r>
  <r>
    <x v="10"/>
    <x v="2"/>
    <x v="2"/>
    <x v="172"/>
    <x v="1"/>
    <x v="4"/>
    <n v="0"/>
    <m/>
  </r>
  <r>
    <x v="10"/>
    <x v="2"/>
    <x v="2"/>
    <x v="173"/>
    <x v="1"/>
    <x v="4"/>
    <n v="0"/>
    <m/>
  </r>
  <r>
    <x v="10"/>
    <x v="2"/>
    <x v="2"/>
    <x v="174"/>
    <x v="3"/>
    <x v="0"/>
    <n v="1"/>
    <s v=""/>
  </r>
  <r>
    <x v="10"/>
    <x v="2"/>
    <x v="2"/>
    <x v="175"/>
    <x v="1"/>
    <x v="4"/>
    <n v="0"/>
    <m/>
  </r>
  <r>
    <x v="10"/>
    <x v="2"/>
    <x v="2"/>
    <x v="176"/>
    <x v="1"/>
    <x v="4"/>
    <n v="0"/>
    <m/>
  </r>
  <r>
    <x v="10"/>
    <x v="2"/>
    <x v="2"/>
    <x v="177"/>
    <x v="1"/>
    <x v="4"/>
    <n v="0"/>
    <m/>
  </r>
  <r>
    <x v="10"/>
    <x v="2"/>
    <x v="2"/>
    <x v="178"/>
    <x v="1"/>
    <x v="4"/>
    <n v="0"/>
    <m/>
  </r>
  <r>
    <x v="10"/>
    <x v="2"/>
    <x v="2"/>
    <x v="179"/>
    <x v="1"/>
    <x v="4"/>
    <n v="0"/>
    <m/>
  </r>
  <r>
    <x v="11"/>
    <x v="0"/>
    <x v="0"/>
    <x v="0"/>
    <x v="2"/>
    <x v="0"/>
    <n v="1"/>
    <s v=""/>
  </r>
  <r>
    <x v="11"/>
    <x v="0"/>
    <x v="0"/>
    <x v="16"/>
    <x v="3"/>
    <x v="0"/>
    <n v="1"/>
    <s v=""/>
  </r>
  <r>
    <x v="11"/>
    <x v="0"/>
    <x v="0"/>
    <x v="15"/>
    <x v="2"/>
    <x v="0"/>
    <n v="1"/>
    <s v=""/>
  </r>
  <r>
    <x v="11"/>
    <x v="0"/>
    <x v="0"/>
    <x v="17"/>
    <x v="2"/>
    <x v="0"/>
    <n v="4"/>
    <s v=""/>
  </r>
  <r>
    <x v="11"/>
    <x v="0"/>
    <x v="0"/>
    <x v="14"/>
    <x v="1"/>
    <x v="4"/>
    <n v="0"/>
    <m/>
  </r>
  <r>
    <x v="11"/>
    <x v="0"/>
    <x v="0"/>
    <x v="18"/>
    <x v="2"/>
    <x v="0"/>
    <n v="2"/>
    <s v=""/>
  </r>
  <r>
    <x v="11"/>
    <x v="0"/>
    <x v="0"/>
    <x v="13"/>
    <x v="2"/>
    <x v="1"/>
    <n v="5"/>
    <s v=""/>
  </r>
  <r>
    <x v="11"/>
    <x v="0"/>
    <x v="0"/>
    <x v="13"/>
    <x v="2"/>
    <x v="2"/>
    <n v="2"/>
    <s v=""/>
  </r>
  <r>
    <x v="11"/>
    <x v="0"/>
    <x v="0"/>
    <x v="19"/>
    <x v="2"/>
    <x v="1"/>
    <n v="1"/>
    <s v=""/>
  </r>
  <r>
    <x v="11"/>
    <x v="0"/>
    <x v="0"/>
    <x v="20"/>
    <x v="2"/>
    <x v="0"/>
    <n v="1"/>
    <s v=""/>
  </r>
  <r>
    <x v="11"/>
    <x v="0"/>
    <x v="0"/>
    <x v="12"/>
    <x v="1"/>
    <x v="4"/>
    <n v="0"/>
    <m/>
  </r>
  <r>
    <x v="11"/>
    <x v="0"/>
    <x v="0"/>
    <x v="21"/>
    <x v="2"/>
    <x v="1"/>
    <n v="1"/>
    <s v=""/>
  </r>
  <r>
    <x v="11"/>
    <x v="0"/>
    <x v="0"/>
    <x v="21"/>
    <x v="2"/>
    <x v="0"/>
    <n v="1"/>
    <s v=""/>
  </r>
  <r>
    <x v="11"/>
    <x v="0"/>
    <x v="0"/>
    <x v="22"/>
    <x v="2"/>
    <x v="0"/>
    <n v="1"/>
    <s v=""/>
  </r>
  <r>
    <x v="11"/>
    <x v="0"/>
    <x v="0"/>
    <x v="23"/>
    <x v="1"/>
    <x v="4"/>
    <n v="0"/>
    <m/>
  </r>
  <r>
    <x v="11"/>
    <x v="0"/>
    <x v="0"/>
    <x v="24"/>
    <x v="2"/>
    <x v="0"/>
    <n v="2"/>
    <s v=""/>
  </r>
  <r>
    <x v="11"/>
    <x v="0"/>
    <x v="0"/>
    <x v="25"/>
    <x v="2"/>
    <x v="0"/>
    <n v="1"/>
    <s v=""/>
  </r>
  <r>
    <x v="11"/>
    <x v="0"/>
    <x v="0"/>
    <x v="25"/>
    <x v="2"/>
    <x v="2"/>
    <n v="1"/>
    <s v=""/>
  </r>
  <r>
    <x v="11"/>
    <x v="0"/>
    <x v="0"/>
    <x v="26"/>
    <x v="1"/>
    <x v="4"/>
    <n v="0"/>
    <m/>
  </r>
  <r>
    <x v="11"/>
    <x v="0"/>
    <x v="0"/>
    <x v="27"/>
    <x v="2"/>
    <x v="1"/>
    <n v="1"/>
    <s v=""/>
  </r>
  <r>
    <x v="11"/>
    <x v="0"/>
    <x v="0"/>
    <x v="27"/>
    <x v="5"/>
    <x v="1"/>
    <n v="1"/>
    <s v=""/>
  </r>
  <r>
    <x v="11"/>
    <x v="0"/>
    <x v="0"/>
    <x v="28"/>
    <x v="2"/>
    <x v="0"/>
    <n v="2"/>
    <s v=""/>
  </r>
  <r>
    <x v="11"/>
    <x v="0"/>
    <x v="0"/>
    <x v="28"/>
    <x v="5"/>
    <x v="0"/>
    <n v="1"/>
    <s v=""/>
  </r>
  <r>
    <x v="11"/>
    <x v="0"/>
    <x v="0"/>
    <x v="11"/>
    <x v="1"/>
    <x v="4"/>
    <n v="0"/>
    <m/>
  </r>
  <r>
    <x v="11"/>
    <x v="0"/>
    <x v="0"/>
    <x v="29"/>
    <x v="2"/>
    <x v="0"/>
    <n v="3"/>
    <s v=""/>
  </r>
  <r>
    <x v="11"/>
    <x v="0"/>
    <x v="0"/>
    <x v="29"/>
    <x v="5"/>
    <x v="0"/>
    <n v="2"/>
    <s v=""/>
  </r>
  <r>
    <x v="11"/>
    <x v="0"/>
    <x v="1"/>
    <x v="30"/>
    <x v="2"/>
    <x v="1"/>
    <n v="2"/>
    <s v=""/>
  </r>
  <r>
    <x v="11"/>
    <x v="0"/>
    <x v="1"/>
    <x v="31"/>
    <x v="2"/>
    <x v="2"/>
    <n v="1"/>
    <s v=""/>
  </r>
  <r>
    <x v="11"/>
    <x v="0"/>
    <x v="1"/>
    <x v="32"/>
    <x v="4"/>
    <x v="3"/>
    <s v=""/>
    <s v="plaque absente"/>
  </r>
  <r>
    <x v="11"/>
    <x v="0"/>
    <x v="1"/>
    <x v="33"/>
    <x v="2"/>
    <x v="0"/>
    <n v="2"/>
    <s v=""/>
  </r>
  <r>
    <x v="11"/>
    <x v="0"/>
    <x v="1"/>
    <x v="10"/>
    <x v="1"/>
    <x v="4"/>
    <n v="0"/>
    <m/>
  </r>
  <r>
    <x v="11"/>
    <x v="0"/>
    <x v="1"/>
    <x v="34"/>
    <x v="2"/>
    <x v="0"/>
    <n v="4"/>
    <s v=""/>
  </r>
  <r>
    <x v="11"/>
    <x v="0"/>
    <x v="1"/>
    <x v="35"/>
    <x v="2"/>
    <x v="0"/>
    <n v="1"/>
    <s v=""/>
  </r>
  <r>
    <x v="11"/>
    <x v="0"/>
    <x v="1"/>
    <x v="35"/>
    <x v="2"/>
    <x v="2"/>
    <n v="1"/>
    <s v=""/>
  </r>
  <r>
    <x v="11"/>
    <x v="0"/>
    <x v="1"/>
    <x v="36"/>
    <x v="1"/>
    <x v="4"/>
    <n v="0"/>
    <m/>
  </r>
  <r>
    <x v="11"/>
    <x v="0"/>
    <x v="1"/>
    <x v="37"/>
    <x v="2"/>
    <x v="0"/>
    <n v="1"/>
    <s v=""/>
  </r>
  <r>
    <x v="11"/>
    <x v="0"/>
    <x v="1"/>
    <x v="37"/>
    <x v="5"/>
    <x v="1"/>
    <n v="1"/>
    <s v=""/>
  </r>
  <r>
    <x v="11"/>
    <x v="0"/>
    <x v="1"/>
    <x v="9"/>
    <x v="4"/>
    <x v="3"/>
    <s v=""/>
    <s v="plaque absente"/>
  </r>
  <r>
    <x v="11"/>
    <x v="0"/>
    <x v="1"/>
    <x v="38"/>
    <x v="1"/>
    <x v="4"/>
    <n v="0"/>
    <m/>
  </r>
  <r>
    <x v="11"/>
    <x v="0"/>
    <x v="1"/>
    <x v="8"/>
    <x v="2"/>
    <x v="1"/>
    <n v="1"/>
    <s v=""/>
  </r>
  <r>
    <x v="11"/>
    <x v="0"/>
    <x v="1"/>
    <x v="39"/>
    <x v="1"/>
    <x v="4"/>
    <n v="0"/>
    <m/>
  </r>
  <r>
    <x v="11"/>
    <x v="0"/>
    <x v="1"/>
    <x v="7"/>
    <x v="2"/>
    <x v="1"/>
    <n v="1"/>
    <s v=""/>
  </r>
  <r>
    <x v="11"/>
    <x v="0"/>
    <x v="1"/>
    <x v="6"/>
    <x v="2"/>
    <x v="0"/>
    <n v="2"/>
    <s v=""/>
  </r>
  <r>
    <x v="11"/>
    <x v="0"/>
    <x v="1"/>
    <x v="40"/>
    <x v="2"/>
    <x v="1"/>
    <n v="4"/>
    <s v=""/>
  </r>
  <r>
    <x v="11"/>
    <x v="0"/>
    <x v="1"/>
    <x v="40"/>
    <x v="2"/>
    <x v="0"/>
    <n v="1"/>
    <s v=""/>
  </r>
  <r>
    <x v="11"/>
    <x v="0"/>
    <x v="1"/>
    <x v="41"/>
    <x v="2"/>
    <x v="0"/>
    <n v="1"/>
    <s v=""/>
  </r>
  <r>
    <x v="11"/>
    <x v="0"/>
    <x v="1"/>
    <x v="42"/>
    <x v="2"/>
    <x v="0"/>
    <n v="2"/>
    <s v=""/>
  </r>
  <r>
    <x v="11"/>
    <x v="0"/>
    <x v="1"/>
    <x v="5"/>
    <x v="2"/>
    <x v="1"/>
    <n v="1"/>
    <s v=""/>
  </r>
  <r>
    <x v="11"/>
    <x v="0"/>
    <x v="1"/>
    <x v="5"/>
    <x v="2"/>
    <x v="0"/>
    <n v="2"/>
    <s v=""/>
  </r>
  <r>
    <x v="11"/>
    <x v="0"/>
    <x v="1"/>
    <x v="5"/>
    <x v="5"/>
    <x v="0"/>
    <n v="1"/>
    <s v=""/>
  </r>
  <r>
    <x v="11"/>
    <x v="0"/>
    <x v="1"/>
    <x v="43"/>
    <x v="1"/>
    <x v="4"/>
    <n v="0"/>
    <m/>
  </r>
  <r>
    <x v="11"/>
    <x v="0"/>
    <x v="2"/>
    <x v="44"/>
    <x v="2"/>
    <x v="0"/>
    <n v="1"/>
    <s v=""/>
  </r>
  <r>
    <x v="11"/>
    <x v="0"/>
    <x v="2"/>
    <x v="45"/>
    <x v="2"/>
    <x v="1"/>
    <n v="1"/>
    <s v=""/>
  </r>
  <r>
    <x v="11"/>
    <x v="0"/>
    <x v="2"/>
    <x v="45"/>
    <x v="5"/>
    <x v="1"/>
    <n v="1"/>
    <s v=""/>
  </r>
  <r>
    <x v="11"/>
    <x v="0"/>
    <x v="2"/>
    <x v="46"/>
    <x v="2"/>
    <x v="2"/>
    <n v="1"/>
    <s v=""/>
  </r>
  <r>
    <x v="11"/>
    <x v="0"/>
    <x v="2"/>
    <x v="4"/>
    <x v="2"/>
    <x v="1"/>
    <n v="1"/>
    <s v=""/>
  </r>
  <r>
    <x v="11"/>
    <x v="0"/>
    <x v="2"/>
    <x v="4"/>
    <x v="5"/>
    <x v="0"/>
    <n v="1"/>
    <s v=""/>
  </r>
  <r>
    <x v="11"/>
    <x v="0"/>
    <x v="2"/>
    <x v="47"/>
    <x v="2"/>
    <x v="1"/>
    <n v="2"/>
    <s v=""/>
  </r>
  <r>
    <x v="11"/>
    <x v="0"/>
    <x v="2"/>
    <x v="47"/>
    <x v="2"/>
    <x v="0"/>
    <n v="1"/>
    <s v=""/>
  </r>
  <r>
    <x v="11"/>
    <x v="0"/>
    <x v="2"/>
    <x v="48"/>
    <x v="2"/>
    <x v="0"/>
    <n v="1"/>
    <s v=""/>
  </r>
  <r>
    <x v="11"/>
    <x v="0"/>
    <x v="2"/>
    <x v="48"/>
    <x v="2"/>
    <x v="2"/>
    <n v="1"/>
    <s v=""/>
  </r>
  <r>
    <x v="11"/>
    <x v="0"/>
    <x v="2"/>
    <x v="48"/>
    <x v="5"/>
    <x v="1"/>
    <n v="1"/>
    <s v=""/>
  </r>
  <r>
    <x v="11"/>
    <x v="0"/>
    <x v="2"/>
    <x v="49"/>
    <x v="2"/>
    <x v="1"/>
    <n v="1"/>
    <s v=""/>
  </r>
  <r>
    <x v="11"/>
    <x v="0"/>
    <x v="2"/>
    <x v="50"/>
    <x v="2"/>
    <x v="0"/>
    <n v="1"/>
    <s v=""/>
  </r>
  <r>
    <x v="11"/>
    <x v="0"/>
    <x v="2"/>
    <x v="3"/>
    <x v="1"/>
    <x v="4"/>
    <n v="0"/>
    <m/>
  </r>
  <r>
    <x v="11"/>
    <x v="0"/>
    <x v="2"/>
    <x v="51"/>
    <x v="2"/>
    <x v="1"/>
    <n v="1"/>
    <s v=""/>
  </r>
  <r>
    <x v="11"/>
    <x v="0"/>
    <x v="2"/>
    <x v="51"/>
    <x v="5"/>
    <x v="2"/>
    <n v="1"/>
    <s v=""/>
  </r>
  <r>
    <x v="11"/>
    <x v="0"/>
    <x v="2"/>
    <x v="2"/>
    <x v="5"/>
    <x v="2"/>
    <n v="1"/>
    <s v=""/>
  </r>
  <r>
    <x v="11"/>
    <x v="0"/>
    <x v="2"/>
    <x v="52"/>
    <x v="2"/>
    <x v="1"/>
    <n v="1"/>
    <s v=""/>
  </r>
  <r>
    <x v="11"/>
    <x v="0"/>
    <x v="2"/>
    <x v="53"/>
    <x v="1"/>
    <x v="4"/>
    <n v="0"/>
    <m/>
  </r>
  <r>
    <x v="11"/>
    <x v="0"/>
    <x v="2"/>
    <x v="54"/>
    <x v="1"/>
    <x v="4"/>
    <n v="0"/>
    <m/>
  </r>
  <r>
    <x v="11"/>
    <x v="0"/>
    <x v="2"/>
    <x v="1"/>
    <x v="2"/>
    <x v="2"/>
    <n v="1"/>
    <s v=""/>
  </r>
  <r>
    <x v="11"/>
    <x v="0"/>
    <x v="2"/>
    <x v="55"/>
    <x v="1"/>
    <x v="4"/>
    <n v="0"/>
    <m/>
  </r>
  <r>
    <x v="11"/>
    <x v="0"/>
    <x v="2"/>
    <x v="56"/>
    <x v="1"/>
    <x v="4"/>
    <n v="0"/>
    <m/>
  </r>
  <r>
    <x v="11"/>
    <x v="0"/>
    <x v="2"/>
    <x v="57"/>
    <x v="1"/>
    <x v="4"/>
    <n v="0"/>
    <m/>
  </r>
  <r>
    <x v="11"/>
    <x v="0"/>
    <x v="2"/>
    <x v="58"/>
    <x v="1"/>
    <x v="4"/>
    <n v="0"/>
    <m/>
  </r>
  <r>
    <x v="11"/>
    <x v="0"/>
    <x v="2"/>
    <x v="59"/>
    <x v="1"/>
    <x v="4"/>
    <n v="0"/>
    <m/>
  </r>
  <r>
    <x v="11"/>
    <x v="1"/>
    <x v="0"/>
    <x v="60"/>
    <x v="2"/>
    <x v="0"/>
    <n v="4"/>
    <s v=""/>
  </r>
  <r>
    <x v="11"/>
    <x v="1"/>
    <x v="0"/>
    <x v="61"/>
    <x v="2"/>
    <x v="2"/>
    <n v="1"/>
    <s v=""/>
  </r>
  <r>
    <x v="11"/>
    <x v="1"/>
    <x v="0"/>
    <x v="62"/>
    <x v="0"/>
    <x v="0"/>
    <n v="1"/>
    <s v=""/>
  </r>
  <r>
    <x v="11"/>
    <x v="1"/>
    <x v="0"/>
    <x v="62"/>
    <x v="2"/>
    <x v="1"/>
    <n v="2"/>
    <s v=""/>
  </r>
  <r>
    <x v="11"/>
    <x v="1"/>
    <x v="0"/>
    <x v="62"/>
    <x v="2"/>
    <x v="0"/>
    <n v="1"/>
    <s v=""/>
  </r>
  <r>
    <x v="11"/>
    <x v="1"/>
    <x v="0"/>
    <x v="62"/>
    <x v="2"/>
    <x v="2"/>
    <n v="1"/>
    <s v=""/>
  </r>
  <r>
    <x v="11"/>
    <x v="1"/>
    <x v="0"/>
    <x v="62"/>
    <x v="5"/>
    <x v="0"/>
    <n v="2"/>
    <s v=""/>
  </r>
  <r>
    <x v="11"/>
    <x v="1"/>
    <x v="0"/>
    <x v="63"/>
    <x v="2"/>
    <x v="1"/>
    <n v="2"/>
    <s v=""/>
  </r>
  <r>
    <x v="11"/>
    <x v="1"/>
    <x v="0"/>
    <x v="64"/>
    <x v="2"/>
    <x v="0"/>
    <n v="2"/>
    <s v=""/>
  </r>
  <r>
    <x v="11"/>
    <x v="1"/>
    <x v="0"/>
    <x v="65"/>
    <x v="2"/>
    <x v="1"/>
    <n v="2"/>
    <s v=""/>
  </r>
  <r>
    <x v="11"/>
    <x v="1"/>
    <x v="0"/>
    <x v="65"/>
    <x v="2"/>
    <x v="0"/>
    <n v="1"/>
    <s v=""/>
  </r>
  <r>
    <x v="11"/>
    <x v="1"/>
    <x v="0"/>
    <x v="66"/>
    <x v="1"/>
    <x v="4"/>
    <n v="0"/>
    <m/>
  </r>
  <r>
    <x v="11"/>
    <x v="1"/>
    <x v="0"/>
    <x v="67"/>
    <x v="1"/>
    <x v="4"/>
    <n v="0"/>
    <m/>
  </r>
  <r>
    <x v="11"/>
    <x v="1"/>
    <x v="0"/>
    <x v="68"/>
    <x v="2"/>
    <x v="0"/>
    <n v="1"/>
    <s v=""/>
  </r>
  <r>
    <x v="11"/>
    <x v="1"/>
    <x v="0"/>
    <x v="69"/>
    <x v="1"/>
    <x v="4"/>
    <n v="0"/>
    <m/>
  </r>
  <r>
    <x v="11"/>
    <x v="1"/>
    <x v="0"/>
    <x v="70"/>
    <x v="2"/>
    <x v="0"/>
    <n v="3"/>
    <s v=""/>
  </r>
  <r>
    <x v="11"/>
    <x v="1"/>
    <x v="0"/>
    <x v="71"/>
    <x v="2"/>
    <x v="2"/>
    <n v="1"/>
    <s v=""/>
  </r>
  <r>
    <x v="11"/>
    <x v="1"/>
    <x v="0"/>
    <x v="72"/>
    <x v="2"/>
    <x v="0"/>
    <n v="1"/>
    <s v=""/>
  </r>
  <r>
    <x v="11"/>
    <x v="1"/>
    <x v="0"/>
    <x v="73"/>
    <x v="2"/>
    <x v="1"/>
    <n v="1"/>
    <s v=""/>
  </r>
  <r>
    <x v="11"/>
    <x v="1"/>
    <x v="0"/>
    <x v="73"/>
    <x v="2"/>
    <x v="0"/>
    <n v="1"/>
    <s v=""/>
  </r>
  <r>
    <x v="11"/>
    <x v="1"/>
    <x v="0"/>
    <x v="74"/>
    <x v="1"/>
    <x v="4"/>
    <n v="0"/>
    <m/>
  </r>
  <r>
    <x v="11"/>
    <x v="1"/>
    <x v="0"/>
    <x v="75"/>
    <x v="2"/>
    <x v="1"/>
    <n v="1"/>
    <s v=""/>
  </r>
  <r>
    <x v="11"/>
    <x v="1"/>
    <x v="0"/>
    <x v="75"/>
    <x v="2"/>
    <x v="0"/>
    <n v="2"/>
    <s v=""/>
  </r>
  <r>
    <x v="11"/>
    <x v="1"/>
    <x v="0"/>
    <x v="76"/>
    <x v="1"/>
    <x v="1"/>
    <n v="1"/>
    <s v=""/>
  </r>
  <r>
    <x v="11"/>
    <x v="1"/>
    <x v="0"/>
    <x v="76"/>
    <x v="2"/>
    <x v="0"/>
    <n v="1"/>
    <s v=""/>
  </r>
  <r>
    <x v="11"/>
    <x v="1"/>
    <x v="0"/>
    <x v="76"/>
    <x v="5"/>
    <x v="0"/>
    <n v="1"/>
    <s v=""/>
  </r>
  <r>
    <x v="11"/>
    <x v="1"/>
    <x v="0"/>
    <x v="77"/>
    <x v="1"/>
    <x v="4"/>
    <n v="0"/>
    <m/>
  </r>
  <r>
    <x v="11"/>
    <x v="1"/>
    <x v="0"/>
    <x v="78"/>
    <x v="2"/>
    <x v="0"/>
    <n v="1"/>
    <s v=""/>
  </r>
  <r>
    <x v="11"/>
    <x v="1"/>
    <x v="0"/>
    <x v="79"/>
    <x v="2"/>
    <x v="1"/>
    <n v="2"/>
    <s v=""/>
  </r>
  <r>
    <x v="11"/>
    <x v="1"/>
    <x v="0"/>
    <x v="79"/>
    <x v="2"/>
    <x v="0"/>
    <n v="7"/>
    <s v=""/>
  </r>
  <r>
    <x v="11"/>
    <x v="1"/>
    <x v="1"/>
    <x v="80"/>
    <x v="2"/>
    <x v="1"/>
    <n v="5"/>
    <s v=""/>
  </r>
  <r>
    <x v="11"/>
    <x v="1"/>
    <x v="1"/>
    <x v="80"/>
    <x v="5"/>
    <x v="1"/>
    <n v="1"/>
    <s v=""/>
  </r>
  <r>
    <x v="11"/>
    <x v="1"/>
    <x v="1"/>
    <x v="81"/>
    <x v="2"/>
    <x v="1"/>
    <n v="1"/>
    <s v=""/>
  </r>
  <r>
    <x v="11"/>
    <x v="1"/>
    <x v="1"/>
    <x v="81"/>
    <x v="2"/>
    <x v="2"/>
    <n v="2"/>
    <s v=""/>
  </r>
  <r>
    <x v="11"/>
    <x v="1"/>
    <x v="1"/>
    <x v="82"/>
    <x v="0"/>
    <x v="1"/>
    <n v="1"/>
    <s v=""/>
  </r>
  <r>
    <x v="11"/>
    <x v="1"/>
    <x v="1"/>
    <x v="82"/>
    <x v="5"/>
    <x v="0"/>
    <n v="1"/>
    <s v=""/>
  </r>
  <r>
    <x v="11"/>
    <x v="1"/>
    <x v="1"/>
    <x v="83"/>
    <x v="1"/>
    <x v="4"/>
    <n v="0"/>
    <m/>
  </r>
  <r>
    <x v="11"/>
    <x v="1"/>
    <x v="1"/>
    <x v="84"/>
    <x v="2"/>
    <x v="0"/>
    <n v="4"/>
    <s v=""/>
  </r>
  <r>
    <x v="11"/>
    <x v="1"/>
    <x v="1"/>
    <x v="85"/>
    <x v="0"/>
    <x v="2"/>
    <n v="1"/>
    <s v=""/>
  </r>
  <r>
    <x v="11"/>
    <x v="1"/>
    <x v="1"/>
    <x v="85"/>
    <x v="2"/>
    <x v="1"/>
    <n v="2"/>
    <s v=""/>
  </r>
  <r>
    <x v="11"/>
    <x v="1"/>
    <x v="1"/>
    <x v="85"/>
    <x v="2"/>
    <x v="0"/>
    <n v="1"/>
    <s v=""/>
  </r>
  <r>
    <x v="11"/>
    <x v="1"/>
    <x v="1"/>
    <x v="85"/>
    <x v="5"/>
    <x v="0"/>
    <n v="1"/>
    <s v=""/>
  </r>
  <r>
    <x v="11"/>
    <x v="1"/>
    <x v="1"/>
    <x v="86"/>
    <x v="5"/>
    <x v="0"/>
    <n v="1"/>
    <s v=""/>
  </r>
  <r>
    <x v="11"/>
    <x v="1"/>
    <x v="1"/>
    <x v="86"/>
    <x v="5"/>
    <x v="2"/>
    <n v="1"/>
    <s v=""/>
  </r>
  <r>
    <x v="11"/>
    <x v="1"/>
    <x v="1"/>
    <x v="87"/>
    <x v="2"/>
    <x v="0"/>
    <n v="1"/>
    <s v=""/>
  </r>
  <r>
    <x v="11"/>
    <x v="1"/>
    <x v="1"/>
    <x v="87"/>
    <x v="5"/>
    <x v="0"/>
    <n v="1"/>
    <s v=""/>
  </r>
  <r>
    <x v="11"/>
    <x v="1"/>
    <x v="1"/>
    <x v="88"/>
    <x v="2"/>
    <x v="1"/>
    <n v="2"/>
    <s v=""/>
  </r>
  <r>
    <x v="11"/>
    <x v="1"/>
    <x v="1"/>
    <x v="88"/>
    <x v="5"/>
    <x v="0"/>
    <n v="1"/>
    <s v=""/>
  </r>
  <r>
    <x v="11"/>
    <x v="1"/>
    <x v="1"/>
    <x v="89"/>
    <x v="5"/>
    <x v="0"/>
    <n v="3"/>
    <s v=""/>
  </r>
  <r>
    <x v="11"/>
    <x v="1"/>
    <x v="1"/>
    <x v="90"/>
    <x v="1"/>
    <x v="4"/>
    <n v="0"/>
    <m/>
  </r>
  <r>
    <x v="11"/>
    <x v="1"/>
    <x v="1"/>
    <x v="91"/>
    <x v="2"/>
    <x v="2"/>
    <n v="1"/>
    <s v=""/>
  </r>
  <r>
    <x v="11"/>
    <x v="1"/>
    <x v="1"/>
    <x v="92"/>
    <x v="2"/>
    <x v="2"/>
    <n v="1"/>
    <s v=""/>
  </r>
  <r>
    <x v="11"/>
    <x v="1"/>
    <x v="1"/>
    <x v="92"/>
    <x v="5"/>
    <x v="2"/>
    <n v="2"/>
    <s v=""/>
  </r>
  <r>
    <x v="11"/>
    <x v="1"/>
    <x v="1"/>
    <x v="93"/>
    <x v="2"/>
    <x v="0"/>
    <n v="1"/>
    <s v=""/>
  </r>
  <r>
    <x v="11"/>
    <x v="1"/>
    <x v="1"/>
    <x v="94"/>
    <x v="1"/>
    <x v="4"/>
    <n v="0"/>
    <m/>
  </r>
  <r>
    <x v="11"/>
    <x v="1"/>
    <x v="1"/>
    <x v="95"/>
    <x v="1"/>
    <x v="4"/>
    <n v="0"/>
    <m/>
  </r>
  <r>
    <x v="11"/>
    <x v="1"/>
    <x v="1"/>
    <x v="96"/>
    <x v="2"/>
    <x v="1"/>
    <n v="1"/>
    <s v=""/>
  </r>
  <r>
    <x v="11"/>
    <x v="1"/>
    <x v="1"/>
    <x v="97"/>
    <x v="1"/>
    <x v="4"/>
    <n v="0"/>
    <m/>
  </r>
  <r>
    <x v="11"/>
    <x v="1"/>
    <x v="1"/>
    <x v="98"/>
    <x v="2"/>
    <x v="2"/>
    <n v="1"/>
    <s v=""/>
  </r>
  <r>
    <x v="11"/>
    <x v="1"/>
    <x v="1"/>
    <x v="99"/>
    <x v="2"/>
    <x v="0"/>
    <n v="1"/>
    <s v=""/>
  </r>
  <r>
    <x v="11"/>
    <x v="1"/>
    <x v="2"/>
    <x v="100"/>
    <x v="2"/>
    <x v="1"/>
    <n v="1"/>
    <s v=""/>
  </r>
  <r>
    <x v="11"/>
    <x v="1"/>
    <x v="2"/>
    <x v="101"/>
    <x v="1"/>
    <x v="4"/>
    <n v="0"/>
    <m/>
  </r>
  <r>
    <x v="11"/>
    <x v="1"/>
    <x v="2"/>
    <x v="102"/>
    <x v="1"/>
    <x v="4"/>
    <n v="0"/>
    <m/>
  </r>
  <r>
    <x v="11"/>
    <x v="1"/>
    <x v="2"/>
    <x v="103"/>
    <x v="2"/>
    <x v="0"/>
    <n v="1"/>
    <s v=""/>
  </r>
  <r>
    <x v="11"/>
    <x v="1"/>
    <x v="2"/>
    <x v="104"/>
    <x v="3"/>
    <x v="0"/>
    <n v="1"/>
    <s v=""/>
  </r>
  <r>
    <x v="11"/>
    <x v="1"/>
    <x v="2"/>
    <x v="105"/>
    <x v="1"/>
    <x v="4"/>
    <n v="0"/>
    <m/>
  </r>
  <r>
    <x v="11"/>
    <x v="1"/>
    <x v="2"/>
    <x v="106"/>
    <x v="1"/>
    <x v="4"/>
    <n v="0"/>
    <m/>
  </r>
  <r>
    <x v="11"/>
    <x v="1"/>
    <x v="2"/>
    <x v="107"/>
    <x v="2"/>
    <x v="1"/>
    <n v="1"/>
    <s v=""/>
  </r>
  <r>
    <x v="11"/>
    <x v="1"/>
    <x v="2"/>
    <x v="108"/>
    <x v="2"/>
    <x v="0"/>
    <n v="4"/>
    <s v=""/>
  </r>
  <r>
    <x v="11"/>
    <x v="1"/>
    <x v="2"/>
    <x v="109"/>
    <x v="1"/>
    <x v="4"/>
    <n v="0"/>
    <m/>
  </r>
  <r>
    <x v="11"/>
    <x v="1"/>
    <x v="2"/>
    <x v="110"/>
    <x v="2"/>
    <x v="1"/>
    <n v="2"/>
    <s v=""/>
  </r>
  <r>
    <x v="11"/>
    <x v="1"/>
    <x v="2"/>
    <x v="111"/>
    <x v="5"/>
    <x v="0"/>
    <n v="1"/>
    <s v=""/>
  </r>
  <r>
    <x v="11"/>
    <x v="1"/>
    <x v="2"/>
    <x v="112"/>
    <x v="2"/>
    <x v="1"/>
    <n v="1"/>
    <s v=""/>
  </r>
  <r>
    <x v="11"/>
    <x v="1"/>
    <x v="2"/>
    <x v="113"/>
    <x v="2"/>
    <x v="1"/>
    <n v="1"/>
    <s v=""/>
  </r>
  <r>
    <x v="11"/>
    <x v="1"/>
    <x v="2"/>
    <x v="113"/>
    <x v="5"/>
    <x v="0"/>
    <n v="1"/>
    <s v=""/>
  </r>
  <r>
    <x v="11"/>
    <x v="1"/>
    <x v="2"/>
    <x v="114"/>
    <x v="2"/>
    <x v="2"/>
    <n v="1"/>
    <s v=""/>
  </r>
  <r>
    <x v="11"/>
    <x v="1"/>
    <x v="2"/>
    <x v="115"/>
    <x v="1"/>
    <x v="4"/>
    <n v="0"/>
    <m/>
  </r>
  <r>
    <x v="11"/>
    <x v="1"/>
    <x v="2"/>
    <x v="116"/>
    <x v="1"/>
    <x v="4"/>
    <n v="0"/>
    <m/>
  </r>
  <r>
    <x v="11"/>
    <x v="1"/>
    <x v="2"/>
    <x v="117"/>
    <x v="1"/>
    <x v="4"/>
    <n v="0"/>
    <m/>
  </r>
  <r>
    <x v="11"/>
    <x v="1"/>
    <x v="2"/>
    <x v="118"/>
    <x v="1"/>
    <x v="4"/>
    <n v="0"/>
    <m/>
  </r>
  <r>
    <x v="11"/>
    <x v="1"/>
    <x v="2"/>
    <x v="119"/>
    <x v="0"/>
    <x v="0"/>
    <n v="1"/>
    <s v=""/>
  </r>
  <r>
    <x v="11"/>
    <x v="1"/>
    <x v="2"/>
    <x v="119"/>
    <x v="2"/>
    <x v="1"/>
    <n v="2"/>
    <s v=""/>
  </r>
  <r>
    <x v="11"/>
    <x v="1"/>
    <x v="2"/>
    <x v="119"/>
    <x v="2"/>
    <x v="0"/>
    <n v="2"/>
    <s v=""/>
  </r>
  <r>
    <x v="11"/>
    <x v="1"/>
    <x v="2"/>
    <x v="119"/>
    <x v="5"/>
    <x v="0"/>
    <n v="1"/>
    <s v=""/>
  </r>
  <r>
    <x v="11"/>
    <x v="2"/>
    <x v="0"/>
    <x v="120"/>
    <x v="1"/>
    <x v="4"/>
    <n v="0"/>
    <m/>
  </r>
  <r>
    <x v="11"/>
    <x v="2"/>
    <x v="0"/>
    <x v="121"/>
    <x v="1"/>
    <x v="4"/>
    <n v="0"/>
    <m/>
  </r>
  <r>
    <x v="11"/>
    <x v="2"/>
    <x v="0"/>
    <x v="122"/>
    <x v="5"/>
    <x v="0"/>
    <n v="1"/>
    <s v=""/>
  </r>
  <r>
    <x v="11"/>
    <x v="2"/>
    <x v="0"/>
    <x v="123"/>
    <x v="1"/>
    <x v="4"/>
    <n v="0"/>
    <m/>
  </r>
  <r>
    <x v="11"/>
    <x v="2"/>
    <x v="0"/>
    <x v="124"/>
    <x v="1"/>
    <x v="4"/>
    <n v="0"/>
    <m/>
  </r>
  <r>
    <x v="11"/>
    <x v="2"/>
    <x v="0"/>
    <x v="125"/>
    <x v="1"/>
    <x v="4"/>
    <n v="0"/>
    <m/>
  </r>
  <r>
    <x v="11"/>
    <x v="2"/>
    <x v="0"/>
    <x v="126"/>
    <x v="1"/>
    <x v="4"/>
    <n v="0"/>
    <m/>
  </r>
  <r>
    <x v="11"/>
    <x v="2"/>
    <x v="0"/>
    <x v="127"/>
    <x v="1"/>
    <x v="4"/>
    <n v="0"/>
    <m/>
  </r>
  <r>
    <x v="11"/>
    <x v="2"/>
    <x v="0"/>
    <x v="128"/>
    <x v="1"/>
    <x v="4"/>
    <n v="0"/>
    <m/>
  </r>
  <r>
    <x v="11"/>
    <x v="2"/>
    <x v="0"/>
    <x v="129"/>
    <x v="1"/>
    <x v="4"/>
    <n v="0"/>
    <m/>
  </r>
  <r>
    <x v="11"/>
    <x v="2"/>
    <x v="0"/>
    <x v="130"/>
    <x v="1"/>
    <x v="4"/>
    <n v="0"/>
    <m/>
  </r>
  <r>
    <x v="11"/>
    <x v="2"/>
    <x v="0"/>
    <x v="131"/>
    <x v="2"/>
    <x v="2"/>
    <n v="1"/>
    <s v=""/>
  </r>
  <r>
    <x v="11"/>
    <x v="2"/>
    <x v="0"/>
    <x v="132"/>
    <x v="1"/>
    <x v="4"/>
    <n v="0"/>
    <m/>
  </r>
  <r>
    <x v="11"/>
    <x v="2"/>
    <x v="0"/>
    <x v="133"/>
    <x v="2"/>
    <x v="0"/>
    <n v="1"/>
    <s v=""/>
  </r>
  <r>
    <x v="11"/>
    <x v="2"/>
    <x v="0"/>
    <x v="134"/>
    <x v="2"/>
    <x v="0"/>
    <n v="3"/>
    <s v=""/>
  </r>
  <r>
    <x v="11"/>
    <x v="2"/>
    <x v="0"/>
    <x v="135"/>
    <x v="2"/>
    <x v="2"/>
    <n v="1"/>
    <s v=""/>
  </r>
  <r>
    <x v="11"/>
    <x v="2"/>
    <x v="0"/>
    <x v="136"/>
    <x v="1"/>
    <x v="4"/>
    <n v="0"/>
    <m/>
  </r>
  <r>
    <x v="11"/>
    <x v="2"/>
    <x v="0"/>
    <x v="137"/>
    <x v="1"/>
    <x v="4"/>
    <n v="0"/>
    <m/>
  </r>
  <r>
    <x v="11"/>
    <x v="2"/>
    <x v="0"/>
    <x v="138"/>
    <x v="1"/>
    <x v="4"/>
    <n v="0"/>
    <m/>
  </r>
  <r>
    <x v="11"/>
    <x v="2"/>
    <x v="0"/>
    <x v="139"/>
    <x v="1"/>
    <x v="4"/>
    <n v="0"/>
    <m/>
  </r>
  <r>
    <x v="11"/>
    <x v="2"/>
    <x v="1"/>
    <x v="140"/>
    <x v="2"/>
    <x v="0"/>
    <n v="2"/>
    <s v=""/>
  </r>
  <r>
    <x v="11"/>
    <x v="2"/>
    <x v="1"/>
    <x v="141"/>
    <x v="2"/>
    <x v="0"/>
    <n v="1"/>
    <s v=""/>
  </r>
  <r>
    <x v="11"/>
    <x v="2"/>
    <x v="1"/>
    <x v="141"/>
    <x v="5"/>
    <x v="0"/>
    <n v="1"/>
    <s v=""/>
  </r>
  <r>
    <x v="11"/>
    <x v="2"/>
    <x v="1"/>
    <x v="142"/>
    <x v="1"/>
    <x v="4"/>
    <n v="0"/>
    <m/>
  </r>
  <r>
    <x v="11"/>
    <x v="2"/>
    <x v="1"/>
    <x v="143"/>
    <x v="2"/>
    <x v="0"/>
    <n v="3"/>
    <s v=""/>
  </r>
  <r>
    <x v="11"/>
    <x v="2"/>
    <x v="1"/>
    <x v="144"/>
    <x v="2"/>
    <x v="1"/>
    <n v="1"/>
    <s v=""/>
  </r>
  <r>
    <x v="11"/>
    <x v="2"/>
    <x v="1"/>
    <x v="144"/>
    <x v="5"/>
    <x v="1"/>
    <n v="1"/>
    <s v=""/>
  </r>
  <r>
    <x v="11"/>
    <x v="2"/>
    <x v="1"/>
    <x v="145"/>
    <x v="0"/>
    <x v="2"/>
    <n v="1"/>
    <s v=""/>
  </r>
  <r>
    <x v="11"/>
    <x v="2"/>
    <x v="1"/>
    <x v="145"/>
    <x v="2"/>
    <x v="0"/>
    <n v="1"/>
    <s v=""/>
  </r>
  <r>
    <x v="11"/>
    <x v="2"/>
    <x v="1"/>
    <x v="146"/>
    <x v="2"/>
    <x v="1"/>
    <n v="1"/>
    <s v=""/>
  </r>
  <r>
    <x v="11"/>
    <x v="2"/>
    <x v="1"/>
    <x v="146"/>
    <x v="5"/>
    <x v="0"/>
    <n v="1"/>
    <s v=""/>
  </r>
  <r>
    <x v="11"/>
    <x v="2"/>
    <x v="1"/>
    <x v="147"/>
    <x v="0"/>
    <x v="0"/>
    <n v="1"/>
    <s v=""/>
  </r>
  <r>
    <x v="11"/>
    <x v="2"/>
    <x v="1"/>
    <x v="147"/>
    <x v="5"/>
    <x v="0"/>
    <n v="1"/>
    <s v=""/>
  </r>
  <r>
    <x v="11"/>
    <x v="2"/>
    <x v="1"/>
    <x v="147"/>
    <x v="5"/>
    <x v="2"/>
    <n v="1"/>
    <s v=""/>
  </r>
  <r>
    <x v="11"/>
    <x v="2"/>
    <x v="1"/>
    <x v="148"/>
    <x v="2"/>
    <x v="0"/>
    <n v="3"/>
    <s v=""/>
  </r>
  <r>
    <x v="11"/>
    <x v="2"/>
    <x v="1"/>
    <x v="149"/>
    <x v="2"/>
    <x v="1"/>
    <n v="1"/>
    <s v=""/>
  </r>
  <r>
    <x v="11"/>
    <x v="2"/>
    <x v="1"/>
    <x v="149"/>
    <x v="2"/>
    <x v="0"/>
    <n v="3"/>
    <s v=""/>
  </r>
  <r>
    <x v="11"/>
    <x v="2"/>
    <x v="1"/>
    <x v="150"/>
    <x v="2"/>
    <x v="1"/>
    <n v="1"/>
    <s v=""/>
  </r>
  <r>
    <x v="11"/>
    <x v="2"/>
    <x v="1"/>
    <x v="150"/>
    <x v="5"/>
    <x v="2"/>
    <n v="1"/>
    <s v=""/>
  </r>
  <r>
    <x v="11"/>
    <x v="2"/>
    <x v="1"/>
    <x v="151"/>
    <x v="2"/>
    <x v="0"/>
    <n v="1"/>
    <s v=""/>
  </r>
  <r>
    <x v="11"/>
    <x v="2"/>
    <x v="1"/>
    <x v="151"/>
    <x v="5"/>
    <x v="0"/>
    <n v="2"/>
    <s v=""/>
  </r>
  <r>
    <x v="11"/>
    <x v="2"/>
    <x v="1"/>
    <x v="152"/>
    <x v="2"/>
    <x v="0"/>
    <n v="2"/>
    <s v=""/>
  </r>
  <r>
    <x v="11"/>
    <x v="2"/>
    <x v="1"/>
    <x v="152"/>
    <x v="5"/>
    <x v="2"/>
    <n v="1"/>
    <s v=""/>
  </r>
  <r>
    <x v="11"/>
    <x v="2"/>
    <x v="1"/>
    <x v="153"/>
    <x v="2"/>
    <x v="1"/>
    <n v="1"/>
    <s v=""/>
  </r>
  <r>
    <x v="11"/>
    <x v="2"/>
    <x v="1"/>
    <x v="154"/>
    <x v="1"/>
    <x v="4"/>
    <n v="0"/>
    <m/>
  </r>
  <r>
    <x v="11"/>
    <x v="2"/>
    <x v="1"/>
    <x v="155"/>
    <x v="1"/>
    <x v="4"/>
    <n v="0"/>
    <m/>
  </r>
  <r>
    <x v="11"/>
    <x v="2"/>
    <x v="1"/>
    <x v="156"/>
    <x v="2"/>
    <x v="1"/>
    <n v="1"/>
    <s v=""/>
  </r>
  <r>
    <x v="11"/>
    <x v="2"/>
    <x v="1"/>
    <x v="156"/>
    <x v="2"/>
    <x v="0"/>
    <n v="3"/>
    <s v=""/>
  </r>
  <r>
    <x v="11"/>
    <x v="2"/>
    <x v="1"/>
    <x v="157"/>
    <x v="1"/>
    <x v="4"/>
    <n v="0"/>
    <m/>
  </r>
  <r>
    <x v="11"/>
    <x v="2"/>
    <x v="1"/>
    <x v="158"/>
    <x v="1"/>
    <x v="4"/>
    <n v="0"/>
    <m/>
  </r>
  <r>
    <x v="11"/>
    <x v="2"/>
    <x v="1"/>
    <x v="159"/>
    <x v="1"/>
    <x v="4"/>
    <n v="0"/>
    <m/>
  </r>
  <r>
    <x v="11"/>
    <x v="2"/>
    <x v="2"/>
    <x v="160"/>
    <x v="2"/>
    <x v="0"/>
    <n v="1"/>
    <s v=""/>
  </r>
  <r>
    <x v="11"/>
    <x v="2"/>
    <x v="2"/>
    <x v="161"/>
    <x v="1"/>
    <x v="4"/>
    <n v="0"/>
    <m/>
  </r>
  <r>
    <x v="11"/>
    <x v="2"/>
    <x v="2"/>
    <x v="162"/>
    <x v="2"/>
    <x v="1"/>
    <n v="1"/>
    <s v=""/>
  </r>
  <r>
    <x v="11"/>
    <x v="2"/>
    <x v="2"/>
    <x v="163"/>
    <x v="2"/>
    <x v="1"/>
    <n v="1"/>
    <s v=""/>
  </r>
  <r>
    <x v="11"/>
    <x v="2"/>
    <x v="2"/>
    <x v="164"/>
    <x v="2"/>
    <x v="2"/>
    <n v="3"/>
    <s v=""/>
  </r>
  <r>
    <x v="11"/>
    <x v="2"/>
    <x v="2"/>
    <x v="165"/>
    <x v="2"/>
    <x v="1"/>
    <n v="4"/>
    <s v=""/>
  </r>
  <r>
    <x v="11"/>
    <x v="2"/>
    <x v="2"/>
    <x v="165"/>
    <x v="5"/>
    <x v="1"/>
    <n v="1"/>
    <s v=""/>
  </r>
  <r>
    <x v="11"/>
    <x v="2"/>
    <x v="2"/>
    <x v="166"/>
    <x v="2"/>
    <x v="2"/>
    <n v="1"/>
    <s v=""/>
  </r>
  <r>
    <x v="11"/>
    <x v="2"/>
    <x v="2"/>
    <x v="167"/>
    <x v="2"/>
    <x v="0"/>
    <n v="2"/>
    <s v=""/>
  </r>
  <r>
    <x v="11"/>
    <x v="2"/>
    <x v="2"/>
    <x v="167"/>
    <x v="2"/>
    <x v="2"/>
    <n v="1"/>
    <s v=""/>
  </r>
  <r>
    <x v="11"/>
    <x v="2"/>
    <x v="2"/>
    <x v="168"/>
    <x v="2"/>
    <x v="1"/>
    <n v="1"/>
    <s v=""/>
  </r>
  <r>
    <x v="11"/>
    <x v="2"/>
    <x v="2"/>
    <x v="168"/>
    <x v="2"/>
    <x v="2"/>
    <n v="1"/>
    <s v=""/>
  </r>
  <r>
    <x v="11"/>
    <x v="2"/>
    <x v="2"/>
    <x v="169"/>
    <x v="2"/>
    <x v="2"/>
    <n v="1"/>
    <s v=""/>
  </r>
  <r>
    <x v="11"/>
    <x v="2"/>
    <x v="2"/>
    <x v="170"/>
    <x v="1"/>
    <x v="4"/>
    <n v="0"/>
    <m/>
  </r>
  <r>
    <x v="11"/>
    <x v="2"/>
    <x v="2"/>
    <x v="171"/>
    <x v="1"/>
    <x v="4"/>
    <n v="0"/>
    <m/>
  </r>
  <r>
    <x v="11"/>
    <x v="2"/>
    <x v="2"/>
    <x v="172"/>
    <x v="2"/>
    <x v="0"/>
    <n v="3"/>
    <s v=""/>
  </r>
  <r>
    <x v="11"/>
    <x v="2"/>
    <x v="2"/>
    <x v="173"/>
    <x v="1"/>
    <x v="4"/>
    <n v="0"/>
    <m/>
  </r>
  <r>
    <x v="11"/>
    <x v="2"/>
    <x v="2"/>
    <x v="174"/>
    <x v="2"/>
    <x v="0"/>
    <n v="7"/>
    <s v=""/>
  </r>
  <r>
    <x v="11"/>
    <x v="2"/>
    <x v="2"/>
    <x v="174"/>
    <x v="5"/>
    <x v="0"/>
    <n v="1"/>
    <s v=""/>
  </r>
  <r>
    <x v="11"/>
    <x v="2"/>
    <x v="2"/>
    <x v="175"/>
    <x v="2"/>
    <x v="0"/>
    <n v="5"/>
    <s v=""/>
  </r>
  <r>
    <x v="11"/>
    <x v="2"/>
    <x v="2"/>
    <x v="175"/>
    <x v="2"/>
    <x v="2"/>
    <n v="2"/>
    <s v=""/>
  </r>
  <r>
    <x v="11"/>
    <x v="2"/>
    <x v="2"/>
    <x v="175"/>
    <x v="5"/>
    <x v="0"/>
    <n v="3"/>
    <s v=""/>
  </r>
  <r>
    <x v="11"/>
    <x v="2"/>
    <x v="2"/>
    <x v="176"/>
    <x v="2"/>
    <x v="1"/>
    <n v="2"/>
    <s v=""/>
  </r>
  <r>
    <x v="11"/>
    <x v="2"/>
    <x v="2"/>
    <x v="177"/>
    <x v="1"/>
    <x v="4"/>
    <n v="0"/>
    <m/>
  </r>
  <r>
    <x v="11"/>
    <x v="2"/>
    <x v="2"/>
    <x v="178"/>
    <x v="1"/>
    <x v="4"/>
    <n v="0"/>
    <m/>
  </r>
  <r>
    <x v="11"/>
    <x v="2"/>
    <x v="2"/>
    <x v="179"/>
    <x v="1"/>
    <x v="4"/>
    <n v="0"/>
    <m/>
  </r>
  <r>
    <x v="12"/>
    <x v="0"/>
    <x v="0"/>
    <x v="0"/>
    <x v="2"/>
    <x v="0"/>
    <n v="2"/>
    <s v=""/>
  </r>
  <r>
    <x v="12"/>
    <x v="0"/>
    <x v="0"/>
    <x v="16"/>
    <x v="1"/>
    <x v="4"/>
    <n v="0"/>
    <m/>
  </r>
  <r>
    <x v="12"/>
    <x v="0"/>
    <x v="0"/>
    <x v="15"/>
    <x v="3"/>
    <x v="0"/>
    <n v="1"/>
    <s v=""/>
  </r>
  <r>
    <x v="12"/>
    <x v="0"/>
    <x v="0"/>
    <x v="17"/>
    <x v="1"/>
    <x v="4"/>
    <n v="0"/>
    <m/>
  </r>
  <r>
    <x v="12"/>
    <x v="0"/>
    <x v="0"/>
    <x v="14"/>
    <x v="3"/>
    <x v="0"/>
    <n v="2"/>
    <s v=""/>
  </r>
  <r>
    <x v="12"/>
    <x v="0"/>
    <x v="0"/>
    <x v="18"/>
    <x v="3"/>
    <x v="1"/>
    <n v="2"/>
    <s v=""/>
  </r>
  <r>
    <x v="12"/>
    <x v="0"/>
    <x v="0"/>
    <x v="18"/>
    <x v="2"/>
    <x v="0"/>
    <n v="1"/>
    <s v=""/>
  </r>
  <r>
    <x v="12"/>
    <x v="0"/>
    <x v="0"/>
    <x v="13"/>
    <x v="1"/>
    <x v="4"/>
    <n v="0"/>
    <m/>
  </r>
  <r>
    <x v="12"/>
    <x v="0"/>
    <x v="0"/>
    <x v="19"/>
    <x v="1"/>
    <x v="4"/>
    <n v="0"/>
    <m/>
  </r>
  <r>
    <x v="12"/>
    <x v="0"/>
    <x v="0"/>
    <x v="20"/>
    <x v="1"/>
    <x v="4"/>
    <n v="0"/>
    <m/>
  </r>
  <r>
    <x v="12"/>
    <x v="0"/>
    <x v="0"/>
    <x v="12"/>
    <x v="1"/>
    <x v="4"/>
    <n v="0"/>
    <m/>
  </r>
  <r>
    <x v="12"/>
    <x v="0"/>
    <x v="0"/>
    <x v="21"/>
    <x v="3"/>
    <x v="1"/>
    <n v="1"/>
    <s v=""/>
  </r>
  <r>
    <x v="12"/>
    <x v="0"/>
    <x v="0"/>
    <x v="21"/>
    <x v="3"/>
    <x v="0"/>
    <n v="1"/>
    <s v=""/>
  </r>
  <r>
    <x v="12"/>
    <x v="0"/>
    <x v="0"/>
    <x v="21"/>
    <x v="2"/>
    <x v="1"/>
    <n v="3"/>
    <s v=""/>
  </r>
  <r>
    <x v="12"/>
    <x v="0"/>
    <x v="0"/>
    <x v="22"/>
    <x v="1"/>
    <x v="4"/>
    <n v="0"/>
    <m/>
  </r>
  <r>
    <x v="12"/>
    <x v="0"/>
    <x v="0"/>
    <x v="23"/>
    <x v="3"/>
    <x v="1"/>
    <n v="2"/>
    <s v=""/>
  </r>
  <r>
    <x v="12"/>
    <x v="0"/>
    <x v="0"/>
    <x v="24"/>
    <x v="3"/>
    <x v="0"/>
    <n v="1"/>
    <s v=""/>
  </r>
  <r>
    <x v="12"/>
    <x v="0"/>
    <x v="0"/>
    <x v="25"/>
    <x v="3"/>
    <x v="0"/>
    <n v="1"/>
    <s v=""/>
  </r>
  <r>
    <x v="12"/>
    <x v="0"/>
    <x v="0"/>
    <x v="25"/>
    <x v="2"/>
    <x v="0"/>
    <n v="2"/>
    <s v=""/>
  </r>
  <r>
    <x v="12"/>
    <x v="0"/>
    <x v="0"/>
    <x v="25"/>
    <x v="5"/>
    <x v="0"/>
    <n v="1"/>
    <s v=""/>
  </r>
  <r>
    <x v="12"/>
    <x v="0"/>
    <x v="0"/>
    <x v="26"/>
    <x v="1"/>
    <x v="4"/>
    <n v="0"/>
    <m/>
  </r>
  <r>
    <x v="12"/>
    <x v="0"/>
    <x v="0"/>
    <x v="27"/>
    <x v="5"/>
    <x v="0"/>
    <n v="1"/>
    <s v=""/>
  </r>
  <r>
    <x v="12"/>
    <x v="0"/>
    <x v="0"/>
    <x v="28"/>
    <x v="3"/>
    <x v="2"/>
    <n v="1"/>
    <s v=""/>
  </r>
  <r>
    <x v="12"/>
    <x v="0"/>
    <x v="0"/>
    <x v="11"/>
    <x v="3"/>
    <x v="1"/>
    <n v="1"/>
    <s v=""/>
  </r>
  <r>
    <x v="12"/>
    <x v="0"/>
    <x v="0"/>
    <x v="11"/>
    <x v="3"/>
    <x v="0"/>
    <n v="1"/>
    <s v=""/>
  </r>
  <r>
    <x v="12"/>
    <x v="0"/>
    <x v="0"/>
    <x v="29"/>
    <x v="3"/>
    <x v="0"/>
    <n v="1"/>
    <s v=""/>
  </r>
  <r>
    <x v="12"/>
    <x v="0"/>
    <x v="1"/>
    <x v="30"/>
    <x v="1"/>
    <x v="4"/>
    <n v="0"/>
    <m/>
  </r>
  <r>
    <x v="12"/>
    <x v="0"/>
    <x v="1"/>
    <x v="31"/>
    <x v="3"/>
    <x v="2"/>
    <n v="1"/>
    <s v=""/>
  </r>
  <r>
    <x v="12"/>
    <x v="0"/>
    <x v="1"/>
    <x v="31"/>
    <x v="5"/>
    <x v="0"/>
    <n v="1"/>
    <s v=""/>
  </r>
  <r>
    <x v="12"/>
    <x v="0"/>
    <x v="1"/>
    <x v="32"/>
    <x v="3"/>
    <x v="0"/>
    <n v="1"/>
    <s v=""/>
  </r>
  <r>
    <x v="12"/>
    <x v="0"/>
    <x v="1"/>
    <x v="32"/>
    <x v="2"/>
    <x v="0"/>
    <n v="2"/>
    <s v=""/>
  </r>
  <r>
    <x v="12"/>
    <x v="0"/>
    <x v="1"/>
    <x v="33"/>
    <x v="5"/>
    <x v="0"/>
    <n v="1"/>
    <s v=""/>
  </r>
  <r>
    <x v="12"/>
    <x v="0"/>
    <x v="1"/>
    <x v="10"/>
    <x v="3"/>
    <x v="0"/>
    <n v="1"/>
    <s v=""/>
  </r>
  <r>
    <x v="12"/>
    <x v="0"/>
    <x v="1"/>
    <x v="34"/>
    <x v="3"/>
    <x v="1"/>
    <n v="1"/>
    <s v=""/>
  </r>
  <r>
    <x v="12"/>
    <x v="0"/>
    <x v="1"/>
    <x v="34"/>
    <x v="3"/>
    <x v="0"/>
    <n v="1"/>
    <s v=""/>
  </r>
  <r>
    <x v="12"/>
    <x v="0"/>
    <x v="1"/>
    <x v="35"/>
    <x v="1"/>
    <x v="4"/>
    <n v="0"/>
    <m/>
  </r>
  <r>
    <x v="12"/>
    <x v="0"/>
    <x v="1"/>
    <x v="36"/>
    <x v="2"/>
    <x v="0"/>
    <n v="1"/>
    <s v=""/>
  </r>
  <r>
    <x v="12"/>
    <x v="0"/>
    <x v="1"/>
    <x v="36"/>
    <x v="5"/>
    <x v="0"/>
    <n v="1"/>
    <s v=""/>
  </r>
  <r>
    <x v="12"/>
    <x v="0"/>
    <x v="1"/>
    <x v="37"/>
    <x v="3"/>
    <x v="2"/>
    <n v="1"/>
    <s v=""/>
  </r>
  <r>
    <x v="12"/>
    <x v="0"/>
    <x v="1"/>
    <x v="9"/>
    <x v="1"/>
    <x v="4"/>
    <n v="0"/>
    <m/>
  </r>
  <r>
    <x v="12"/>
    <x v="0"/>
    <x v="1"/>
    <x v="38"/>
    <x v="1"/>
    <x v="4"/>
    <n v="0"/>
    <m/>
  </r>
  <r>
    <x v="12"/>
    <x v="0"/>
    <x v="1"/>
    <x v="8"/>
    <x v="1"/>
    <x v="4"/>
    <n v="0"/>
    <m/>
  </r>
  <r>
    <x v="12"/>
    <x v="0"/>
    <x v="1"/>
    <x v="39"/>
    <x v="3"/>
    <x v="2"/>
    <n v="1"/>
    <s v=""/>
  </r>
  <r>
    <x v="12"/>
    <x v="0"/>
    <x v="1"/>
    <x v="39"/>
    <x v="5"/>
    <x v="0"/>
    <n v="6"/>
    <s v=""/>
  </r>
  <r>
    <x v="12"/>
    <x v="0"/>
    <x v="1"/>
    <x v="7"/>
    <x v="3"/>
    <x v="0"/>
    <n v="1"/>
    <s v=""/>
  </r>
  <r>
    <x v="12"/>
    <x v="0"/>
    <x v="1"/>
    <x v="6"/>
    <x v="4"/>
    <x v="3"/>
    <s v=""/>
    <s v="plaque absente"/>
  </r>
  <r>
    <x v="12"/>
    <x v="0"/>
    <x v="1"/>
    <x v="40"/>
    <x v="4"/>
    <x v="3"/>
    <s v=""/>
    <s v="plaque absente"/>
  </r>
  <r>
    <x v="12"/>
    <x v="0"/>
    <x v="1"/>
    <x v="41"/>
    <x v="5"/>
    <x v="0"/>
    <n v="2"/>
    <s v=""/>
  </r>
  <r>
    <x v="12"/>
    <x v="0"/>
    <x v="1"/>
    <x v="42"/>
    <x v="5"/>
    <x v="0"/>
    <n v="12"/>
    <s v=""/>
  </r>
  <r>
    <x v="12"/>
    <x v="0"/>
    <x v="1"/>
    <x v="5"/>
    <x v="1"/>
    <x v="4"/>
    <n v="0"/>
    <m/>
  </r>
  <r>
    <x v="12"/>
    <x v="0"/>
    <x v="1"/>
    <x v="43"/>
    <x v="4"/>
    <x v="3"/>
    <s v=""/>
    <s v="plaque absente"/>
  </r>
  <r>
    <x v="12"/>
    <x v="0"/>
    <x v="2"/>
    <x v="44"/>
    <x v="1"/>
    <x v="4"/>
    <n v="0"/>
    <m/>
  </r>
  <r>
    <x v="12"/>
    <x v="0"/>
    <x v="2"/>
    <x v="45"/>
    <x v="1"/>
    <x v="4"/>
    <n v="0"/>
    <m/>
  </r>
  <r>
    <x v="12"/>
    <x v="0"/>
    <x v="2"/>
    <x v="46"/>
    <x v="1"/>
    <x v="4"/>
    <n v="0"/>
    <m/>
  </r>
  <r>
    <x v="12"/>
    <x v="0"/>
    <x v="2"/>
    <x v="4"/>
    <x v="3"/>
    <x v="0"/>
    <n v="1"/>
    <s v=""/>
  </r>
  <r>
    <x v="12"/>
    <x v="0"/>
    <x v="2"/>
    <x v="4"/>
    <x v="0"/>
    <x v="0"/>
    <n v="1"/>
    <s v=""/>
  </r>
  <r>
    <x v="12"/>
    <x v="0"/>
    <x v="2"/>
    <x v="47"/>
    <x v="1"/>
    <x v="4"/>
    <n v="0"/>
    <m/>
  </r>
  <r>
    <x v="12"/>
    <x v="0"/>
    <x v="2"/>
    <x v="48"/>
    <x v="3"/>
    <x v="0"/>
    <n v="1"/>
    <s v=""/>
  </r>
  <r>
    <x v="12"/>
    <x v="0"/>
    <x v="2"/>
    <x v="48"/>
    <x v="5"/>
    <x v="0"/>
    <n v="1"/>
    <s v=""/>
  </r>
  <r>
    <x v="12"/>
    <x v="0"/>
    <x v="2"/>
    <x v="49"/>
    <x v="1"/>
    <x v="4"/>
    <n v="0"/>
    <m/>
  </r>
  <r>
    <x v="12"/>
    <x v="0"/>
    <x v="2"/>
    <x v="50"/>
    <x v="3"/>
    <x v="0"/>
    <n v="1"/>
    <s v=""/>
  </r>
  <r>
    <x v="12"/>
    <x v="0"/>
    <x v="2"/>
    <x v="50"/>
    <x v="2"/>
    <x v="0"/>
    <n v="1"/>
    <s v=""/>
  </r>
  <r>
    <x v="12"/>
    <x v="0"/>
    <x v="2"/>
    <x v="3"/>
    <x v="3"/>
    <x v="1"/>
    <n v="1"/>
    <s v=""/>
  </r>
  <r>
    <x v="12"/>
    <x v="0"/>
    <x v="2"/>
    <x v="51"/>
    <x v="1"/>
    <x v="4"/>
    <n v="0"/>
    <m/>
  </r>
  <r>
    <x v="12"/>
    <x v="0"/>
    <x v="2"/>
    <x v="2"/>
    <x v="1"/>
    <x v="4"/>
    <n v="0"/>
    <m/>
  </r>
  <r>
    <x v="12"/>
    <x v="0"/>
    <x v="2"/>
    <x v="52"/>
    <x v="5"/>
    <x v="0"/>
    <n v="1"/>
    <s v=""/>
  </r>
  <r>
    <x v="12"/>
    <x v="0"/>
    <x v="2"/>
    <x v="53"/>
    <x v="2"/>
    <x v="0"/>
    <n v="1"/>
    <s v=""/>
  </r>
  <r>
    <x v="12"/>
    <x v="0"/>
    <x v="2"/>
    <x v="53"/>
    <x v="5"/>
    <x v="0"/>
    <n v="1"/>
    <s v=""/>
  </r>
  <r>
    <x v="12"/>
    <x v="0"/>
    <x v="2"/>
    <x v="54"/>
    <x v="1"/>
    <x v="4"/>
    <n v="0"/>
    <m/>
  </r>
  <r>
    <x v="12"/>
    <x v="0"/>
    <x v="2"/>
    <x v="1"/>
    <x v="3"/>
    <x v="0"/>
    <n v="1"/>
    <s v=""/>
  </r>
  <r>
    <x v="12"/>
    <x v="0"/>
    <x v="2"/>
    <x v="1"/>
    <x v="2"/>
    <x v="0"/>
    <n v="1"/>
    <s v=""/>
  </r>
  <r>
    <x v="12"/>
    <x v="0"/>
    <x v="2"/>
    <x v="55"/>
    <x v="3"/>
    <x v="0"/>
    <n v="3"/>
    <s v=""/>
  </r>
  <r>
    <x v="12"/>
    <x v="0"/>
    <x v="2"/>
    <x v="56"/>
    <x v="1"/>
    <x v="1"/>
    <n v="1"/>
    <s v=""/>
  </r>
  <r>
    <x v="12"/>
    <x v="0"/>
    <x v="2"/>
    <x v="57"/>
    <x v="4"/>
    <x v="3"/>
    <s v=""/>
    <s v="plaque absente"/>
  </r>
  <r>
    <x v="12"/>
    <x v="0"/>
    <x v="2"/>
    <x v="58"/>
    <x v="4"/>
    <x v="3"/>
    <s v=""/>
    <s v="plaque absente"/>
  </r>
  <r>
    <x v="12"/>
    <x v="0"/>
    <x v="2"/>
    <x v="59"/>
    <x v="1"/>
    <x v="4"/>
    <n v="0"/>
    <m/>
  </r>
  <r>
    <x v="12"/>
    <x v="1"/>
    <x v="0"/>
    <x v="60"/>
    <x v="5"/>
    <x v="0"/>
    <n v="1"/>
    <s v=""/>
  </r>
  <r>
    <x v="12"/>
    <x v="1"/>
    <x v="0"/>
    <x v="61"/>
    <x v="3"/>
    <x v="0"/>
    <n v="1"/>
    <s v=""/>
  </r>
  <r>
    <x v="12"/>
    <x v="1"/>
    <x v="0"/>
    <x v="61"/>
    <x v="5"/>
    <x v="0"/>
    <n v="1"/>
    <s v=""/>
  </r>
  <r>
    <x v="12"/>
    <x v="1"/>
    <x v="0"/>
    <x v="62"/>
    <x v="3"/>
    <x v="0"/>
    <n v="1"/>
    <s v=""/>
  </r>
  <r>
    <x v="12"/>
    <x v="1"/>
    <x v="0"/>
    <x v="63"/>
    <x v="3"/>
    <x v="1"/>
    <n v="4"/>
    <s v=""/>
  </r>
  <r>
    <x v="12"/>
    <x v="1"/>
    <x v="0"/>
    <x v="63"/>
    <x v="1"/>
    <x v="2"/>
    <n v="1"/>
    <s v=""/>
  </r>
  <r>
    <x v="12"/>
    <x v="1"/>
    <x v="0"/>
    <x v="64"/>
    <x v="3"/>
    <x v="0"/>
    <n v="2"/>
    <s v=""/>
  </r>
  <r>
    <x v="12"/>
    <x v="1"/>
    <x v="0"/>
    <x v="65"/>
    <x v="3"/>
    <x v="1"/>
    <n v="1"/>
    <s v=""/>
  </r>
  <r>
    <x v="12"/>
    <x v="1"/>
    <x v="0"/>
    <x v="66"/>
    <x v="1"/>
    <x v="4"/>
    <n v="0"/>
    <m/>
  </r>
  <r>
    <x v="12"/>
    <x v="1"/>
    <x v="0"/>
    <x v="67"/>
    <x v="3"/>
    <x v="0"/>
    <n v="2"/>
    <s v=""/>
  </r>
  <r>
    <x v="12"/>
    <x v="1"/>
    <x v="0"/>
    <x v="67"/>
    <x v="5"/>
    <x v="0"/>
    <n v="1"/>
    <s v=""/>
  </r>
  <r>
    <x v="12"/>
    <x v="1"/>
    <x v="0"/>
    <x v="68"/>
    <x v="1"/>
    <x v="4"/>
    <n v="0"/>
    <m/>
  </r>
  <r>
    <x v="12"/>
    <x v="1"/>
    <x v="0"/>
    <x v="69"/>
    <x v="3"/>
    <x v="0"/>
    <n v="1"/>
    <s v=""/>
  </r>
  <r>
    <x v="12"/>
    <x v="1"/>
    <x v="0"/>
    <x v="70"/>
    <x v="1"/>
    <x v="4"/>
    <n v="0"/>
    <m/>
  </r>
  <r>
    <x v="12"/>
    <x v="1"/>
    <x v="0"/>
    <x v="71"/>
    <x v="1"/>
    <x v="4"/>
    <n v="0"/>
    <m/>
  </r>
  <r>
    <x v="12"/>
    <x v="1"/>
    <x v="0"/>
    <x v="72"/>
    <x v="3"/>
    <x v="1"/>
    <n v="1"/>
    <s v=""/>
  </r>
  <r>
    <x v="12"/>
    <x v="1"/>
    <x v="0"/>
    <x v="72"/>
    <x v="3"/>
    <x v="0"/>
    <n v="3"/>
    <s v=""/>
  </r>
  <r>
    <x v="12"/>
    <x v="1"/>
    <x v="0"/>
    <x v="73"/>
    <x v="3"/>
    <x v="0"/>
    <n v="2"/>
    <s v=""/>
  </r>
  <r>
    <x v="12"/>
    <x v="1"/>
    <x v="0"/>
    <x v="74"/>
    <x v="1"/>
    <x v="4"/>
    <n v="0"/>
    <m/>
  </r>
  <r>
    <x v="12"/>
    <x v="1"/>
    <x v="0"/>
    <x v="75"/>
    <x v="1"/>
    <x v="4"/>
    <n v="0"/>
    <m/>
  </r>
  <r>
    <x v="12"/>
    <x v="1"/>
    <x v="0"/>
    <x v="76"/>
    <x v="1"/>
    <x v="4"/>
    <n v="0"/>
    <m/>
  </r>
  <r>
    <x v="12"/>
    <x v="1"/>
    <x v="0"/>
    <x v="77"/>
    <x v="1"/>
    <x v="4"/>
    <n v="0"/>
    <m/>
  </r>
  <r>
    <x v="12"/>
    <x v="1"/>
    <x v="0"/>
    <x v="78"/>
    <x v="3"/>
    <x v="0"/>
    <n v="1"/>
    <s v=""/>
  </r>
  <r>
    <x v="12"/>
    <x v="1"/>
    <x v="0"/>
    <x v="79"/>
    <x v="2"/>
    <x v="0"/>
    <n v="1"/>
    <s v=""/>
  </r>
  <r>
    <x v="12"/>
    <x v="1"/>
    <x v="1"/>
    <x v="80"/>
    <x v="3"/>
    <x v="2"/>
    <n v="1"/>
    <s v=""/>
  </r>
  <r>
    <x v="12"/>
    <x v="1"/>
    <x v="1"/>
    <x v="80"/>
    <x v="5"/>
    <x v="0"/>
    <n v="1"/>
    <s v=""/>
  </r>
  <r>
    <x v="12"/>
    <x v="1"/>
    <x v="1"/>
    <x v="81"/>
    <x v="3"/>
    <x v="2"/>
    <n v="1"/>
    <s v=""/>
  </r>
  <r>
    <x v="12"/>
    <x v="1"/>
    <x v="1"/>
    <x v="82"/>
    <x v="5"/>
    <x v="0"/>
    <n v="1"/>
    <s v=""/>
  </r>
  <r>
    <x v="12"/>
    <x v="1"/>
    <x v="1"/>
    <x v="83"/>
    <x v="1"/>
    <x v="4"/>
    <n v="0"/>
    <m/>
  </r>
  <r>
    <x v="12"/>
    <x v="1"/>
    <x v="1"/>
    <x v="84"/>
    <x v="3"/>
    <x v="0"/>
    <n v="1"/>
    <s v=""/>
  </r>
  <r>
    <x v="12"/>
    <x v="1"/>
    <x v="1"/>
    <x v="84"/>
    <x v="2"/>
    <x v="0"/>
    <n v="1"/>
    <s v=""/>
  </r>
  <r>
    <x v="12"/>
    <x v="1"/>
    <x v="1"/>
    <x v="85"/>
    <x v="2"/>
    <x v="0"/>
    <n v="1"/>
    <s v=""/>
  </r>
  <r>
    <x v="12"/>
    <x v="1"/>
    <x v="1"/>
    <x v="86"/>
    <x v="1"/>
    <x v="4"/>
    <n v="0"/>
    <m/>
  </r>
  <r>
    <x v="12"/>
    <x v="1"/>
    <x v="1"/>
    <x v="87"/>
    <x v="5"/>
    <x v="0"/>
    <n v="2"/>
    <s v=""/>
  </r>
  <r>
    <x v="12"/>
    <x v="1"/>
    <x v="1"/>
    <x v="88"/>
    <x v="3"/>
    <x v="0"/>
    <n v="1"/>
    <s v=""/>
  </r>
  <r>
    <x v="12"/>
    <x v="1"/>
    <x v="1"/>
    <x v="88"/>
    <x v="5"/>
    <x v="1"/>
    <n v="1"/>
    <s v=""/>
  </r>
  <r>
    <x v="12"/>
    <x v="1"/>
    <x v="1"/>
    <x v="89"/>
    <x v="3"/>
    <x v="1"/>
    <n v="1"/>
    <s v=""/>
  </r>
  <r>
    <x v="12"/>
    <x v="1"/>
    <x v="1"/>
    <x v="90"/>
    <x v="1"/>
    <x v="4"/>
    <n v="0"/>
    <m/>
  </r>
  <r>
    <x v="12"/>
    <x v="1"/>
    <x v="1"/>
    <x v="91"/>
    <x v="3"/>
    <x v="1"/>
    <n v="1"/>
    <s v=""/>
  </r>
  <r>
    <x v="12"/>
    <x v="1"/>
    <x v="1"/>
    <x v="91"/>
    <x v="3"/>
    <x v="0"/>
    <n v="1"/>
    <s v=""/>
  </r>
  <r>
    <x v="12"/>
    <x v="1"/>
    <x v="1"/>
    <x v="91"/>
    <x v="5"/>
    <x v="1"/>
    <n v="3"/>
    <s v=""/>
  </r>
  <r>
    <x v="12"/>
    <x v="1"/>
    <x v="1"/>
    <x v="91"/>
    <x v="5"/>
    <x v="0"/>
    <n v="7"/>
    <s v=""/>
  </r>
  <r>
    <x v="12"/>
    <x v="1"/>
    <x v="1"/>
    <x v="92"/>
    <x v="3"/>
    <x v="1"/>
    <n v="1"/>
    <s v=""/>
  </r>
  <r>
    <x v="12"/>
    <x v="1"/>
    <x v="1"/>
    <x v="93"/>
    <x v="2"/>
    <x v="0"/>
    <n v="1"/>
    <s v=""/>
  </r>
  <r>
    <x v="12"/>
    <x v="1"/>
    <x v="1"/>
    <x v="93"/>
    <x v="5"/>
    <x v="0"/>
    <n v="1"/>
    <s v=""/>
  </r>
  <r>
    <x v="12"/>
    <x v="1"/>
    <x v="1"/>
    <x v="94"/>
    <x v="5"/>
    <x v="0"/>
    <n v="1"/>
    <s v=""/>
  </r>
  <r>
    <x v="12"/>
    <x v="1"/>
    <x v="1"/>
    <x v="95"/>
    <x v="3"/>
    <x v="2"/>
    <n v="1"/>
    <s v=""/>
  </r>
  <r>
    <x v="12"/>
    <x v="1"/>
    <x v="1"/>
    <x v="95"/>
    <x v="5"/>
    <x v="0"/>
    <n v="1"/>
    <s v=""/>
  </r>
  <r>
    <x v="12"/>
    <x v="1"/>
    <x v="1"/>
    <x v="96"/>
    <x v="3"/>
    <x v="1"/>
    <n v="1"/>
    <s v=""/>
  </r>
  <r>
    <x v="12"/>
    <x v="1"/>
    <x v="1"/>
    <x v="97"/>
    <x v="1"/>
    <x v="4"/>
    <n v="0"/>
    <m/>
  </r>
  <r>
    <x v="12"/>
    <x v="1"/>
    <x v="1"/>
    <x v="98"/>
    <x v="3"/>
    <x v="0"/>
    <n v="2"/>
    <s v=""/>
  </r>
  <r>
    <x v="12"/>
    <x v="1"/>
    <x v="1"/>
    <x v="99"/>
    <x v="2"/>
    <x v="0"/>
    <n v="1"/>
    <s v=""/>
  </r>
  <r>
    <x v="12"/>
    <x v="1"/>
    <x v="2"/>
    <x v="100"/>
    <x v="1"/>
    <x v="4"/>
    <n v="0"/>
    <m/>
  </r>
  <r>
    <x v="12"/>
    <x v="1"/>
    <x v="2"/>
    <x v="101"/>
    <x v="1"/>
    <x v="4"/>
    <n v="0"/>
    <m/>
  </r>
  <r>
    <x v="12"/>
    <x v="1"/>
    <x v="2"/>
    <x v="102"/>
    <x v="3"/>
    <x v="1"/>
    <n v="1"/>
    <s v=""/>
  </r>
  <r>
    <x v="12"/>
    <x v="1"/>
    <x v="2"/>
    <x v="103"/>
    <x v="3"/>
    <x v="0"/>
    <n v="1"/>
    <s v=""/>
  </r>
  <r>
    <x v="12"/>
    <x v="1"/>
    <x v="2"/>
    <x v="103"/>
    <x v="5"/>
    <x v="0"/>
    <n v="1"/>
    <s v=""/>
  </r>
  <r>
    <x v="12"/>
    <x v="1"/>
    <x v="2"/>
    <x v="104"/>
    <x v="1"/>
    <x v="4"/>
    <n v="0"/>
    <m/>
  </r>
  <r>
    <x v="12"/>
    <x v="1"/>
    <x v="2"/>
    <x v="105"/>
    <x v="4"/>
    <x v="3"/>
    <s v=""/>
    <s v="plaque absente"/>
  </r>
  <r>
    <x v="12"/>
    <x v="1"/>
    <x v="2"/>
    <x v="106"/>
    <x v="1"/>
    <x v="4"/>
    <n v="0"/>
    <m/>
  </r>
  <r>
    <x v="12"/>
    <x v="1"/>
    <x v="2"/>
    <x v="107"/>
    <x v="3"/>
    <x v="0"/>
    <n v="3"/>
    <s v=""/>
  </r>
  <r>
    <x v="12"/>
    <x v="1"/>
    <x v="2"/>
    <x v="107"/>
    <x v="2"/>
    <x v="0"/>
    <n v="2"/>
    <s v=""/>
  </r>
  <r>
    <x v="12"/>
    <x v="1"/>
    <x v="2"/>
    <x v="108"/>
    <x v="3"/>
    <x v="0"/>
    <n v="2"/>
    <s v=""/>
  </r>
  <r>
    <x v="12"/>
    <x v="1"/>
    <x v="2"/>
    <x v="108"/>
    <x v="5"/>
    <x v="0"/>
    <n v="1"/>
    <s v=""/>
  </r>
  <r>
    <x v="12"/>
    <x v="1"/>
    <x v="2"/>
    <x v="109"/>
    <x v="1"/>
    <x v="4"/>
    <n v="0"/>
    <m/>
  </r>
  <r>
    <x v="12"/>
    <x v="1"/>
    <x v="2"/>
    <x v="110"/>
    <x v="2"/>
    <x v="0"/>
    <n v="1"/>
    <s v=""/>
  </r>
  <r>
    <x v="12"/>
    <x v="1"/>
    <x v="2"/>
    <x v="111"/>
    <x v="1"/>
    <x v="4"/>
    <n v="0"/>
    <m/>
  </r>
  <r>
    <x v="12"/>
    <x v="1"/>
    <x v="2"/>
    <x v="112"/>
    <x v="1"/>
    <x v="4"/>
    <n v="0"/>
    <m/>
  </r>
  <r>
    <x v="12"/>
    <x v="1"/>
    <x v="2"/>
    <x v="113"/>
    <x v="3"/>
    <x v="1"/>
    <n v="1"/>
    <s v=""/>
  </r>
  <r>
    <x v="12"/>
    <x v="1"/>
    <x v="2"/>
    <x v="113"/>
    <x v="5"/>
    <x v="1"/>
    <n v="2"/>
    <s v=""/>
  </r>
  <r>
    <x v="12"/>
    <x v="1"/>
    <x v="2"/>
    <x v="114"/>
    <x v="5"/>
    <x v="1"/>
    <n v="1"/>
    <s v=""/>
  </r>
  <r>
    <x v="12"/>
    <x v="1"/>
    <x v="2"/>
    <x v="114"/>
    <x v="5"/>
    <x v="0"/>
    <n v="1"/>
    <s v=""/>
  </r>
  <r>
    <x v="12"/>
    <x v="1"/>
    <x v="2"/>
    <x v="115"/>
    <x v="5"/>
    <x v="0"/>
    <n v="2"/>
    <s v=""/>
  </r>
  <r>
    <x v="12"/>
    <x v="1"/>
    <x v="2"/>
    <x v="116"/>
    <x v="1"/>
    <x v="4"/>
    <n v="0"/>
    <m/>
  </r>
  <r>
    <x v="12"/>
    <x v="1"/>
    <x v="2"/>
    <x v="117"/>
    <x v="3"/>
    <x v="1"/>
    <n v="1"/>
    <s v=""/>
  </r>
  <r>
    <x v="12"/>
    <x v="1"/>
    <x v="2"/>
    <x v="118"/>
    <x v="2"/>
    <x v="1"/>
    <n v="1"/>
    <s v=""/>
  </r>
  <r>
    <x v="12"/>
    <x v="1"/>
    <x v="2"/>
    <x v="119"/>
    <x v="1"/>
    <x v="4"/>
    <n v="0"/>
    <m/>
  </r>
  <r>
    <x v="12"/>
    <x v="2"/>
    <x v="0"/>
    <x v="120"/>
    <x v="1"/>
    <x v="4"/>
    <n v="0"/>
    <m/>
  </r>
  <r>
    <x v="12"/>
    <x v="2"/>
    <x v="0"/>
    <x v="121"/>
    <x v="1"/>
    <x v="4"/>
    <n v="0"/>
    <m/>
  </r>
  <r>
    <x v="12"/>
    <x v="2"/>
    <x v="0"/>
    <x v="122"/>
    <x v="1"/>
    <x v="4"/>
    <n v="0"/>
    <m/>
  </r>
  <r>
    <x v="12"/>
    <x v="2"/>
    <x v="0"/>
    <x v="123"/>
    <x v="4"/>
    <x v="3"/>
    <s v=""/>
    <s v="plaque absente"/>
  </r>
  <r>
    <x v="12"/>
    <x v="2"/>
    <x v="0"/>
    <x v="124"/>
    <x v="3"/>
    <x v="0"/>
    <n v="1"/>
    <s v=""/>
  </r>
  <r>
    <x v="12"/>
    <x v="2"/>
    <x v="0"/>
    <x v="125"/>
    <x v="1"/>
    <x v="4"/>
    <n v="0"/>
    <m/>
  </r>
  <r>
    <x v="12"/>
    <x v="2"/>
    <x v="0"/>
    <x v="126"/>
    <x v="1"/>
    <x v="4"/>
    <n v="0"/>
    <m/>
  </r>
  <r>
    <x v="12"/>
    <x v="2"/>
    <x v="0"/>
    <x v="127"/>
    <x v="1"/>
    <x v="4"/>
    <n v="0"/>
    <m/>
  </r>
  <r>
    <x v="12"/>
    <x v="2"/>
    <x v="0"/>
    <x v="128"/>
    <x v="1"/>
    <x v="4"/>
    <n v="0"/>
    <m/>
  </r>
  <r>
    <x v="12"/>
    <x v="2"/>
    <x v="0"/>
    <x v="129"/>
    <x v="1"/>
    <x v="4"/>
    <n v="0"/>
    <m/>
  </r>
  <r>
    <x v="12"/>
    <x v="2"/>
    <x v="0"/>
    <x v="130"/>
    <x v="1"/>
    <x v="4"/>
    <n v="0"/>
    <m/>
  </r>
  <r>
    <x v="12"/>
    <x v="2"/>
    <x v="0"/>
    <x v="131"/>
    <x v="1"/>
    <x v="4"/>
    <n v="0"/>
    <m/>
  </r>
  <r>
    <x v="12"/>
    <x v="2"/>
    <x v="0"/>
    <x v="132"/>
    <x v="1"/>
    <x v="4"/>
    <n v="0"/>
    <m/>
  </r>
  <r>
    <x v="12"/>
    <x v="2"/>
    <x v="0"/>
    <x v="133"/>
    <x v="3"/>
    <x v="1"/>
    <n v="1"/>
    <s v=""/>
  </r>
  <r>
    <x v="12"/>
    <x v="2"/>
    <x v="0"/>
    <x v="134"/>
    <x v="1"/>
    <x v="4"/>
    <n v="0"/>
    <m/>
  </r>
  <r>
    <x v="12"/>
    <x v="2"/>
    <x v="0"/>
    <x v="135"/>
    <x v="1"/>
    <x v="4"/>
    <n v="0"/>
    <m/>
  </r>
  <r>
    <x v="12"/>
    <x v="2"/>
    <x v="0"/>
    <x v="136"/>
    <x v="1"/>
    <x v="4"/>
    <n v="0"/>
    <m/>
  </r>
  <r>
    <x v="12"/>
    <x v="2"/>
    <x v="0"/>
    <x v="137"/>
    <x v="1"/>
    <x v="4"/>
    <n v="0"/>
    <m/>
  </r>
  <r>
    <x v="12"/>
    <x v="2"/>
    <x v="0"/>
    <x v="138"/>
    <x v="1"/>
    <x v="4"/>
    <n v="0"/>
    <m/>
  </r>
  <r>
    <x v="12"/>
    <x v="2"/>
    <x v="0"/>
    <x v="139"/>
    <x v="4"/>
    <x v="3"/>
    <s v=""/>
    <s v="plaque absente"/>
  </r>
  <r>
    <x v="12"/>
    <x v="2"/>
    <x v="1"/>
    <x v="140"/>
    <x v="1"/>
    <x v="4"/>
    <n v="0"/>
    <m/>
  </r>
  <r>
    <x v="12"/>
    <x v="2"/>
    <x v="1"/>
    <x v="141"/>
    <x v="5"/>
    <x v="0"/>
    <n v="1"/>
    <s v=""/>
  </r>
  <r>
    <x v="12"/>
    <x v="2"/>
    <x v="1"/>
    <x v="142"/>
    <x v="1"/>
    <x v="4"/>
    <n v="0"/>
    <m/>
  </r>
  <r>
    <x v="12"/>
    <x v="2"/>
    <x v="1"/>
    <x v="143"/>
    <x v="3"/>
    <x v="2"/>
    <n v="1"/>
    <s v=""/>
  </r>
  <r>
    <x v="12"/>
    <x v="2"/>
    <x v="1"/>
    <x v="143"/>
    <x v="2"/>
    <x v="0"/>
    <n v="1"/>
    <s v=""/>
  </r>
  <r>
    <x v="12"/>
    <x v="2"/>
    <x v="1"/>
    <x v="143"/>
    <x v="5"/>
    <x v="0"/>
    <n v="1"/>
    <s v=""/>
  </r>
  <r>
    <x v="12"/>
    <x v="2"/>
    <x v="1"/>
    <x v="144"/>
    <x v="3"/>
    <x v="1"/>
    <n v="1"/>
    <s v=""/>
  </r>
  <r>
    <x v="12"/>
    <x v="2"/>
    <x v="1"/>
    <x v="144"/>
    <x v="5"/>
    <x v="1"/>
    <n v="2"/>
    <s v=""/>
  </r>
  <r>
    <x v="12"/>
    <x v="2"/>
    <x v="1"/>
    <x v="145"/>
    <x v="1"/>
    <x v="4"/>
    <n v="0"/>
    <m/>
  </r>
  <r>
    <x v="12"/>
    <x v="2"/>
    <x v="1"/>
    <x v="146"/>
    <x v="3"/>
    <x v="0"/>
    <n v="2"/>
    <s v=""/>
  </r>
  <r>
    <x v="12"/>
    <x v="2"/>
    <x v="1"/>
    <x v="147"/>
    <x v="1"/>
    <x v="4"/>
    <n v="0"/>
    <m/>
  </r>
  <r>
    <x v="12"/>
    <x v="2"/>
    <x v="1"/>
    <x v="148"/>
    <x v="0"/>
    <x v="0"/>
    <n v="1"/>
    <s v=""/>
  </r>
  <r>
    <x v="12"/>
    <x v="2"/>
    <x v="1"/>
    <x v="149"/>
    <x v="1"/>
    <x v="4"/>
    <n v="0"/>
    <m/>
  </r>
  <r>
    <x v="12"/>
    <x v="2"/>
    <x v="1"/>
    <x v="150"/>
    <x v="1"/>
    <x v="4"/>
    <n v="0"/>
    <m/>
  </r>
  <r>
    <x v="12"/>
    <x v="2"/>
    <x v="1"/>
    <x v="151"/>
    <x v="1"/>
    <x v="4"/>
    <n v="0"/>
    <m/>
  </r>
  <r>
    <x v="12"/>
    <x v="2"/>
    <x v="1"/>
    <x v="152"/>
    <x v="1"/>
    <x v="4"/>
    <n v="0"/>
    <m/>
  </r>
  <r>
    <x v="12"/>
    <x v="2"/>
    <x v="1"/>
    <x v="153"/>
    <x v="3"/>
    <x v="1"/>
    <n v="1"/>
    <s v=""/>
  </r>
  <r>
    <x v="12"/>
    <x v="2"/>
    <x v="1"/>
    <x v="154"/>
    <x v="2"/>
    <x v="0"/>
    <n v="2"/>
    <s v=""/>
  </r>
  <r>
    <x v="12"/>
    <x v="2"/>
    <x v="1"/>
    <x v="154"/>
    <x v="5"/>
    <x v="0"/>
    <n v="1"/>
    <s v=""/>
  </r>
  <r>
    <x v="12"/>
    <x v="2"/>
    <x v="1"/>
    <x v="155"/>
    <x v="1"/>
    <x v="4"/>
    <n v="0"/>
    <m/>
  </r>
  <r>
    <x v="12"/>
    <x v="2"/>
    <x v="1"/>
    <x v="156"/>
    <x v="1"/>
    <x v="4"/>
    <n v="0"/>
    <m/>
  </r>
  <r>
    <x v="12"/>
    <x v="2"/>
    <x v="1"/>
    <x v="157"/>
    <x v="1"/>
    <x v="4"/>
    <n v="0"/>
    <m/>
  </r>
  <r>
    <x v="12"/>
    <x v="2"/>
    <x v="1"/>
    <x v="158"/>
    <x v="5"/>
    <x v="0"/>
    <n v="2"/>
    <s v=""/>
  </r>
  <r>
    <x v="12"/>
    <x v="2"/>
    <x v="1"/>
    <x v="159"/>
    <x v="4"/>
    <x v="3"/>
    <s v=""/>
    <s v="plaque absente"/>
  </r>
  <r>
    <x v="12"/>
    <x v="2"/>
    <x v="2"/>
    <x v="160"/>
    <x v="2"/>
    <x v="0"/>
    <n v="1"/>
    <s v=""/>
  </r>
  <r>
    <x v="12"/>
    <x v="2"/>
    <x v="2"/>
    <x v="161"/>
    <x v="1"/>
    <x v="4"/>
    <n v="0"/>
    <m/>
  </r>
  <r>
    <x v="12"/>
    <x v="2"/>
    <x v="2"/>
    <x v="162"/>
    <x v="1"/>
    <x v="4"/>
    <n v="0"/>
    <m/>
  </r>
  <r>
    <x v="12"/>
    <x v="2"/>
    <x v="2"/>
    <x v="163"/>
    <x v="1"/>
    <x v="4"/>
    <n v="0"/>
    <m/>
  </r>
  <r>
    <x v="12"/>
    <x v="2"/>
    <x v="2"/>
    <x v="164"/>
    <x v="2"/>
    <x v="1"/>
    <n v="1"/>
    <s v=""/>
  </r>
  <r>
    <x v="12"/>
    <x v="2"/>
    <x v="2"/>
    <x v="165"/>
    <x v="1"/>
    <x v="4"/>
    <n v="0"/>
    <m/>
  </r>
  <r>
    <x v="12"/>
    <x v="2"/>
    <x v="2"/>
    <x v="166"/>
    <x v="1"/>
    <x v="4"/>
    <n v="0"/>
    <m/>
  </r>
  <r>
    <x v="12"/>
    <x v="2"/>
    <x v="2"/>
    <x v="167"/>
    <x v="1"/>
    <x v="4"/>
    <n v="0"/>
    <m/>
  </r>
  <r>
    <x v="12"/>
    <x v="2"/>
    <x v="2"/>
    <x v="168"/>
    <x v="5"/>
    <x v="2"/>
    <n v="1"/>
    <s v=""/>
  </r>
  <r>
    <x v="12"/>
    <x v="2"/>
    <x v="2"/>
    <x v="169"/>
    <x v="1"/>
    <x v="4"/>
    <n v="0"/>
    <m/>
  </r>
  <r>
    <x v="12"/>
    <x v="2"/>
    <x v="2"/>
    <x v="170"/>
    <x v="2"/>
    <x v="0"/>
    <n v="1"/>
    <s v=""/>
  </r>
  <r>
    <x v="12"/>
    <x v="2"/>
    <x v="2"/>
    <x v="171"/>
    <x v="1"/>
    <x v="4"/>
    <n v="0"/>
    <m/>
  </r>
  <r>
    <x v="12"/>
    <x v="2"/>
    <x v="2"/>
    <x v="172"/>
    <x v="1"/>
    <x v="4"/>
    <n v="0"/>
    <m/>
  </r>
  <r>
    <x v="12"/>
    <x v="2"/>
    <x v="2"/>
    <x v="173"/>
    <x v="1"/>
    <x v="4"/>
    <n v="0"/>
    <m/>
  </r>
  <r>
    <x v="12"/>
    <x v="2"/>
    <x v="2"/>
    <x v="174"/>
    <x v="1"/>
    <x v="4"/>
    <n v="0"/>
    <m/>
  </r>
  <r>
    <x v="12"/>
    <x v="2"/>
    <x v="2"/>
    <x v="175"/>
    <x v="2"/>
    <x v="1"/>
    <n v="1"/>
    <s v=""/>
  </r>
  <r>
    <x v="12"/>
    <x v="2"/>
    <x v="2"/>
    <x v="176"/>
    <x v="3"/>
    <x v="0"/>
    <n v="2"/>
    <s v=""/>
  </r>
  <r>
    <x v="12"/>
    <x v="2"/>
    <x v="2"/>
    <x v="177"/>
    <x v="2"/>
    <x v="0"/>
    <n v="1"/>
    <s v=""/>
  </r>
  <r>
    <x v="12"/>
    <x v="2"/>
    <x v="2"/>
    <x v="178"/>
    <x v="4"/>
    <x v="3"/>
    <s v=""/>
    <s v="plaque absente"/>
  </r>
  <r>
    <x v="12"/>
    <x v="2"/>
    <x v="2"/>
    <x v="179"/>
    <x v="4"/>
    <x v="3"/>
    <s v=""/>
    <s v="plaque absente"/>
  </r>
  <r>
    <x v="13"/>
    <x v="0"/>
    <x v="0"/>
    <x v="0"/>
    <x v="3"/>
    <x v="0"/>
    <n v="1"/>
    <s v=""/>
  </r>
  <r>
    <x v="13"/>
    <x v="0"/>
    <x v="0"/>
    <x v="0"/>
    <x v="2"/>
    <x v="0"/>
    <n v="11"/>
    <s v=""/>
  </r>
  <r>
    <x v="13"/>
    <x v="0"/>
    <x v="0"/>
    <x v="16"/>
    <x v="2"/>
    <x v="0"/>
    <n v="3"/>
    <s v=""/>
  </r>
  <r>
    <x v="13"/>
    <x v="0"/>
    <x v="0"/>
    <x v="15"/>
    <x v="2"/>
    <x v="2"/>
    <n v="1"/>
    <s v=""/>
  </r>
  <r>
    <x v="13"/>
    <x v="0"/>
    <x v="0"/>
    <x v="17"/>
    <x v="1"/>
    <x v="4"/>
    <n v="0"/>
    <m/>
  </r>
  <r>
    <x v="13"/>
    <x v="0"/>
    <x v="0"/>
    <x v="14"/>
    <x v="2"/>
    <x v="1"/>
    <n v="2"/>
    <s v=""/>
  </r>
  <r>
    <x v="13"/>
    <x v="0"/>
    <x v="0"/>
    <x v="14"/>
    <x v="2"/>
    <x v="0"/>
    <n v="1"/>
    <s v=""/>
  </r>
  <r>
    <x v="13"/>
    <x v="0"/>
    <x v="0"/>
    <x v="14"/>
    <x v="5"/>
    <x v="0"/>
    <n v="2"/>
    <s v=""/>
  </r>
  <r>
    <x v="13"/>
    <x v="0"/>
    <x v="0"/>
    <x v="18"/>
    <x v="4"/>
    <x v="3"/>
    <s v=""/>
    <s v="plaque absente"/>
  </r>
  <r>
    <x v="13"/>
    <x v="0"/>
    <x v="0"/>
    <x v="13"/>
    <x v="2"/>
    <x v="0"/>
    <n v="1"/>
    <s v=""/>
  </r>
  <r>
    <x v="13"/>
    <x v="0"/>
    <x v="0"/>
    <x v="13"/>
    <x v="2"/>
    <x v="2"/>
    <n v="1"/>
    <s v=""/>
  </r>
  <r>
    <x v="13"/>
    <x v="0"/>
    <x v="0"/>
    <x v="19"/>
    <x v="1"/>
    <x v="4"/>
    <n v="0"/>
    <m/>
  </r>
  <r>
    <x v="13"/>
    <x v="0"/>
    <x v="0"/>
    <x v="20"/>
    <x v="2"/>
    <x v="0"/>
    <n v="1"/>
    <s v=""/>
  </r>
  <r>
    <x v="13"/>
    <x v="0"/>
    <x v="0"/>
    <x v="12"/>
    <x v="0"/>
    <x v="0"/>
    <n v="1"/>
    <s v=""/>
  </r>
  <r>
    <x v="13"/>
    <x v="0"/>
    <x v="0"/>
    <x v="12"/>
    <x v="2"/>
    <x v="1"/>
    <n v="1"/>
    <s v=""/>
  </r>
  <r>
    <x v="13"/>
    <x v="0"/>
    <x v="0"/>
    <x v="12"/>
    <x v="2"/>
    <x v="2"/>
    <n v="1"/>
    <s v=""/>
  </r>
  <r>
    <x v="13"/>
    <x v="0"/>
    <x v="0"/>
    <x v="21"/>
    <x v="2"/>
    <x v="1"/>
    <n v="4"/>
    <s v=""/>
  </r>
  <r>
    <x v="13"/>
    <x v="0"/>
    <x v="0"/>
    <x v="22"/>
    <x v="2"/>
    <x v="0"/>
    <n v="1"/>
    <s v=""/>
  </r>
  <r>
    <x v="13"/>
    <x v="0"/>
    <x v="0"/>
    <x v="23"/>
    <x v="2"/>
    <x v="2"/>
    <n v="1"/>
    <s v=""/>
  </r>
  <r>
    <x v="13"/>
    <x v="0"/>
    <x v="0"/>
    <x v="24"/>
    <x v="3"/>
    <x v="2"/>
    <n v="1"/>
    <s v=""/>
  </r>
  <r>
    <x v="13"/>
    <x v="0"/>
    <x v="0"/>
    <x v="24"/>
    <x v="0"/>
    <x v="0"/>
    <n v="1"/>
    <s v=""/>
  </r>
  <r>
    <x v="13"/>
    <x v="0"/>
    <x v="0"/>
    <x v="24"/>
    <x v="2"/>
    <x v="1"/>
    <n v="1"/>
    <s v=""/>
  </r>
  <r>
    <x v="13"/>
    <x v="0"/>
    <x v="0"/>
    <x v="24"/>
    <x v="2"/>
    <x v="0"/>
    <n v="1"/>
    <s v=""/>
  </r>
  <r>
    <x v="13"/>
    <x v="0"/>
    <x v="0"/>
    <x v="24"/>
    <x v="2"/>
    <x v="2"/>
    <n v="2"/>
    <s v=""/>
  </r>
  <r>
    <x v="13"/>
    <x v="0"/>
    <x v="0"/>
    <x v="25"/>
    <x v="2"/>
    <x v="0"/>
    <n v="1"/>
    <s v=""/>
  </r>
  <r>
    <x v="13"/>
    <x v="0"/>
    <x v="0"/>
    <x v="25"/>
    <x v="2"/>
    <x v="2"/>
    <n v="1"/>
    <s v=""/>
  </r>
  <r>
    <x v="13"/>
    <x v="0"/>
    <x v="0"/>
    <x v="26"/>
    <x v="2"/>
    <x v="1"/>
    <n v="1"/>
    <s v=""/>
  </r>
  <r>
    <x v="13"/>
    <x v="0"/>
    <x v="0"/>
    <x v="26"/>
    <x v="2"/>
    <x v="0"/>
    <n v="1"/>
    <s v=""/>
  </r>
  <r>
    <x v="13"/>
    <x v="0"/>
    <x v="0"/>
    <x v="26"/>
    <x v="2"/>
    <x v="2"/>
    <n v="2"/>
    <s v=""/>
  </r>
  <r>
    <x v="13"/>
    <x v="0"/>
    <x v="0"/>
    <x v="27"/>
    <x v="2"/>
    <x v="1"/>
    <n v="1"/>
    <s v=""/>
  </r>
  <r>
    <x v="13"/>
    <x v="0"/>
    <x v="0"/>
    <x v="27"/>
    <x v="2"/>
    <x v="0"/>
    <n v="2"/>
    <s v=""/>
  </r>
  <r>
    <x v="13"/>
    <x v="0"/>
    <x v="0"/>
    <x v="28"/>
    <x v="3"/>
    <x v="0"/>
    <n v="1"/>
    <s v=""/>
  </r>
  <r>
    <x v="13"/>
    <x v="0"/>
    <x v="0"/>
    <x v="28"/>
    <x v="2"/>
    <x v="0"/>
    <n v="2"/>
    <s v=""/>
  </r>
  <r>
    <x v="13"/>
    <x v="0"/>
    <x v="0"/>
    <x v="11"/>
    <x v="2"/>
    <x v="2"/>
    <n v="1"/>
    <s v=""/>
  </r>
  <r>
    <x v="13"/>
    <x v="0"/>
    <x v="0"/>
    <x v="29"/>
    <x v="4"/>
    <x v="3"/>
    <s v=""/>
    <s v="plaque absente"/>
  </r>
  <r>
    <x v="13"/>
    <x v="0"/>
    <x v="1"/>
    <x v="30"/>
    <x v="4"/>
    <x v="3"/>
    <s v=""/>
    <s v="plaque absente"/>
  </r>
  <r>
    <x v="13"/>
    <x v="0"/>
    <x v="1"/>
    <x v="31"/>
    <x v="4"/>
    <x v="3"/>
    <s v=""/>
    <s v="plaque absente"/>
  </r>
  <r>
    <x v="13"/>
    <x v="0"/>
    <x v="1"/>
    <x v="32"/>
    <x v="2"/>
    <x v="0"/>
    <n v="7"/>
    <s v=""/>
  </r>
  <r>
    <x v="13"/>
    <x v="0"/>
    <x v="1"/>
    <x v="33"/>
    <x v="2"/>
    <x v="1"/>
    <n v="2"/>
    <s v=""/>
  </r>
  <r>
    <x v="13"/>
    <x v="0"/>
    <x v="1"/>
    <x v="10"/>
    <x v="1"/>
    <x v="4"/>
    <n v="0"/>
    <m/>
  </r>
  <r>
    <x v="13"/>
    <x v="0"/>
    <x v="1"/>
    <x v="34"/>
    <x v="2"/>
    <x v="2"/>
    <n v="2"/>
    <s v=""/>
  </r>
  <r>
    <x v="13"/>
    <x v="0"/>
    <x v="1"/>
    <x v="35"/>
    <x v="4"/>
    <x v="3"/>
    <s v=""/>
    <s v="plaque absente"/>
  </r>
  <r>
    <x v="13"/>
    <x v="0"/>
    <x v="1"/>
    <x v="36"/>
    <x v="3"/>
    <x v="0"/>
    <n v="1"/>
    <s v=""/>
  </r>
  <r>
    <x v="13"/>
    <x v="0"/>
    <x v="1"/>
    <x v="36"/>
    <x v="2"/>
    <x v="0"/>
    <n v="3"/>
    <s v=""/>
  </r>
  <r>
    <x v="13"/>
    <x v="0"/>
    <x v="1"/>
    <x v="36"/>
    <x v="2"/>
    <x v="2"/>
    <n v="1"/>
    <s v=""/>
  </r>
  <r>
    <x v="13"/>
    <x v="0"/>
    <x v="1"/>
    <x v="37"/>
    <x v="2"/>
    <x v="1"/>
    <n v="2"/>
    <s v=""/>
  </r>
  <r>
    <x v="13"/>
    <x v="0"/>
    <x v="1"/>
    <x v="37"/>
    <x v="2"/>
    <x v="0"/>
    <n v="1"/>
    <s v=""/>
  </r>
  <r>
    <x v="13"/>
    <x v="0"/>
    <x v="1"/>
    <x v="9"/>
    <x v="1"/>
    <x v="0"/>
    <n v="1"/>
    <s v=""/>
  </r>
  <r>
    <x v="13"/>
    <x v="0"/>
    <x v="1"/>
    <x v="9"/>
    <x v="2"/>
    <x v="0"/>
    <n v="3"/>
    <s v=""/>
  </r>
  <r>
    <x v="13"/>
    <x v="0"/>
    <x v="1"/>
    <x v="38"/>
    <x v="2"/>
    <x v="0"/>
    <n v="2"/>
    <s v=""/>
  </r>
  <r>
    <x v="13"/>
    <x v="0"/>
    <x v="1"/>
    <x v="38"/>
    <x v="5"/>
    <x v="0"/>
    <n v="1"/>
    <s v=""/>
  </r>
  <r>
    <x v="13"/>
    <x v="0"/>
    <x v="1"/>
    <x v="8"/>
    <x v="2"/>
    <x v="1"/>
    <n v="1"/>
    <s v=""/>
  </r>
  <r>
    <x v="13"/>
    <x v="0"/>
    <x v="1"/>
    <x v="8"/>
    <x v="2"/>
    <x v="0"/>
    <n v="3"/>
    <s v=""/>
  </r>
  <r>
    <x v="13"/>
    <x v="0"/>
    <x v="1"/>
    <x v="39"/>
    <x v="1"/>
    <x v="4"/>
    <n v="0"/>
    <m/>
  </r>
  <r>
    <x v="13"/>
    <x v="0"/>
    <x v="1"/>
    <x v="7"/>
    <x v="1"/>
    <x v="4"/>
    <n v="0"/>
    <m/>
  </r>
  <r>
    <x v="13"/>
    <x v="0"/>
    <x v="1"/>
    <x v="6"/>
    <x v="5"/>
    <x v="1"/>
    <n v="1"/>
    <s v=""/>
  </r>
  <r>
    <x v="13"/>
    <x v="0"/>
    <x v="1"/>
    <x v="40"/>
    <x v="2"/>
    <x v="1"/>
    <n v="1"/>
    <s v=""/>
  </r>
  <r>
    <x v="13"/>
    <x v="0"/>
    <x v="1"/>
    <x v="40"/>
    <x v="5"/>
    <x v="2"/>
    <n v="1"/>
    <s v=""/>
  </r>
  <r>
    <x v="13"/>
    <x v="0"/>
    <x v="1"/>
    <x v="41"/>
    <x v="2"/>
    <x v="1"/>
    <n v="3"/>
    <s v=""/>
  </r>
  <r>
    <x v="13"/>
    <x v="0"/>
    <x v="1"/>
    <x v="41"/>
    <x v="2"/>
    <x v="2"/>
    <n v="2"/>
    <s v=""/>
  </r>
  <r>
    <x v="13"/>
    <x v="0"/>
    <x v="1"/>
    <x v="42"/>
    <x v="2"/>
    <x v="0"/>
    <n v="3"/>
    <s v=""/>
  </r>
  <r>
    <x v="13"/>
    <x v="0"/>
    <x v="1"/>
    <x v="5"/>
    <x v="4"/>
    <x v="3"/>
    <s v=""/>
    <s v="plaque absente"/>
  </r>
  <r>
    <x v="13"/>
    <x v="0"/>
    <x v="1"/>
    <x v="43"/>
    <x v="4"/>
    <x v="3"/>
    <s v=""/>
    <s v="plaque absente"/>
  </r>
  <r>
    <x v="13"/>
    <x v="0"/>
    <x v="2"/>
    <x v="44"/>
    <x v="4"/>
    <x v="3"/>
    <s v=""/>
    <s v="plaque absente"/>
  </r>
  <r>
    <x v="13"/>
    <x v="0"/>
    <x v="2"/>
    <x v="45"/>
    <x v="1"/>
    <x v="4"/>
    <n v="0"/>
    <m/>
  </r>
  <r>
    <x v="13"/>
    <x v="0"/>
    <x v="2"/>
    <x v="46"/>
    <x v="1"/>
    <x v="4"/>
    <n v="0"/>
    <m/>
  </r>
  <r>
    <x v="13"/>
    <x v="0"/>
    <x v="2"/>
    <x v="4"/>
    <x v="1"/>
    <x v="4"/>
    <n v="0"/>
    <m/>
  </r>
  <r>
    <x v="13"/>
    <x v="0"/>
    <x v="2"/>
    <x v="47"/>
    <x v="2"/>
    <x v="1"/>
    <n v="1"/>
    <s v=""/>
  </r>
  <r>
    <x v="13"/>
    <x v="0"/>
    <x v="2"/>
    <x v="48"/>
    <x v="1"/>
    <x v="4"/>
    <n v="0"/>
    <m/>
  </r>
  <r>
    <x v="13"/>
    <x v="0"/>
    <x v="2"/>
    <x v="49"/>
    <x v="2"/>
    <x v="0"/>
    <n v="1"/>
    <s v=""/>
  </r>
  <r>
    <x v="13"/>
    <x v="0"/>
    <x v="2"/>
    <x v="50"/>
    <x v="2"/>
    <x v="0"/>
    <n v="5"/>
    <s v=""/>
  </r>
  <r>
    <x v="13"/>
    <x v="0"/>
    <x v="2"/>
    <x v="3"/>
    <x v="1"/>
    <x v="4"/>
    <n v="0"/>
    <m/>
  </r>
  <r>
    <x v="13"/>
    <x v="0"/>
    <x v="2"/>
    <x v="51"/>
    <x v="2"/>
    <x v="2"/>
    <n v="2"/>
    <s v=""/>
  </r>
  <r>
    <x v="13"/>
    <x v="0"/>
    <x v="2"/>
    <x v="51"/>
    <x v="5"/>
    <x v="2"/>
    <n v="1"/>
    <s v=""/>
  </r>
  <r>
    <x v="13"/>
    <x v="0"/>
    <x v="2"/>
    <x v="2"/>
    <x v="1"/>
    <x v="4"/>
    <n v="0"/>
    <m/>
  </r>
  <r>
    <x v="13"/>
    <x v="0"/>
    <x v="2"/>
    <x v="52"/>
    <x v="2"/>
    <x v="1"/>
    <n v="1"/>
    <s v=""/>
  </r>
  <r>
    <x v="13"/>
    <x v="0"/>
    <x v="2"/>
    <x v="52"/>
    <x v="2"/>
    <x v="2"/>
    <n v="1"/>
    <s v=""/>
  </r>
  <r>
    <x v="13"/>
    <x v="0"/>
    <x v="2"/>
    <x v="52"/>
    <x v="5"/>
    <x v="0"/>
    <n v="1"/>
    <s v=""/>
  </r>
  <r>
    <x v="13"/>
    <x v="0"/>
    <x v="2"/>
    <x v="53"/>
    <x v="1"/>
    <x v="1"/>
    <n v="1"/>
    <s v=""/>
  </r>
  <r>
    <x v="13"/>
    <x v="0"/>
    <x v="2"/>
    <x v="54"/>
    <x v="2"/>
    <x v="0"/>
    <n v="1"/>
    <s v=""/>
  </r>
  <r>
    <x v="13"/>
    <x v="0"/>
    <x v="2"/>
    <x v="1"/>
    <x v="3"/>
    <x v="0"/>
    <n v="1"/>
    <s v=""/>
  </r>
  <r>
    <x v="13"/>
    <x v="0"/>
    <x v="2"/>
    <x v="1"/>
    <x v="2"/>
    <x v="1"/>
    <n v="2"/>
    <s v=""/>
  </r>
  <r>
    <x v="13"/>
    <x v="0"/>
    <x v="2"/>
    <x v="1"/>
    <x v="2"/>
    <x v="0"/>
    <n v="2"/>
    <s v=""/>
  </r>
  <r>
    <x v="13"/>
    <x v="0"/>
    <x v="2"/>
    <x v="55"/>
    <x v="2"/>
    <x v="0"/>
    <n v="2"/>
    <s v=""/>
  </r>
  <r>
    <x v="13"/>
    <x v="0"/>
    <x v="2"/>
    <x v="55"/>
    <x v="5"/>
    <x v="0"/>
    <n v="1"/>
    <s v=""/>
  </r>
  <r>
    <x v="13"/>
    <x v="0"/>
    <x v="2"/>
    <x v="56"/>
    <x v="1"/>
    <x v="4"/>
    <n v="0"/>
    <m/>
  </r>
  <r>
    <x v="13"/>
    <x v="0"/>
    <x v="2"/>
    <x v="57"/>
    <x v="4"/>
    <x v="3"/>
    <s v=""/>
    <s v="plaque absente"/>
  </r>
  <r>
    <x v="13"/>
    <x v="0"/>
    <x v="2"/>
    <x v="58"/>
    <x v="1"/>
    <x v="4"/>
    <n v="0"/>
    <m/>
  </r>
  <r>
    <x v="13"/>
    <x v="0"/>
    <x v="2"/>
    <x v="59"/>
    <x v="2"/>
    <x v="1"/>
    <n v="1"/>
    <s v=""/>
  </r>
  <r>
    <x v="13"/>
    <x v="1"/>
    <x v="0"/>
    <x v="60"/>
    <x v="2"/>
    <x v="0"/>
    <n v="1"/>
    <s v=""/>
  </r>
  <r>
    <x v="13"/>
    <x v="1"/>
    <x v="0"/>
    <x v="61"/>
    <x v="2"/>
    <x v="1"/>
    <n v="1"/>
    <s v=""/>
  </r>
  <r>
    <x v="13"/>
    <x v="1"/>
    <x v="0"/>
    <x v="61"/>
    <x v="2"/>
    <x v="0"/>
    <n v="2"/>
    <s v=""/>
  </r>
  <r>
    <x v="13"/>
    <x v="1"/>
    <x v="0"/>
    <x v="62"/>
    <x v="2"/>
    <x v="0"/>
    <n v="3"/>
    <s v=""/>
  </r>
  <r>
    <x v="13"/>
    <x v="1"/>
    <x v="0"/>
    <x v="63"/>
    <x v="2"/>
    <x v="1"/>
    <n v="3"/>
    <s v=""/>
  </r>
  <r>
    <x v="13"/>
    <x v="1"/>
    <x v="0"/>
    <x v="64"/>
    <x v="2"/>
    <x v="1"/>
    <n v="1"/>
    <s v=""/>
  </r>
  <r>
    <x v="13"/>
    <x v="1"/>
    <x v="0"/>
    <x v="64"/>
    <x v="2"/>
    <x v="0"/>
    <n v="2"/>
    <s v=""/>
  </r>
  <r>
    <x v="13"/>
    <x v="1"/>
    <x v="0"/>
    <x v="65"/>
    <x v="4"/>
    <x v="3"/>
    <s v=""/>
    <s v="plaque absente"/>
  </r>
  <r>
    <x v="13"/>
    <x v="1"/>
    <x v="0"/>
    <x v="66"/>
    <x v="4"/>
    <x v="3"/>
    <s v=""/>
    <s v="plaque absente"/>
  </r>
  <r>
    <x v="13"/>
    <x v="1"/>
    <x v="0"/>
    <x v="67"/>
    <x v="1"/>
    <x v="4"/>
    <n v="0"/>
    <m/>
  </r>
  <r>
    <x v="13"/>
    <x v="1"/>
    <x v="0"/>
    <x v="68"/>
    <x v="2"/>
    <x v="0"/>
    <n v="1"/>
    <s v=""/>
  </r>
  <r>
    <x v="13"/>
    <x v="1"/>
    <x v="0"/>
    <x v="69"/>
    <x v="2"/>
    <x v="0"/>
    <n v="5"/>
    <s v=""/>
  </r>
  <r>
    <x v="13"/>
    <x v="1"/>
    <x v="0"/>
    <x v="70"/>
    <x v="0"/>
    <x v="0"/>
    <n v="1"/>
    <s v=""/>
  </r>
  <r>
    <x v="13"/>
    <x v="1"/>
    <x v="0"/>
    <x v="70"/>
    <x v="2"/>
    <x v="0"/>
    <n v="2"/>
    <s v=""/>
  </r>
  <r>
    <x v="13"/>
    <x v="1"/>
    <x v="0"/>
    <x v="71"/>
    <x v="4"/>
    <x v="3"/>
    <s v=""/>
    <s v="plaque absente"/>
  </r>
  <r>
    <x v="13"/>
    <x v="1"/>
    <x v="0"/>
    <x v="72"/>
    <x v="2"/>
    <x v="0"/>
    <n v="3"/>
    <s v=""/>
  </r>
  <r>
    <x v="13"/>
    <x v="1"/>
    <x v="0"/>
    <x v="73"/>
    <x v="4"/>
    <x v="3"/>
    <s v=""/>
    <s v="plaque absente"/>
  </r>
  <r>
    <x v="13"/>
    <x v="1"/>
    <x v="0"/>
    <x v="74"/>
    <x v="2"/>
    <x v="1"/>
    <n v="1"/>
    <s v=""/>
  </r>
  <r>
    <x v="13"/>
    <x v="1"/>
    <x v="0"/>
    <x v="74"/>
    <x v="2"/>
    <x v="0"/>
    <n v="2"/>
    <s v=""/>
  </r>
  <r>
    <x v="13"/>
    <x v="1"/>
    <x v="0"/>
    <x v="75"/>
    <x v="2"/>
    <x v="2"/>
    <n v="1"/>
    <s v=""/>
  </r>
  <r>
    <x v="13"/>
    <x v="1"/>
    <x v="0"/>
    <x v="76"/>
    <x v="2"/>
    <x v="1"/>
    <n v="1"/>
    <s v=""/>
  </r>
  <r>
    <x v="13"/>
    <x v="1"/>
    <x v="0"/>
    <x v="77"/>
    <x v="2"/>
    <x v="0"/>
    <n v="1"/>
    <s v=""/>
  </r>
  <r>
    <x v="13"/>
    <x v="1"/>
    <x v="0"/>
    <x v="78"/>
    <x v="1"/>
    <x v="4"/>
    <n v="0"/>
    <m/>
  </r>
  <r>
    <x v="13"/>
    <x v="1"/>
    <x v="0"/>
    <x v="79"/>
    <x v="2"/>
    <x v="0"/>
    <n v="18"/>
    <s v=""/>
  </r>
  <r>
    <x v="13"/>
    <x v="1"/>
    <x v="1"/>
    <x v="80"/>
    <x v="2"/>
    <x v="0"/>
    <n v="1"/>
    <s v=""/>
  </r>
  <r>
    <x v="13"/>
    <x v="1"/>
    <x v="1"/>
    <x v="81"/>
    <x v="3"/>
    <x v="1"/>
    <n v="1"/>
    <s v=""/>
  </r>
  <r>
    <x v="13"/>
    <x v="1"/>
    <x v="1"/>
    <x v="82"/>
    <x v="5"/>
    <x v="0"/>
    <n v="1"/>
    <s v=""/>
  </r>
  <r>
    <x v="13"/>
    <x v="1"/>
    <x v="1"/>
    <x v="83"/>
    <x v="1"/>
    <x v="4"/>
    <n v="0"/>
    <m/>
  </r>
  <r>
    <x v="13"/>
    <x v="1"/>
    <x v="1"/>
    <x v="84"/>
    <x v="2"/>
    <x v="0"/>
    <n v="4"/>
    <s v=""/>
  </r>
  <r>
    <x v="13"/>
    <x v="1"/>
    <x v="1"/>
    <x v="84"/>
    <x v="5"/>
    <x v="0"/>
    <n v="4"/>
    <s v=""/>
  </r>
  <r>
    <x v="13"/>
    <x v="1"/>
    <x v="1"/>
    <x v="85"/>
    <x v="4"/>
    <x v="3"/>
    <s v=""/>
    <s v="plaque absente"/>
  </r>
  <r>
    <x v="13"/>
    <x v="1"/>
    <x v="1"/>
    <x v="86"/>
    <x v="5"/>
    <x v="2"/>
    <n v="1"/>
    <s v=""/>
  </r>
  <r>
    <x v="13"/>
    <x v="1"/>
    <x v="1"/>
    <x v="87"/>
    <x v="1"/>
    <x v="4"/>
    <n v="0"/>
    <m/>
  </r>
  <r>
    <x v="13"/>
    <x v="1"/>
    <x v="1"/>
    <x v="88"/>
    <x v="4"/>
    <x v="3"/>
    <s v=""/>
    <s v="plaque absente"/>
  </r>
  <r>
    <x v="13"/>
    <x v="1"/>
    <x v="1"/>
    <x v="89"/>
    <x v="2"/>
    <x v="0"/>
    <n v="1"/>
    <s v=""/>
  </r>
  <r>
    <x v="13"/>
    <x v="1"/>
    <x v="1"/>
    <x v="90"/>
    <x v="4"/>
    <x v="3"/>
    <s v=""/>
    <s v="plaque absente"/>
  </r>
  <r>
    <x v="13"/>
    <x v="1"/>
    <x v="1"/>
    <x v="91"/>
    <x v="2"/>
    <x v="1"/>
    <n v="2"/>
    <s v=""/>
  </r>
  <r>
    <x v="13"/>
    <x v="1"/>
    <x v="1"/>
    <x v="91"/>
    <x v="2"/>
    <x v="0"/>
    <n v="1"/>
    <s v=""/>
  </r>
  <r>
    <x v="13"/>
    <x v="1"/>
    <x v="1"/>
    <x v="92"/>
    <x v="3"/>
    <x v="1"/>
    <n v="1"/>
    <s v=""/>
  </r>
  <r>
    <x v="13"/>
    <x v="1"/>
    <x v="1"/>
    <x v="92"/>
    <x v="2"/>
    <x v="1"/>
    <n v="9"/>
    <s v=""/>
  </r>
  <r>
    <x v="13"/>
    <x v="1"/>
    <x v="1"/>
    <x v="93"/>
    <x v="4"/>
    <x v="3"/>
    <s v=""/>
    <s v="plaque absente"/>
  </r>
  <r>
    <x v="13"/>
    <x v="1"/>
    <x v="1"/>
    <x v="94"/>
    <x v="4"/>
    <x v="3"/>
    <s v=""/>
    <s v="plaque absente"/>
  </r>
  <r>
    <x v="13"/>
    <x v="1"/>
    <x v="1"/>
    <x v="95"/>
    <x v="2"/>
    <x v="1"/>
    <n v="1"/>
    <s v=""/>
  </r>
  <r>
    <x v="13"/>
    <x v="1"/>
    <x v="1"/>
    <x v="95"/>
    <x v="5"/>
    <x v="1"/>
    <n v="1"/>
    <s v=""/>
  </r>
  <r>
    <x v="13"/>
    <x v="1"/>
    <x v="1"/>
    <x v="96"/>
    <x v="1"/>
    <x v="4"/>
    <n v="0"/>
    <m/>
  </r>
  <r>
    <x v="13"/>
    <x v="1"/>
    <x v="1"/>
    <x v="97"/>
    <x v="2"/>
    <x v="0"/>
    <n v="1"/>
    <s v=""/>
  </r>
  <r>
    <x v="13"/>
    <x v="1"/>
    <x v="1"/>
    <x v="98"/>
    <x v="2"/>
    <x v="0"/>
    <n v="1"/>
    <s v=""/>
  </r>
  <r>
    <x v="13"/>
    <x v="1"/>
    <x v="1"/>
    <x v="99"/>
    <x v="1"/>
    <x v="4"/>
    <n v="0"/>
    <m/>
  </r>
  <r>
    <x v="13"/>
    <x v="1"/>
    <x v="2"/>
    <x v="100"/>
    <x v="2"/>
    <x v="1"/>
    <n v="4"/>
    <s v=""/>
  </r>
  <r>
    <x v="13"/>
    <x v="1"/>
    <x v="2"/>
    <x v="100"/>
    <x v="5"/>
    <x v="1"/>
    <n v="1"/>
    <s v=""/>
  </r>
  <r>
    <x v="13"/>
    <x v="1"/>
    <x v="2"/>
    <x v="100"/>
    <x v="5"/>
    <x v="0"/>
    <n v="1"/>
    <s v=""/>
  </r>
  <r>
    <x v="13"/>
    <x v="1"/>
    <x v="2"/>
    <x v="101"/>
    <x v="2"/>
    <x v="1"/>
    <n v="1"/>
    <s v=""/>
  </r>
  <r>
    <x v="13"/>
    <x v="1"/>
    <x v="2"/>
    <x v="101"/>
    <x v="2"/>
    <x v="0"/>
    <n v="1"/>
    <s v=""/>
  </r>
  <r>
    <x v="13"/>
    <x v="1"/>
    <x v="2"/>
    <x v="101"/>
    <x v="2"/>
    <x v="2"/>
    <n v="1"/>
    <s v=""/>
  </r>
  <r>
    <x v="13"/>
    <x v="1"/>
    <x v="2"/>
    <x v="102"/>
    <x v="1"/>
    <x v="1"/>
    <n v="1"/>
    <s v=""/>
  </r>
  <r>
    <x v="13"/>
    <x v="1"/>
    <x v="2"/>
    <x v="102"/>
    <x v="2"/>
    <x v="1"/>
    <n v="1"/>
    <s v=""/>
  </r>
  <r>
    <x v="13"/>
    <x v="1"/>
    <x v="2"/>
    <x v="102"/>
    <x v="5"/>
    <x v="1"/>
    <n v="1"/>
    <s v=""/>
  </r>
  <r>
    <x v="13"/>
    <x v="1"/>
    <x v="2"/>
    <x v="103"/>
    <x v="2"/>
    <x v="0"/>
    <n v="1"/>
    <s v=""/>
  </r>
  <r>
    <x v="13"/>
    <x v="1"/>
    <x v="2"/>
    <x v="104"/>
    <x v="1"/>
    <x v="4"/>
    <n v="0"/>
    <m/>
  </r>
  <r>
    <x v="13"/>
    <x v="1"/>
    <x v="2"/>
    <x v="105"/>
    <x v="5"/>
    <x v="0"/>
    <n v="1"/>
    <s v=""/>
  </r>
  <r>
    <x v="13"/>
    <x v="1"/>
    <x v="2"/>
    <x v="106"/>
    <x v="5"/>
    <x v="2"/>
    <n v="1"/>
    <s v=""/>
  </r>
  <r>
    <x v="13"/>
    <x v="1"/>
    <x v="2"/>
    <x v="107"/>
    <x v="5"/>
    <x v="0"/>
    <n v="2"/>
    <s v=""/>
  </r>
  <r>
    <x v="13"/>
    <x v="1"/>
    <x v="2"/>
    <x v="108"/>
    <x v="2"/>
    <x v="0"/>
    <n v="6"/>
    <s v=""/>
  </r>
  <r>
    <x v="13"/>
    <x v="1"/>
    <x v="2"/>
    <x v="109"/>
    <x v="2"/>
    <x v="0"/>
    <n v="4"/>
    <s v=""/>
  </r>
  <r>
    <x v="13"/>
    <x v="1"/>
    <x v="2"/>
    <x v="109"/>
    <x v="2"/>
    <x v="2"/>
    <n v="1"/>
    <s v=""/>
  </r>
  <r>
    <x v="13"/>
    <x v="1"/>
    <x v="2"/>
    <x v="110"/>
    <x v="2"/>
    <x v="1"/>
    <n v="1"/>
    <s v=""/>
  </r>
  <r>
    <x v="13"/>
    <x v="1"/>
    <x v="2"/>
    <x v="111"/>
    <x v="1"/>
    <x v="4"/>
    <n v="0"/>
    <m/>
  </r>
  <r>
    <x v="13"/>
    <x v="1"/>
    <x v="2"/>
    <x v="112"/>
    <x v="2"/>
    <x v="0"/>
    <n v="2"/>
    <s v=""/>
  </r>
  <r>
    <x v="13"/>
    <x v="1"/>
    <x v="2"/>
    <x v="113"/>
    <x v="2"/>
    <x v="1"/>
    <n v="3"/>
    <s v=""/>
  </r>
  <r>
    <x v="13"/>
    <x v="1"/>
    <x v="2"/>
    <x v="113"/>
    <x v="2"/>
    <x v="2"/>
    <n v="2"/>
    <s v=""/>
  </r>
  <r>
    <x v="13"/>
    <x v="1"/>
    <x v="2"/>
    <x v="114"/>
    <x v="5"/>
    <x v="1"/>
    <n v="1"/>
    <s v=""/>
  </r>
  <r>
    <x v="13"/>
    <x v="1"/>
    <x v="2"/>
    <x v="114"/>
    <x v="5"/>
    <x v="0"/>
    <n v="1"/>
    <s v=""/>
  </r>
  <r>
    <x v="13"/>
    <x v="1"/>
    <x v="2"/>
    <x v="115"/>
    <x v="2"/>
    <x v="2"/>
    <n v="1"/>
    <s v=""/>
  </r>
  <r>
    <x v="13"/>
    <x v="1"/>
    <x v="2"/>
    <x v="116"/>
    <x v="1"/>
    <x v="4"/>
    <n v="0"/>
    <m/>
  </r>
  <r>
    <x v="13"/>
    <x v="1"/>
    <x v="2"/>
    <x v="117"/>
    <x v="1"/>
    <x v="4"/>
    <n v="0"/>
    <m/>
  </r>
  <r>
    <x v="13"/>
    <x v="1"/>
    <x v="2"/>
    <x v="118"/>
    <x v="4"/>
    <x v="3"/>
    <s v=""/>
    <s v="plaque absente"/>
  </r>
  <r>
    <x v="13"/>
    <x v="1"/>
    <x v="2"/>
    <x v="119"/>
    <x v="3"/>
    <x v="1"/>
    <n v="1"/>
    <s v=""/>
  </r>
  <r>
    <x v="13"/>
    <x v="1"/>
    <x v="2"/>
    <x v="119"/>
    <x v="2"/>
    <x v="1"/>
    <n v="13"/>
    <s v=""/>
  </r>
  <r>
    <x v="13"/>
    <x v="1"/>
    <x v="2"/>
    <x v="119"/>
    <x v="2"/>
    <x v="0"/>
    <n v="5"/>
    <s v=""/>
  </r>
  <r>
    <x v="13"/>
    <x v="1"/>
    <x v="2"/>
    <x v="119"/>
    <x v="5"/>
    <x v="1"/>
    <n v="2"/>
    <s v=""/>
  </r>
  <r>
    <x v="13"/>
    <x v="2"/>
    <x v="0"/>
    <x v="120"/>
    <x v="2"/>
    <x v="0"/>
    <n v="1"/>
    <s v=""/>
  </r>
  <r>
    <x v="13"/>
    <x v="2"/>
    <x v="0"/>
    <x v="121"/>
    <x v="4"/>
    <x v="3"/>
    <s v=""/>
    <s v="plaque absente"/>
  </r>
  <r>
    <x v="13"/>
    <x v="2"/>
    <x v="0"/>
    <x v="122"/>
    <x v="4"/>
    <x v="3"/>
    <s v=""/>
    <s v="plaque absente"/>
  </r>
  <r>
    <x v="13"/>
    <x v="2"/>
    <x v="0"/>
    <x v="123"/>
    <x v="4"/>
    <x v="3"/>
    <s v=""/>
    <s v="plaque absente"/>
  </r>
  <r>
    <x v="13"/>
    <x v="2"/>
    <x v="0"/>
    <x v="124"/>
    <x v="2"/>
    <x v="1"/>
    <n v="1"/>
    <s v=""/>
  </r>
  <r>
    <x v="13"/>
    <x v="2"/>
    <x v="0"/>
    <x v="124"/>
    <x v="2"/>
    <x v="2"/>
    <n v="1"/>
    <s v=""/>
  </r>
  <r>
    <x v="13"/>
    <x v="2"/>
    <x v="0"/>
    <x v="125"/>
    <x v="2"/>
    <x v="1"/>
    <n v="1"/>
    <s v=""/>
  </r>
  <r>
    <x v="13"/>
    <x v="2"/>
    <x v="0"/>
    <x v="125"/>
    <x v="2"/>
    <x v="0"/>
    <n v="1"/>
    <s v=""/>
  </r>
  <r>
    <x v="13"/>
    <x v="2"/>
    <x v="0"/>
    <x v="126"/>
    <x v="2"/>
    <x v="1"/>
    <n v="2"/>
    <s v=""/>
  </r>
  <r>
    <x v="13"/>
    <x v="2"/>
    <x v="0"/>
    <x v="126"/>
    <x v="2"/>
    <x v="0"/>
    <n v="9"/>
    <s v=""/>
  </r>
  <r>
    <x v="13"/>
    <x v="2"/>
    <x v="0"/>
    <x v="127"/>
    <x v="2"/>
    <x v="1"/>
    <n v="2"/>
    <s v=""/>
  </r>
  <r>
    <x v="13"/>
    <x v="2"/>
    <x v="0"/>
    <x v="127"/>
    <x v="2"/>
    <x v="0"/>
    <n v="9"/>
    <s v=""/>
  </r>
  <r>
    <x v="13"/>
    <x v="2"/>
    <x v="0"/>
    <x v="128"/>
    <x v="1"/>
    <x v="4"/>
    <n v="0"/>
    <m/>
  </r>
  <r>
    <x v="13"/>
    <x v="2"/>
    <x v="0"/>
    <x v="129"/>
    <x v="2"/>
    <x v="1"/>
    <n v="5"/>
    <s v=""/>
  </r>
  <r>
    <x v="13"/>
    <x v="2"/>
    <x v="0"/>
    <x v="129"/>
    <x v="2"/>
    <x v="0"/>
    <n v="1"/>
    <s v=""/>
  </r>
  <r>
    <x v="13"/>
    <x v="2"/>
    <x v="0"/>
    <x v="130"/>
    <x v="4"/>
    <x v="3"/>
    <s v=""/>
    <s v="plaque absente"/>
  </r>
  <r>
    <x v="13"/>
    <x v="2"/>
    <x v="0"/>
    <x v="131"/>
    <x v="2"/>
    <x v="1"/>
    <n v="1"/>
    <s v=""/>
  </r>
  <r>
    <x v="13"/>
    <x v="2"/>
    <x v="0"/>
    <x v="131"/>
    <x v="2"/>
    <x v="2"/>
    <n v="2"/>
    <s v=""/>
  </r>
  <r>
    <x v="13"/>
    <x v="2"/>
    <x v="0"/>
    <x v="132"/>
    <x v="1"/>
    <x v="4"/>
    <n v="0"/>
    <m/>
  </r>
  <r>
    <x v="13"/>
    <x v="2"/>
    <x v="0"/>
    <x v="133"/>
    <x v="2"/>
    <x v="1"/>
    <n v="1"/>
    <s v=""/>
  </r>
  <r>
    <x v="13"/>
    <x v="2"/>
    <x v="0"/>
    <x v="134"/>
    <x v="1"/>
    <x v="4"/>
    <n v="0"/>
    <m/>
  </r>
  <r>
    <x v="13"/>
    <x v="2"/>
    <x v="0"/>
    <x v="135"/>
    <x v="2"/>
    <x v="1"/>
    <n v="1"/>
    <s v=""/>
  </r>
  <r>
    <x v="13"/>
    <x v="2"/>
    <x v="0"/>
    <x v="135"/>
    <x v="2"/>
    <x v="0"/>
    <n v="2"/>
    <s v=""/>
  </r>
  <r>
    <x v="13"/>
    <x v="2"/>
    <x v="0"/>
    <x v="135"/>
    <x v="2"/>
    <x v="2"/>
    <n v="2"/>
    <s v=""/>
  </r>
  <r>
    <x v="13"/>
    <x v="2"/>
    <x v="0"/>
    <x v="136"/>
    <x v="1"/>
    <x v="4"/>
    <n v="0"/>
    <m/>
  </r>
  <r>
    <x v="13"/>
    <x v="2"/>
    <x v="0"/>
    <x v="137"/>
    <x v="2"/>
    <x v="0"/>
    <n v="1"/>
    <s v=""/>
  </r>
  <r>
    <x v="13"/>
    <x v="2"/>
    <x v="0"/>
    <x v="137"/>
    <x v="2"/>
    <x v="2"/>
    <n v="1"/>
    <s v=""/>
  </r>
  <r>
    <x v="13"/>
    <x v="2"/>
    <x v="0"/>
    <x v="138"/>
    <x v="2"/>
    <x v="0"/>
    <n v="1"/>
    <s v=""/>
  </r>
  <r>
    <x v="13"/>
    <x v="2"/>
    <x v="0"/>
    <x v="139"/>
    <x v="4"/>
    <x v="3"/>
    <s v=""/>
    <s v="plaque absente"/>
  </r>
  <r>
    <x v="13"/>
    <x v="2"/>
    <x v="1"/>
    <x v="140"/>
    <x v="2"/>
    <x v="0"/>
    <n v="1"/>
    <s v=""/>
  </r>
  <r>
    <x v="13"/>
    <x v="2"/>
    <x v="1"/>
    <x v="141"/>
    <x v="1"/>
    <x v="0"/>
    <n v="1"/>
    <s v=""/>
  </r>
  <r>
    <x v="13"/>
    <x v="2"/>
    <x v="1"/>
    <x v="141"/>
    <x v="2"/>
    <x v="0"/>
    <n v="3"/>
    <s v=""/>
  </r>
  <r>
    <x v="13"/>
    <x v="2"/>
    <x v="1"/>
    <x v="141"/>
    <x v="2"/>
    <x v="2"/>
    <s v=" "/>
    <s v=""/>
  </r>
  <r>
    <x v="13"/>
    <x v="2"/>
    <x v="1"/>
    <x v="142"/>
    <x v="3"/>
    <x v="0"/>
    <n v="1"/>
    <s v=""/>
  </r>
  <r>
    <x v="13"/>
    <x v="2"/>
    <x v="1"/>
    <x v="142"/>
    <x v="2"/>
    <x v="0"/>
    <n v="1"/>
    <s v=""/>
  </r>
  <r>
    <x v="13"/>
    <x v="2"/>
    <x v="1"/>
    <x v="142"/>
    <x v="5"/>
    <x v="0"/>
    <n v="1"/>
    <s v=""/>
  </r>
  <r>
    <x v="13"/>
    <x v="2"/>
    <x v="1"/>
    <x v="143"/>
    <x v="1"/>
    <x v="4"/>
    <n v="0"/>
    <m/>
  </r>
  <r>
    <x v="13"/>
    <x v="2"/>
    <x v="1"/>
    <x v="144"/>
    <x v="2"/>
    <x v="1"/>
    <n v="2"/>
    <s v=""/>
  </r>
  <r>
    <x v="13"/>
    <x v="2"/>
    <x v="1"/>
    <x v="145"/>
    <x v="2"/>
    <x v="1"/>
    <n v="1"/>
    <s v=""/>
  </r>
  <r>
    <x v="13"/>
    <x v="2"/>
    <x v="1"/>
    <x v="146"/>
    <x v="2"/>
    <x v="0"/>
    <n v="2"/>
    <s v=""/>
  </r>
  <r>
    <x v="13"/>
    <x v="2"/>
    <x v="1"/>
    <x v="147"/>
    <x v="2"/>
    <x v="1"/>
    <n v="1"/>
    <s v=""/>
  </r>
  <r>
    <x v="13"/>
    <x v="2"/>
    <x v="1"/>
    <x v="147"/>
    <x v="2"/>
    <x v="0"/>
    <n v="2"/>
    <s v=""/>
  </r>
  <r>
    <x v="13"/>
    <x v="2"/>
    <x v="1"/>
    <x v="148"/>
    <x v="2"/>
    <x v="1"/>
    <n v="1"/>
    <s v=""/>
  </r>
  <r>
    <x v="13"/>
    <x v="2"/>
    <x v="1"/>
    <x v="148"/>
    <x v="2"/>
    <x v="0"/>
    <n v="1"/>
    <s v=""/>
  </r>
  <r>
    <x v="13"/>
    <x v="2"/>
    <x v="1"/>
    <x v="149"/>
    <x v="1"/>
    <x v="4"/>
    <n v="0"/>
    <m/>
  </r>
  <r>
    <x v="13"/>
    <x v="2"/>
    <x v="1"/>
    <x v="150"/>
    <x v="2"/>
    <x v="1"/>
    <n v="2"/>
    <s v=""/>
  </r>
  <r>
    <x v="13"/>
    <x v="2"/>
    <x v="1"/>
    <x v="150"/>
    <x v="2"/>
    <x v="0"/>
    <n v="2"/>
    <s v=""/>
  </r>
  <r>
    <x v="13"/>
    <x v="2"/>
    <x v="1"/>
    <x v="151"/>
    <x v="1"/>
    <x v="4"/>
    <n v="0"/>
    <m/>
  </r>
  <r>
    <x v="13"/>
    <x v="2"/>
    <x v="1"/>
    <x v="152"/>
    <x v="2"/>
    <x v="0"/>
    <n v="1"/>
    <s v=""/>
  </r>
  <r>
    <x v="13"/>
    <x v="2"/>
    <x v="1"/>
    <x v="153"/>
    <x v="2"/>
    <x v="1"/>
    <n v="2"/>
    <s v=""/>
  </r>
  <r>
    <x v="13"/>
    <x v="2"/>
    <x v="1"/>
    <x v="154"/>
    <x v="1"/>
    <x v="4"/>
    <n v="0"/>
    <m/>
  </r>
  <r>
    <x v="13"/>
    <x v="2"/>
    <x v="1"/>
    <x v="155"/>
    <x v="4"/>
    <x v="3"/>
    <s v=""/>
    <s v="plaque absente"/>
  </r>
  <r>
    <x v="13"/>
    <x v="2"/>
    <x v="1"/>
    <x v="156"/>
    <x v="4"/>
    <x v="3"/>
    <s v=""/>
    <s v="plaque absente"/>
  </r>
  <r>
    <x v="13"/>
    <x v="2"/>
    <x v="1"/>
    <x v="157"/>
    <x v="2"/>
    <x v="1"/>
    <n v="1"/>
    <s v=""/>
  </r>
  <r>
    <x v="13"/>
    <x v="2"/>
    <x v="1"/>
    <x v="158"/>
    <x v="3"/>
    <x v="0"/>
    <n v="1"/>
    <s v=""/>
  </r>
  <r>
    <x v="13"/>
    <x v="2"/>
    <x v="1"/>
    <x v="158"/>
    <x v="2"/>
    <x v="0"/>
    <n v="6"/>
    <s v=""/>
  </r>
  <r>
    <x v="13"/>
    <x v="2"/>
    <x v="1"/>
    <x v="159"/>
    <x v="1"/>
    <x v="4"/>
    <n v="0"/>
    <m/>
  </r>
  <r>
    <x v="13"/>
    <x v="2"/>
    <x v="2"/>
    <x v="160"/>
    <x v="4"/>
    <x v="3"/>
    <s v=""/>
    <s v="plaque absente"/>
  </r>
  <r>
    <x v="13"/>
    <x v="2"/>
    <x v="2"/>
    <x v="161"/>
    <x v="4"/>
    <x v="3"/>
    <s v=""/>
    <s v="plaque absente"/>
  </r>
  <r>
    <x v="13"/>
    <x v="2"/>
    <x v="2"/>
    <x v="162"/>
    <x v="1"/>
    <x v="4"/>
    <n v="0"/>
    <m/>
  </r>
  <r>
    <x v="13"/>
    <x v="2"/>
    <x v="2"/>
    <x v="163"/>
    <x v="2"/>
    <x v="0"/>
    <n v="1"/>
    <s v=""/>
  </r>
  <r>
    <x v="13"/>
    <x v="2"/>
    <x v="2"/>
    <x v="163"/>
    <x v="5"/>
    <x v="2"/>
    <n v="2"/>
    <s v=""/>
  </r>
  <r>
    <x v="13"/>
    <x v="2"/>
    <x v="2"/>
    <x v="164"/>
    <x v="2"/>
    <x v="1"/>
    <n v="1"/>
    <s v=""/>
  </r>
  <r>
    <x v="13"/>
    <x v="2"/>
    <x v="2"/>
    <x v="164"/>
    <x v="2"/>
    <x v="2"/>
    <n v="6"/>
    <s v=""/>
  </r>
  <r>
    <x v="13"/>
    <x v="2"/>
    <x v="2"/>
    <x v="165"/>
    <x v="2"/>
    <x v="0"/>
    <n v="1"/>
    <s v=""/>
  </r>
  <r>
    <x v="13"/>
    <x v="2"/>
    <x v="2"/>
    <x v="166"/>
    <x v="2"/>
    <x v="1"/>
    <n v="1"/>
    <s v=""/>
  </r>
  <r>
    <x v="13"/>
    <x v="2"/>
    <x v="2"/>
    <x v="166"/>
    <x v="2"/>
    <x v="2"/>
    <n v="1"/>
    <s v=""/>
  </r>
  <r>
    <x v="13"/>
    <x v="2"/>
    <x v="2"/>
    <x v="167"/>
    <x v="1"/>
    <x v="4"/>
    <n v="0"/>
    <m/>
  </r>
  <r>
    <x v="13"/>
    <x v="2"/>
    <x v="2"/>
    <x v="168"/>
    <x v="1"/>
    <x v="4"/>
    <n v="0"/>
    <m/>
  </r>
  <r>
    <x v="13"/>
    <x v="2"/>
    <x v="2"/>
    <x v="169"/>
    <x v="2"/>
    <x v="2"/>
    <n v="1"/>
    <s v=""/>
  </r>
  <r>
    <x v="13"/>
    <x v="2"/>
    <x v="2"/>
    <x v="170"/>
    <x v="2"/>
    <x v="1"/>
    <n v="2"/>
    <s v=""/>
  </r>
  <r>
    <x v="13"/>
    <x v="2"/>
    <x v="2"/>
    <x v="170"/>
    <x v="2"/>
    <x v="2"/>
    <n v="1"/>
    <s v=""/>
  </r>
  <r>
    <x v="13"/>
    <x v="2"/>
    <x v="2"/>
    <x v="171"/>
    <x v="2"/>
    <x v="1"/>
    <n v="1"/>
    <s v=""/>
  </r>
  <r>
    <x v="13"/>
    <x v="2"/>
    <x v="2"/>
    <x v="172"/>
    <x v="2"/>
    <x v="1"/>
    <n v="2"/>
    <s v=""/>
  </r>
  <r>
    <x v="13"/>
    <x v="2"/>
    <x v="2"/>
    <x v="172"/>
    <x v="2"/>
    <x v="0"/>
    <n v="1"/>
    <s v=""/>
  </r>
  <r>
    <x v="13"/>
    <x v="2"/>
    <x v="2"/>
    <x v="173"/>
    <x v="1"/>
    <x v="4"/>
    <n v="0"/>
    <m/>
  </r>
  <r>
    <x v="13"/>
    <x v="2"/>
    <x v="2"/>
    <x v="174"/>
    <x v="2"/>
    <x v="0"/>
    <n v="1"/>
    <s v=""/>
  </r>
  <r>
    <x v="13"/>
    <x v="2"/>
    <x v="2"/>
    <x v="175"/>
    <x v="2"/>
    <x v="0"/>
    <n v="3"/>
    <s v=""/>
  </r>
  <r>
    <x v="13"/>
    <x v="2"/>
    <x v="2"/>
    <x v="176"/>
    <x v="1"/>
    <x v="4"/>
    <n v="0"/>
    <m/>
  </r>
  <r>
    <x v="13"/>
    <x v="2"/>
    <x v="2"/>
    <x v="177"/>
    <x v="2"/>
    <x v="0"/>
    <n v="1"/>
    <s v=""/>
  </r>
  <r>
    <x v="13"/>
    <x v="2"/>
    <x v="2"/>
    <x v="177"/>
    <x v="5"/>
    <x v="1"/>
    <n v="1"/>
    <s v=""/>
  </r>
  <r>
    <x v="13"/>
    <x v="2"/>
    <x v="2"/>
    <x v="178"/>
    <x v="2"/>
    <x v="0"/>
    <n v="9"/>
    <s v=""/>
  </r>
  <r>
    <x v="13"/>
    <x v="2"/>
    <x v="2"/>
    <x v="178"/>
    <x v="2"/>
    <x v="2"/>
    <n v="1"/>
    <s v=""/>
  </r>
  <r>
    <x v="13"/>
    <x v="2"/>
    <x v="2"/>
    <x v="179"/>
    <x v="2"/>
    <x v="0"/>
    <n v="1"/>
    <s v=""/>
  </r>
  <r>
    <x v="14"/>
    <x v="0"/>
    <x v="0"/>
    <x v="0"/>
    <x v="3"/>
    <x v="0"/>
    <n v="2"/>
    <s v=""/>
  </r>
  <r>
    <x v="14"/>
    <x v="0"/>
    <x v="0"/>
    <x v="16"/>
    <x v="1"/>
    <x v="4"/>
    <n v="0"/>
    <m/>
  </r>
  <r>
    <x v="14"/>
    <x v="0"/>
    <x v="0"/>
    <x v="15"/>
    <x v="2"/>
    <x v="0"/>
    <n v="1"/>
    <s v=""/>
  </r>
  <r>
    <x v="14"/>
    <x v="0"/>
    <x v="0"/>
    <x v="17"/>
    <x v="1"/>
    <x v="4"/>
    <n v="0"/>
    <m/>
  </r>
  <r>
    <x v="14"/>
    <x v="0"/>
    <x v="0"/>
    <x v="14"/>
    <x v="1"/>
    <x v="4"/>
    <n v="0"/>
    <m/>
  </r>
  <r>
    <x v="14"/>
    <x v="0"/>
    <x v="0"/>
    <x v="18"/>
    <x v="3"/>
    <x v="1"/>
    <n v="1"/>
    <s v=""/>
  </r>
  <r>
    <x v="14"/>
    <x v="0"/>
    <x v="0"/>
    <x v="13"/>
    <x v="1"/>
    <x v="4"/>
    <n v="0"/>
    <m/>
  </r>
  <r>
    <x v="14"/>
    <x v="0"/>
    <x v="0"/>
    <x v="19"/>
    <x v="1"/>
    <x v="4"/>
    <n v="0"/>
    <m/>
  </r>
  <r>
    <x v="14"/>
    <x v="0"/>
    <x v="0"/>
    <x v="20"/>
    <x v="1"/>
    <x v="4"/>
    <n v="0"/>
    <m/>
  </r>
  <r>
    <x v="14"/>
    <x v="0"/>
    <x v="0"/>
    <x v="12"/>
    <x v="1"/>
    <x v="4"/>
    <n v="0"/>
    <m/>
  </r>
  <r>
    <x v="14"/>
    <x v="0"/>
    <x v="0"/>
    <x v="21"/>
    <x v="4"/>
    <x v="3"/>
    <s v=""/>
    <s v="plaque absente"/>
  </r>
  <r>
    <x v="14"/>
    <x v="0"/>
    <x v="0"/>
    <x v="22"/>
    <x v="4"/>
    <x v="3"/>
    <s v=""/>
    <s v="plaque absente"/>
  </r>
  <r>
    <x v="14"/>
    <x v="0"/>
    <x v="0"/>
    <x v="23"/>
    <x v="4"/>
    <x v="3"/>
    <s v=""/>
    <s v="plaque absente"/>
  </r>
  <r>
    <x v="14"/>
    <x v="0"/>
    <x v="0"/>
    <x v="24"/>
    <x v="4"/>
    <x v="3"/>
    <s v=""/>
    <s v="plaque absente"/>
  </r>
  <r>
    <x v="14"/>
    <x v="0"/>
    <x v="0"/>
    <x v="25"/>
    <x v="4"/>
    <x v="3"/>
    <s v=""/>
    <s v="plaque absente"/>
  </r>
  <r>
    <x v="14"/>
    <x v="0"/>
    <x v="0"/>
    <x v="26"/>
    <x v="4"/>
    <x v="3"/>
    <s v=""/>
    <s v="plaque absente"/>
  </r>
  <r>
    <x v="14"/>
    <x v="0"/>
    <x v="0"/>
    <x v="27"/>
    <x v="4"/>
    <x v="3"/>
    <s v=""/>
    <s v="plaque absente"/>
  </r>
  <r>
    <x v="14"/>
    <x v="0"/>
    <x v="0"/>
    <x v="28"/>
    <x v="4"/>
    <x v="3"/>
    <s v=""/>
    <s v="plaque absente"/>
  </r>
  <r>
    <x v="14"/>
    <x v="0"/>
    <x v="0"/>
    <x v="11"/>
    <x v="4"/>
    <x v="3"/>
    <s v=""/>
    <s v="plaque absente"/>
  </r>
  <r>
    <x v="14"/>
    <x v="0"/>
    <x v="0"/>
    <x v="29"/>
    <x v="4"/>
    <x v="3"/>
    <s v=""/>
    <s v="plaque absente"/>
  </r>
  <r>
    <x v="14"/>
    <x v="0"/>
    <x v="1"/>
    <x v="30"/>
    <x v="2"/>
    <x v="0"/>
    <n v="1"/>
    <s v=""/>
  </r>
  <r>
    <x v="14"/>
    <x v="0"/>
    <x v="1"/>
    <x v="31"/>
    <x v="1"/>
    <x v="4"/>
    <n v="0"/>
    <m/>
  </r>
  <r>
    <x v="14"/>
    <x v="0"/>
    <x v="1"/>
    <x v="32"/>
    <x v="1"/>
    <x v="4"/>
    <n v="0"/>
    <m/>
  </r>
  <r>
    <x v="14"/>
    <x v="0"/>
    <x v="1"/>
    <x v="33"/>
    <x v="3"/>
    <x v="0"/>
    <n v="2"/>
    <s v=""/>
  </r>
  <r>
    <x v="14"/>
    <x v="0"/>
    <x v="1"/>
    <x v="10"/>
    <x v="1"/>
    <x v="4"/>
    <n v="0"/>
    <m/>
  </r>
  <r>
    <x v="14"/>
    <x v="0"/>
    <x v="1"/>
    <x v="34"/>
    <x v="1"/>
    <x v="4"/>
    <n v="0"/>
    <m/>
  </r>
  <r>
    <x v="14"/>
    <x v="0"/>
    <x v="1"/>
    <x v="35"/>
    <x v="1"/>
    <x v="4"/>
    <n v="0"/>
    <m/>
  </r>
  <r>
    <x v="14"/>
    <x v="0"/>
    <x v="1"/>
    <x v="36"/>
    <x v="1"/>
    <x v="4"/>
    <n v="0"/>
    <m/>
  </r>
  <r>
    <x v="14"/>
    <x v="0"/>
    <x v="1"/>
    <x v="37"/>
    <x v="1"/>
    <x v="4"/>
    <n v="0"/>
    <m/>
  </r>
  <r>
    <x v="14"/>
    <x v="0"/>
    <x v="1"/>
    <x v="9"/>
    <x v="1"/>
    <x v="4"/>
    <n v="0"/>
    <m/>
  </r>
  <r>
    <x v="14"/>
    <x v="0"/>
    <x v="1"/>
    <x v="38"/>
    <x v="4"/>
    <x v="3"/>
    <s v=""/>
    <s v="plaque absente"/>
  </r>
  <r>
    <x v="14"/>
    <x v="0"/>
    <x v="1"/>
    <x v="8"/>
    <x v="4"/>
    <x v="3"/>
    <s v=""/>
    <s v="plaque absente"/>
  </r>
  <r>
    <x v="14"/>
    <x v="0"/>
    <x v="1"/>
    <x v="39"/>
    <x v="4"/>
    <x v="3"/>
    <s v=""/>
    <s v="plaque absente"/>
  </r>
  <r>
    <x v="14"/>
    <x v="0"/>
    <x v="1"/>
    <x v="7"/>
    <x v="4"/>
    <x v="3"/>
    <s v=""/>
    <s v="plaque absente"/>
  </r>
  <r>
    <x v="14"/>
    <x v="0"/>
    <x v="1"/>
    <x v="6"/>
    <x v="4"/>
    <x v="3"/>
    <s v=""/>
    <s v="plaque absente"/>
  </r>
  <r>
    <x v="14"/>
    <x v="0"/>
    <x v="1"/>
    <x v="40"/>
    <x v="4"/>
    <x v="3"/>
    <s v=""/>
    <s v="plaque absente"/>
  </r>
  <r>
    <x v="14"/>
    <x v="0"/>
    <x v="1"/>
    <x v="41"/>
    <x v="4"/>
    <x v="3"/>
    <s v=""/>
    <s v="plaque absente"/>
  </r>
  <r>
    <x v="14"/>
    <x v="0"/>
    <x v="1"/>
    <x v="42"/>
    <x v="4"/>
    <x v="3"/>
    <s v=""/>
    <s v="plaque absente"/>
  </r>
  <r>
    <x v="14"/>
    <x v="0"/>
    <x v="1"/>
    <x v="5"/>
    <x v="4"/>
    <x v="3"/>
    <s v=""/>
    <s v="plaque absente"/>
  </r>
  <r>
    <x v="14"/>
    <x v="0"/>
    <x v="1"/>
    <x v="43"/>
    <x v="4"/>
    <x v="3"/>
    <s v=""/>
    <s v="plaque absente"/>
  </r>
  <r>
    <x v="14"/>
    <x v="0"/>
    <x v="2"/>
    <x v="44"/>
    <x v="4"/>
    <x v="3"/>
    <s v=""/>
    <s v="plaque absente"/>
  </r>
  <r>
    <x v="14"/>
    <x v="0"/>
    <x v="2"/>
    <x v="45"/>
    <x v="1"/>
    <x v="4"/>
    <n v="0"/>
    <m/>
  </r>
  <r>
    <x v="14"/>
    <x v="0"/>
    <x v="2"/>
    <x v="46"/>
    <x v="4"/>
    <x v="3"/>
    <s v=""/>
    <s v="plaque absente"/>
  </r>
  <r>
    <x v="14"/>
    <x v="0"/>
    <x v="2"/>
    <x v="4"/>
    <x v="4"/>
    <x v="3"/>
    <s v=""/>
    <s v="plaque absente"/>
  </r>
  <r>
    <x v="14"/>
    <x v="0"/>
    <x v="2"/>
    <x v="47"/>
    <x v="4"/>
    <x v="3"/>
    <s v=""/>
    <s v="plaque absente"/>
  </r>
  <r>
    <x v="14"/>
    <x v="0"/>
    <x v="2"/>
    <x v="48"/>
    <x v="4"/>
    <x v="3"/>
    <s v=""/>
    <s v="plaque absente"/>
  </r>
  <r>
    <x v="14"/>
    <x v="0"/>
    <x v="2"/>
    <x v="49"/>
    <x v="4"/>
    <x v="3"/>
    <s v=""/>
    <s v="plaque absente"/>
  </r>
  <r>
    <x v="14"/>
    <x v="0"/>
    <x v="2"/>
    <x v="50"/>
    <x v="4"/>
    <x v="3"/>
    <s v=""/>
    <s v="plaque absente"/>
  </r>
  <r>
    <x v="14"/>
    <x v="0"/>
    <x v="2"/>
    <x v="3"/>
    <x v="4"/>
    <x v="3"/>
    <s v=""/>
    <s v="plaque absente"/>
  </r>
  <r>
    <x v="14"/>
    <x v="0"/>
    <x v="2"/>
    <x v="51"/>
    <x v="4"/>
    <x v="3"/>
    <s v=""/>
    <s v="plaque absente"/>
  </r>
  <r>
    <x v="14"/>
    <x v="0"/>
    <x v="2"/>
    <x v="2"/>
    <x v="4"/>
    <x v="3"/>
    <s v=""/>
    <s v="plaque absente"/>
  </r>
  <r>
    <x v="14"/>
    <x v="0"/>
    <x v="2"/>
    <x v="52"/>
    <x v="2"/>
    <x v="1"/>
    <n v="1"/>
    <s v=""/>
  </r>
  <r>
    <x v="14"/>
    <x v="0"/>
    <x v="2"/>
    <x v="53"/>
    <x v="2"/>
    <x v="0"/>
    <n v="1"/>
    <s v=""/>
  </r>
  <r>
    <x v="14"/>
    <x v="0"/>
    <x v="2"/>
    <x v="54"/>
    <x v="1"/>
    <x v="4"/>
    <n v="0"/>
    <m/>
  </r>
  <r>
    <x v="14"/>
    <x v="0"/>
    <x v="2"/>
    <x v="1"/>
    <x v="5"/>
    <x v="0"/>
    <n v="1"/>
    <s v=""/>
  </r>
  <r>
    <x v="14"/>
    <x v="0"/>
    <x v="2"/>
    <x v="55"/>
    <x v="1"/>
    <x v="4"/>
    <n v="0"/>
    <m/>
  </r>
  <r>
    <x v="14"/>
    <x v="0"/>
    <x v="2"/>
    <x v="56"/>
    <x v="1"/>
    <x v="4"/>
    <n v="0"/>
    <m/>
  </r>
  <r>
    <x v="14"/>
    <x v="0"/>
    <x v="2"/>
    <x v="57"/>
    <x v="1"/>
    <x v="4"/>
    <n v="0"/>
    <m/>
  </r>
  <r>
    <x v="14"/>
    <x v="0"/>
    <x v="2"/>
    <x v="58"/>
    <x v="2"/>
    <x v="1"/>
    <n v="1"/>
    <s v=""/>
  </r>
  <r>
    <x v="14"/>
    <x v="0"/>
    <x v="2"/>
    <x v="59"/>
    <x v="4"/>
    <x v="3"/>
    <s v=""/>
    <s v="plaque absente"/>
  </r>
  <r>
    <x v="14"/>
    <x v="1"/>
    <x v="0"/>
    <x v="60"/>
    <x v="1"/>
    <x v="4"/>
    <n v="0"/>
    <m/>
  </r>
  <r>
    <x v="14"/>
    <x v="1"/>
    <x v="0"/>
    <x v="61"/>
    <x v="1"/>
    <x v="4"/>
    <n v="0"/>
    <m/>
  </r>
  <r>
    <x v="14"/>
    <x v="1"/>
    <x v="0"/>
    <x v="62"/>
    <x v="1"/>
    <x v="4"/>
    <n v="0"/>
    <m/>
  </r>
  <r>
    <x v="14"/>
    <x v="1"/>
    <x v="0"/>
    <x v="63"/>
    <x v="3"/>
    <x v="2"/>
    <n v="1"/>
    <s v=""/>
  </r>
  <r>
    <x v="14"/>
    <x v="1"/>
    <x v="0"/>
    <x v="64"/>
    <x v="1"/>
    <x v="4"/>
    <n v="0"/>
    <m/>
  </r>
  <r>
    <x v="14"/>
    <x v="1"/>
    <x v="0"/>
    <x v="65"/>
    <x v="1"/>
    <x v="4"/>
    <n v="0"/>
    <m/>
  </r>
  <r>
    <x v="14"/>
    <x v="1"/>
    <x v="0"/>
    <x v="66"/>
    <x v="1"/>
    <x v="4"/>
    <n v="0"/>
    <m/>
  </r>
  <r>
    <x v="14"/>
    <x v="1"/>
    <x v="0"/>
    <x v="67"/>
    <x v="1"/>
    <x v="4"/>
    <n v="0"/>
    <m/>
  </r>
  <r>
    <x v="14"/>
    <x v="1"/>
    <x v="0"/>
    <x v="68"/>
    <x v="1"/>
    <x v="4"/>
    <n v="0"/>
    <m/>
  </r>
  <r>
    <x v="14"/>
    <x v="1"/>
    <x v="0"/>
    <x v="69"/>
    <x v="3"/>
    <x v="0"/>
    <n v="1"/>
    <s v=""/>
  </r>
  <r>
    <x v="14"/>
    <x v="1"/>
    <x v="0"/>
    <x v="70"/>
    <x v="4"/>
    <x v="3"/>
    <s v=""/>
    <s v="plaque absente"/>
  </r>
  <r>
    <x v="14"/>
    <x v="1"/>
    <x v="0"/>
    <x v="71"/>
    <x v="4"/>
    <x v="3"/>
    <s v=""/>
    <s v="plaque absente"/>
  </r>
  <r>
    <x v="14"/>
    <x v="1"/>
    <x v="0"/>
    <x v="72"/>
    <x v="4"/>
    <x v="3"/>
    <s v=""/>
    <s v="plaque absente"/>
  </r>
  <r>
    <x v="14"/>
    <x v="1"/>
    <x v="0"/>
    <x v="73"/>
    <x v="4"/>
    <x v="3"/>
    <s v=""/>
    <s v="plaque absente"/>
  </r>
  <r>
    <x v="14"/>
    <x v="1"/>
    <x v="0"/>
    <x v="74"/>
    <x v="4"/>
    <x v="3"/>
    <s v=""/>
    <s v="plaque absente"/>
  </r>
  <r>
    <x v="14"/>
    <x v="1"/>
    <x v="0"/>
    <x v="75"/>
    <x v="4"/>
    <x v="3"/>
    <s v=""/>
    <s v="plaque absente"/>
  </r>
  <r>
    <x v="14"/>
    <x v="1"/>
    <x v="0"/>
    <x v="76"/>
    <x v="4"/>
    <x v="3"/>
    <s v=""/>
    <s v="plaque absente"/>
  </r>
  <r>
    <x v="14"/>
    <x v="1"/>
    <x v="0"/>
    <x v="77"/>
    <x v="4"/>
    <x v="3"/>
    <s v=""/>
    <s v="plaque absente"/>
  </r>
  <r>
    <x v="14"/>
    <x v="1"/>
    <x v="0"/>
    <x v="78"/>
    <x v="4"/>
    <x v="3"/>
    <s v=""/>
    <s v="plaque absente"/>
  </r>
  <r>
    <x v="14"/>
    <x v="1"/>
    <x v="0"/>
    <x v="79"/>
    <x v="4"/>
    <x v="3"/>
    <s v=""/>
    <s v="plaque absente"/>
  </r>
  <r>
    <x v="14"/>
    <x v="1"/>
    <x v="1"/>
    <x v="80"/>
    <x v="1"/>
    <x v="4"/>
    <n v="0"/>
    <m/>
  </r>
  <r>
    <x v="14"/>
    <x v="1"/>
    <x v="1"/>
    <x v="81"/>
    <x v="1"/>
    <x v="4"/>
    <n v="0"/>
    <m/>
  </r>
  <r>
    <x v="14"/>
    <x v="1"/>
    <x v="1"/>
    <x v="82"/>
    <x v="1"/>
    <x v="4"/>
    <n v="0"/>
    <m/>
  </r>
  <r>
    <x v="14"/>
    <x v="1"/>
    <x v="1"/>
    <x v="83"/>
    <x v="1"/>
    <x v="4"/>
    <n v="0"/>
    <m/>
  </r>
  <r>
    <x v="14"/>
    <x v="1"/>
    <x v="1"/>
    <x v="84"/>
    <x v="1"/>
    <x v="4"/>
    <n v="0"/>
    <m/>
  </r>
  <r>
    <x v="14"/>
    <x v="1"/>
    <x v="1"/>
    <x v="85"/>
    <x v="2"/>
    <x v="0"/>
    <n v="1"/>
    <s v=""/>
  </r>
  <r>
    <x v="14"/>
    <x v="1"/>
    <x v="1"/>
    <x v="86"/>
    <x v="2"/>
    <x v="2"/>
    <n v="1"/>
    <s v=""/>
  </r>
  <r>
    <x v="14"/>
    <x v="1"/>
    <x v="1"/>
    <x v="87"/>
    <x v="1"/>
    <x v="4"/>
    <n v="0"/>
    <m/>
  </r>
  <r>
    <x v="14"/>
    <x v="1"/>
    <x v="1"/>
    <x v="88"/>
    <x v="1"/>
    <x v="4"/>
    <n v="0"/>
    <m/>
  </r>
  <r>
    <x v="14"/>
    <x v="1"/>
    <x v="1"/>
    <x v="89"/>
    <x v="1"/>
    <x v="4"/>
    <n v="0"/>
    <m/>
  </r>
  <r>
    <x v="14"/>
    <x v="1"/>
    <x v="1"/>
    <x v="90"/>
    <x v="4"/>
    <x v="3"/>
    <s v=""/>
    <s v="plaque absente"/>
  </r>
  <r>
    <x v="14"/>
    <x v="1"/>
    <x v="1"/>
    <x v="91"/>
    <x v="4"/>
    <x v="3"/>
    <s v=""/>
    <s v="plaque absente"/>
  </r>
  <r>
    <x v="14"/>
    <x v="1"/>
    <x v="1"/>
    <x v="92"/>
    <x v="4"/>
    <x v="3"/>
    <s v=""/>
    <s v="plaque absente"/>
  </r>
  <r>
    <x v="14"/>
    <x v="1"/>
    <x v="1"/>
    <x v="93"/>
    <x v="4"/>
    <x v="3"/>
    <s v=""/>
    <s v="plaque absente"/>
  </r>
  <r>
    <x v="14"/>
    <x v="1"/>
    <x v="1"/>
    <x v="94"/>
    <x v="4"/>
    <x v="3"/>
    <s v=""/>
    <s v="plaque absente"/>
  </r>
  <r>
    <x v="14"/>
    <x v="1"/>
    <x v="1"/>
    <x v="95"/>
    <x v="4"/>
    <x v="3"/>
    <s v=""/>
    <s v="plaque absente"/>
  </r>
  <r>
    <x v="14"/>
    <x v="1"/>
    <x v="1"/>
    <x v="96"/>
    <x v="4"/>
    <x v="3"/>
    <s v=""/>
    <s v="plaque absente"/>
  </r>
  <r>
    <x v="14"/>
    <x v="1"/>
    <x v="1"/>
    <x v="97"/>
    <x v="4"/>
    <x v="3"/>
    <s v=""/>
    <s v="plaque absente"/>
  </r>
  <r>
    <x v="14"/>
    <x v="1"/>
    <x v="1"/>
    <x v="98"/>
    <x v="4"/>
    <x v="3"/>
    <s v=""/>
    <s v="plaque absente"/>
  </r>
  <r>
    <x v="14"/>
    <x v="1"/>
    <x v="1"/>
    <x v="99"/>
    <x v="4"/>
    <x v="3"/>
    <s v=""/>
    <s v="plaque absente"/>
  </r>
  <r>
    <x v="14"/>
    <x v="1"/>
    <x v="2"/>
    <x v="100"/>
    <x v="6"/>
    <x v="4"/>
    <m/>
    <m/>
  </r>
  <r>
    <x v="14"/>
    <x v="1"/>
    <x v="2"/>
    <x v="101"/>
    <x v="6"/>
    <x v="4"/>
    <m/>
    <m/>
  </r>
  <r>
    <x v="14"/>
    <x v="1"/>
    <x v="2"/>
    <x v="102"/>
    <x v="2"/>
    <x v="1"/>
    <n v="1"/>
    <s v=""/>
  </r>
  <r>
    <x v="14"/>
    <x v="1"/>
    <x v="2"/>
    <x v="103"/>
    <x v="1"/>
    <x v="4"/>
    <n v="0"/>
    <m/>
  </r>
  <r>
    <x v="14"/>
    <x v="1"/>
    <x v="2"/>
    <x v="104"/>
    <x v="1"/>
    <x v="4"/>
    <n v="0"/>
    <m/>
  </r>
  <r>
    <x v="14"/>
    <x v="1"/>
    <x v="2"/>
    <x v="105"/>
    <x v="1"/>
    <x v="4"/>
    <n v="0"/>
    <m/>
  </r>
  <r>
    <x v="14"/>
    <x v="1"/>
    <x v="2"/>
    <x v="106"/>
    <x v="1"/>
    <x v="4"/>
    <n v="0"/>
    <m/>
  </r>
  <r>
    <x v="14"/>
    <x v="1"/>
    <x v="2"/>
    <x v="107"/>
    <x v="1"/>
    <x v="4"/>
    <n v="0"/>
    <m/>
  </r>
  <r>
    <x v="14"/>
    <x v="1"/>
    <x v="2"/>
    <x v="108"/>
    <x v="5"/>
    <x v="0"/>
    <n v="1"/>
    <s v=""/>
  </r>
  <r>
    <x v="14"/>
    <x v="1"/>
    <x v="2"/>
    <x v="109"/>
    <x v="1"/>
    <x v="4"/>
    <n v="0"/>
    <m/>
  </r>
  <r>
    <x v="14"/>
    <x v="1"/>
    <x v="2"/>
    <x v="110"/>
    <x v="4"/>
    <x v="3"/>
    <s v=""/>
    <s v="plaque absente"/>
  </r>
  <r>
    <x v="14"/>
    <x v="1"/>
    <x v="2"/>
    <x v="111"/>
    <x v="4"/>
    <x v="3"/>
    <s v=""/>
    <s v="plaque absente"/>
  </r>
  <r>
    <x v="14"/>
    <x v="1"/>
    <x v="2"/>
    <x v="112"/>
    <x v="4"/>
    <x v="3"/>
    <s v=""/>
    <s v="plaque absente"/>
  </r>
  <r>
    <x v="14"/>
    <x v="1"/>
    <x v="2"/>
    <x v="113"/>
    <x v="4"/>
    <x v="3"/>
    <s v=""/>
    <s v="plaque absente"/>
  </r>
  <r>
    <x v="14"/>
    <x v="1"/>
    <x v="2"/>
    <x v="114"/>
    <x v="4"/>
    <x v="3"/>
    <s v=""/>
    <s v="plaque absente"/>
  </r>
  <r>
    <x v="14"/>
    <x v="1"/>
    <x v="2"/>
    <x v="115"/>
    <x v="4"/>
    <x v="3"/>
    <s v=""/>
    <s v="plaque absente"/>
  </r>
  <r>
    <x v="14"/>
    <x v="1"/>
    <x v="2"/>
    <x v="116"/>
    <x v="4"/>
    <x v="3"/>
    <s v=""/>
    <s v="plaque absente"/>
  </r>
  <r>
    <x v="14"/>
    <x v="1"/>
    <x v="2"/>
    <x v="117"/>
    <x v="4"/>
    <x v="3"/>
    <s v=""/>
    <s v="plaque absente"/>
  </r>
  <r>
    <x v="14"/>
    <x v="1"/>
    <x v="2"/>
    <x v="118"/>
    <x v="4"/>
    <x v="3"/>
    <s v=""/>
    <s v="plaque absente"/>
  </r>
  <r>
    <x v="14"/>
    <x v="1"/>
    <x v="2"/>
    <x v="119"/>
    <x v="4"/>
    <x v="3"/>
    <s v=""/>
    <s v="plaque absente"/>
  </r>
  <r>
    <x v="14"/>
    <x v="2"/>
    <x v="0"/>
    <x v="120"/>
    <x v="4"/>
    <x v="3"/>
    <s v=""/>
    <s v="plaque absente"/>
  </r>
  <r>
    <x v="14"/>
    <x v="2"/>
    <x v="0"/>
    <x v="121"/>
    <x v="4"/>
    <x v="3"/>
    <s v=""/>
    <s v="plaque absente"/>
  </r>
  <r>
    <x v="14"/>
    <x v="2"/>
    <x v="0"/>
    <x v="122"/>
    <x v="3"/>
    <x v="0"/>
    <n v="1"/>
    <s v=""/>
  </r>
  <r>
    <x v="14"/>
    <x v="2"/>
    <x v="0"/>
    <x v="123"/>
    <x v="1"/>
    <x v="4"/>
    <n v="0"/>
    <m/>
  </r>
  <r>
    <x v="14"/>
    <x v="2"/>
    <x v="0"/>
    <x v="124"/>
    <x v="1"/>
    <x v="4"/>
    <n v="0"/>
    <m/>
  </r>
  <r>
    <x v="14"/>
    <x v="2"/>
    <x v="0"/>
    <x v="125"/>
    <x v="1"/>
    <x v="4"/>
    <n v="0"/>
    <m/>
  </r>
  <r>
    <x v="14"/>
    <x v="2"/>
    <x v="0"/>
    <x v="126"/>
    <x v="1"/>
    <x v="4"/>
    <n v="0"/>
    <m/>
  </r>
  <r>
    <x v="14"/>
    <x v="2"/>
    <x v="0"/>
    <x v="127"/>
    <x v="1"/>
    <x v="4"/>
    <n v="0"/>
    <m/>
  </r>
  <r>
    <x v="14"/>
    <x v="2"/>
    <x v="0"/>
    <x v="128"/>
    <x v="1"/>
    <x v="4"/>
    <n v="0"/>
    <m/>
  </r>
  <r>
    <x v="14"/>
    <x v="2"/>
    <x v="0"/>
    <x v="129"/>
    <x v="1"/>
    <x v="4"/>
    <n v="0"/>
    <m/>
  </r>
  <r>
    <x v="14"/>
    <x v="2"/>
    <x v="0"/>
    <x v="130"/>
    <x v="1"/>
    <x v="4"/>
    <n v="0"/>
    <m/>
  </r>
  <r>
    <x v="14"/>
    <x v="2"/>
    <x v="0"/>
    <x v="131"/>
    <x v="1"/>
    <x v="4"/>
    <n v="0"/>
    <m/>
  </r>
  <r>
    <x v="14"/>
    <x v="2"/>
    <x v="0"/>
    <x v="132"/>
    <x v="4"/>
    <x v="3"/>
    <s v=""/>
    <s v="plaque absente"/>
  </r>
  <r>
    <x v="14"/>
    <x v="2"/>
    <x v="0"/>
    <x v="133"/>
    <x v="4"/>
    <x v="3"/>
    <s v=""/>
    <s v="plaque absente"/>
  </r>
  <r>
    <x v="14"/>
    <x v="2"/>
    <x v="0"/>
    <x v="134"/>
    <x v="4"/>
    <x v="3"/>
    <s v=""/>
    <s v="plaque absente"/>
  </r>
  <r>
    <x v="14"/>
    <x v="2"/>
    <x v="0"/>
    <x v="135"/>
    <x v="4"/>
    <x v="3"/>
    <s v=""/>
    <s v="plaque absente"/>
  </r>
  <r>
    <x v="14"/>
    <x v="2"/>
    <x v="0"/>
    <x v="136"/>
    <x v="4"/>
    <x v="3"/>
    <s v=""/>
    <s v="plaque absente"/>
  </r>
  <r>
    <x v="14"/>
    <x v="2"/>
    <x v="0"/>
    <x v="137"/>
    <x v="4"/>
    <x v="3"/>
    <s v=""/>
    <s v="plaque absente"/>
  </r>
  <r>
    <x v="14"/>
    <x v="2"/>
    <x v="0"/>
    <x v="138"/>
    <x v="4"/>
    <x v="3"/>
    <s v=""/>
    <s v="plaque absente"/>
  </r>
  <r>
    <x v="14"/>
    <x v="2"/>
    <x v="0"/>
    <x v="139"/>
    <x v="4"/>
    <x v="3"/>
    <s v=""/>
    <s v="plaque absente"/>
  </r>
  <r>
    <x v="14"/>
    <x v="2"/>
    <x v="1"/>
    <x v="140"/>
    <x v="1"/>
    <x v="4"/>
    <n v="0"/>
    <m/>
  </r>
  <r>
    <x v="14"/>
    <x v="2"/>
    <x v="1"/>
    <x v="141"/>
    <x v="1"/>
    <x v="4"/>
    <n v="0"/>
    <m/>
  </r>
  <r>
    <x v="14"/>
    <x v="2"/>
    <x v="1"/>
    <x v="142"/>
    <x v="5"/>
    <x v="0"/>
    <n v="1"/>
    <s v=""/>
  </r>
  <r>
    <x v="14"/>
    <x v="2"/>
    <x v="1"/>
    <x v="143"/>
    <x v="1"/>
    <x v="4"/>
    <n v="0"/>
    <m/>
  </r>
  <r>
    <x v="14"/>
    <x v="2"/>
    <x v="1"/>
    <x v="144"/>
    <x v="1"/>
    <x v="2"/>
    <n v="1"/>
    <s v=""/>
  </r>
  <r>
    <x v="14"/>
    <x v="2"/>
    <x v="1"/>
    <x v="145"/>
    <x v="1"/>
    <x v="4"/>
    <n v="0"/>
    <m/>
  </r>
  <r>
    <x v="14"/>
    <x v="2"/>
    <x v="1"/>
    <x v="146"/>
    <x v="1"/>
    <x v="4"/>
    <n v="0"/>
    <m/>
  </r>
  <r>
    <x v="14"/>
    <x v="2"/>
    <x v="1"/>
    <x v="147"/>
    <x v="1"/>
    <x v="4"/>
    <n v="0"/>
    <m/>
  </r>
  <r>
    <x v="14"/>
    <x v="2"/>
    <x v="1"/>
    <x v="148"/>
    <x v="1"/>
    <x v="4"/>
    <n v="0"/>
    <m/>
  </r>
  <r>
    <x v="14"/>
    <x v="2"/>
    <x v="1"/>
    <x v="149"/>
    <x v="1"/>
    <x v="4"/>
    <n v="0"/>
    <m/>
  </r>
  <r>
    <x v="14"/>
    <x v="2"/>
    <x v="1"/>
    <x v="150"/>
    <x v="4"/>
    <x v="3"/>
    <s v=""/>
    <s v="plaque absente"/>
  </r>
  <r>
    <x v="14"/>
    <x v="2"/>
    <x v="1"/>
    <x v="151"/>
    <x v="4"/>
    <x v="3"/>
    <s v=""/>
    <s v="plaque absente"/>
  </r>
  <r>
    <x v="14"/>
    <x v="2"/>
    <x v="1"/>
    <x v="152"/>
    <x v="4"/>
    <x v="3"/>
    <s v=""/>
    <s v="plaque absente"/>
  </r>
  <r>
    <x v="14"/>
    <x v="2"/>
    <x v="1"/>
    <x v="153"/>
    <x v="4"/>
    <x v="3"/>
    <s v=""/>
    <s v="plaque absente"/>
  </r>
  <r>
    <x v="14"/>
    <x v="2"/>
    <x v="1"/>
    <x v="154"/>
    <x v="4"/>
    <x v="3"/>
    <s v=""/>
    <s v="plaque absente"/>
  </r>
  <r>
    <x v="14"/>
    <x v="2"/>
    <x v="1"/>
    <x v="155"/>
    <x v="4"/>
    <x v="3"/>
    <s v=""/>
    <s v="plaque absente"/>
  </r>
  <r>
    <x v="14"/>
    <x v="2"/>
    <x v="1"/>
    <x v="156"/>
    <x v="4"/>
    <x v="3"/>
    <s v=""/>
    <s v="plaque absente"/>
  </r>
  <r>
    <x v="14"/>
    <x v="2"/>
    <x v="1"/>
    <x v="157"/>
    <x v="4"/>
    <x v="3"/>
    <s v=""/>
    <s v="plaque absente"/>
  </r>
  <r>
    <x v="14"/>
    <x v="2"/>
    <x v="1"/>
    <x v="158"/>
    <x v="4"/>
    <x v="3"/>
    <s v=""/>
    <s v="plaque absente"/>
  </r>
  <r>
    <x v="14"/>
    <x v="2"/>
    <x v="1"/>
    <x v="159"/>
    <x v="4"/>
    <x v="3"/>
    <s v=""/>
    <s v="plaque absente"/>
  </r>
  <r>
    <x v="14"/>
    <x v="2"/>
    <x v="2"/>
    <x v="160"/>
    <x v="1"/>
    <x v="4"/>
    <n v="0"/>
    <m/>
  </r>
  <r>
    <x v="14"/>
    <x v="2"/>
    <x v="2"/>
    <x v="161"/>
    <x v="1"/>
    <x v="4"/>
    <n v="0"/>
    <m/>
  </r>
  <r>
    <x v="14"/>
    <x v="2"/>
    <x v="2"/>
    <x v="162"/>
    <x v="1"/>
    <x v="4"/>
    <n v="0"/>
    <m/>
  </r>
  <r>
    <x v="14"/>
    <x v="2"/>
    <x v="2"/>
    <x v="163"/>
    <x v="1"/>
    <x v="4"/>
    <n v="0"/>
    <m/>
  </r>
  <r>
    <x v="14"/>
    <x v="2"/>
    <x v="2"/>
    <x v="164"/>
    <x v="1"/>
    <x v="4"/>
    <n v="0"/>
    <m/>
  </r>
  <r>
    <x v="14"/>
    <x v="2"/>
    <x v="2"/>
    <x v="165"/>
    <x v="1"/>
    <x v="4"/>
    <n v="0"/>
    <m/>
  </r>
  <r>
    <x v="14"/>
    <x v="2"/>
    <x v="2"/>
    <x v="166"/>
    <x v="1"/>
    <x v="4"/>
    <n v="0"/>
    <m/>
  </r>
  <r>
    <x v="14"/>
    <x v="2"/>
    <x v="2"/>
    <x v="167"/>
    <x v="1"/>
    <x v="4"/>
    <n v="0"/>
    <m/>
  </r>
  <r>
    <x v="14"/>
    <x v="2"/>
    <x v="2"/>
    <x v="168"/>
    <x v="1"/>
    <x v="4"/>
    <n v="0"/>
    <m/>
  </r>
  <r>
    <x v="14"/>
    <x v="2"/>
    <x v="2"/>
    <x v="169"/>
    <x v="1"/>
    <x v="4"/>
    <n v="0"/>
    <m/>
  </r>
  <r>
    <x v="14"/>
    <x v="2"/>
    <x v="2"/>
    <x v="170"/>
    <x v="4"/>
    <x v="3"/>
    <s v=""/>
    <s v="plaque absente"/>
  </r>
  <r>
    <x v="14"/>
    <x v="2"/>
    <x v="2"/>
    <x v="171"/>
    <x v="4"/>
    <x v="3"/>
    <s v=""/>
    <s v="plaque absente"/>
  </r>
  <r>
    <x v="14"/>
    <x v="2"/>
    <x v="2"/>
    <x v="172"/>
    <x v="4"/>
    <x v="3"/>
    <s v=""/>
    <s v="plaque absente"/>
  </r>
  <r>
    <x v="14"/>
    <x v="2"/>
    <x v="2"/>
    <x v="173"/>
    <x v="4"/>
    <x v="3"/>
    <s v=""/>
    <s v="plaque absente"/>
  </r>
  <r>
    <x v="14"/>
    <x v="2"/>
    <x v="2"/>
    <x v="174"/>
    <x v="4"/>
    <x v="3"/>
    <s v=""/>
    <s v="plaque absente"/>
  </r>
  <r>
    <x v="14"/>
    <x v="2"/>
    <x v="2"/>
    <x v="175"/>
    <x v="4"/>
    <x v="3"/>
    <s v=""/>
    <s v="plaque absente"/>
  </r>
  <r>
    <x v="14"/>
    <x v="2"/>
    <x v="2"/>
    <x v="176"/>
    <x v="4"/>
    <x v="3"/>
    <s v=""/>
    <s v="plaque absente"/>
  </r>
  <r>
    <x v="14"/>
    <x v="2"/>
    <x v="2"/>
    <x v="177"/>
    <x v="4"/>
    <x v="3"/>
    <s v=""/>
    <s v="plaque absente"/>
  </r>
  <r>
    <x v="14"/>
    <x v="2"/>
    <x v="2"/>
    <x v="178"/>
    <x v="4"/>
    <x v="3"/>
    <s v=""/>
    <s v="plaque absente"/>
  </r>
  <r>
    <x v="14"/>
    <x v="2"/>
    <x v="2"/>
    <x v="179"/>
    <x v="4"/>
    <x v="3"/>
    <s v=""/>
    <s v="plaque absente"/>
  </r>
  <r>
    <x v="15"/>
    <x v="0"/>
    <x v="0"/>
    <x v="12"/>
    <x v="1"/>
    <x v="4"/>
    <n v="0"/>
    <m/>
  </r>
  <r>
    <x v="15"/>
    <x v="0"/>
    <x v="0"/>
    <x v="21"/>
    <x v="4"/>
    <x v="3"/>
    <s v=""/>
    <s v="plaque absente"/>
  </r>
  <r>
    <x v="15"/>
    <x v="0"/>
    <x v="0"/>
    <x v="22"/>
    <x v="4"/>
    <x v="3"/>
    <s v=""/>
    <s v="plaque absente"/>
  </r>
  <r>
    <x v="15"/>
    <x v="0"/>
    <x v="0"/>
    <x v="23"/>
    <x v="4"/>
    <x v="3"/>
    <s v=""/>
    <s v="plaque absente"/>
  </r>
  <r>
    <x v="15"/>
    <x v="0"/>
    <x v="0"/>
    <x v="24"/>
    <x v="4"/>
    <x v="3"/>
    <s v=""/>
    <s v="plaque absente"/>
  </r>
  <r>
    <x v="15"/>
    <x v="0"/>
    <x v="0"/>
    <x v="25"/>
    <x v="4"/>
    <x v="3"/>
    <s v=""/>
    <s v="plaque absente"/>
  </r>
  <r>
    <x v="15"/>
    <x v="0"/>
    <x v="0"/>
    <x v="26"/>
    <x v="4"/>
    <x v="3"/>
    <s v=""/>
    <s v="plaque absente"/>
  </r>
  <r>
    <x v="15"/>
    <x v="0"/>
    <x v="0"/>
    <x v="27"/>
    <x v="4"/>
    <x v="3"/>
    <s v=""/>
    <s v="plaque absente"/>
  </r>
  <r>
    <x v="15"/>
    <x v="0"/>
    <x v="0"/>
    <x v="28"/>
    <x v="4"/>
    <x v="3"/>
    <s v=""/>
    <s v="plaque absente"/>
  </r>
  <r>
    <x v="15"/>
    <x v="0"/>
    <x v="0"/>
    <x v="11"/>
    <x v="4"/>
    <x v="3"/>
    <s v=""/>
    <s v="plaque absente"/>
  </r>
  <r>
    <x v="15"/>
    <x v="0"/>
    <x v="0"/>
    <x v="29"/>
    <x v="4"/>
    <x v="3"/>
    <s v=""/>
    <s v="plaque absente"/>
  </r>
  <r>
    <x v="15"/>
    <x v="0"/>
    <x v="1"/>
    <x v="30"/>
    <x v="2"/>
    <x v="1"/>
    <n v="7"/>
    <s v=""/>
  </r>
  <r>
    <x v="15"/>
    <x v="0"/>
    <x v="1"/>
    <x v="30"/>
    <x v="2"/>
    <x v="0"/>
    <n v="2"/>
    <s v=""/>
  </r>
  <r>
    <x v="15"/>
    <x v="0"/>
    <x v="1"/>
    <x v="30"/>
    <x v="5"/>
    <x v="1"/>
    <n v="2"/>
    <s v=""/>
  </r>
  <r>
    <x v="15"/>
    <x v="0"/>
    <x v="1"/>
    <x v="10"/>
    <x v="1"/>
    <x v="4"/>
    <n v="0"/>
    <m/>
  </r>
  <r>
    <x v="15"/>
    <x v="0"/>
    <x v="1"/>
    <x v="34"/>
    <x v="1"/>
    <x v="4"/>
    <n v="0"/>
    <m/>
  </r>
  <r>
    <x v="15"/>
    <x v="0"/>
    <x v="1"/>
    <x v="35"/>
    <x v="2"/>
    <x v="1"/>
    <n v="4"/>
    <s v=""/>
  </r>
  <r>
    <x v="15"/>
    <x v="0"/>
    <x v="1"/>
    <x v="35"/>
    <x v="2"/>
    <x v="2"/>
    <n v="1"/>
    <s v=""/>
  </r>
  <r>
    <x v="15"/>
    <x v="0"/>
    <x v="1"/>
    <x v="9"/>
    <x v="1"/>
    <x v="4"/>
    <n v="0"/>
    <m/>
  </r>
  <r>
    <x v="15"/>
    <x v="0"/>
    <x v="1"/>
    <x v="38"/>
    <x v="4"/>
    <x v="3"/>
    <s v=""/>
    <s v="plaque absente"/>
  </r>
  <r>
    <x v="15"/>
    <x v="0"/>
    <x v="1"/>
    <x v="8"/>
    <x v="4"/>
    <x v="3"/>
    <s v=""/>
    <s v="plaque absente"/>
  </r>
  <r>
    <x v="15"/>
    <x v="0"/>
    <x v="1"/>
    <x v="39"/>
    <x v="4"/>
    <x v="3"/>
    <s v=""/>
    <s v="plaque absente"/>
  </r>
  <r>
    <x v="15"/>
    <x v="0"/>
    <x v="1"/>
    <x v="7"/>
    <x v="4"/>
    <x v="3"/>
    <s v=""/>
    <s v="plaque absente"/>
  </r>
  <r>
    <x v="15"/>
    <x v="0"/>
    <x v="1"/>
    <x v="6"/>
    <x v="4"/>
    <x v="3"/>
    <s v=""/>
    <s v="plaque absente"/>
  </r>
  <r>
    <x v="15"/>
    <x v="0"/>
    <x v="1"/>
    <x v="40"/>
    <x v="4"/>
    <x v="3"/>
    <s v=""/>
    <s v="plaque absente"/>
  </r>
  <r>
    <x v="15"/>
    <x v="0"/>
    <x v="1"/>
    <x v="41"/>
    <x v="4"/>
    <x v="3"/>
    <s v=""/>
    <s v="plaque absente"/>
  </r>
  <r>
    <x v="15"/>
    <x v="0"/>
    <x v="1"/>
    <x v="42"/>
    <x v="4"/>
    <x v="3"/>
    <s v=""/>
    <s v="plaque absente"/>
  </r>
  <r>
    <x v="15"/>
    <x v="0"/>
    <x v="1"/>
    <x v="5"/>
    <x v="4"/>
    <x v="3"/>
    <s v=""/>
    <s v="plaque absente"/>
  </r>
  <r>
    <x v="15"/>
    <x v="0"/>
    <x v="1"/>
    <x v="43"/>
    <x v="4"/>
    <x v="3"/>
    <s v=""/>
    <s v="plaque absente"/>
  </r>
  <r>
    <x v="15"/>
    <x v="0"/>
    <x v="2"/>
    <x v="44"/>
    <x v="2"/>
    <x v="1"/>
    <n v="9"/>
    <s v=""/>
  </r>
  <r>
    <x v="15"/>
    <x v="0"/>
    <x v="2"/>
    <x v="44"/>
    <x v="2"/>
    <x v="0"/>
    <n v="1"/>
    <s v=""/>
  </r>
  <r>
    <x v="15"/>
    <x v="0"/>
    <x v="2"/>
    <x v="45"/>
    <x v="2"/>
    <x v="1"/>
    <n v="1"/>
    <s v=""/>
  </r>
  <r>
    <x v="15"/>
    <x v="0"/>
    <x v="2"/>
    <x v="46"/>
    <x v="1"/>
    <x v="4"/>
    <n v="0"/>
    <m/>
  </r>
  <r>
    <x v="15"/>
    <x v="0"/>
    <x v="2"/>
    <x v="4"/>
    <x v="1"/>
    <x v="4"/>
    <n v="0"/>
    <m/>
  </r>
  <r>
    <x v="15"/>
    <x v="0"/>
    <x v="2"/>
    <x v="47"/>
    <x v="2"/>
    <x v="2"/>
    <n v="2"/>
    <s v=""/>
  </r>
  <r>
    <x v="15"/>
    <x v="0"/>
    <x v="2"/>
    <x v="48"/>
    <x v="2"/>
    <x v="0"/>
    <n v="5"/>
    <s v=""/>
  </r>
  <r>
    <x v="15"/>
    <x v="0"/>
    <x v="2"/>
    <x v="3"/>
    <x v="2"/>
    <x v="0"/>
    <n v="1"/>
    <s v=""/>
  </r>
  <r>
    <x v="15"/>
    <x v="0"/>
    <x v="2"/>
    <x v="51"/>
    <x v="2"/>
    <x v="1"/>
    <n v="7"/>
    <s v=""/>
  </r>
  <r>
    <x v="15"/>
    <x v="0"/>
    <x v="2"/>
    <x v="51"/>
    <x v="2"/>
    <x v="2"/>
    <n v="1"/>
    <s v=""/>
  </r>
  <r>
    <x v="15"/>
    <x v="0"/>
    <x v="2"/>
    <x v="2"/>
    <x v="4"/>
    <x v="3"/>
    <s v=""/>
    <s v="plaque absente"/>
  </r>
  <r>
    <x v="15"/>
    <x v="0"/>
    <x v="2"/>
    <x v="52"/>
    <x v="4"/>
    <x v="3"/>
    <s v=""/>
    <s v="plaque absente"/>
  </r>
  <r>
    <x v="15"/>
    <x v="0"/>
    <x v="2"/>
    <x v="53"/>
    <x v="4"/>
    <x v="3"/>
    <s v=""/>
    <s v="plaque absente"/>
  </r>
  <r>
    <x v="15"/>
    <x v="0"/>
    <x v="2"/>
    <x v="54"/>
    <x v="4"/>
    <x v="3"/>
    <s v=""/>
    <s v="plaque absente"/>
  </r>
  <r>
    <x v="15"/>
    <x v="0"/>
    <x v="2"/>
    <x v="1"/>
    <x v="4"/>
    <x v="3"/>
    <s v=""/>
    <s v="plaque absente"/>
  </r>
  <r>
    <x v="15"/>
    <x v="0"/>
    <x v="2"/>
    <x v="55"/>
    <x v="4"/>
    <x v="3"/>
    <s v=""/>
    <s v="plaque absente"/>
  </r>
  <r>
    <x v="15"/>
    <x v="0"/>
    <x v="2"/>
    <x v="56"/>
    <x v="4"/>
    <x v="3"/>
    <s v=""/>
    <s v="plaque absente"/>
  </r>
  <r>
    <x v="15"/>
    <x v="0"/>
    <x v="2"/>
    <x v="57"/>
    <x v="4"/>
    <x v="3"/>
    <s v=""/>
    <s v="plaque absente"/>
  </r>
  <r>
    <x v="15"/>
    <x v="0"/>
    <x v="2"/>
    <x v="58"/>
    <x v="4"/>
    <x v="3"/>
    <s v=""/>
    <s v="plaque absente"/>
  </r>
  <r>
    <x v="15"/>
    <x v="0"/>
    <x v="2"/>
    <x v="59"/>
    <x v="4"/>
    <x v="3"/>
    <s v=""/>
    <s v="plaque absente"/>
  </r>
  <r>
    <x v="15"/>
    <x v="1"/>
    <x v="0"/>
    <x v="60"/>
    <x v="1"/>
    <x v="4"/>
    <n v="0"/>
    <m/>
  </r>
  <r>
    <x v="15"/>
    <x v="1"/>
    <x v="0"/>
    <x v="61"/>
    <x v="2"/>
    <x v="1"/>
    <n v="2"/>
    <s v=""/>
  </r>
  <r>
    <x v="15"/>
    <x v="1"/>
    <x v="0"/>
    <x v="61"/>
    <x v="2"/>
    <x v="0"/>
    <n v="3"/>
    <s v=""/>
  </r>
  <r>
    <x v="15"/>
    <x v="1"/>
    <x v="0"/>
    <x v="61"/>
    <x v="2"/>
    <x v="2"/>
    <n v="3"/>
    <s v=""/>
  </r>
  <r>
    <x v="15"/>
    <x v="1"/>
    <x v="0"/>
    <x v="61"/>
    <x v="5"/>
    <x v="0"/>
    <n v="1"/>
    <s v=""/>
  </r>
  <r>
    <x v="15"/>
    <x v="1"/>
    <x v="0"/>
    <x v="62"/>
    <x v="0"/>
    <x v="2"/>
    <n v="1"/>
    <s v=""/>
  </r>
  <r>
    <x v="15"/>
    <x v="1"/>
    <x v="0"/>
    <x v="62"/>
    <x v="2"/>
    <x v="1"/>
    <n v="1"/>
    <s v=""/>
  </r>
  <r>
    <x v="15"/>
    <x v="1"/>
    <x v="0"/>
    <x v="62"/>
    <x v="2"/>
    <x v="2"/>
    <n v="4"/>
    <s v=""/>
  </r>
  <r>
    <x v="15"/>
    <x v="1"/>
    <x v="0"/>
    <x v="63"/>
    <x v="0"/>
    <x v="1"/>
    <n v="1"/>
    <s v=""/>
  </r>
  <r>
    <x v="15"/>
    <x v="1"/>
    <x v="0"/>
    <x v="63"/>
    <x v="2"/>
    <x v="1"/>
    <n v="10"/>
    <s v=""/>
  </r>
  <r>
    <x v="15"/>
    <x v="1"/>
    <x v="0"/>
    <x v="63"/>
    <x v="2"/>
    <x v="0"/>
    <n v="1"/>
    <s v=""/>
  </r>
  <r>
    <x v="15"/>
    <x v="1"/>
    <x v="0"/>
    <x v="63"/>
    <x v="2"/>
    <x v="2"/>
    <n v="4"/>
    <s v=""/>
  </r>
  <r>
    <x v="15"/>
    <x v="1"/>
    <x v="0"/>
    <x v="64"/>
    <x v="2"/>
    <x v="0"/>
    <n v="9"/>
    <s v=""/>
  </r>
  <r>
    <x v="15"/>
    <x v="1"/>
    <x v="0"/>
    <x v="65"/>
    <x v="1"/>
    <x v="4"/>
    <n v="0"/>
    <m/>
  </r>
  <r>
    <x v="15"/>
    <x v="1"/>
    <x v="0"/>
    <x v="66"/>
    <x v="2"/>
    <x v="1"/>
    <n v="1"/>
    <s v=""/>
  </r>
  <r>
    <x v="15"/>
    <x v="1"/>
    <x v="0"/>
    <x v="67"/>
    <x v="1"/>
    <x v="4"/>
    <n v="0"/>
    <m/>
  </r>
  <r>
    <x v="15"/>
    <x v="1"/>
    <x v="0"/>
    <x v="68"/>
    <x v="2"/>
    <x v="0"/>
    <n v="1"/>
    <s v=""/>
  </r>
  <r>
    <x v="15"/>
    <x v="1"/>
    <x v="0"/>
    <x v="69"/>
    <x v="2"/>
    <x v="0"/>
    <n v="3"/>
    <s v=""/>
  </r>
  <r>
    <x v="15"/>
    <x v="1"/>
    <x v="0"/>
    <x v="70"/>
    <x v="4"/>
    <x v="3"/>
    <s v=""/>
    <s v="plaque absente"/>
  </r>
  <r>
    <x v="15"/>
    <x v="1"/>
    <x v="0"/>
    <x v="71"/>
    <x v="4"/>
    <x v="3"/>
    <s v=""/>
    <s v="plaque absente"/>
  </r>
  <r>
    <x v="15"/>
    <x v="1"/>
    <x v="0"/>
    <x v="72"/>
    <x v="4"/>
    <x v="3"/>
    <s v=""/>
    <s v="plaque absente"/>
  </r>
  <r>
    <x v="15"/>
    <x v="1"/>
    <x v="0"/>
    <x v="73"/>
    <x v="4"/>
    <x v="3"/>
    <s v=""/>
    <s v="plaque absente"/>
  </r>
  <r>
    <x v="15"/>
    <x v="1"/>
    <x v="0"/>
    <x v="74"/>
    <x v="4"/>
    <x v="3"/>
    <s v=""/>
    <s v="plaque absente"/>
  </r>
  <r>
    <x v="15"/>
    <x v="1"/>
    <x v="0"/>
    <x v="75"/>
    <x v="4"/>
    <x v="3"/>
    <s v=""/>
    <s v="plaque absente"/>
  </r>
  <r>
    <x v="15"/>
    <x v="1"/>
    <x v="0"/>
    <x v="76"/>
    <x v="4"/>
    <x v="3"/>
    <s v=""/>
    <s v="plaque absente"/>
  </r>
  <r>
    <x v="15"/>
    <x v="1"/>
    <x v="0"/>
    <x v="77"/>
    <x v="4"/>
    <x v="3"/>
    <s v=""/>
    <s v="plaque absente"/>
  </r>
  <r>
    <x v="15"/>
    <x v="1"/>
    <x v="0"/>
    <x v="78"/>
    <x v="4"/>
    <x v="3"/>
    <s v=""/>
    <s v="plaque absente"/>
  </r>
  <r>
    <x v="15"/>
    <x v="1"/>
    <x v="0"/>
    <x v="79"/>
    <x v="4"/>
    <x v="3"/>
    <s v=""/>
    <s v="plaque absente"/>
  </r>
  <r>
    <x v="15"/>
    <x v="1"/>
    <x v="1"/>
    <x v="80"/>
    <x v="3"/>
    <x v="1"/>
    <n v="1"/>
    <s v=""/>
  </r>
  <r>
    <x v="15"/>
    <x v="1"/>
    <x v="1"/>
    <x v="80"/>
    <x v="2"/>
    <x v="1"/>
    <n v="4"/>
    <s v=""/>
  </r>
  <r>
    <x v="15"/>
    <x v="1"/>
    <x v="1"/>
    <x v="81"/>
    <x v="2"/>
    <x v="1"/>
    <n v="2"/>
    <s v=""/>
  </r>
  <r>
    <x v="15"/>
    <x v="1"/>
    <x v="1"/>
    <x v="81"/>
    <x v="5"/>
    <x v="1"/>
    <n v="1"/>
    <s v=""/>
  </r>
  <r>
    <x v="15"/>
    <x v="1"/>
    <x v="1"/>
    <x v="82"/>
    <x v="1"/>
    <x v="4"/>
    <n v="0"/>
    <m/>
  </r>
  <r>
    <x v="15"/>
    <x v="1"/>
    <x v="1"/>
    <x v="83"/>
    <x v="2"/>
    <x v="1"/>
    <n v="1"/>
    <s v=""/>
  </r>
  <r>
    <x v="15"/>
    <x v="1"/>
    <x v="1"/>
    <x v="84"/>
    <x v="2"/>
    <x v="0"/>
    <n v="1"/>
    <s v=""/>
  </r>
  <r>
    <x v="15"/>
    <x v="1"/>
    <x v="1"/>
    <x v="84"/>
    <x v="5"/>
    <x v="0"/>
    <n v="2"/>
    <s v=""/>
  </r>
  <r>
    <x v="15"/>
    <x v="1"/>
    <x v="1"/>
    <x v="85"/>
    <x v="2"/>
    <x v="0"/>
    <n v="1"/>
    <s v=""/>
  </r>
  <r>
    <x v="15"/>
    <x v="1"/>
    <x v="1"/>
    <x v="86"/>
    <x v="1"/>
    <x v="1"/>
    <n v="1"/>
    <s v=""/>
  </r>
  <r>
    <x v="15"/>
    <x v="1"/>
    <x v="1"/>
    <x v="86"/>
    <x v="1"/>
    <x v="0"/>
    <n v="1"/>
    <s v=""/>
  </r>
  <r>
    <x v="15"/>
    <x v="1"/>
    <x v="1"/>
    <x v="86"/>
    <x v="0"/>
    <x v="0"/>
    <n v="1"/>
    <s v=""/>
  </r>
  <r>
    <x v="15"/>
    <x v="1"/>
    <x v="1"/>
    <x v="87"/>
    <x v="2"/>
    <x v="1"/>
    <n v="1"/>
    <s v=""/>
  </r>
  <r>
    <x v="15"/>
    <x v="1"/>
    <x v="1"/>
    <x v="87"/>
    <x v="2"/>
    <x v="0"/>
    <n v="2"/>
    <s v=""/>
  </r>
  <r>
    <x v="15"/>
    <x v="1"/>
    <x v="1"/>
    <x v="88"/>
    <x v="2"/>
    <x v="0"/>
    <n v="1"/>
    <s v=""/>
  </r>
  <r>
    <x v="15"/>
    <x v="1"/>
    <x v="1"/>
    <x v="89"/>
    <x v="0"/>
    <x v="2"/>
    <n v="1"/>
    <s v=""/>
  </r>
  <r>
    <x v="15"/>
    <x v="1"/>
    <x v="1"/>
    <x v="89"/>
    <x v="2"/>
    <x v="2"/>
    <n v="1"/>
    <s v=""/>
  </r>
  <r>
    <x v="15"/>
    <x v="1"/>
    <x v="1"/>
    <x v="90"/>
    <x v="4"/>
    <x v="3"/>
    <s v=""/>
    <s v="plaque absente"/>
  </r>
  <r>
    <x v="15"/>
    <x v="1"/>
    <x v="1"/>
    <x v="91"/>
    <x v="4"/>
    <x v="3"/>
    <s v=""/>
    <s v="plaque absente"/>
  </r>
  <r>
    <x v="15"/>
    <x v="1"/>
    <x v="1"/>
    <x v="92"/>
    <x v="4"/>
    <x v="3"/>
    <s v=""/>
    <s v="plaque absente"/>
  </r>
  <r>
    <x v="15"/>
    <x v="1"/>
    <x v="1"/>
    <x v="93"/>
    <x v="4"/>
    <x v="3"/>
    <s v=""/>
    <s v="plaque absente"/>
  </r>
  <r>
    <x v="15"/>
    <x v="1"/>
    <x v="1"/>
    <x v="94"/>
    <x v="4"/>
    <x v="3"/>
    <s v=""/>
    <s v="plaque absente"/>
  </r>
  <r>
    <x v="15"/>
    <x v="1"/>
    <x v="1"/>
    <x v="95"/>
    <x v="4"/>
    <x v="3"/>
    <s v=""/>
    <s v="plaque absente"/>
  </r>
  <r>
    <x v="15"/>
    <x v="1"/>
    <x v="1"/>
    <x v="96"/>
    <x v="4"/>
    <x v="3"/>
    <s v=""/>
    <s v="plaque absente"/>
  </r>
  <r>
    <x v="15"/>
    <x v="1"/>
    <x v="1"/>
    <x v="97"/>
    <x v="4"/>
    <x v="3"/>
    <s v=""/>
    <s v="plaque absente"/>
  </r>
  <r>
    <x v="15"/>
    <x v="1"/>
    <x v="1"/>
    <x v="98"/>
    <x v="4"/>
    <x v="3"/>
    <s v=""/>
    <s v="plaque absente"/>
  </r>
  <r>
    <x v="15"/>
    <x v="1"/>
    <x v="1"/>
    <x v="99"/>
    <x v="4"/>
    <x v="3"/>
    <s v=""/>
    <s v="plaque absente"/>
  </r>
  <r>
    <x v="15"/>
    <x v="1"/>
    <x v="2"/>
    <x v="100"/>
    <x v="2"/>
    <x v="1"/>
    <n v="1"/>
    <s v=""/>
  </r>
  <r>
    <x v="15"/>
    <x v="1"/>
    <x v="2"/>
    <x v="101"/>
    <x v="1"/>
    <x v="4"/>
    <n v="0"/>
    <m/>
  </r>
  <r>
    <x v="15"/>
    <x v="1"/>
    <x v="2"/>
    <x v="102"/>
    <x v="2"/>
    <x v="1"/>
    <n v="1"/>
    <s v=""/>
  </r>
  <r>
    <x v="15"/>
    <x v="1"/>
    <x v="2"/>
    <x v="102"/>
    <x v="5"/>
    <x v="1"/>
    <n v="1"/>
    <s v=""/>
  </r>
  <r>
    <x v="15"/>
    <x v="1"/>
    <x v="2"/>
    <x v="103"/>
    <x v="2"/>
    <x v="0"/>
    <n v="1"/>
    <s v=""/>
  </r>
  <r>
    <x v="15"/>
    <x v="1"/>
    <x v="2"/>
    <x v="104"/>
    <x v="3"/>
    <x v="1"/>
    <n v="1"/>
    <s v=""/>
  </r>
  <r>
    <x v="15"/>
    <x v="1"/>
    <x v="2"/>
    <x v="105"/>
    <x v="1"/>
    <x v="4"/>
    <n v="0"/>
    <m/>
  </r>
  <r>
    <x v="15"/>
    <x v="1"/>
    <x v="2"/>
    <x v="106"/>
    <x v="2"/>
    <x v="1"/>
    <n v="3"/>
    <s v=""/>
  </r>
  <r>
    <x v="15"/>
    <x v="1"/>
    <x v="2"/>
    <x v="107"/>
    <x v="1"/>
    <x v="4"/>
    <n v="0"/>
    <m/>
  </r>
  <r>
    <x v="15"/>
    <x v="1"/>
    <x v="2"/>
    <x v="108"/>
    <x v="1"/>
    <x v="4"/>
    <n v="0"/>
    <m/>
  </r>
  <r>
    <x v="15"/>
    <x v="1"/>
    <x v="2"/>
    <x v="109"/>
    <x v="1"/>
    <x v="4"/>
    <n v="0"/>
    <m/>
  </r>
  <r>
    <x v="15"/>
    <x v="1"/>
    <x v="2"/>
    <x v="110"/>
    <x v="4"/>
    <x v="3"/>
    <s v=""/>
    <s v="plaque absente"/>
  </r>
  <r>
    <x v="15"/>
    <x v="1"/>
    <x v="2"/>
    <x v="111"/>
    <x v="4"/>
    <x v="3"/>
    <s v=""/>
    <s v="plaque absente"/>
  </r>
  <r>
    <x v="15"/>
    <x v="1"/>
    <x v="2"/>
    <x v="112"/>
    <x v="4"/>
    <x v="3"/>
    <s v=""/>
    <s v="plaque absente"/>
  </r>
  <r>
    <x v="15"/>
    <x v="1"/>
    <x v="2"/>
    <x v="113"/>
    <x v="4"/>
    <x v="3"/>
    <s v=""/>
    <s v="plaque absente"/>
  </r>
  <r>
    <x v="15"/>
    <x v="1"/>
    <x v="2"/>
    <x v="114"/>
    <x v="4"/>
    <x v="3"/>
    <s v=""/>
    <s v="plaque absente"/>
  </r>
  <r>
    <x v="15"/>
    <x v="1"/>
    <x v="2"/>
    <x v="115"/>
    <x v="4"/>
    <x v="3"/>
    <s v=""/>
    <s v="plaque absente"/>
  </r>
  <r>
    <x v="15"/>
    <x v="1"/>
    <x v="2"/>
    <x v="116"/>
    <x v="4"/>
    <x v="3"/>
    <s v=""/>
    <s v="plaque absente"/>
  </r>
  <r>
    <x v="15"/>
    <x v="1"/>
    <x v="2"/>
    <x v="117"/>
    <x v="4"/>
    <x v="3"/>
    <s v=""/>
    <s v="plaque absente"/>
  </r>
  <r>
    <x v="15"/>
    <x v="1"/>
    <x v="2"/>
    <x v="118"/>
    <x v="4"/>
    <x v="3"/>
    <s v=""/>
    <s v="plaque absente"/>
  </r>
  <r>
    <x v="15"/>
    <x v="1"/>
    <x v="2"/>
    <x v="119"/>
    <x v="4"/>
    <x v="3"/>
    <s v=""/>
    <s v="plaque absente"/>
  </r>
  <r>
    <x v="15"/>
    <x v="2"/>
    <x v="0"/>
    <x v="130"/>
    <x v="4"/>
    <x v="3"/>
    <s v=""/>
    <s v="plaque absente"/>
  </r>
  <r>
    <x v="15"/>
    <x v="2"/>
    <x v="0"/>
    <x v="131"/>
    <x v="4"/>
    <x v="3"/>
    <s v=""/>
    <s v="plaque absente"/>
  </r>
  <r>
    <x v="15"/>
    <x v="2"/>
    <x v="0"/>
    <x v="132"/>
    <x v="4"/>
    <x v="3"/>
    <s v=""/>
    <s v="plaque absente"/>
  </r>
  <r>
    <x v="15"/>
    <x v="2"/>
    <x v="0"/>
    <x v="133"/>
    <x v="4"/>
    <x v="3"/>
    <s v=""/>
    <s v="plaque absente"/>
  </r>
  <r>
    <x v="15"/>
    <x v="2"/>
    <x v="0"/>
    <x v="134"/>
    <x v="4"/>
    <x v="3"/>
    <s v=""/>
    <s v="plaque absente"/>
  </r>
  <r>
    <x v="15"/>
    <x v="2"/>
    <x v="0"/>
    <x v="135"/>
    <x v="4"/>
    <x v="3"/>
    <s v=""/>
    <s v="plaque absente"/>
  </r>
  <r>
    <x v="15"/>
    <x v="2"/>
    <x v="0"/>
    <x v="136"/>
    <x v="4"/>
    <x v="3"/>
    <s v=""/>
    <s v="plaque absente"/>
  </r>
  <r>
    <x v="15"/>
    <x v="2"/>
    <x v="0"/>
    <x v="137"/>
    <x v="4"/>
    <x v="3"/>
    <s v=""/>
    <s v="plaque absente"/>
  </r>
  <r>
    <x v="15"/>
    <x v="2"/>
    <x v="0"/>
    <x v="138"/>
    <x v="4"/>
    <x v="3"/>
    <s v=""/>
    <s v="plaque absente"/>
  </r>
  <r>
    <x v="15"/>
    <x v="2"/>
    <x v="0"/>
    <x v="139"/>
    <x v="4"/>
    <x v="3"/>
    <s v=""/>
    <s v="plaque absente"/>
  </r>
  <r>
    <x v="15"/>
    <x v="2"/>
    <x v="1"/>
    <x v="142"/>
    <x v="1"/>
    <x v="4"/>
    <n v="0"/>
    <m/>
  </r>
  <r>
    <x v="15"/>
    <x v="2"/>
    <x v="1"/>
    <x v="144"/>
    <x v="1"/>
    <x v="4"/>
    <n v="0"/>
    <m/>
  </r>
  <r>
    <x v="15"/>
    <x v="2"/>
    <x v="1"/>
    <x v="145"/>
    <x v="1"/>
    <x v="4"/>
    <n v="0"/>
    <m/>
  </r>
  <r>
    <x v="15"/>
    <x v="2"/>
    <x v="1"/>
    <x v="147"/>
    <x v="1"/>
    <x v="4"/>
    <n v="0"/>
    <m/>
  </r>
  <r>
    <x v="15"/>
    <x v="2"/>
    <x v="1"/>
    <x v="149"/>
    <x v="1"/>
    <x v="4"/>
    <n v="0"/>
    <m/>
  </r>
  <r>
    <x v="15"/>
    <x v="2"/>
    <x v="1"/>
    <x v="150"/>
    <x v="4"/>
    <x v="3"/>
    <s v=""/>
    <s v="plaque absente"/>
  </r>
  <r>
    <x v="15"/>
    <x v="2"/>
    <x v="1"/>
    <x v="151"/>
    <x v="4"/>
    <x v="3"/>
    <s v=""/>
    <s v="plaque absente"/>
  </r>
  <r>
    <x v="15"/>
    <x v="2"/>
    <x v="1"/>
    <x v="152"/>
    <x v="4"/>
    <x v="3"/>
    <s v=""/>
    <s v="plaque absente"/>
  </r>
  <r>
    <x v="15"/>
    <x v="2"/>
    <x v="1"/>
    <x v="153"/>
    <x v="4"/>
    <x v="3"/>
    <s v=""/>
    <s v="plaque absente"/>
  </r>
  <r>
    <x v="15"/>
    <x v="2"/>
    <x v="1"/>
    <x v="154"/>
    <x v="4"/>
    <x v="3"/>
    <s v=""/>
    <s v="plaque absente"/>
  </r>
  <r>
    <x v="15"/>
    <x v="2"/>
    <x v="1"/>
    <x v="155"/>
    <x v="4"/>
    <x v="3"/>
    <s v=""/>
    <s v="plaque absente"/>
  </r>
  <r>
    <x v="15"/>
    <x v="2"/>
    <x v="1"/>
    <x v="156"/>
    <x v="4"/>
    <x v="3"/>
    <s v=""/>
    <s v="plaque absente"/>
  </r>
  <r>
    <x v="15"/>
    <x v="2"/>
    <x v="1"/>
    <x v="157"/>
    <x v="4"/>
    <x v="3"/>
    <s v=""/>
    <s v="plaque absente"/>
  </r>
  <r>
    <x v="15"/>
    <x v="2"/>
    <x v="1"/>
    <x v="158"/>
    <x v="4"/>
    <x v="3"/>
    <s v=""/>
    <s v="plaque absente"/>
  </r>
  <r>
    <x v="15"/>
    <x v="2"/>
    <x v="1"/>
    <x v="159"/>
    <x v="4"/>
    <x v="3"/>
    <s v=""/>
    <s v="plaque absente"/>
  </r>
  <r>
    <x v="15"/>
    <x v="2"/>
    <x v="2"/>
    <x v="160"/>
    <x v="2"/>
    <x v="1"/>
    <n v="2"/>
    <s v=""/>
  </r>
  <r>
    <x v="15"/>
    <x v="2"/>
    <x v="2"/>
    <x v="160"/>
    <x v="2"/>
    <x v="0"/>
    <n v="3"/>
    <s v=""/>
  </r>
  <r>
    <x v="15"/>
    <x v="2"/>
    <x v="2"/>
    <x v="163"/>
    <x v="2"/>
    <x v="1"/>
    <n v="1"/>
    <s v=""/>
  </r>
  <r>
    <x v="15"/>
    <x v="2"/>
    <x v="2"/>
    <x v="164"/>
    <x v="2"/>
    <x v="1"/>
    <n v="2"/>
    <s v=""/>
  </r>
  <r>
    <x v="15"/>
    <x v="2"/>
    <x v="2"/>
    <x v="164"/>
    <x v="2"/>
    <x v="0"/>
    <n v="1"/>
    <s v=""/>
  </r>
  <r>
    <x v="15"/>
    <x v="2"/>
    <x v="2"/>
    <x v="164"/>
    <x v="2"/>
    <x v="2"/>
    <n v="4"/>
    <s v=""/>
  </r>
  <r>
    <x v="15"/>
    <x v="2"/>
    <x v="2"/>
    <x v="165"/>
    <x v="1"/>
    <x v="4"/>
    <n v="0"/>
    <m/>
  </r>
  <r>
    <x v="15"/>
    <x v="2"/>
    <x v="2"/>
    <x v="166"/>
    <x v="2"/>
    <x v="1"/>
    <n v="2"/>
    <s v=""/>
  </r>
  <r>
    <x v="15"/>
    <x v="2"/>
    <x v="2"/>
    <x v="167"/>
    <x v="1"/>
    <x v="4"/>
    <n v="0"/>
    <m/>
  </r>
  <r>
    <x v="15"/>
    <x v="2"/>
    <x v="2"/>
    <x v="168"/>
    <x v="2"/>
    <x v="1"/>
    <n v="2"/>
    <s v=""/>
  </r>
  <r>
    <x v="15"/>
    <x v="2"/>
    <x v="2"/>
    <x v="169"/>
    <x v="2"/>
    <x v="0"/>
    <n v="1"/>
    <s v=""/>
  </r>
  <r>
    <x v="15"/>
    <x v="2"/>
    <x v="2"/>
    <x v="170"/>
    <x v="4"/>
    <x v="3"/>
    <s v=""/>
    <s v="plaque absente"/>
  </r>
  <r>
    <x v="15"/>
    <x v="2"/>
    <x v="2"/>
    <x v="171"/>
    <x v="4"/>
    <x v="3"/>
    <s v=""/>
    <s v="plaque absente"/>
  </r>
  <r>
    <x v="15"/>
    <x v="2"/>
    <x v="2"/>
    <x v="172"/>
    <x v="4"/>
    <x v="3"/>
    <s v=""/>
    <s v="plaque absente"/>
  </r>
  <r>
    <x v="15"/>
    <x v="2"/>
    <x v="2"/>
    <x v="173"/>
    <x v="4"/>
    <x v="3"/>
    <s v=""/>
    <s v="plaque absente"/>
  </r>
  <r>
    <x v="15"/>
    <x v="2"/>
    <x v="2"/>
    <x v="174"/>
    <x v="4"/>
    <x v="3"/>
    <s v=""/>
    <s v="plaque absente"/>
  </r>
  <r>
    <x v="15"/>
    <x v="2"/>
    <x v="2"/>
    <x v="175"/>
    <x v="4"/>
    <x v="3"/>
    <s v=""/>
    <s v="plaque absente"/>
  </r>
  <r>
    <x v="15"/>
    <x v="2"/>
    <x v="2"/>
    <x v="176"/>
    <x v="4"/>
    <x v="3"/>
    <s v=""/>
    <s v="plaque absente"/>
  </r>
  <r>
    <x v="15"/>
    <x v="2"/>
    <x v="2"/>
    <x v="177"/>
    <x v="4"/>
    <x v="3"/>
    <s v=""/>
    <s v="plaque absente"/>
  </r>
  <r>
    <x v="15"/>
    <x v="2"/>
    <x v="2"/>
    <x v="178"/>
    <x v="4"/>
    <x v="3"/>
    <s v=""/>
    <s v="plaque absente"/>
  </r>
  <r>
    <x v="15"/>
    <x v="2"/>
    <x v="2"/>
    <x v="179"/>
    <x v="4"/>
    <x v="3"/>
    <s v=""/>
    <s v="plaque absente"/>
  </r>
  <r>
    <x v="15"/>
    <x v="0"/>
    <x v="0"/>
    <x v="180"/>
    <x v="2"/>
    <x v="0"/>
    <n v="1"/>
    <s v=""/>
  </r>
  <r>
    <x v="15"/>
    <x v="0"/>
    <x v="1"/>
    <x v="181"/>
    <x v="2"/>
    <x v="0"/>
    <n v="1"/>
    <s v=""/>
  </r>
  <r>
    <x v="15"/>
    <x v="0"/>
    <x v="1"/>
    <x v="181"/>
    <x v="2"/>
    <x v="2"/>
    <n v="1"/>
    <s v=""/>
  </r>
  <r>
    <x v="15"/>
    <x v="0"/>
    <x v="0"/>
    <x v="181"/>
    <x v="2"/>
    <x v="1"/>
    <n v="5"/>
    <s v=""/>
  </r>
  <r>
    <x v="15"/>
    <x v="0"/>
    <x v="0"/>
    <x v="181"/>
    <x v="2"/>
    <x v="0"/>
    <n v="2"/>
    <s v=""/>
  </r>
  <r>
    <x v="15"/>
    <x v="0"/>
    <x v="1"/>
    <x v="182"/>
    <x v="2"/>
    <x v="1"/>
    <n v="2"/>
    <s v=""/>
  </r>
  <r>
    <x v="15"/>
    <x v="0"/>
    <x v="1"/>
    <x v="182"/>
    <x v="2"/>
    <x v="0"/>
    <n v="5"/>
    <s v=""/>
  </r>
  <r>
    <x v="15"/>
    <x v="0"/>
    <x v="1"/>
    <x v="182"/>
    <x v="2"/>
    <x v="2"/>
    <n v="1"/>
    <s v=""/>
  </r>
  <r>
    <x v="15"/>
    <x v="0"/>
    <x v="0"/>
    <x v="182"/>
    <x v="3"/>
    <x v="2"/>
    <n v="1"/>
    <s v=""/>
  </r>
  <r>
    <x v="15"/>
    <x v="0"/>
    <x v="0"/>
    <x v="182"/>
    <x v="2"/>
    <x v="2"/>
    <n v="1"/>
    <s v=""/>
  </r>
  <r>
    <x v="15"/>
    <x v="0"/>
    <x v="1"/>
    <x v="183"/>
    <x v="2"/>
    <x v="0"/>
    <n v="3"/>
    <s v=""/>
  </r>
  <r>
    <x v="15"/>
    <x v="0"/>
    <x v="1"/>
    <x v="183"/>
    <x v="5"/>
    <x v="0"/>
    <n v="1"/>
    <s v=""/>
  </r>
  <r>
    <x v="15"/>
    <x v="0"/>
    <x v="0"/>
    <x v="183"/>
    <x v="3"/>
    <x v="0"/>
    <n v="1"/>
    <s v=""/>
  </r>
  <r>
    <x v="15"/>
    <x v="0"/>
    <x v="0"/>
    <x v="183"/>
    <x v="2"/>
    <x v="2"/>
    <n v="1"/>
    <s v=""/>
  </r>
  <r>
    <x v="15"/>
    <x v="0"/>
    <x v="0"/>
    <x v="184"/>
    <x v="2"/>
    <x v="1"/>
    <n v="3"/>
    <s v=""/>
  </r>
  <r>
    <x v="15"/>
    <x v="0"/>
    <x v="0"/>
    <x v="184"/>
    <x v="2"/>
    <x v="2"/>
    <n v="2"/>
    <s v=""/>
  </r>
  <r>
    <x v="15"/>
    <x v="0"/>
    <x v="0"/>
    <x v="185"/>
    <x v="2"/>
    <x v="1"/>
    <n v="2"/>
    <s v=""/>
  </r>
  <r>
    <x v="15"/>
    <x v="0"/>
    <x v="0"/>
    <x v="185"/>
    <x v="2"/>
    <x v="2"/>
    <n v="2"/>
    <s v=""/>
  </r>
  <r>
    <x v="15"/>
    <x v="0"/>
    <x v="0"/>
    <x v="186"/>
    <x v="2"/>
    <x v="2"/>
    <n v="1"/>
    <s v=""/>
  </r>
  <r>
    <x v="15"/>
    <x v="0"/>
    <x v="1"/>
    <x v="187"/>
    <x v="2"/>
    <x v="1"/>
    <n v="7"/>
    <s v=""/>
  </r>
  <r>
    <x v="15"/>
    <x v="0"/>
    <x v="1"/>
    <x v="187"/>
    <x v="2"/>
    <x v="0"/>
    <n v="2"/>
    <s v=""/>
  </r>
  <r>
    <x v="15"/>
    <x v="0"/>
    <x v="1"/>
    <x v="187"/>
    <x v="2"/>
    <x v="2"/>
    <n v="2"/>
    <s v=""/>
  </r>
  <r>
    <x v="15"/>
    <x v="0"/>
    <x v="0"/>
    <x v="187"/>
    <x v="2"/>
    <x v="1"/>
    <n v="3"/>
    <s v=""/>
  </r>
  <r>
    <x v="15"/>
    <x v="0"/>
    <x v="0"/>
    <x v="187"/>
    <x v="2"/>
    <x v="2"/>
    <n v="2"/>
    <s v=""/>
  </r>
  <r>
    <x v="15"/>
    <x v="0"/>
    <x v="1"/>
    <x v="188"/>
    <x v="2"/>
    <x v="1"/>
    <n v="2"/>
    <s v=""/>
  </r>
  <r>
    <x v="15"/>
    <x v="0"/>
    <x v="1"/>
    <x v="188"/>
    <x v="2"/>
    <x v="0"/>
    <n v="1"/>
    <s v=""/>
  </r>
  <r>
    <x v="15"/>
    <x v="0"/>
    <x v="0"/>
    <x v="188"/>
    <x v="2"/>
    <x v="0"/>
    <n v="10"/>
    <s v=""/>
  </r>
  <r>
    <x v="15"/>
    <x v="2"/>
    <x v="1"/>
    <x v="189"/>
    <x v="2"/>
    <x v="0"/>
    <n v="2"/>
    <s v=""/>
  </r>
  <r>
    <x v="15"/>
    <x v="2"/>
    <x v="1"/>
    <x v="189"/>
    <x v="2"/>
    <x v="2"/>
    <n v="1"/>
    <s v=""/>
  </r>
  <r>
    <x v="15"/>
    <x v="2"/>
    <x v="0"/>
    <x v="189"/>
    <x v="2"/>
    <x v="1"/>
    <n v="2"/>
    <s v=""/>
  </r>
  <r>
    <x v="15"/>
    <x v="2"/>
    <x v="0"/>
    <x v="189"/>
    <x v="2"/>
    <x v="0"/>
    <n v="5"/>
    <s v=""/>
  </r>
  <r>
    <x v="15"/>
    <x v="2"/>
    <x v="0"/>
    <x v="189"/>
    <x v="2"/>
    <x v="2"/>
    <n v="1"/>
    <s v=""/>
  </r>
  <r>
    <x v="15"/>
    <x v="2"/>
    <x v="1"/>
    <x v="190"/>
    <x v="2"/>
    <x v="0"/>
    <n v="1"/>
    <s v=""/>
  </r>
  <r>
    <x v="15"/>
    <x v="2"/>
    <x v="0"/>
    <x v="190"/>
    <x v="2"/>
    <x v="2"/>
    <n v="1"/>
    <s v=""/>
  </r>
  <r>
    <x v="15"/>
    <x v="2"/>
    <x v="0"/>
    <x v="191"/>
    <x v="2"/>
    <x v="1"/>
    <n v="7"/>
    <s v=""/>
  </r>
  <r>
    <x v="15"/>
    <x v="2"/>
    <x v="0"/>
    <x v="191"/>
    <x v="2"/>
    <x v="0"/>
    <n v="1"/>
    <s v=""/>
  </r>
  <r>
    <x v="15"/>
    <x v="2"/>
    <x v="0"/>
    <x v="191"/>
    <x v="5"/>
    <x v="1"/>
    <n v="1"/>
    <s v=""/>
  </r>
  <r>
    <x v="15"/>
    <x v="2"/>
    <x v="1"/>
    <x v="192"/>
    <x v="2"/>
    <x v="0"/>
    <n v="1"/>
    <s v=""/>
  </r>
  <r>
    <x v="15"/>
    <x v="2"/>
    <x v="0"/>
    <x v="192"/>
    <x v="2"/>
    <x v="0"/>
    <n v="1"/>
    <s v=""/>
  </r>
  <r>
    <x v="15"/>
    <x v="2"/>
    <x v="0"/>
    <x v="193"/>
    <x v="2"/>
    <x v="1"/>
    <n v="1"/>
    <s v=""/>
  </r>
  <r>
    <x v="15"/>
    <x v="2"/>
    <x v="0"/>
    <x v="193"/>
    <x v="2"/>
    <x v="0"/>
    <n v="2"/>
    <s v=""/>
  </r>
  <r>
    <x v="15"/>
    <x v="2"/>
    <x v="1"/>
    <x v="194"/>
    <x v="0"/>
    <x v="1"/>
    <n v="1"/>
    <s v=""/>
  </r>
  <r>
    <x v="15"/>
    <x v="2"/>
    <x v="0"/>
    <x v="194"/>
    <x v="2"/>
    <x v="1"/>
    <n v="4"/>
    <s v=""/>
  </r>
  <r>
    <x v="15"/>
    <x v="2"/>
    <x v="0"/>
    <x v="194"/>
    <x v="2"/>
    <x v="0"/>
    <n v="3"/>
    <s v=""/>
  </r>
  <r>
    <x v="15"/>
    <x v="2"/>
    <x v="0"/>
    <x v="195"/>
    <x v="2"/>
    <x v="1"/>
    <n v="6"/>
    <s v=""/>
  </r>
  <r>
    <x v="15"/>
    <x v="2"/>
    <x v="0"/>
    <x v="195"/>
    <x v="2"/>
    <x v="0"/>
    <n v="7"/>
    <s v=""/>
  </r>
  <r>
    <x v="15"/>
    <x v="2"/>
    <x v="0"/>
    <x v="195"/>
    <x v="2"/>
    <x v="2"/>
    <n v="1"/>
    <s v=""/>
  </r>
  <r>
    <x v="15"/>
    <x v="2"/>
    <x v="1"/>
    <x v="196"/>
    <x v="2"/>
    <x v="1"/>
    <n v="1"/>
    <s v=""/>
  </r>
  <r>
    <x v="15"/>
    <x v="2"/>
    <x v="0"/>
    <x v="196"/>
    <x v="2"/>
    <x v="0"/>
    <n v="7"/>
    <s v=""/>
  </r>
  <r>
    <x v="15"/>
    <x v="2"/>
    <x v="0"/>
    <x v="196"/>
    <x v="2"/>
    <x v="2"/>
    <n v="1"/>
    <s v=""/>
  </r>
  <r>
    <x v="15"/>
    <x v="2"/>
    <x v="1"/>
    <x v="197"/>
    <x v="2"/>
    <x v="2"/>
    <n v="1"/>
    <s v=""/>
  </r>
  <r>
    <x v="15"/>
    <x v="2"/>
    <x v="0"/>
    <x v="197"/>
    <x v="2"/>
    <x v="1"/>
    <n v="1"/>
    <s v=""/>
  </r>
  <r>
    <x v="15"/>
    <x v="2"/>
    <x v="2"/>
    <x v="198"/>
    <x v="0"/>
    <x v="2"/>
    <n v="1"/>
    <s v=""/>
  </r>
  <r>
    <x v="15"/>
    <x v="2"/>
    <x v="2"/>
    <x v="198"/>
    <x v="2"/>
    <x v="1"/>
    <n v="1"/>
    <s v=""/>
  </r>
  <r>
    <x v="15"/>
    <x v="2"/>
    <x v="2"/>
    <x v="198"/>
    <x v="2"/>
    <x v="2"/>
    <n v="2"/>
    <s v=""/>
  </r>
  <r>
    <x v="15"/>
    <x v="2"/>
    <x v="2"/>
    <x v="198"/>
    <x v="5"/>
    <x v="2"/>
    <n v="1"/>
    <s v=""/>
  </r>
  <r>
    <x v="15"/>
    <x v="0"/>
    <x v="2"/>
    <x v="199"/>
    <x v="2"/>
    <x v="1"/>
    <n v="2"/>
    <s v=""/>
  </r>
  <r>
    <x v="15"/>
    <x v="0"/>
    <x v="2"/>
    <x v="200"/>
    <x v="1"/>
    <x v="0"/>
    <n v="1"/>
    <s v=""/>
  </r>
  <r>
    <x v="15"/>
    <x v="0"/>
    <x v="2"/>
    <x v="200"/>
    <x v="1"/>
    <x v="2"/>
    <n v="1"/>
    <s v=""/>
  </r>
  <r>
    <x v="15"/>
    <x v="0"/>
    <x v="2"/>
    <x v="200"/>
    <x v="2"/>
    <x v="1"/>
    <n v="4"/>
    <s v=""/>
  </r>
  <r>
    <x v="15"/>
    <x v="0"/>
    <x v="2"/>
    <x v="200"/>
    <x v="5"/>
    <x v="2"/>
    <n v="3"/>
    <s v=""/>
  </r>
  <r>
    <x v="16"/>
    <x v="0"/>
    <x v="0"/>
    <x v="0"/>
    <x v="1"/>
    <x v="4"/>
    <n v="0"/>
    <m/>
  </r>
  <r>
    <x v="16"/>
    <x v="0"/>
    <x v="0"/>
    <x v="16"/>
    <x v="1"/>
    <x v="4"/>
    <n v="0"/>
    <m/>
  </r>
  <r>
    <x v="16"/>
    <x v="0"/>
    <x v="0"/>
    <x v="15"/>
    <x v="1"/>
    <x v="4"/>
    <n v="0"/>
    <m/>
  </r>
  <r>
    <x v="16"/>
    <x v="0"/>
    <x v="0"/>
    <x v="17"/>
    <x v="1"/>
    <x v="4"/>
    <n v="0"/>
    <m/>
  </r>
  <r>
    <x v="16"/>
    <x v="0"/>
    <x v="0"/>
    <x v="14"/>
    <x v="1"/>
    <x v="4"/>
    <n v="0"/>
    <m/>
  </r>
  <r>
    <x v="16"/>
    <x v="0"/>
    <x v="0"/>
    <x v="18"/>
    <x v="1"/>
    <x v="4"/>
    <n v="0"/>
    <m/>
  </r>
  <r>
    <x v="16"/>
    <x v="0"/>
    <x v="0"/>
    <x v="13"/>
    <x v="1"/>
    <x v="4"/>
    <n v="0"/>
    <m/>
  </r>
  <r>
    <x v="16"/>
    <x v="0"/>
    <x v="0"/>
    <x v="19"/>
    <x v="2"/>
    <x v="0"/>
    <n v="1"/>
    <s v=""/>
  </r>
  <r>
    <x v="16"/>
    <x v="0"/>
    <x v="0"/>
    <x v="20"/>
    <x v="2"/>
    <x v="0"/>
    <n v="1"/>
    <s v=""/>
  </r>
  <r>
    <x v="16"/>
    <x v="0"/>
    <x v="0"/>
    <x v="12"/>
    <x v="1"/>
    <x v="4"/>
    <n v="0"/>
    <m/>
  </r>
  <r>
    <x v="16"/>
    <x v="0"/>
    <x v="0"/>
    <x v="21"/>
    <x v="1"/>
    <x v="4"/>
    <n v="0"/>
    <m/>
  </r>
  <r>
    <x v="16"/>
    <x v="0"/>
    <x v="0"/>
    <x v="22"/>
    <x v="5"/>
    <x v="1"/>
    <n v="1"/>
    <s v=""/>
  </r>
  <r>
    <x v="16"/>
    <x v="0"/>
    <x v="0"/>
    <x v="23"/>
    <x v="0"/>
    <x v="0"/>
    <n v="1"/>
    <s v=""/>
  </r>
  <r>
    <x v="16"/>
    <x v="0"/>
    <x v="0"/>
    <x v="24"/>
    <x v="1"/>
    <x v="4"/>
    <n v="0"/>
    <m/>
  </r>
  <r>
    <x v="16"/>
    <x v="0"/>
    <x v="0"/>
    <x v="25"/>
    <x v="1"/>
    <x v="4"/>
    <n v="0"/>
    <m/>
  </r>
  <r>
    <x v="16"/>
    <x v="0"/>
    <x v="0"/>
    <x v="26"/>
    <x v="1"/>
    <x v="4"/>
    <n v="0"/>
    <m/>
  </r>
  <r>
    <x v="16"/>
    <x v="0"/>
    <x v="0"/>
    <x v="27"/>
    <x v="1"/>
    <x v="4"/>
    <n v="0"/>
    <m/>
  </r>
  <r>
    <x v="16"/>
    <x v="0"/>
    <x v="0"/>
    <x v="28"/>
    <x v="1"/>
    <x v="4"/>
    <n v="0"/>
    <m/>
  </r>
  <r>
    <x v="16"/>
    <x v="0"/>
    <x v="0"/>
    <x v="11"/>
    <x v="1"/>
    <x v="4"/>
    <n v="0"/>
    <m/>
  </r>
  <r>
    <x v="16"/>
    <x v="0"/>
    <x v="0"/>
    <x v="29"/>
    <x v="1"/>
    <x v="4"/>
    <n v="0"/>
    <m/>
  </r>
  <r>
    <x v="16"/>
    <x v="0"/>
    <x v="1"/>
    <x v="30"/>
    <x v="1"/>
    <x v="4"/>
    <n v="0"/>
    <m/>
  </r>
  <r>
    <x v="16"/>
    <x v="0"/>
    <x v="1"/>
    <x v="31"/>
    <x v="1"/>
    <x v="1"/>
    <n v="1"/>
    <s v=""/>
  </r>
  <r>
    <x v="16"/>
    <x v="0"/>
    <x v="1"/>
    <x v="32"/>
    <x v="1"/>
    <x v="4"/>
    <n v="0"/>
    <m/>
  </r>
  <r>
    <x v="16"/>
    <x v="0"/>
    <x v="1"/>
    <x v="33"/>
    <x v="1"/>
    <x v="4"/>
    <n v="0"/>
    <m/>
  </r>
  <r>
    <x v="16"/>
    <x v="0"/>
    <x v="1"/>
    <x v="10"/>
    <x v="1"/>
    <x v="4"/>
    <n v="0"/>
    <m/>
  </r>
  <r>
    <x v="16"/>
    <x v="0"/>
    <x v="1"/>
    <x v="34"/>
    <x v="1"/>
    <x v="4"/>
    <n v="0"/>
    <m/>
  </r>
  <r>
    <x v="16"/>
    <x v="0"/>
    <x v="1"/>
    <x v="35"/>
    <x v="1"/>
    <x v="4"/>
    <n v="0"/>
    <m/>
  </r>
  <r>
    <x v="16"/>
    <x v="0"/>
    <x v="1"/>
    <x v="36"/>
    <x v="5"/>
    <x v="0"/>
    <n v="1"/>
    <s v=""/>
  </r>
  <r>
    <x v="16"/>
    <x v="0"/>
    <x v="1"/>
    <x v="37"/>
    <x v="1"/>
    <x v="4"/>
    <n v="0"/>
    <m/>
  </r>
  <r>
    <x v="16"/>
    <x v="0"/>
    <x v="1"/>
    <x v="9"/>
    <x v="1"/>
    <x v="4"/>
    <n v="0"/>
    <m/>
  </r>
  <r>
    <x v="16"/>
    <x v="0"/>
    <x v="1"/>
    <x v="38"/>
    <x v="1"/>
    <x v="4"/>
    <n v="0"/>
    <m/>
  </r>
  <r>
    <x v="16"/>
    <x v="0"/>
    <x v="1"/>
    <x v="8"/>
    <x v="1"/>
    <x v="4"/>
    <n v="0"/>
    <m/>
  </r>
  <r>
    <x v="16"/>
    <x v="0"/>
    <x v="1"/>
    <x v="39"/>
    <x v="1"/>
    <x v="4"/>
    <n v="0"/>
    <m/>
  </r>
  <r>
    <x v="16"/>
    <x v="0"/>
    <x v="1"/>
    <x v="7"/>
    <x v="1"/>
    <x v="4"/>
    <n v="0"/>
    <m/>
  </r>
  <r>
    <x v="16"/>
    <x v="0"/>
    <x v="1"/>
    <x v="6"/>
    <x v="1"/>
    <x v="4"/>
    <n v="0"/>
    <m/>
  </r>
  <r>
    <x v="16"/>
    <x v="0"/>
    <x v="1"/>
    <x v="40"/>
    <x v="1"/>
    <x v="4"/>
    <n v="0"/>
    <m/>
  </r>
  <r>
    <x v="16"/>
    <x v="0"/>
    <x v="1"/>
    <x v="41"/>
    <x v="1"/>
    <x v="4"/>
    <n v="0"/>
    <m/>
  </r>
  <r>
    <x v="16"/>
    <x v="0"/>
    <x v="1"/>
    <x v="42"/>
    <x v="1"/>
    <x v="4"/>
    <n v="0"/>
    <m/>
  </r>
  <r>
    <x v="16"/>
    <x v="0"/>
    <x v="1"/>
    <x v="5"/>
    <x v="2"/>
    <x v="1"/>
    <n v="1"/>
    <s v=""/>
  </r>
  <r>
    <x v="16"/>
    <x v="0"/>
    <x v="1"/>
    <x v="5"/>
    <x v="2"/>
    <x v="0"/>
    <n v="1"/>
    <s v=""/>
  </r>
  <r>
    <x v="16"/>
    <x v="0"/>
    <x v="1"/>
    <x v="43"/>
    <x v="1"/>
    <x v="4"/>
    <n v="0"/>
    <m/>
  </r>
  <r>
    <x v="16"/>
    <x v="0"/>
    <x v="2"/>
    <x v="44"/>
    <x v="1"/>
    <x v="4"/>
    <n v="0"/>
    <m/>
  </r>
  <r>
    <x v="16"/>
    <x v="0"/>
    <x v="2"/>
    <x v="45"/>
    <x v="1"/>
    <x v="4"/>
    <n v="0"/>
    <m/>
  </r>
  <r>
    <x v="16"/>
    <x v="0"/>
    <x v="2"/>
    <x v="46"/>
    <x v="1"/>
    <x v="4"/>
    <n v="0"/>
    <m/>
  </r>
  <r>
    <x v="16"/>
    <x v="0"/>
    <x v="2"/>
    <x v="4"/>
    <x v="1"/>
    <x v="4"/>
    <n v="0"/>
    <m/>
  </r>
  <r>
    <x v="16"/>
    <x v="0"/>
    <x v="2"/>
    <x v="47"/>
    <x v="1"/>
    <x v="4"/>
    <n v="0"/>
    <m/>
  </r>
  <r>
    <x v="16"/>
    <x v="0"/>
    <x v="2"/>
    <x v="48"/>
    <x v="1"/>
    <x v="4"/>
    <n v="0"/>
    <m/>
  </r>
  <r>
    <x v="16"/>
    <x v="0"/>
    <x v="2"/>
    <x v="49"/>
    <x v="1"/>
    <x v="4"/>
    <n v="0"/>
    <m/>
  </r>
  <r>
    <x v="16"/>
    <x v="0"/>
    <x v="2"/>
    <x v="50"/>
    <x v="1"/>
    <x v="4"/>
    <n v="0"/>
    <m/>
  </r>
  <r>
    <x v="16"/>
    <x v="0"/>
    <x v="2"/>
    <x v="3"/>
    <x v="1"/>
    <x v="4"/>
    <n v="0"/>
    <m/>
  </r>
  <r>
    <x v="16"/>
    <x v="0"/>
    <x v="2"/>
    <x v="51"/>
    <x v="1"/>
    <x v="4"/>
    <n v="0"/>
    <m/>
  </r>
  <r>
    <x v="16"/>
    <x v="0"/>
    <x v="2"/>
    <x v="2"/>
    <x v="1"/>
    <x v="4"/>
    <n v="0"/>
    <m/>
  </r>
  <r>
    <x v="16"/>
    <x v="0"/>
    <x v="2"/>
    <x v="52"/>
    <x v="1"/>
    <x v="4"/>
    <n v="0"/>
    <m/>
  </r>
  <r>
    <x v="16"/>
    <x v="0"/>
    <x v="2"/>
    <x v="53"/>
    <x v="1"/>
    <x v="4"/>
    <n v="0"/>
    <m/>
  </r>
  <r>
    <x v="16"/>
    <x v="0"/>
    <x v="2"/>
    <x v="54"/>
    <x v="1"/>
    <x v="4"/>
    <n v="0"/>
    <m/>
  </r>
  <r>
    <x v="16"/>
    <x v="0"/>
    <x v="2"/>
    <x v="1"/>
    <x v="1"/>
    <x v="4"/>
    <n v="0"/>
    <m/>
  </r>
  <r>
    <x v="16"/>
    <x v="0"/>
    <x v="2"/>
    <x v="55"/>
    <x v="1"/>
    <x v="4"/>
    <n v="0"/>
    <m/>
  </r>
  <r>
    <x v="16"/>
    <x v="0"/>
    <x v="2"/>
    <x v="56"/>
    <x v="1"/>
    <x v="4"/>
    <n v="0"/>
    <m/>
  </r>
  <r>
    <x v="16"/>
    <x v="0"/>
    <x v="2"/>
    <x v="57"/>
    <x v="1"/>
    <x v="4"/>
    <n v="0"/>
    <m/>
  </r>
  <r>
    <x v="16"/>
    <x v="0"/>
    <x v="2"/>
    <x v="58"/>
    <x v="1"/>
    <x v="4"/>
    <n v="0"/>
    <m/>
  </r>
  <r>
    <x v="16"/>
    <x v="0"/>
    <x v="2"/>
    <x v="59"/>
    <x v="1"/>
    <x v="4"/>
    <n v="0"/>
    <m/>
  </r>
  <r>
    <x v="16"/>
    <x v="1"/>
    <x v="0"/>
    <x v="60"/>
    <x v="1"/>
    <x v="4"/>
    <n v="0"/>
    <m/>
  </r>
  <r>
    <x v="16"/>
    <x v="1"/>
    <x v="0"/>
    <x v="61"/>
    <x v="1"/>
    <x v="4"/>
    <n v="0"/>
    <m/>
  </r>
  <r>
    <x v="16"/>
    <x v="1"/>
    <x v="0"/>
    <x v="62"/>
    <x v="1"/>
    <x v="4"/>
    <n v="0"/>
    <m/>
  </r>
  <r>
    <x v="16"/>
    <x v="1"/>
    <x v="0"/>
    <x v="63"/>
    <x v="1"/>
    <x v="4"/>
    <n v="0"/>
    <m/>
  </r>
  <r>
    <x v="16"/>
    <x v="1"/>
    <x v="0"/>
    <x v="64"/>
    <x v="2"/>
    <x v="0"/>
    <n v="1"/>
    <s v=""/>
  </r>
  <r>
    <x v="16"/>
    <x v="1"/>
    <x v="0"/>
    <x v="65"/>
    <x v="1"/>
    <x v="4"/>
    <n v="0"/>
    <m/>
  </r>
  <r>
    <x v="16"/>
    <x v="1"/>
    <x v="0"/>
    <x v="66"/>
    <x v="1"/>
    <x v="4"/>
    <n v="0"/>
    <m/>
  </r>
  <r>
    <x v="16"/>
    <x v="1"/>
    <x v="0"/>
    <x v="67"/>
    <x v="1"/>
    <x v="4"/>
    <n v="0"/>
    <m/>
  </r>
  <r>
    <x v="16"/>
    <x v="1"/>
    <x v="0"/>
    <x v="68"/>
    <x v="1"/>
    <x v="4"/>
    <n v="0"/>
    <m/>
  </r>
  <r>
    <x v="16"/>
    <x v="1"/>
    <x v="0"/>
    <x v="69"/>
    <x v="1"/>
    <x v="4"/>
    <n v="0"/>
    <m/>
  </r>
  <r>
    <x v="16"/>
    <x v="1"/>
    <x v="0"/>
    <x v="70"/>
    <x v="1"/>
    <x v="4"/>
    <n v="0"/>
    <m/>
  </r>
  <r>
    <x v="16"/>
    <x v="1"/>
    <x v="0"/>
    <x v="71"/>
    <x v="1"/>
    <x v="4"/>
    <n v="0"/>
    <m/>
  </r>
  <r>
    <x v="16"/>
    <x v="1"/>
    <x v="0"/>
    <x v="72"/>
    <x v="1"/>
    <x v="4"/>
    <n v="0"/>
    <m/>
  </r>
  <r>
    <x v="16"/>
    <x v="1"/>
    <x v="0"/>
    <x v="73"/>
    <x v="2"/>
    <x v="0"/>
    <n v="1"/>
    <m/>
  </r>
  <r>
    <x v="16"/>
    <x v="1"/>
    <x v="0"/>
    <x v="74"/>
    <x v="1"/>
    <x v="4"/>
    <n v="0"/>
    <m/>
  </r>
  <r>
    <x v="16"/>
    <x v="1"/>
    <x v="0"/>
    <x v="75"/>
    <x v="1"/>
    <x v="4"/>
    <n v="0"/>
    <m/>
  </r>
  <r>
    <x v="16"/>
    <x v="1"/>
    <x v="0"/>
    <x v="76"/>
    <x v="2"/>
    <x v="1"/>
    <n v="1"/>
    <m/>
  </r>
  <r>
    <x v="16"/>
    <x v="1"/>
    <x v="0"/>
    <x v="77"/>
    <x v="1"/>
    <x v="4"/>
    <n v="0"/>
    <m/>
  </r>
  <r>
    <x v="16"/>
    <x v="1"/>
    <x v="0"/>
    <x v="78"/>
    <x v="1"/>
    <x v="1"/>
    <n v="1"/>
    <m/>
  </r>
  <r>
    <x v="16"/>
    <x v="1"/>
    <x v="0"/>
    <x v="79"/>
    <x v="1"/>
    <x v="4"/>
    <n v="0"/>
    <m/>
  </r>
  <r>
    <x v="16"/>
    <x v="1"/>
    <x v="1"/>
    <x v="80"/>
    <x v="1"/>
    <x v="4"/>
    <n v="0"/>
    <m/>
  </r>
  <r>
    <x v="16"/>
    <x v="1"/>
    <x v="1"/>
    <x v="81"/>
    <x v="1"/>
    <x v="4"/>
    <n v="0"/>
    <m/>
  </r>
  <r>
    <x v="16"/>
    <x v="1"/>
    <x v="1"/>
    <x v="82"/>
    <x v="1"/>
    <x v="4"/>
    <n v="0"/>
    <m/>
  </r>
  <r>
    <x v="16"/>
    <x v="1"/>
    <x v="1"/>
    <x v="83"/>
    <x v="1"/>
    <x v="4"/>
    <n v="0"/>
    <m/>
  </r>
  <r>
    <x v="16"/>
    <x v="1"/>
    <x v="1"/>
    <x v="84"/>
    <x v="2"/>
    <x v="2"/>
    <n v="1"/>
    <m/>
  </r>
  <r>
    <x v="16"/>
    <x v="1"/>
    <x v="1"/>
    <x v="85"/>
    <x v="1"/>
    <x v="4"/>
    <n v="0"/>
    <m/>
  </r>
  <r>
    <x v="16"/>
    <x v="1"/>
    <x v="1"/>
    <x v="86"/>
    <x v="1"/>
    <x v="4"/>
    <n v="0"/>
    <m/>
  </r>
  <r>
    <x v="16"/>
    <x v="1"/>
    <x v="1"/>
    <x v="87"/>
    <x v="1"/>
    <x v="4"/>
    <n v="0"/>
    <m/>
  </r>
  <r>
    <x v="16"/>
    <x v="1"/>
    <x v="1"/>
    <x v="88"/>
    <x v="1"/>
    <x v="4"/>
    <n v="0"/>
    <m/>
  </r>
  <r>
    <x v="16"/>
    <x v="1"/>
    <x v="1"/>
    <x v="89"/>
    <x v="1"/>
    <x v="4"/>
    <n v="0"/>
    <m/>
  </r>
  <r>
    <x v="16"/>
    <x v="1"/>
    <x v="1"/>
    <x v="90"/>
    <x v="1"/>
    <x v="4"/>
    <n v="0"/>
    <m/>
  </r>
  <r>
    <x v="16"/>
    <x v="1"/>
    <x v="1"/>
    <x v="91"/>
    <x v="1"/>
    <x v="4"/>
    <n v="0"/>
    <m/>
  </r>
  <r>
    <x v="16"/>
    <x v="1"/>
    <x v="1"/>
    <x v="92"/>
    <x v="1"/>
    <x v="4"/>
    <n v="0"/>
    <m/>
  </r>
  <r>
    <x v="16"/>
    <x v="1"/>
    <x v="1"/>
    <x v="93"/>
    <x v="1"/>
    <x v="4"/>
    <n v="0"/>
    <m/>
  </r>
  <r>
    <x v="16"/>
    <x v="1"/>
    <x v="1"/>
    <x v="94"/>
    <x v="1"/>
    <x v="4"/>
    <n v="0"/>
    <m/>
  </r>
  <r>
    <x v="16"/>
    <x v="1"/>
    <x v="1"/>
    <x v="95"/>
    <x v="1"/>
    <x v="4"/>
    <n v="0"/>
    <m/>
  </r>
  <r>
    <x v="16"/>
    <x v="1"/>
    <x v="1"/>
    <x v="96"/>
    <x v="1"/>
    <x v="4"/>
    <n v="0"/>
    <m/>
  </r>
  <r>
    <x v="16"/>
    <x v="1"/>
    <x v="1"/>
    <x v="97"/>
    <x v="1"/>
    <x v="4"/>
    <n v="0"/>
    <m/>
  </r>
  <r>
    <x v="16"/>
    <x v="1"/>
    <x v="1"/>
    <x v="98"/>
    <x v="1"/>
    <x v="4"/>
    <n v="0"/>
    <m/>
  </r>
  <r>
    <x v="16"/>
    <x v="1"/>
    <x v="1"/>
    <x v="99"/>
    <x v="1"/>
    <x v="4"/>
    <n v="0"/>
    <m/>
  </r>
  <r>
    <x v="16"/>
    <x v="1"/>
    <x v="2"/>
    <x v="100"/>
    <x v="1"/>
    <x v="4"/>
    <n v="0"/>
    <m/>
  </r>
  <r>
    <x v="16"/>
    <x v="1"/>
    <x v="2"/>
    <x v="101"/>
    <x v="1"/>
    <x v="4"/>
    <n v="0"/>
    <m/>
  </r>
  <r>
    <x v="16"/>
    <x v="1"/>
    <x v="2"/>
    <x v="102"/>
    <x v="6"/>
    <x v="4"/>
    <m/>
    <s v="plaque absente"/>
  </r>
  <r>
    <x v="16"/>
    <x v="1"/>
    <x v="2"/>
    <x v="103"/>
    <x v="1"/>
    <x v="4"/>
    <n v="0"/>
    <m/>
  </r>
  <r>
    <x v="16"/>
    <x v="1"/>
    <x v="2"/>
    <x v="104"/>
    <x v="1"/>
    <x v="4"/>
    <n v="0"/>
    <m/>
  </r>
  <r>
    <x v="16"/>
    <x v="1"/>
    <x v="2"/>
    <x v="105"/>
    <x v="1"/>
    <x v="4"/>
    <n v="0"/>
    <m/>
  </r>
  <r>
    <x v="16"/>
    <x v="1"/>
    <x v="2"/>
    <x v="106"/>
    <x v="1"/>
    <x v="4"/>
    <n v="0"/>
    <m/>
  </r>
  <r>
    <x v="16"/>
    <x v="1"/>
    <x v="2"/>
    <x v="107"/>
    <x v="1"/>
    <x v="4"/>
    <n v="0"/>
    <m/>
  </r>
  <r>
    <x v="16"/>
    <x v="1"/>
    <x v="2"/>
    <x v="108"/>
    <x v="1"/>
    <x v="4"/>
    <n v="0"/>
    <m/>
  </r>
  <r>
    <x v="16"/>
    <x v="1"/>
    <x v="2"/>
    <x v="109"/>
    <x v="1"/>
    <x v="4"/>
    <n v="0"/>
    <m/>
  </r>
  <r>
    <x v="16"/>
    <x v="1"/>
    <x v="2"/>
    <x v="110"/>
    <x v="1"/>
    <x v="4"/>
    <n v="0"/>
    <m/>
  </r>
  <r>
    <x v="16"/>
    <x v="1"/>
    <x v="2"/>
    <x v="111"/>
    <x v="1"/>
    <x v="4"/>
    <n v="0"/>
    <m/>
  </r>
  <r>
    <x v="16"/>
    <x v="1"/>
    <x v="2"/>
    <x v="112"/>
    <x v="1"/>
    <x v="4"/>
    <n v="0"/>
    <m/>
  </r>
  <r>
    <x v="16"/>
    <x v="1"/>
    <x v="2"/>
    <x v="113"/>
    <x v="1"/>
    <x v="4"/>
    <n v="0"/>
    <m/>
  </r>
  <r>
    <x v="16"/>
    <x v="1"/>
    <x v="2"/>
    <x v="114"/>
    <x v="1"/>
    <x v="4"/>
    <n v="0"/>
    <m/>
  </r>
  <r>
    <x v="16"/>
    <x v="1"/>
    <x v="2"/>
    <x v="115"/>
    <x v="1"/>
    <x v="4"/>
    <n v="0"/>
    <m/>
  </r>
  <r>
    <x v="16"/>
    <x v="1"/>
    <x v="2"/>
    <x v="116"/>
    <x v="1"/>
    <x v="4"/>
    <n v="0"/>
    <m/>
  </r>
  <r>
    <x v="16"/>
    <x v="1"/>
    <x v="2"/>
    <x v="117"/>
    <x v="1"/>
    <x v="4"/>
    <n v="0"/>
    <m/>
  </r>
  <r>
    <x v="16"/>
    <x v="1"/>
    <x v="2"/>
    <x v="118"/>
    <x v="1"/>
    <x v="4"/>
    <n v="0"/>
    <m/>
  </r>
  <r>
    <x v="16"/>
    <x v="1"/>
    <x v="2"/>
    <x v="119"/>
    <x v="5"/>
    <x v="0"/>
    <n v="1"/>
    <m/>
  </r>
  <r>
    <x v="16"/>
    <x v="2"/>
    <x v="0"/>
    <x v="120"/>
    <x v="1"/>
    <x v="4"/>
    <n v="0"/>
    <m/>
  </r>
  <r>
    <x v="16"/>
    <x v="2"/>
    <x v="0"/>
    <x v="121"/>
    <x v="1"/>
    <x v="4"/>
    <n v="0"/>
    <m/>
  </r>
  <r>
    <x v="16"/>
    <x v="2"/>
    <x v="0"/>
    <x v="122"/>
    <x v="1"/>
    <x v="4"/>
    <n v="0"/>
    <m/>
  </r>
  <r>
    <x v="16"/>
    <x v="2"/>
    <x v="0"/>
    <x v="123"/>
    <x v="1"/>
    <x v="4"/>
    <n v="0"/>
    <m/>
  </r>
  <r>
    <x v="16"/>
    <x v="2"/>
    <x v="0"/>
    <x v="124"/>
    <x v="3"/>
    <x v="1"/>
    <n v="1"/>
    <s v=""/>
  </r>
  <r>
    <x v="16"/>
    <x v="2"/>
    <x v="0"/>
    <x v="125"/>
    <x v="1"/>
    <x v="4"/>
    <n v="0"/>
    <m/>
  </r>
  <r>
    <x v="16"/>
    <x v="2"/>
    <x v="0"/>
    <x v="126"/>
    <x v="1"/>
    <x v="4"/>
    <n v="0"/>
    <m/>
  </r>
  <r>
    <x v="16"/>
    <x v="2"/>
    <x v="0"/>
    <x v="127"/>
    <x v="1"/>
    <x v="4"/>
    <n v="0"/>
    <m/>
  </r>
  <r>
    <x v="16"/>
    <x v="2"/>
    <x v="0"/>
    <x v="128"/>
    <x v="1"/>
    <x v="4"/>
    <n v="0"/>
    <m/>
  </r>
  <r>
    <x v="16"/>
    <x v="2"/>
    <x v="0"/>
    <x v="129"/>
    <x v="1"/>
    <x v="4"/>
    <n v="0"/>
    <m/>
  </r>
  <r>
    <x v="16"/>
    <x v="2"/>
    <x v="0"/>
    <x v="130"/>
    <x v="1"/>
    <x v="4"/>
    <n v="0"/>
    <m/>
  </r>
  <r>
    <x v="16"/>
    <x v="2"/>
    <x v="0"/>
    <x v="131"/>
    <x v="1"/>
    <x v="4"/>
    <n v="0"/>
    <m/>
  </r>
  <r>
    <x v="16"/>
    <x v="2"/>
    <x v="0"/>
    <x v="132"/>
    <x v="1"/>
    <x v="4"/>
    <n v="0"/>
    <m/>
  </r>
  <r>
    <x v="16"/>
    <x v="2"/>
    <x v="0"/>
    <x v="133"/>
    <x v="1"/>
    <x v="4"/>
    <n v="0"/>
    <m/>
  </r>
  <r>
    <x v="16"/>
    <x v="2"/>
    <x v="0"/>
    <x v="134"/>
    <x v="1"/>
    <x v="4"/>
    <n v="0"/>
    <m/>
  </r>
  <r>
    <x v="16"/>
    <x v="2"/>
    <x v="0"/>
    <x v="135"/>
    <x v="1"/>
    <x v="4"/>
    <n v="0"/>
    <m/>
  </r>
  <r>
    <x v="16"/>
    <x v="2"/>
    <x v="0"/>
    <x v="136"/>
    <x v="1"/>
    <x v="4"/>
    <n v="0"/>
    <m/>
  </r>
  <r>
    <x v="16"/>
    <x v="2"/>
    <x v="0"/>
    <x v="137"/>
    <x v="1"/>
    <x v="4"/>
    <n v="0"/>
    <m/>
  </r>
  <r>
    <x v="16"/>
    <x v="2"/>
    <x v="0"/>
    <x v="138"/>
    <x v="1"/>
    <x v="4"/>
    <n v="0"/>
    <m/>
  </r>
  <r>
    <x v="16"/>
    <x v="2"/>
    <x v="0"/>
    <x v="139"/>
    <x v="1"/>
    <x v="4"/>
    <n v="0"/>
    <m/>
  </r>
  <r>
    <x v="16"/>
    <x v="2"/>
    <x v="1"/>
    <x v="140"/>
    <x v="1"/>
    <x v="4"/>
    <n v="0"/>
    <m/>
  </r>
  <r>
    <x v="16"/>
    <x v="2"/>
    <x v="1"/>
    <x v="141"/>
    <x v="1"/>
    <x v="4"/>
    <n v="0"/>
    <m/>
  </r>
  <r>
    <x v="16"/>
    <x v="2"/>
    <x v="1"/>
    <x v="142"/>
    <x v="1"/>
    <x v="4"/>
    <n v="0"/>
    <m/>
  </r>
  <r>
    <x v="16"/>
    <x v="2"/>
    <x v="1"/>
    <x v="143"/>
    <x v="1"/>
    <x v="4"/>
    <n v="0"/>
    <m/>
  </r>
  <r>
    <x v="16"/>
    <x v="2"/>
    <x v="1"/>
    <x v="144"/>
    <x v="1"/>
    <x v="4"/>
    <n v="0"/>
    <m/>
  </r>
  <r>
    <x v="16"/>
    <x v="2"/>
    <x v="1"/>
    <x v="145"/>
    <x v="1"/>
    <x v="4"/>
    <n v="0"/>
    <m/>
  </r>
  <r>
    <x v="16"/>
    <x v="2"/>
    <x v="1"/>
    <x v="146"/>
    <x v="1"/>
    <x v="4"/>
    <n v="0"/>
    <m/>
  </r>
  <r>
    <x v="16"/>
    <x v="2"/>
    <x v="1"/>
    <x v="147"/>
    <x v="1"/>
    <x v="4"/>
    <n v="0"/>
    <m/>
  </r>
  <r>
    <x v="16"/>
    <x v="2"/>
    <x v="1"/>
    <x v="148"/>
    <x v="1"/>
    <x v="4"/>
    <n v="0"/>
    <m/>
  </r>
  <r>
    <x v="16"/>
    <x v="2"/>
    <x v="1"/>
    <x v="149"/>
    <x v="1"/>
    <x v="4"/>
    <n v="0"/>
    <m/>
  </r>
  <r>
    <x v="16"/>
    <x v="2"/>
    <x v="1"/>
    <x v="150"/>
    <x v="1"/>
    <x v="4"/>
    <n v="0"/>
    <m/>
  </r>
  <r>
    <x v="16"/>
    <x v="2"/>
    <x v="1"/>
    <x v="151"/>
    <x v="1"/>
    <x v="4"/>
    <n v="0"/>
    <m/>
  </r>
  <r>
    <x v="16"/>
    <x v="2"/>
    <x v="1"/>
    <x v="152"/>
    <x v="1"/>
    <x v="4"/>
    <n v="0"/>
    <m/>
  </r>
  <r>
    <x v="16"/>
    <x v="2"/>
    <x v="1"/>
    <x v="153"/>
    <x v="1"/>
    <x v="4"/>
    <n v="0"/>
    <m/>
  </r>
  <r>
    <x v="16"/>
    <x v="2"/>
    <x v="1"/>
    <x v="154"/>
    <x v="1"/>
    <x v="4"/>
    <n v="0"/>
    <m/>
  </r>
  <r>
    <x v="16"/>
    <x v="2"/>
    <x v="1"/>
    <x v="155"/>
    <x v="1"/>
    <x v="4"/>
    <n v="0"/>
    <m/>
  </r>
  <r>
    <x v="16"/>
    <x v="2"/>
    <x v="1"/>
    <x v="156"/>
    <x v="1"/>
    <x v="4"/>
    <n v="0"/>
    <m/>
  </r>
  <r>
    <x v="16"/>
    <x v="2"/>
    <x v="1"/>
    <x v="157"/>
    <x v="1"/>
    <x v="4"/>
    <n v="0"/>
    <m/>
  </r>
  <r>
    <x v="16"/>
    <x v="2"/>
    <x v="1"/>
    <x v="158"/>
    <x v="1"/>
    <x v="4"/>
    <n v="0"/>
    <m/>
  </r>
  <r>
    <x v="16"/>
    <x v="2"/>
    <x v="1"/>
    <x v="159"/>
    <x v="1"/>
    <x v="4"/>
    <n v="0"/>
    <m/>
  </r>
  <r>
    <x v="16"/>
    <x v="2"/>
    <x v="2"/>
    <x v="160"/>
    <x v="1"/>
    <x v="4"/>
    <n v="0"/>
    <m/>
  </r>
  <r>
    <x v="16"/>
    <x v="2"/>
    <x v="2"/>
    <x v="161"/>
    <x v="1"/>
    <x v="4"/>
    <n v="0"/>
    <m/>
  </r>
  <r>
    <x v="16"/>
    <x v="2"/>
    <x v="2"/>
    <x v="162"/>
    <x v="1"/>
    <x v="4"/>
    <n v="0"/>
    <m/>
  </r>
  <r>
    <x v="16"/>
    <x v="2"/>
    <x v="2"/>
    <x v="163"/>
    <x v="1"/>
    <x v="4"/>
    <n v="0"/>
    <m/>
  </r>
  <r>
    <x v="16"/>
    <x v="2"/>
    <x v="2"/>
    <x v="164"/>
    <x v="1"/>
    <x v="4"/>
    <n v="0"/>
    <m/>
  </r>
  <r>
    <x v="16"/>
    <x v="2"/>
    <x v="2"/>
    <x v="165"/>
    <x v="1"/>
    <x v="4"/>
    <n v="0"/>
    <m/>
  </r>
  <r>
    <x v="16"/>
    <x v="2"/>
    <x v="2"/>
    <x v="166"/>
    <x v="1"/>
    <x v="4"/>
    <n v="0"/>
    <m/>
  </r>
  <r>
    <x v="16"/>
    <x v="2"/>
    <x v="2"/>
    <x v="167"/>
    <x v="1"/>
    <x v="4"/>
    <n v="0"/>
    <m/>
  </r>
  <r>
    <x v="16"/>
    <x v="2"/>
    <x v="2"/>
    <x v="168"/>
    <x v="1"/>
    <x v="4"/>
    <n v="0"/>
    <m/>
  </r>
  <r>
    <x v="16"/>
    <x v="2"/>
    <x v="2"/>
    <x v="169"/>
    <x v="1"/>
    <x v="4"/>
    <n v="0"/>
    <m/>
  </r>
  <r>
    <x v="16"/>
    <x v="2"/>
    <x v="2"/>
    <x v="170"/>
    <x v="1"/>
    <x v="4"/>
    <n v="0"/>
    <m/>
  </r>
  <r>
    <x v="16"/>
    <x v="2"/>
    <x v="2"/>
    <x v="171"/>
    <x v="1"/>
    <x v="4"/>
    <n v="0"/>
    <m/>
  </r>
  <r>
    <x v="16"/>
    <x v="2"/>
    <x v="2"/>
    <x v="172"/>
    <x v="1"/>
    <x v="4"/>
    <n v="0"/>
    <m/>
  </r>
  <r>
    <x v="16"/>
    <x v="2"/>
    <x v="2"/>
    <x v="173"/>
    <x v="2"/>
    <x v="0"/>
    <n v="1"/>
    <s v=""/>
  </r>
  <r>
    <x v="16"/>
    <x v="2"/>
    <x v="2"/>
    <x v="174"/>
    <x v="1"/>
    <x v="4"/>
    <n v="0"/>
    <m/>
  </r>
  <r>
    <x v="16"/>
    <x v="2"/>
    <x v="2"/>
    <x v="175"/>
    <x v="1"/>
    <x v="4"/>
    <n v="0"/>
    <m/>
  </r>
  <r>
    <x v="16"/>
    <x v="2"/>
    <x v="2"/>
    <x v="176"/>
    <x v="1"/>
    <x v="4"/>
    <n v="0"/>
    <m/>
  </r>
  <r>
    <x v="16"/>
    <x v="2"/>
    <x v="2"/>
    <x v="177"/>
    <x v="1"/>
    <x v="4"/>
    <n v="0"/>
    <m/>
  </r>
  <r>
    <x v="16"/>
    <x v="2"/>
    <x v="2"/>
    <x v="178"/>
    <x v="1"/>
    <x v="4"/>
    <n v="0"/>
    <m/>
  </r>
  <r>
    <x v="16"/>
    <x v="2"/>
    <x v="2"/>
    <x v="179"/>
    <x v="1"/>
    <x v="4"/>
    <n v="0"/>
    <m/>
  </r>
  <r>
    <x v="17"/>
    <x v="0"/>
    <x v="0"/>
    <x v="0"/>
    <x v="2"/>
    <x v="0"/>
    <n v="3"/>
    <s v=""/>
  </r>
  <r>
    <x v="17"/>
    <x v="0"/>
    <x v="0"/>
    <x v="16"/>
    <x v="0"/>
    <x v="1"/>
    <n v="1"/>
    <s v=""/>
  </r>
  <r>
    <x v="17"/>
    <x v="0"/>
    <x v="0"/>
    <x v="16"/>
    <x v="2"/>
    <x v="1"/>
    <n v="2"/>
    <s v=""/>
  </r>
  <r>
    <x v="17"/>
    <x v="0"/>
    <x v="0"/>
    <x v="16"/>
    <x v="2"/>
    <x v="0"/>
    <n v="2"/>
    <s v=""/>
  </r>
  <r>
    <x v="17"/>
    <x v="0"/>
    <x v="0"/>
    <x v="15"/>
    <x v="0"/>
    <x v="0"/>
    <n v="1"/>
    <s v=""/>
  </r>
  <r>
    <x v="17"/>
    <x v="0"/>
    <x v="0"/>
    <x v="15"/>
    <x v="2"/>
    <x v="1"/>
    <n v="1"/>
    <s v=""/>
  </r>
  <r>
    <x v="17"/>
    <x v="0"/>
    <x v="0"/>
    <x v="15"/>
    <x v="2"/>
    <x v="0"/>
    <n v="1"/>
    <s v=""/>
  </r>
  <r>
    <x v="17"/>
    <x v="0"/>
    <x v="0"/>
    <x v="17"/>
    <x v="1"/>
    <x v="4"/>
    <n v="0"/>
    <m/>
  </r>
  <r>
    <x v="17"/>
    <x v="0"/>
    <x v="0"/>
    <x v="14"/>
    <x v="4"/>
    <x v="3"/>
    <s v=""/>
    <s v="plaque absente"/>
  </r>
  <r>
    <x v="17"/>
    <x v="0"/>
    <x v="0"/>
    <x v="18"/>
    <x v="2"/>
    <x v="0"/>
    <n v="9"/>
    <s v=""/>
  </r>
  <r>
    <x v="17"/>
    <x v="0"/>
    <x v="0"/>
    <x v="13"/>
    <x v="1"/>
    <x v="4"/>
    <n v="0"/>
    <m/>
  </r>
  <r>
    <x v="17"/>
    <x v="0"/>
    <x v="0"/>
    <x v="19"/>
    <x v="1"/>
    <x v="4"/>
    <n v="0"/>
    <m/>
  </r>
  <r>
    <x v="17"/>
    <x v="0"/>
    <x v="0"/>
    <x v="20"/>
    <x v="2"/>
    <x v="1"/>
    <n v="3"/>
    <s v=""/>
  </r>
  <r>
    <x v="17"/>
    <x v="0"/>
    <x v="0"/>
    <x v="20"/>
    <x v="2"/>
    <x v="2"/>
    <n v="1"/>
    <s v=""/>
  </r>
  <r>
    <x v="17"/>
    <x v="0"/>
    <x v="0"/>
    <x v="12"/>
    <x v="5"/>
    <x v="1"/>
    <s v=""/>
    <m/>
  </r>
  <r>
    <x v="17"/>
    <x v="0"/>
    <x v="0"/>
    <x v="21"/>
    <x v="2"/>
    <x v="1"/>
    <n v="3"/>
    <m/>
  </r>
  <r>
    <x v="17"/>
    <x v="0"/>
    <x v="0"/>
    <x v="21"/>
    <x v="2"/>
    <x v="0"/>
    <n v="3"/>
    <m/>
  </r>
  <r>
    <x v="17"/>
    <x v="0"/>
    <x v="0"/>
    <x v="21"/>
    <x v="2"/>
    <x v="2"/>
    <n v="2"/>
    <m/>
  </r>
  <r>
    <x v="17"/>
    <x v="0"/>
    <x v="0"/>
    <x v="22"/>
    <x v="1"/>
    <x v="1"/>
    <s v=""/>
    <m/>
  </r>
  <r>
    <x v="17"/>
    <x v="0"/>
    <x v="0"/>
    <x v="22"/>
    <x v="2"/>
    <x v="0"/>
    <n v="1"/>
    <m/>
  </r>
  <r>
    <x v="17"/>
    <x v="0"/>
    <x v="0"/>
    <x v="23"/>
    <x v="3"/>
    <x v="0"/>
    <n v="1"/>
    <s v=""/>
  </r>
  <r>
    <x v="17"/>
    <x v="0"/>
    <x v="0"/>
    <x v="23"/>
    <x v="2"/>
    <x v="1"/>
    <n v="2"/>
    <s v=""/>
  </r>
  <r>
    <x v="17"/>
    <x v="0"/>
    <x v="0"/>
    <x v="23"/>
    <x v="2"/>
    <x v="2"/>
    <n v="1"/>
    <s v=""/>
  </r>
  <r>
    <x v="17"/>
    <x v="0"/>
    <x v="0"/>
    <x v="23"/>
    <x v="5"/>
    <x v="0"/>
    <n v="1"/>
    <s v=""/>
  </r>
  <r>
    <x v="17"/>
    <x v="0"/>
    <x v="0"/>
    <x v="24"/>
    <x v="2"/>
    <x v="0"/>
    <n v="1"/>
    <s v=""/>
  </r>
  <r>
    <x v="17"/>
    <x v="0"/>
    <x v="0"/>
    <x v="25"/>
    <x v="2"/>
    <x v="1"/>
    <n v="1"/>
    <s v=""/>
  </r>
  <r>
    <x v="17"/>
    <x v="0"/>
    <x v="0"/>
    <x v="25"/>
    <x v="2"/>
    <x v="0"/>
    <n v="7"/>
    <s v=""/>
  </r>
  <r>
    <x v="17"/>
    <x v="0"/>
    <x v="0"/>
    <x v="25"/>
    <x v="5"/>
    <x v="0"/>
    <n v="1"/>
    <s v=""/>
  </r>
  <r>
    <x v="17"/>
    <x v="0"/>
    <x v="0"/>
    <x v="26"/>
    <x v="1"/>
    <x v="4"/>
    <n v="0"/>
    <m/>
  </r>
  <r>
    <x v="17"/>
    <x v="0"/>
    <x v="0"/>
    <x v="27"/>
    <x v="3"/>
    <x v="0"/>
    <n v="1"/>
    <s v=""/>
  </r>
  <r>
    <x v="17"/>
    <x v="0"/>
    <x v="0"/>
    <x v="27"/>
    <x v="2"/>
    <x v="0"/>
    <n v="5"/>
    <s v=""/>
  </r>
  <r>
    <x v="17"/>
    <x v="0"/>
    <x v="0"/>
    <x v="27"/>
    <x v="5"/>
    <x v="1"/>
    <n v="1"/>
    <s v=""/>
  </r>
  <r>
    <x v="17"/>
    <x v="0"/>
    <x v="0"/>
    <x v="27"/>
    <x v="5"/>
    <x v="0"/>
    <n v="1"/>
    <s v=""/>
  </r>
  <r>
    <x v="17"/>
    <x v="0"/>
    <x v="0"/>
    <x v="28"/>
    <x v="2"/>
    <x v="0"/>
    <n v="3"/>
    <s v=""/>
  </r>
  <r>
    <x v="17"/>
    <x v="0"/>
    <x v="0"/>
    <x v="28"/>
    <x v="2"/>
    <x v="2"/>
    <n v="2"/>
    <s v=""/>
  </r>
  <r>
    <x v="17"/>
    <x v="0"/>
    <x v="0"/>
    <x v="28"/>
    <x v="5"/>
    <x v="1"/>
    <n v="1"/>
    <s v=""/>
  </r>
  <r>
    <x v="17"/>
    <x v="0"/>
    <x v="0"/>
    <x v="11"/>
    <x v="2"/>
    <x v="0"/>
    <n v="1"/>
    <s v=""/>
  </r>
  <r>
    <x v="17"/>
    <x v="0"/>
    <x v="0"/>
    <x v="11"/>
    <x v="2"/>
    <x v="2"/>
    <n v="1"/>
    <s v=""/>
  </r>
  <r>
    <x v="17"/>
    <x v="0"/>
    <x v="0"/>
    <x v="29"/>
    <x v="2"/>
    <x v="1"/>
    <n v="1"/>
    <s v=""/>
  </r>
  <r>
    <x v="17"/>
    <x v="0"/>
    <x v="0"/>
    <x v="29"/>
    <x v="2"/>
    <x v="0"/>
    <n v="12"/>
    <s v=""/>
  </r>
  <r>
    <x v="17"/>
    <x v="0"/>
    <x v="1"/>
    <x v="30"/>
    <x v="2"/>
    <x v="1"/>
    <n v="1"/>
    <s v=""/>
  </r>
  <r>
    <x v="17"/>
    <x v="0"/>
    <x v="1"/>
    <x v="30"/>
    <x v="2"/>
    <x v="0"/>
    <n v="1"/>
    <s v=""/>
  </r>
  <r>
    <x v="17"/>
    <x v="0"/>
    <x v="1"/>
    <x v="31"/>
    <x v="2"/>
    <x v="2"/>
    <n v="2"/>
    <s v=""/>
  </r>
  <r>
    <x v="17"/>
    <x v="0"/>
    <x v="1"/>
    <x v="31"/>
    <x v="5"/>
    <x v="2"/>
    <n v="1"/>
    <s v=""/>
  </r>
  <r>
    <x v="17"/>
    <x v="0"/>
    <x v="1"/>
    <x v="32"/>
    <x v="2"/>
    <x v="0"/>
    <n v="2"/>
    <s v=""/>
  </r>
  <r>
    <x v="17"/>
    <x v="0"/>
    <x v="1"/>
    <x v="33"/>
    <x v="2"/>
    <x v="2"/>
    <n v="1"/>
    <s v=""/>
  </r>
  <r>
    <x v="17"/>
    <x v="0"/>
    <x v="1"/>
    <x v="10"/>
    <x v="2"/>
    <x v="0"/>
    <n v="1"/>
    <s v=""/>
  </r>
  <r>
    <x v="17"/>
    <x v="0"/>
    <x v="1"/>
    <x v="10"/>
    <x v="2"/>
    <x v="2"/>
    <n v="1"/>
    <s v=""/>
  </r>
  <r>
    <x v="17"/>
    <x v="0"/>
    <x v="1"/>
    <x v="34"/>
    <x v="2"/>
    <x v="2"/>
    <n v="1"/>
    <s v=""/>
  </r>
  <r>
    <x v="17"/>
    <x v="0"/>
    <x v="1"/>
    <x v="35"/>
    <x v="1"/>
    <x v="4"/>
    <n v="0"/>
    <m/>
  </r>
  <r>
    <x v="17"/>
    <x v="0"/>
    <x v="1"/>
    <x v="36"/>
    <x v="2"/>
    <x v="1"/>
    <n v="2"/>
    <s v=""/>
  </r>
  <r>
    <x v="17"/>
    <x v="0"/>
    <x v="1"/>
    <x v="36"/>
    <x v="2"/>
    <x v="0"/>
    <n v="1"/>
    <s v=""/>
  </r>
  <r>
    <x v="17"/>
    <x v="0"/>
    <x v="1"/>
    <x v="36"/>
    <x v="5"/>
    <x v="0"/>
    <n v="1"/>
    <s v=""/>
  </r>
  <r>
    <x v="17"/>
    <x v="0"/>
    <x v="1"/>
    <x v="37"/>
    <x v="2"/>
    <x v="1"/>
    <n v="1"/>
    <s v=""/>
  </r>
  <r>
    <x v="17"/>
    <x v="0"/>
    <x v="1"/>
    <x v="37"/>
    <x v="5"/>
    <x v="0"/>
    <n v="1"/>
    <s v=""/>
  </r>
  <r>
    <x v="17"/>
    <x v="0"/>
    <x v="1"/>
    <x v="9"/>
    <x v="2"/>
    <x v="2"/>
    <n v="1"/>
    <s v=""/>
  </r>
  <r>
    <x v="17"/>
    <x v="0"/>
    <x v="1"/>
    <x v="38"/>
    <x v="1"/>
    <x v="4"/>
    <n v="0"/>
    <m/>
  </r>
  <r>
    <x v="17"/>
    <x v="0"/>
    <x v="1"/>
    <x v="8"/>
    <x v="2"/>
    <x v="1"/>
    <n v="1"/>
    <s v=""/>
  </r>
  <r>
    <x v="17"/>
    <x v="0"/>
    <x v="1"/>
    <x v="8"/>
    <x v="2"/>
    <x v="0"/>
    <n v="1"/>
    <s v=""/>
  </r>
  <r>
    <x v="17"/>
    <x v="0"/>
    <x v="1"/>
    <x v="39"/>
    <x v="1"/>
    <x v="4"/>
    <n v="0"/>
    <m/>
  </r>
  <r>
    <x v="17"/>
    <x v="0"/>
    <x v="1"/>
    <x v="7"/>
    <x v="2"/>
    <x v="2"/>
    <n v="1"/>
    <s v=""/>
  </r>
  <r>
    <x v="17"/>
    <x v="0"/>
    <x v="1"/>
    <x v="6"/>
    <x v="1"/>
    <x v="2"/>
    <n v="1"/>
    <m/>
  </r>
  <r>
    <x v="17"/>
    <x v="0"/>
    <x v="1"/>
    <x v="40"/>
    <x v="2"/>
    <x v="1"/>
    <n v="1"/>
    <s v=""/>
  </r>
  <r>
    <x v="17"/>
    <x v="0"/>
    <x v="1"/>
    <x v="40"/>
    <x v="5"/>
    <x v="1"/>
    <n v="1"/>
    <s v=""/>
  </r>
  <r>
    <x v="17"/>
    <x v="0"/>
    <x v="1"/>
    <x v="41"/>
    <x v="2"/>
    <x v="0"/>
    <n v="1"/>
    <s v=""/>
  </r>
  <r>
    <x v="17"/>
    <x v="0"/>
    <x v="1"/>
    <x v="42"/>
    <x v="2"/>
    <x v="1"/>
    <n v="1"/>
    <s v=""/>
  </r>
  <r>
    <x v="17"/>
    <x v="0"/>
    <x v="1"/>
    <x v="42"/>
    <x v="5"/>
    <x v="1"/>
    <n v="1"/>
    <s v=""/>
  </r>
  <r>
    <x v="17"/>
    <x v="0"/>
    <x v="1"/>
    <x v="5"/>
    <x v="4"/>
    <x v="3"/>
    <s v=""/>
    <s v="plaque absente"/>
  </r>
  <r>
    <x v="17"/>
    <x v="0"/>
    <x v="1"/>
    <x v="43"/>
    <x v="2"/>
    <x v="1"/>
    <n v="2"/>
    <s v=""/>
  </r>
  <r>
    <x v="17"/>
    <x v="0"/>
    <x v="1"/>
    <x v="43"/>
    <x v="5"/>
    <x v="1"/>
    <n v="1"/>
    <s v=""/>
  </r>
  <r>
    <x v="17"/>
    <x v="0"/>
    <x v="2"/>
    <x v="44"/>
    <x v="4"/>
    <x v="3"/>
    <s v=""/>
    <s v="plaque absente"/>
  </r>
  <r>
    <x v="17"/>
    <x v="0"/>
    <x v="2"/>
    <x v="45"/>
    <x v="2"/>
    <x v="0"/>
    <n v="2"/>
    <s v=""/>
  </r>
  <r>
    <x v="17"/>
    <x v="0"/>
    <x v="2"/>
    <x v="46"/>
    <x v="1"/>
    <x v="4"/>
    <n v="0"/>
    <m/>
  </r>
  <r>
    <x v="17"/>
    <x v="0"/>
    <x v="2"/>
    <x v="4"/>
    <x v="3"/>
    <x v="0"/>
    <n v="1"/>
    <s v=""/>
  </r>
  <r>
    <x v="17"/>
    <x v="0"/>
    <x v="2"/>
    <x v="4"/>
    <x v="2"/>
    <x v="0"/>
    <n v="3"/>
    <s v=""/>
  </r>
  <r>
    <x v="17"/>
    <x v="0"/>
    <x v="2"/>
    <x v="4"/>
    <x v="5"/>
    <x v="0"/>
    <n v="1"/>
    <s v=""/>
  </r>
  <r>
    <x v="17"/>
    <x v="0"/>
    <x v="2"/>
    <x v="47"/>
    <x v="2"/>
    <x v="0"/>
    <n v="6"/>
    <s v=""/>
  </r>
  <r>
    <x v="17"/>
    <x v="0"/>
    <x v="2"/>
    <x v="48"/>
    <x v="2"/>
    <x v="1"/>
    <n v="3"/>
    <s v=""/>
  </r>
  <r>
    <x v="17"/>
    <x v="0"/>
    <x v="2"/>
    <x v="49"/>
    <x v="2"/>
    <x v="0"/>
    <n v="1"/>
    <s v=""/>
  </r>
  <r>
    <x v="17"/>
    <x v="0"/>
    <x v="2"/>
    <x v="49"/>
    <x v="5"/>
    <x v="2"/>
    <n v="3"/>
    <s v=""/>
  </r>
  <r>
    <x v="17"/>
    <x v="0"/>
    <x v="2"/>
    <x v="50"/>
    <x v="2"/>
    <x v="0"/>
    <n v="5"/>
    <s v=""/>
  </r>
  <r>
    <x v="17"/>
    <x v="0"/>
    <x v="2"/>
    <x v="3"/>
    <x v="1"/>
    <x v="4"/>
    <n v="0"/>
    <m/>
  </r>
  <r>
    <x v="17"/>
    <x v="0"/>
    <x v="2"/>
    <x v="51"/>
    <x v="2"/>
    <x v="1"/>
    <n v="1"/>
    <s v=""/>
  </r>
  <r>
    <x v="17"/>
    <x v="0"/>
    <x v="2"/>
    <x v="51"/>
    <x v="2"/>
    <x v="2"/>
    <n v="2"/>
    <s v=""/>
  </r>
  <r>
    <x v="17"/>
    <x v="0"/>
    <x v="2"/>
    <x v="51"/>
    <x v="5"/>
    <x v="2"/>
    <n v="3"/>
    <s v=""/>
  </r>
  <r>
    <x v="17"/>
    <x v="0"/>
    <x v="2"/>
    <x v="2"/>
    <x v="1"/>
    <x v="4"/>
    <n v="0"/>
    <m/>
  </r>
  <r>
    <x v="17"/>
    <x v="0"/>
    <x v="2"/>
    <x v="52"/>
    <x v="2"/>
    <x v="1"/>
    <n v="1"/>
    <s v=""/>
  </r>
  <r>
    <x v="17"/>
    <x v="0"/>
    <x v="2"/>
    <x v="52"/>
    <x v="2"/>
    <x v="2"/>
    <n v="1"/>
    <s v=""/>
  </r>
  <r>
    <x v="17"/>
    <x v="0"/>
    <x v="2"/>
    <x v="52"/>
    <x v="5"/>
    <x v="1"/>
    <n v="1"/>
    <s v=""/>
  </r>
  <r>
    <x v="17"/>
    <x v="0"/>
    <x v="2"/>
    <x v="53"/>
    <x v="5"/>
    <x v="0"/>
    <n v="1"/>
    <s v=""/>
  </r>
  <r>
    <x v="17"/>
    <x v="0"/>
    <x v="2"/>
    <x v="54"/>
    <x v="2"/>
    <x v="0"/>
    <n v="2"/>
    <s v=""/>
  </r>
  <r>
    <x v="17"/>
    <x v="0"/>
    <x v="2"/>
    <x v="1"/>
    <x v="1"/>
    <x v="4"/>
    <n v="0"/>
    <m/>
  </r>
  <r>
    <x v="17"/>
    <x v="0"/>
    <x v="2"/>
    <x v="55"/>
    <x v="2"/>
    <x v="1"/>
    <n v="2"/>
    <s v=""/>
  </r>
  <r>
    <x v="17"/>
    <x v="0"/>
    <x v="2"/>
    <x v="56"/>
    <x v="2"/>
    <x v="1"/>
    <n v="3"/>
    <s v=""/>
  </r>
  <r>
    <x v="17"/>
    <x v="0"/>
    <x v="2"/>
    <x v="56"/>
    <x v="2"/>
    <x v="0"/>
    <n v="2"/>
    <s v=""/>
  </r>
  <r>
    <x v="17"/>
    <x v="0"/>
    <x v="2"/>
    <x v="56"/>
    <x v="5"/>
    <x v="1"/>
    <n v="1"/>
    <s v=""/>
  </r>
  <r>
    <x v="17"/>
    <x v="0"/>
    <x v="2"/>
    <x v="57"/>
    <x v="2"/>
    <x v="1"/>
    <n v="2"/>
    <s v=""/>
  </r>
  <r>
    <x v="17"/>
    <x v="0"/>
    <x v="2"/>
    <x v="57"/>
    <x v="2"/>
    <x v="0"/>
    <n v="1"/>
    <s v=""/>
  </r>
  <r>
    <x v="17"/>
    <x v="0"/>
    <x v="2"/>
    <x v="57"/>
    <x v="5"/>
    <x v="1"/>
    <n v="3"/>
    <s v=""/>
  </r>
  <r>
    <x v="17"/>
    <x v="0"/>
    <x v="2"/>
    <x v="58"/>
    <x v="1"/>
    <x v="4"/>
    <n v="0"/>
    <m/>
  </r>
  <r>
    <x v="17"/>
    <x v="0"/>
    <x v="2"/>
    <x v="59"/>
    <x v="2"/>
    <x v="2"/>
    <n v="1"/>
    <s v=""/>
  </r>
  <r>
    <x v="17"/>
    <x v="1"/>
    <x v="0"/>
    <x v="60"/>
    <x v="1"/>
    <x v="4"/>
    <n v="0"/>
    <m/>
  </r>
  <r>
    <x v="17"/>
    <x v="1"/>
    <x v="0"/>
    <x v="61"/>
    <x v="1"/>
    <x v="4"/>
    <n v="0"/>
    <m/>
  </r>
  <r>
    <x v="17"/>
    <x v="1"/>
    <x v="0"/>
    <x v="62"/>
    <x v="2"/>
    <x v="1"/>
    <n v="1"/>
    <s v=""/>
  </r>
  <r>
    <x v="17"/>
    <x v="1"/>
    <x v="0"/>
    <x v="62"/>
    <x v="2"/>
    <x v="0"/>
    <n v="2"/>
    <s v=""/>
  </r>
  <r>
    <x v="17"/>
    <x v="1"/>
    <x v="0"/>
    <x v="63"/>
    <x v="1"/>
    <x v="4"/>
    <n v="0"/>
    <m/>
  </r>
  <r>
    <x v="17"/>
    <x v="1"/>
    <x v="0"/>
    <x v="64"/>
    <x v="2"/>
    <x v="1"/>
    <n v="1"/>
    <s v=""/>
  </r>
  <r>
    <x v="17"/>
    <x v="1"/>
    <x v="0"/>
    <x v="64"/>
    <x v="2"/>
    <x v="0"/>
    <n v="2"/>
    <s v=""/>
  </r>
  <r>
    <x v="17"/>
    <x v="1"/>
    <x v="0"/>
    <x v="65"/>
    <x v="1"/>
    <x v="4"/>
    <n v="0"/>
    <m/>
  </r>
  <r>
    <x v="17"/>
    <x v="1"/>
    <x v="0"/>
    <x v="66"/>
    <x v="1"/>
    <x v="4"/>
    <n v="0"/>
    <m/>
  </r>
  <r>
    <x v="17"/>
    <x v="1"/>
    <x v="0"/>
    <x v="67"/>
    <x v="2"/>
    <x v="1"/>
    <n v="2"/>
    <s v=""/>
  </r>
  <r>
    <x v="17"/>
    <x v="1"/>
    <x v="0"/>
    <x v="67"/>
    <x v="2"/>
    <x v="0"/>
    <n v="3"/>
    <s v=""/>
  </r>
  <r>
    <x v="17"/>
    <x v="1"/>
    <x v="0"/>
    <x v="68"/>
    <x v="2"/>
    <x v="0"/>
    <n v="1"/>
    <s v=""/>
  </r>
  <r>
    <x v="17"/>
    <x v="1"/>
    <x v="0"/>
    <x v="69"/>
    <x v="2"/>
    <x v="0"/>
    <n v="1"/>
    <s v=""/>
  </r>
  <r>
    <x v="17"/>
    <x v="1"/>
    <x v="0"/>
    <x v="70"/>
    <x v="1"/>
    <x v="4"/>
    <n v="0"/>
    <m/>
  </r>
  <r>
    <x v="17"/>
    <x v="1"/>
    <x v="0"/>
    <x v="71"/>
    <x v="1"/>
    <x v="4"/>
    <n v="0"/>
    <m/>
  </r>
  <r>
    <x v="17"/>
    <x v="1"/>
    <x v="0"/>
    <x v="72"/>
    <x v="2"/>
    <x v="1"/>
    <n v="1"/>
    <s v=""/>
  </r>
  <r>
    <x v="17"/>
    <x v="1"/>
    <x v="0"/>
    <x v="72"/>
    <x v="2"/>
    <x v="0"/>
    <n v="4"/>
    <s v=""/>
  </r>
  <r>
    <x v="17"/>
    <x v="1"/>
    <x v="0"/>
    <x v="73"/>
    <x v="0"/>
    <x v="0"/>
    <n v="1"/>
    <s v=""/>
  </r>
  <r>
    <x v="17"/>
    <x v="1"/>
    <x v="0"/>
    <x v="73"/>
    <x v="2"/>
    <x v="0"/>
    <n v="2"/>
    <s v=""/>
  </r>
  <r>
    <x v="17"/>
    <x v="1"/>
    <x v="0"/>
    <x v="73"/>
    <x v="5"/>
    <x v="1"/>
    <n v="1"/>
    <s v=""/>
  </r>
  <r>
    <x v="17"/>
    <x v="1"/>
    <x v="0"/>
    <x v="74"/>
    <x v="1"/>
    <x v="4"/>
    <n v="0"/>
    <m/>
  </r>
  <r>
    <x v="17"/>
    <x v="1"/>
    <x v="0"/>
    <x v="75"/>
    <x v="2"/>
    <x v="0"/>
    <n v="2"/>
    <s v=""/>
  </r>
  <r>
    <x v="17"/>
    <x v="1"/>
    <x v="0"/>
    <x v="75"/>
    <x v="2"/>
    <x v="2"/>
    <n v="1"/>
    <s v=""/>
  </r>
  <r>
    <x v="17"/>
    <x v="1"/>
    <x v="0"/>
    <x v="76"/>
    <x v="1"/>
    <x v="4"/>
    <n v="0"/>
    <m/>
  </r>
  <r>
    <x v="17"/>
    <x v="1"/>
    <x v="0"/>
    <x v="77"/>
    <x v="5"/>
    <x v="1"/>
    <n v="1"/>
    <s v=""/>
  </r>
  <r>
    <x v="17"/>
    <x v="1"/>
    <x v="0"/>
    <x v="78"/>
    <x v="2"/>
    <x v="1"/>
    <n v="1"/>
    <s v=""/>
  </r>
  <r>
    <x v="17"/>
    <x v="1"/>
    <x v="0"/>
    <x v="78"/>
    <x v="2"/>
    <x v="0"/>
    <n v="1"/>
    <s v=""/>
  </r>
  <r>
    <x v="17"/>
    <x v="1"/>
    <x v="0"/>
    <x v="79"/>
    <x v="2"/>
    <x v="0"/>
    <n v="3"/>
    <s v=""/>
  </r>
  <r>
    <x v="17"/>
    <x v="1"/>
    <x v="1"/>
    <x v="80"/>
    <x v="5"/>
    <x v="2"/>
    <n v="1"/>
    <s v=""/>
  </r>
  <r>
    <x v="17"/>
    <x v="1"/>
    <x v="1"/>
    <x v="81"/>
    <x v="2"/>
    <x v="1"/>
    <n v="1"/>
    <s v=""/>
  </r>
  <r>
    <x v="17"/>
    <x v="1"/>
    <x v="1"/>
    <x v="82"/>
    <x v="1"/>
    <x v="4"/>
    <n v="0"/>
    <m/>
  </r>
  <r>
    <x v="17"/>
    <x v="1"/>
    <x v="1"/>
    <x v="83"/>
    <x v="1"/>
    <x v="4"/>
    <n v="0"/>
    <m/>
  </r>
  <r>
    <x v="17"/>
    <x v="1"/>
    <x v="1"/>
    <x v="84"/>
    <x v="2"/>
    <x v="0"/>
    <n v="1"/>
    <s v=""/>
  </r>
  <r>
    <x v="17"/>
    <x v="1"/>
    <x v="1"/>
    <x v="85"/>
    <x v="2"/>
    <x v="0"/>
    <n v="1"/>
    <s v=""/>
  </r>
  <r>
    <x v="17"/>
    <x v="1"/>
    <x v="1"/>
    <x v="86"/>
    <x v="1"/>
    <x v="4"/>
    <n v="0"/>
    <m/>
  </r>
  <r>
    <x v="17"/>
    <x v="1"/>
    <x v="1"/>
    <x v="87"/>
    <x v="2"/>
    <x v="0"/>
    <n v="2"/>
    <s v=""/>
  </r>
  <r>
    <x v="17"/>
    <x v="1"/>
    <x v="1"/>
    <x v="87"/>
    <x v="5"/>
    <x v="0"/>
    <n v="3"/>
    <s v=""/>
  </r>
  <r>
    <x v="17"/>
    <x v="1"/>
    <x v="1"/>
    <x v="88"/>
    <x v="1"/>
    <x v="4"/>
    <n v="0"/>
    <m/>
  </r>
  <r>
    <x v="17"/>
    <x v="1"/>
    <x v="1"/>
    <x v="89"/>
    <x v="1"/>
    <x v="4"/>
    <n v="0"/>
    <m/>
  </r>
  <r>
    <x v="17"/>
    <x v="1"/>
    <x v="1"/>
    <x v="90"/>
    <x v="2"/>
    <x v="0"/>
    <n v="2"/>
    <s v=""/>
  </r>
  <r>
    <x v="17"/>
    <x v="1"/>
    <x v="1"/>
    <x v="91"/>
    <x v="3"/>
    <x v="0"/>
    <n v="1"/>
    <s v=""/>
  </r>
  <r>
    <x v="17"/>
    <x v="1"/>
    <x v="1"/>
    <x v="92"/>
    <x v="2"/>
    <x v="1"/>
    <n v="1"/>
    <s v=""/>
  </r>
  <r>
    <x v="17"/>
    <x v="1"/>
    <x v="1"/>
    <x v="93"/>
    <x v="2"/>
    <x v="0"/>
    <n v="1"/>
    <s v=""/>
  </r>
  <r>
    <x v="17"/>
    <x v="1"/>
    <x v="1"/>
    <x v="94"/>
    <x v="2"/>
    <x v="0"/>
    <n v="1"/>
    <s v=""/>
  </r>
  <r>
    <x v="17"/>
    <x v="1"/>
    <x v="1"/>
    <x v="95"/>
    <x v="2"/>
    <x v="0"/>
    <n v="1"/>
    <s v=""/>
  </r>
  <r>
    <x v="17"/>
    <x v="1"/>
    <x v="1"/>
    <x v="96"/>
    <x v="5"/>
    <x v="1"/>
    <n v="1"/>
    <s v=""/>
  </r>
  <r>
    <x v="17"/>
    <x v="1"/>
    <x v="1"/>
    <x v="97"/>
    <x v="2"/>
    <x v="1"/>
    <n v="2"/>
    <s v=""/>
  </r>
  <r>
    <x v="17"/>
    <x v="1"/>
    <x v="1"/>
    <x v="98"/>
    <x v="2"/>
    <x v="0"/>
    <n v="1"/>
    <s v=""/>
  </r>
  <r>
    <x v="17"/>
    <x v="1"/>
    <x v="1"/>
    <x v="99"/>
    <x v="2"/>
    <x v="2"/>
    <n v="1"/>
    <s v=""/>
  </r>
  <r>
    <x v="17"/>
    <x v="1"/>
    <x v="2"/>
    <x v="100"/>
    <x v="1"/>
    <x v="4"/>
    <n v="0"/>
    <m/>
  </r>
  <r>
    <x v="17"/>
    <x v="1"/>
    <x v="2"/>
    <x v="101"/>
    <x v="2"/>
    <x v="2"/>
    <n v="1"/>
    <s v=""/>
  </r>
  <r>
    <x v="17"/>
    <x v="1"/>
    <x v="2"/>
    <x v="102"/>
    <x v="1"/>
    <x v="4"/>
    <n v="0"/>
    <m/>
  </r>
  <r>
    <x v="17"/>
    <x v="1"/>
    <x v="2"/>
    <x v="103"/>
    <x v="1"/>
    <x v="4"/>
    <n v="0"/>
    <m/>
  </r>
  <r>
    <x v="17"/>
    <x v="1"/>
    <x v="2"/>
    <x v="104"/>
    <x v="2"/>
    <x v="0"/>
    <n v="1"/>
    <s v=""/>
  </r>
  <r>
    <x v="17"/>
    <x v="1"/>
    <x v="2"/>
    <x v="105"/>
    <x v="1"/>
    <x v="4"/>
    <n v="0"/>
    <m/>
  </r>
  <r>
    <x v="17"/>
    <x v="1"/>
    <x v="2"/>
    <x v="106"/>
    <x v="2"/>
    <x v="1"/>
    <n v="1"/>
    <s v=""/>
  </r>
  <r>
    <x v="17"/>
    <x v="1"/>
    <x v="2"/>
    <x v="107"/>
    <x v="1"/>
    <x v="4"/>
    <n v="0"/>
    <m/>
  </r>
  <r>
    <x v="17"/>
    <x v="1"/>
    <x v="2"/>
    <x v="108"/>
    <x v="1"/>
    <x v="4"/>
    <n v="0"/>
    <m/>
  </r>
  <r>
    <x v="17"/>
    <x v="1"/>
    <x v="2"/>
    <x v="109"/>
    <x v="1"/>
    <x v="4"/>
    <n v="0"/>
    <m/>
  </r>
  <r>
    <x v="17"/>
    <x v="1"/>
    <x v="2"/>
    <x v="110"/>
    <x v="2"/>
    <x v="0"/>
    <n v="1"/>
    <s v=""/>
  </r>
  <r>
    <x v="17"/>
    <x v="1"/>
    <x v="2"/>
    <x v="110"/>
    <x v="2"/>
    <x v="2"/>
    <n v="1"/>
    <s v=""/>
  </r>
  <r>
    <x v="17"/>
    <x v="1"/>
    <x v="2"/>
    <x v="111"/>
    <x v="2"/>
    <x v="2"/>
    <n v="1"/>
    <s v=""/>
  </r>
  <r>
    <x v="17"/>
    <x v="1"/>
    <x v="2"/>
    <x v="112"/>
    <x v="1"/>
    <x v="4"/>
    <n v="0"/>
    <m/>
  </r>
  <r>
    <x v="17"/>
    <x v="1"/>
    <x v="2"/>
    <x v="113"/>
    <x v="2"/>
    <x v="1"/>
    <n v="1"/>
    <s v=""/>
  </r>
  <r>
    <x v="17"/>
    <x v="1"/>
    <x v="2"/>
    <x v="114"/>
    <x v="1"/>
    <x v="4"/>
    <n v="0"/>
    <m/>
  </r>
  <r>
    <x v="17"/>
    <x v="1"/>
    <x v="2"/>
    <x v="115"/>
    <x v="1"/>
    <x v="4"/>
    <n v="0"/>
    <m/>
  </r>
  <r>
    <x v="17"/>
    <x v="1"/>
    <x v="2"/>
    <x v="116"/>
    <x v="2"/>
    <x v="0"/>
    <n v="1"/>
    <s v=""/>
  </r>
  <r>
    <x v="17"/>
    <x v="1"/>
    <x v="2"/>
    <x v="117"/>
    <x v="2"/>
    <x v="1"/>
    <n v="1"/>
    <s v=""/>
  </r>
  <r>
    <x v="17"/>
    <x v="1"/>
    <x v="2"/>
    <x v="118"/>
    <x v="1"/>
    <x v="4"/>
    <n v="0"/>
    <m/>
  </r>
  <r>
    <x v="17"/>
    <x v="1"/>
    <x v="2"/>
    <x v="119"/>
    <x v="2"/>
    <x v="1"/>
    <n v="4"/>
    <s v=""/>
  </r>
  <r>
    <x v="17"/>
    <x v="2"/>
    <x v="0"/>
    <x v="120"/>
    <x v="1"/>
    <x v="4"/>
    <n v="0"/>
    <m/>
  </r>
  <r>
    <x v="17"/>
    <x v="2"/>
    <x v="0"/>
    <x v="121"/>
    <x v="2"/>
    <x v="0"/>
    <n v="1"/>
    <s v=""/>
  </r>
  <r>
    <x v="17"/>
    <x v="2"/>
    <x v="0"/>
    <x v="122"/>
    <x v="1"/>
    <x v="4"/>
    <n v="0"/>
    <m/>
  </r>
  <r>
    <x v="17"/>
    <x v="2"/>
    <x v="0"/>
    <x v="123"/>
    <x v="2"/>
    <x v="1"/>
    <n v="1"/>
    <s v=""/>
  </r>
  <r>
    <x v="17"/>
    <x v="2"/>
    <x v="0"/>
    <x v="124"/>
    <x v="1"/>
    <x v="4"/>
    <n v="0"/>
    <m/>
  </r>
  <r>
    <x v="17"/>
    <x v="2"/>
    <x v="0"/>
    <x v="125"/>
    <x v="2"/>
    <x v="1"/>
    <n v="1"/>
    <s v=""/>
  </r>
  <r>
    <x v="17"/>
    <x v="2"/>
    <x v="0"/>
    <x v="126"/>
    <x v="1"/>
    <x v="4"/>
    <n v="0"/>
    <m/>
  </r>
  <r>
    <x v="17"/>
    <x v="2"/>
    <x v="0"/>
    <x v="127"/>
    <x v="2"/>
    <x v="1"/>
    <n v="1"/>
    <s v=""/>
  </r>
  <r>
    <x v="17"/>
    <x v="2"/>
    <x v="0"/>
    <x v="128"/>
    <x v="1"/>
    <x v="4"/>
    <n v="0"/>
    <m/>
  </r>
  <r>
    <x v="17"/>
    <x v="2"/>
    <x v="0"/>
    <x v="129"/>
    <x v="1"/>
    <x v="4"/>
    <n v="0"/>
    <m/>
  </r>
  <r>
    <x v="17"/>
    <x v="2"/>
    <x v="0"/>
    <x v="130"/>
    <x v="1"/>
    <x v="4"/>
    <n v="0"/>
    <m/>
  </r>
  <r>
    <x v="17"/>
    <x v="2"/>
    <x v="0"/>
    <x v="131"/>
    <x v="2"/>
    <x v="0"/>
    <n v="1"/>
    <s v=""/>
  </r>
  <r>
    <x v="17"/>
    <x v="2"/>
    <x v="0"/>
    <x v="132"/>
    <x v="1"/>
    <x v="4"/>
    <n v="0"/>
    <m/>
  </r>
  <r>
    <x v="17"/>
    <x v="2"/>
    <x v="0"/>
    <x v="133"/>
    <x v="2"/>
    <x v="0"/>
    <n v="1"/>
    <s v=""/>
  </r>
  <r>
    <x v="17"/>
    <x v="2"/>
    <x v="0"/>
    <x v="134"/>
    <x v="1"/>
    <x v="4"/>
    <n v="0"/>
    <m/>
  </r>
  <r>
    <x v="17"/>
    <x v="2"/>
    <x v="0"/>
    <x v="135"/>
    <x v="1"/>
    <x v="4"/>
    <n v="0"/>
    <m/>
  </r>
  <r>
    <x v="17"/>
    <x v="2"/>
    <x v="0"/>
    <x v="136"/>
    <x v="5"/>
    <x v="0"/>
    <n v="1"/>
    <s v=""/>
  </r>
  <r>
    <x v="17"/>
    <x v="2"/>
    <x v="0"/>
    <x v="137"/>
    <x v="2"/>
    <x v="0"/>
    <n v="1"/>
    <s v=""/>
  </r>
  <r>
    <x v="17"/>
    <x v="2"/>
    <x v="0"/>
    <x v="138"/>
    <x v="1"/>
    <x v="4"/>
    <n v="0"/>
    <m/>
  </r>
  <r>
    <x v="17"/>
    <x v="2"/>
    <x v="0"/>
    <x v="139"/>
    <x v="1"/>
    <x v="4"/>
    <n v="0"/>
    <m/>
  </r>
  <r>
    <x v="17"/>
    <x v="2"/>
    <x v="1"/>
    <x v="140"/>
    <x v="2"/>
    <x v="0"/>
    <n v="1"/>
    <s v=""/>
  </r>
  <r>
    <x v="17"/>
    <x v="2"/>
    <x v="1"/>
    <x v="141"/>
    <x v="1"/>
    <x v="4"/>
    <n v="0"/>
    <m/>
  </r>
  <r>
    <x v="17"/>
    <x v="2"/>
    <x v="1"/>
    <x v="142"/>
    <x v="1"/>
    <x v="4"/>
    <n v="0"/>
    <m/>
  </r>
  <r>
    <x v="17"/>
    <x v="2"/>
    <x v="1"/>
    <x v="143"/>
    <x v="2"/>
    <x v="0"/>
    <n v="1"/>
    <s v=""/>
  </r>
  <r>
    <x v="17"/>
    <x v="2"/>
    <x v="1"/>
    <x v="144"/>
    <x v="2"/>
    <x v="2"/>
    <n v="1"/>
    <s v=""/>
  </r>
  <r>
    <x v="17"/>
    <x v="2"/>
    <x v="1"/>
    <x v="145"/>
    <x v="2"/>
    <x v="0"/>
    <n v="1"/>
    <m/>
  </r>
  <r>
    <x v="17"/>
    <x v="2"/>
    <x v="1"/>
    <x v="146"/>
    <x v="2"/>
    <x v="0"/>
    <n v="1"/>
    <s v=""/>
  </r>
  <r>
    <x v="17"/>
    <x v="2"/>
    <x v="1"/>
    <x v="147"/>
    <x v="5"/>
    <x v="1"/>
    <n v="1"/>
    <s v=""/>
  </r>
  <r>
    <x v="17"/>
    <x v="2"/>
    <x v="1"/>
    <x v="148"/>
    <x v="1"/>
    <x v="4"/>
    <n v="0"/>
    <m/>
  </r>
  <r>
    <x v="17"/>
    <x v="2"/>
    <x v="1"/>
    <x v="149"/>
    <x v="1"/>
    <x v="4"/>
    <n v="0"/>
    <m/>
  </r>
  <r>
    <x v="17"/>
    <x v="2"/>
    <x v="1"/>
    <x v="150"/>
    <x v="1"/>
    <x v="4"/>
    <n v="0"/>
    <m/>
  </r>
  <r>
    <x v="17"/>
    <x v="2"/>
    <x v="1"/>
    <x v="151"/>
    <x v="1"/>
    <x v="4"/>
    <n v="0"/>
    <m/>
  </r>
  <r>
    <x v="17"/>
    <x v="2"/>
    <x v="1"/>
    <x v="152"/>
    <x v="1"/>
    <x v="4"/>
    <n v="0"/>
    <m/>
  </r>
  <r>
    <x v="17"/>
    <x v="2"/>
    <x v="1"/>
    <x v="153"/>
    <x v="1"/>
    <x v="4"/>
    <n v="0"/>
    <m/>
  </r>
  <r>
    <x v="17"/>
    <x v="2"/>
    <x v="1"/>
    <x v="154"/>
    <x v="1"/>
    <x v="4"/>
    <n v="0"/>
    <m/>
  </r>
  <r>
    <x v="17"/>
    <x v="2"/>
    <x v="1"/>
    <x v="155"/>
    <x v="1"/>
    <x v="4"/>
    <n v="0"/>
    <m/>
  </r>
  <r>
    <x v="17"/>
    <x v="2"/>
    <x v="1"/>
    <x v="156"/>
    <x v="2"/>
    <x v="0"/>
    <n v="3"/>
    <s v=""/>
  </r>
  <r>
    <x v="17"/>
    <x v="2"/>
    <x v="1"/>
    <x v="156"/>
    <x v="2"/>
    <x v="2"/>
    <n v="1"/>
    <s v=""/>
  </r>
  <r>
    <x v="17"/>
    <x v="2"/>
    <x v="1"/>
    <x v="157"/>
    <x v="1"/>
    <x v="4"/>
    <n v="0"/>
    <m/>
  </r>
  <r>
    <x v="17"/>
    <x v="2"/>
    <x v="1"/>
    <x v="158"/>
    <x v="1"/>
    <x v="4"/>
    <n v="0"/>
    <m/>
  </r>
  <r>
    <x v="17"/>
    <x v="2"/>
    <x v="1"/>
    <x v="159"/>
    <x v="2"/>
    <x v="0"/>
    <n v="1"/>
    <s v=""/>
  </r>
  <r>
    <x v="17"/>
    <x v="2"/>
    <x v="2"/>
    <x v="160"/>
    <x v="2"/>
    <x v="0"/>
    <n v="3"/>
    <s v=""/>
  </r>
  <r>
    <x v="17"/>
    <x v="2"/>
    <x v="2"/>
    <x v="160"/>
    <x v="2"/>
    <x v="2"/>
    <n v="1"/>
    <s v=""/>
  </r>
  <r>
    <x v="17"/>
    <x v="2"/>
    <x v="2"/>
    <x v="161"/>
    <x v="1"/>
    <x v="4"/>
    <n v="0"/>
    <m/>
  </r>
  <r>
    <x v="17"/>
    <x v="2"/>
    <x v="2"/>
    <x v="162"/>
    <x v="1"/>
    <x v="4"/>
    <n v="0"/>
    <m/>
  </r>
  <r>
    <x v="17"/>
    <x v="2"/>
    <x v="2"/>
    <x v="163"/>
    <x v="2"/>
    <x v="0"/>
    <n v="1"/>
    <s v=""/>
  </r>
  <r>
    <x v="17"/>
    <x v="2"/>
    <x v="2"/>
    <x v="163"/>
    <x v="5"/>
    <x v="1"/>
    <n v="4"/>
    <s v=""/>
  </r>
  <r>
    <x v="17"/>
    <x v="2"/>
    <x v="2"/>
    <x v="163"/>
    <x v="5"/>
    <x v="2"/>
    <n v="3"/>
    <s v=""/>
  </r>
  <r>
    <x v="17"/>
    <x v="2"/>
    <x v="2"/>
    <x v="164"/>
    <x v="2"/>
    <x v="2"/>
    <n v="3"/>
    <s v=""/>
  </r>
  <r>
    <x v="17"/>
    <x v="2"/>
    <x v="2"/>
    <x v="165"/>
    <x v="0"/>
    <x v="1"/>
    <n v="1"/>
    <s v=""/>
  </r>
  <r>
    <x v="17"/>
    <x v="2"/>
    <x v="2"/>
    <x v="165"/>
    <x v="2"/>
    <x v="1"/>
    <n v="1"/>
    <s v=""/>
  </r>
  <r>
    <x v="17"/>
    <x v="2"/>
    <x v="2"/>
    <x v="166"/>
    <x v="1"/>
    <x v="4"/>
    <n v="0"/>
    <m/>
  </r>
  <r>
    <x v="17"/>
    <x v="2"/>
    <x v="2"/>
    <x v="167"/>
    <x v="2"/>
    <x v="0"/>
    <n v="1"/>
    <s v=""/>
  </r>
  <r>
    <x v="17"/>
    <x v="2"/>
    <x v="2"/>
    <x v="168"/>
    <x v="2"/>
    <x v="1"/>
    <n v="3"/>
    <s v=""/>
  </r>
  <r>
    <x v="17"/>
    <x v="2"/>
    <x v="2"/>
    <x v="168"/>
    <x v="2"/>
    <x v="0"/>
    <n v="1"/>
    <s v=""/>
  </r>
  <r>
    <x v="17"/>
    <x v="2"/>
    <x v="2"/>
    <x v="169"/>
    <x v="1"/>
    <x v="4"/>
    <n v="0"/>
    <m/>
  </r>
  <r>
    <x v="17"/>
    <x v="2"/>
    <x v="2"/>
    <x v="170"/>
    <x v="2"/>
    <x v="1"/>
    <n v="1"/>
    <s v=""/>
  </r>
  <r>
    <x v="17"/>
    <x v="2"/>
    <x v="2"/>
    <x v="171"/>
    <x v="2"/>
    <x v="2"/>
    <n v="1"/>
    <s v=""/>
  </r>
  <r>
    <x v="17"/>
    <x v="2"/>
    <x v="2"/>
    <x v="172"/>
    <x v="1"/>
    <x v="4"/>
    <n v="0"/>
    <m/>
  </r>
  <r>
    <x v="17"/>
    <x v="2"/>
    <x v="2"/>
    <x v="173"/>
    <x v="1"/>
    <x v="4"/>
    <n v="0"/>
    <m/>
  </r>
  <r>
    <x v="17"/>
    <x v="2"/>
    <x v="2"/>
    <x v="174"/>
    <x v="2"/>
    <x v="0"/>
    <n v="3"/>
    <s v=""/>
  </r>
  <r>
    <x v="17"/>
    <x v="2"/>
    <x v="2"/>
    <x v="175"/>
    <x v="2"/>
    <x v="0"/>
    <n v="1"/>
    <s v=""/>
  </r>
  <r>
    <x v="17"/>
    <x v="2"/>
    <x v="2"/>
    <x v="176"/>
    <x v="1"/>
    <x v="4"/>
    <n v="0"/>
    <m/>
  </r>
  <r>
    <x v="17"/>
    <x v="2"/>
    <x v="2"/>
    <x v="177"/>
    <x v="1"/>
    <x v="4"/>
    <n v="0"/>
    <m/>
  </r>
  <r>
    <x v="17"/>
    <x v="2"/>
    <x v="2"/>
    <x v="178"/>
    <x v="5"/>
    <x v="0"/>
    <n v="2"/>
    <s v=""/>
  </r>
  <r>
    <x v="17"/>
    <x v="2"/>
    <x v="2"/>
    <x v="179"/>
    <x v="1"/>
    <x v="4"/>
    <n v="0"/>
    <m/>
  </r>
  <r>
    <x v="18"/>
    <x v="0"/>
    <x v="0"/>
    <x v="0"/>
    <x v="1"/>
    <x v="4"/>
    <n v="0"/>
    <m/>
  </r>
  <r>
    <x v="18"/>
    <x v="0"/>
    <x v="0"/>
    <x v="16"/>
    <x v="1"/>
    <x v="4"/>
    <n v="0"/>
    <m/>
  </r>
  <r>
    <x v="18"/>
    <x v="0"/>
    <x v="0"/>
    <x v="15"/>
    <x v="1"/>
    <x v="4"/>
    <n v="0"/>
    <m/>
  </r>
  <r>
    <x v="18"/>
    <x v="0"/>
    <x v="0"/>
    <x v="17"/>
    <x v="1"/>
    <x v="4"/>
    <n v="0"/>
    <m/>
  </r>
  <r>
    <x v="18"/>
    <x v="0"/>
    <x v="0"/>
    <x v="14"/>
    <x v="1"/>
    <x v="4"/>
    <n v="0"/>
    <m/>
  </r>
  <r>
    <x v="18"/>
    <x v="0"/>
    <x v="0"/>
    <x v="18"/>
    <x v="1"/>
    <x v="4"/>
    <n v="0"/>
    <m/>
  </r>
  <r>
    <x v="18"/>
    <x v="0"/>
    <x v="0"/>
    <x v="13"/>
    <x v="1"/>
    <x v="4"/>
    <n v="0"/>
    <m/>
  </r>
  <r>
    <x v="18"/>
    <x v="0"/>
    <x v="0"/>
    <x v="19"/>
    <x v="1"/>
    <x v="4"/>
    <n v="0"/>
    <m/>
  </r>
  <r>
    <x v="18"/>
    <x v="0"/>
    <x v="0"/>
    <x v="20"/>
    <x v="1"/>
    <x v="4"/>
    <n v="0"/>
    <m/>
  </r>
  <r>
    <x v="18"/>
    <x v="0"/>
    <x v="0"/>
    <x v="12"/>
    <x v="2"/>
    <x v="1"/>
    <n v="1"/>
    <s v=""/>
  </r>
  <r>
    <x v="18"/>
    <x v="0"/>
    <x v="0"/>
    <x v="21"/>
    <x v="2"/>
    <x v="0"/>
    <n v="1"/>
    <s v=""/>
  </r>
  <r>
    <x v="18"/>
    <x v="0"/>
    <x v="0"/>
    <x v="22"/>
    <x v="1"/>
    <x v="4"/>
    <n v="0"/>
    <m/>
  </r>
  <r>
    <x v="18"/>
    <x v="0"/>
    <x v="0"/>
    <x v="23"/>
    <x v="1"/>
    <x v="4"/>
    <n v="0"/>
    <m/>
  </r>
  <r>
    <x v="18"/>
    <x v="0"/>
    <x v="0"/>
    <x v="24"/>
    <x v="1"/>
    <x v="4"/>
    <n v="0"/>
    <m/>
  </r>
  <r>
    <x v="18"/>
    <x v="0"/>
    <x v="0"/>
    <x v="25"/>
    <x v="1"/>
    <x v="4"/>
    <n v="0"/>
    <m/>
  </r>
  <r>
    <x v="18"/>
    <x v="0"/>
    <x v="0"/>
    <x v="26"/>
    <x v="1"/>
    <x v="4"/>
    <n v="0"/>
    <m/>
  </r>
  <r>
    <x v="18"/>
    <x v="0"/>
    <x v="0"/>
    <x v="27"/>
    <x v="3"/>
    <x v="2"/>
    <n v="1"/>
    <s v=""/>
  </r>
  <r>
    <x v="18"/>
    <x v="0"/>
    <x v="0"/>
    <x v="27"/>
    <x v="2"/>
    <x v="0"/>
    <n v="1"/>
    <s v=""/>
  </r>
  <r>
    <x v="18"/>
    <x v="0"/>
    <x v="0"/>
    <x v="28"/>
    <x v="1"/>
    <x v="4"/>
    <n v="0"/>
    <m/>
  </r>
  <r>
    <x v="18"/>
    <x v="0"/>
    <x v="0"/>
    <x v="11"/>
    <x v="1"/>
    <x v="4"/>
    <n v="0"/>
    <m/>
  </r>
  <r>
    <x v="18"/>
    <x v="0"/>
    <x v="0"/>
    <x v="29"/>
    <x v="1"/>
    <x v="4"/>
    <n v="0"/>
    <m/>
  </r>
  <r>
    <x v="18"/>
    <x v="0"/>
    <x v="1"/>
    <x v="30"/>
    <x v="1"/>
    <x v="4"/>
    <n v="0"/>
    <m/>
  </r>
  <r>
    <x v="18"/>
    <x v="0"/>
    <x v="1"/>
    <x v="31"/>
    <x v="1"/>
    <x v="4"/>
    <n v="0"/>
    <m/>
  </r>
  <r>
    <x v="18"/>
    <x v="0"/>
    <x v="1"/>
    <x v="32"/>
    <x v="2"/>
    <x v="0"/>
    <n v="1"/>
    <s v=""/>
  </r>
  <r>
    <x v="18"/>
    <x v="0"/>
    <x v="1"/>
    <x v="33"/>
    <x v="1"/>
    <x v="4"/>
    <n v="0"/>
    <m/>
  </r>
  <r>
    <x v="18"/>
    <x v="0"/>
    <x v="1"/>
    <x v="10"/>
    <x v="1"/>
    <x v="4"/>
    <n v="0"/>
    <m/>
  </r>
  <r>
    <x v="18"/>
    <x v="0"/>
    <x v="1"/>
    <x v="34"/>
    <x v="1"/>
    <x v="4"/>
    <n v="0"/>
    <m/>
  </r>
  <r>
    <x v="18"/>
    <x v="0"/>
    <x v="1"/>
    <x v="35"/>
    <x v="1"/>
    <x v="4"/>
    <n v="0"/>
    <m/>
  </r>
  <r>
    <x v="18"/>
    <x v="0"/>
    <x v="1"/>
    <x v="36"/>
    <x v="1"/>
    <x v="4"/>
    <n v="0"/>
    <m/>
  </r>
  <r>
    <x v="18"/>
    <x v="0"/>
    <x v="1"/>
    <x v="37"/>
    <x v="1"/>
    <x v="4"/>
    <n v="0"/>
    <m/>
  </r>
  <r>
    <x v="18"/>
    <x v="0"/>
    <x v="1"/>
    <x v="9"/>
    <x v="1"/>
    <x v="4"/>
    <n v="0"/>
    <m/>
  </r>
  <r>
    <x v="18"/>
    <x v="0"/>
    <x v="1"/>
    <x v="38"/>
    <x v="5"/>
    <x v="0"/>
    <n v="1"/>
    <s v=""/>
  </r>
  <r>
    <x v="18"/>
    <x v="0"/>
    <x v="1"/>
    <x v="8"/>
    <x v="1"/>
    <x v="4"/>
    <n v="0"/>
    <m/>
  </r>
  <r>
    <x v="18"/>
    <x v="0"/>
    <x v="1"/>
    <x v="39"/>
    <x v="1"/>
    <x v="4"/>
    <n v="0"/>
    <m/>
  </r>
  <r>
    <x v="18"/>
    <x v="0"/>
    <x v="1"/>
    <x v="7"/>
    <x v="1"/>
    <x v="4"/>
    <n v="0"/>
    <m/>
  </r>
  <r>
    <x v="18"/>
    <x v="0"/>
    <x v="1"/>
    <x v="6"/>
    <x v="1"/>
    <x v="4"/>
    <n v="0"/>
    <m/>
  </r>
  <r>
    <x v="18"/>
    <x v="0"/>
    <x v="1"/>
    <x v="40"/>
    <x v="1"/>
    <x v="4"/>
    <n v="0"/>
    <m/>
  </r>
  <r>
    <x v="18"/>
    <x v="0"/>
    <x v="1"/>
    <x v="41"/>
    <x v="1"/>
    <x v="4"/>
    <n v="0"/>
    <m/>
  </r>
  <r>
    <x v="18"/>
    <x v="0"/>
    <x v="1"/>
    <x v="42"/>
    <x v="2"/>
    <x v="1"/>
    <n v="1"/>
    <s v=""/>
  </r>
  <r>
    <x v="18"/>
    <x v="0"/>
    <x v="1"/>
    <x v="5"/>
    <x v="1"/>
    <x v="4"/>
    <n v="0"/>
    <m/>
  </r>
  <r>
    <x v="18"/>
    <x v="0"/>
    <x v="1"/>
    <x v="43"/>
    <x v="1"/>
    <x v="4"/>
    <n v="0"/>
    <m/>
  </r>
  <r>
    <x v="18"/>
    <x v="0"/>
    <x v="2"/>
    <x v="44"/>
    <x v="1"/>
    <x v="4"/>
    <n v="0"/>
    <m/>
  </r>
  <r>
    <x v="18"/>
    <x v="0"/>
    <x v="2"/>
    <x v="45"/>
    <x v="1"/>
    <x v="4"/>
    <n v="0"/>
    <m/>
  </r>
  <r>
    <x v="18"/>
    <x v="0"/>
    <x v="2"/>
    <x v="46"/>
    <x v="1"/>
    <x v="4"/>
    <n v="0"/>
    <m/>
  </r>
  <r>
    <x v="18"/>
    <x v="0"/>
    <x v="2"/>
    <x v="4"/>
    <x v="1"/>
    <x v="4"/>
    <n v="0"/>
    <m/>
  </r>
  <r>
    <x v="18"/>
    <x v="0"/>
    <x v="2"/>
    <x v="47"/>
    <x v="1"/>
    <x v="4"/>
    <n v="0"/>
    <m/>
  </r>
  <r>
    <x v="18"/>
    <x v="0"/>
    <x v="2"/>
    <x v="48"/>
    <x v="1"/>
    <x v="4"/>
    <n v="0"/>
    <m/>
  </r>
  <r>
    <x v="18"/>
    <x v="0"/>
    <x v="2"/>
    <x v="49"/>
    <x v="1"/>
    <x v="4"/>
    <n v="0"/>
    <m/>
  </r>
  <r>
    <x v="18"/>
    <x v="0"/>
    <x v="2"/>
    <x v="50"/>
    <x v="1"/>
    <x v="4"/>
    <n v="0"/>
    <m/>
  </r>
  <r>
    <x v="18"/>
    <x v="0"/>
    <x v="2"/>
    <x v="3"/>
    <x v="1"/>
    <x v="4"/>
    <n v="0"/>
    <m/>
  </r>
  <r>
    <x v="18"/>
    <x v="0"/>
    <x v="2"/>
    <x v="51"/>
    <x v="1"/>
    <x v="4"/>
    <n v="0"/>
    <m/>
  </r>
  <r>
    <x v="18"/>
    <x v="0"/>
    <x v="2"/>
    <x v="2"/>
    <x v="1"/>
    <x v="4"/>
    <n v="0"/>
    <m/>
  </r>
  <r>
    <x v="18"/>
    <x v="0"/>
    <x v="2"/>
    <x v="52"/>
    <x v="1"/>
    <x v="4"/>
    <n v="0"/>
    <m/>
  </r>
  <r>
    <x v="18"/>
    <x v="0"/>
    <x v="2"/>
    <x v="53"/>
    <x v="1"/>
    <x v="4"/>
    <n v="0"/>
    <m/>
  </r>
  <r>
    <x v="18"/>
    <x v="0"/>
    <x v="2"/>
    <x v="54"/>
    <x v="1"/>
    <x v="4"/>
    <n v="0"/>
    <m/>
  </r>
  <r>
    <x v="18"/>
    <x v="0"/>
    <x v="2"/>
    <x v="1"/>
    <x v="1"/>
    <x v="4"/>
    <n v="0"/>
    <m/>
  </r>
  <r>
    <x v="18"/>
    <x v="0"/>
    <x v="2"/>
    <x v="55"/>
    <x v="1"/>
    <x v="4"/>
    <n v="0"/>
    <m/>
  </r>
  <r>
    <x v="18"/>
    <x v="0"/>
    <x v="2"/>
    <x v="56"/>
    <x v="1"/>
    <x v="4"/>
    <n v="0"/>
    <m/>
  </r>
  <r>
    <x v="18"/>
    <x v="0"/>
    <x v="2"/>
    <x v="57"/>
    <x v="1"/>
    <x v="4"/>
    <n v="0"/>
    <m/>
  </r>
  <r>
    <x v="18"/>
    <x v="0"/>
    <x v="2"/>
    <x v="58"/>
    <x v="1"/>
    <x v="4"/>
    <n v="0"/>
    <m/>
  </r>
  <r>
    <x v="18"/>
    <x v="0"/>
    <x v="2"/>
    <x v="59"/>
    <x v="1"/>
    <x v="4"/>
    <n v="0"/>
    <m/>
  </r>
  <r>
    <x v="18"/>
    <x v="1"/>
    <x v="0"/>
    <x v="60"/>
    <x v="1"/>
    <x v="4"/>
    <n v="0"/>
    <m/>
  </r>
  <r>
    <x v="18"/>
    <x v="1"/>
    <x v="0"/>
    <x v="61"/>
    <x v="1"/>
    <x v="4"/>
    <n v="0"/>
    <m/>
  </r>
  <r>
    <x v="18"/>
    <x v="1"/>
    <x v="0"/>
    <x v="62"/>
    <x v="2"/>
    <x v="2"/>
    <n v="1"/>
    <s v=""/>
  </r>
  <r>
    <x v="18"/>
    <x v="1"/>
    <x v="0"/>
    <x v="63"/>
    <x v="1"/>
    <x v="4"/>
    <n v="0"/>
    <m/>
  </r>
  <r>
    <x v="18"/>
    <x v="1"/>
    <x v="0"/>
    <x v="64"/>
    <x v="1"/>
    <x v="4"/>
    <n v="0"/>
    <m/>
  </r>
  <r>
    <x v="18"/>
    <x v="1"/>
    <x v="0"/>
    <x v="65"/>
    <x v="1"/>
    <x v="4"/>
    <n v="0"/>
    <m/>
  </r>
  <r>
    <x v="18"/>
    <x v="1"/>
    <x v="0"/>
    <x v="66"/>
    <x v="1"/>
    <x v="4"/>
    <n v="0"/>
    <m/>
  </r>
  <r>
    <x v="18"/>
    <x v="1"/>
    <x v="0"/>
    <x v="67"/>
    <x v="1"/>
    <x v="4"/>
    <n v="0"/>
    <m/>
  </r>
  <r>
    <x v="18"/>
    <x v="1"/>
    <x v="0"/>
    <x v="68"/>
    <x v="1"/>
    <x v="4"/>
    <n v="0"/>
    <m/>
  </r>
  <r>
    <x v="18"/>
    <x v="1"/>
    <x v="0"/>
    <x v="69"/>
    <x v="1"/>
    <x v="4"/>
    <n v="0"/>
    <m/>
  </r>
  <r>
    <x v="18"/>
    <x v="1"/>
    <x v="0"/>
    <x v="70"/>
    <x v="1"/>
    <x v="4"/>
    <n v="0"/>
    <m/>
  </r>
  <r>
    <x v="18"/>
    <x v="1"/>
    <x v="0"/>
    <x v="71"/>
    <x v="1"/>
    <x v="4"/>
    <n v="0"/>
    <m/>
  </r>
  <r>
    <x v="18"/>
    <x v="1"/>
    <x v="0"/>
    <x v="72"/>
    <x v="1"/>
    <x v="4"/>
    <n v="0"/>
    <m/>
  </r>
  <r>
    <x v="18"/>
    <x v="1"/>
    <x v="0"/>
    <x v="73"/>
    <x v="5"/>
    <x v="0"/>
    <n v="1"/>
    <s v=""/>
  </r>
  <r>
    <x v="18"/>
    <x v="1"/>
    <x v="0"/>
    <x v="74"/>
    <x v="1"/>
    <x v="4"/>
    <n v="0"/>
    <m/>
  </r>
  <r>
    <x v="18"/>
    <x v="1"/>
    <x v="0"/>
    <x v="75"/>
    <x v="1"/>
    <x v="4"/>
    <n v="0"/>
    <m/>
  </r>
  <r>
    <x v="18"/>
    <x v="1"/>
    <x v="0"/>
    <x v="76"/>
    <x v="1"/>
    <x v="4"/>
    <n v="0"/>
    <m/>
  </r>
  <r>
    <x v="18"/>
    <x v="1"/>
    <x v="0"/>
    <x v="77"/>
    <x v="1"/>
    <x v="4"/>
    <n v="0"/>
    <m/>
  </r>
  <r>
    <x v="18"/>
    <x v="1"/>
    <x v="0"/>
    <x v="78"/>
    <x v="1"/>
    <x v="4"/>
    <n v="0"/>
    <m/>
  </r>
  <r>
    <x v="18"/>
    <x v="1"/>
    <x v="0"/>
    <x v="79"/>
    <x v="1"/>
    <x v="4"/>
    <n v="0"/>
    <m/>
  </r>
  <r>
    <x v="18"/>
    <x v="1"/>
    <x v="1"/>
    <x v="80"/>
    <x v="1"/>
    <x v="4"/>
    <n v="0"/>
    <m/>
  </r>
  <r>
    <x v="18"/>
    <x v="1"/>
    <x v="1"/>
    <x v="81"/>
    <x v="1"/>
    <x v="4"/>
    <n v="0"/>
    <m/>
  </r>
  <r>
    <x v="18"/>
    <x v="1"/>
    <x v="1"/>
    <x v="82"/>
    <x v="1"/>
    <x v="4"/>
    <n v="0"/>
    <m/>
  </r>
  <r>
    <x v="18"/>
    <x v="1"/>
    <x v="1"/>
    <x v="83"/>
    <x v="1"/>
    <x v="4"/>
    <n v="0"/>
    <m/>
  </r>
  <r>
    <x v="18"/>
    <x v="1"/>
    <x v="1"/>
    <x v="84"/>
    <x v="5"/>
    <x v="0"/>
    <n v="1"/>
    <s v=""/>
  </r>
  <r>
    <x v="18"/>
    <x v="1"/>
    <x v="1"/>
    <x v="85"/>
    <x v="1"/>
    <x v="4"/>
    <n v="0"/>
    <m/>
  </r>
  <r>
    <x v="18"/>
    <x v="1"/>
    <x v="1"/>
    <x v="86"/>
    <x v="1"/>
    <x v="4"/>
    <n v="0"/>
    <m/>
  </r>
  <r>
    <x v="18"/>
    <x v="1"/>
    <x v="1"/>
    <x v="87"/>
    <x v="5"/>
    <x v="0"/>
    <n v="1"/>
    <s v=""/>
  </r>
  <r>
    <x v="18"/>
    <x v="1"/>
    <x v="1"/>
    <x v="88"/>
    <x v="1"/>
    <x v="4"/>
    <n v="0"/>
    <m/>
  </r>
  <r>
    <x v="18"/>
    <x v="1"/>
    <x v="1"/>
    <x v="89"/>
    <x v="1"/>
    <x v="4"/>
    <n v="0"/>
    <m/>
  </r>
  <r>
    <x v="18"/>
    <x v="1"/>
    <x v="1"/>
    <x v="90"/>
    <x v="1"/>
    <x v="4"/>
    <n v="0"/>
    <m/>
  </r>
  <r>
    <x v="18"/>
    <x v="1"/>
    <x v="1"/>
    <x v="91"/>
    <x v="1"/>
    <x v="4"/>
    <n v="0"/>
    <m/>
  </r>
  <r>
    <x v="18"/>
    <x v="1"/>
    <x v="1"/>
    <x v="92"/>
    <x v="1"/>
    <x v="4"/>
    <n v="0"/>
    <m/>
  </r>
  <r>
    <x v="18"/>
    <x v="1"/>
    <x v="1"/>
    <x v="93"/>
    <x v="1"/>
    <x v="4"/>
    <n v="0"/>
    <m/>
  </r>
  <r>
    <x v="18"/>
    <x v="1"/>
    <x v="1"/>
    <x v="94"/>
    <x v="1"/>
    <x v="4"/>
    <n v="0"/>
    <m/>
  </r>
  <r>
    <x v="18"/>
    <x v="1"/>
    <x v="1"/>
    <x v="95"/>
    <x v="1"/>
    <x v="4"/>
    <n v="0"/>
    <m/>
  </r>
  <r>
    <x v="18"/>
    <x v="1"/>
    <x v="1"/>
    <x v="96"/>
    <x v="1"/>
    <x v="4"/>
    <n v="0"/>
    <m/>
  </r>
  <r>
    <x v="18"/>
    <x v="1"/>
    <x v="1"/>
    <x v="97"/>
    <x v="1"/>
    <x v="4"/>
    <n v="0"/>
    <m/>
  </r>
  <r>
    <x v="18"/>
    <x v="1"/>
    <x v="1"/>
    <x v="98"/>
    <x v="5"/>
    <x v="0"/>
    <n v="2"/>
    <s v=""/>
  </r>
  <r>
    <x v="18"/>
    <x v="1"/>
    <x v="1"/>
    <x v="99"/>
    <x v="1"/>
    <x v="4"/>
    <n v="0"/>
    <m/>
  </r>
  <r>
    <x v="18"/>
    <x v="1"/>
    <x v="2"/>
    <x v="100"/>
    <x v="1"/>
    <x v="4"/>
    <n v="0"/>
    <m/>
  </r>
  <r>
    <x v="18"/>
    <x v="1"/>
    <x v="2"/>
    <x v="101"/>
    <x v="1"/>
    <x v="4"/>
    <n v="0"/>
    <m/>
  </r>
  <r>
    <x v="18"/>
    <x v="1"/>
    <x v="2"/>
    <x v="102"/>
    <x v="1"/>
    <x v="4"/>
    <n v="0"/>
    <m/>
  </r>
  <r>
    <x v="18"/>
    <x v="1"/>
    <x v="2"/>
    <x v="103"/>
    <x v="1"/>
    <x v="4"/>
    <n v="0"/>
    <m/>
  </r>
  <r>
    <x v="18"/>
    <x v="1"/>
    <x v="2"/>
    <x v="104"/>
    <x v="1"/>
    <x v="4"/>
    <n v="0"/>
    <m/>
  </r>
  <r>
    <x v="18"/>
    <x v="1"/>
    <x v="2"/>
    <x v="105"/>
    <x v="1"/>
    <x v="4"/>
    <n v="0"/>
    <m/>
  </r>
  <r>
    <x v="18"/>
    <x v="1"/>
    <x v="2"/>
    <x v="106"/>
    <x v="1"/>
    <x v="4"/>
    <n v="0"/>
    <m/>
  </r>
  <r>
    <x v="18"/>
    <x v="1"/>
    <x v="2"/>
    <x v="107"/>
    <x v="1"/>
    <x v="4"/>
    <n v="0"/>
    <m/>
  </r>
  <r>
    <x v="18"/>
    <x v="1"/>
    <x v="2"/>
    <x v="108"/>
    <x v="1"/>
    <x v="4"/>
    <n v="0"/>
    <m/>
  </r>
  <r>
    <x v="18"/>
    <x v="1"/>
    <x v="2"/>
    <x v="109"/>
    <x v="1"/>
    <x v="4"/>
    <n v="0"/>
    <m/>
  </r>
  <r>
    <x v="18"/>
    <x v="1"/>
    <x v="2"/>
    <x v="110"/>
    <x v="1"/>
    <x v="4"/>
    <n v="0"/>
    <m/>
  </r>
  <r>
    <x v="18"/>
    <x v="1"/>
    <x v="2"/>
    <x v="111"/>
    <x v="1"/>
    <x v="4"/>
    <n v="0"/>
    <m/>
  </r>
  <r>
    <x v="18"/>
    <x v="1"/>
    <x v="2"/>
    <x v="112"/>
    <x v="5"/>
    <x v="0"/>
    <n v="1"/>
    <s v=""/>
  </r>
  <r>
    <x v="18"/>
    <x v="1"/>
    <x v="2"/>
    <x v="113"/>
    <x v="1"/>
    <x v="4"/>
    <n v="0"/>
    <m/>
  </r>
  <r>
    <x v="18"/>
    <x v="1"/>
    <x v="2"/>
    <x v="114"/>
    <x v="1"/>
    <x v="4"/>
    <n v="0"/>
    <m/>
  </r>
  <r>
    <x v="18"/>
    <x v="1"/>
    <x v="2"/>
    <x v="115"/>
    <x v="1"/>
    <x v="4"/>
    <n v="0"/>
    <m/>
  </r>
  <r>
    <x v="18"/>
    <x v="1"/>
    <x v="2"/>
    <x v="116"/>
    <x v="1"/>
    <x v="4"/>
    <n v="0"/>
    <m/>
  </r>
  <r>
    <x v="18"/>
    <x v="1"/>
    <x v="2"/>
    <x v="117"/>
    <x v="1"/>
    <x v="4"/>
    <n v="0"/>
    <m/>
  </r>
  <r>
    <x v="18"/>
    <x v="1"/>
    <x v="2"/>
    <x v="118"/>
    <x v="1"/>
    <x v="4"/>
    <n v="0"/>
    <m/>
  </r>
  <r>
    <x v="18"/>
    <x v="1"/>
    <x v="2"/>
    <x v="119"/>
    <x v="1"/>
    <x v="4"/>
    <n v="0"/>
    <m/>
  </r>
  <r>
    <x v="18"/>
    <x v="2"/>
    <x v="0"/>
    <x v="120"/>
    <x v="1"/>
    <x v="4"/>
    <n v="0"/>
    <m/>
  </r>
  <r>
    <x v="18"/>
    <x v="2"/>
    <x v="0"/>
    <x v="121"/>
    <x v="1"/>
    <x v="4"/>
    <n v="0"/>
    <m/>
  </r>
  <r>
    <x v="18"/>
    <x v="2"/>
    <x v="0"/>
    <x v="122"/>
    <x v="1"/>
    <x v="4"/>
    <n v="0"/>
    <m/>
  </r>
  <r>
    <x v="18"/>
    <x v="2"/>
    <x v="0"/>
    <x v="123"/>
    <x v="1"/>
    <x v="4"/>
    <n v="0"/>
    <m/>
  </r>
  <r>
    <x v="18"/>
    <x v="2"/>
    <x v="0"/>
    <x v="124"/>
    <x v="4"/>
    <x v="3"/>
    <s v=""/>
    <s v="plaque absente"/>
  </r>
  <r>
    <x v="18"/>
    <x v="2"/>
    <x v="0"/>
    <x v="125"/>
    <x v="1"/>
    <x v="4"/>
    <n v="0"/>
    <m/>
  </r>
  <r>
    <x v="18"/>
    <x v="2"/>
    <x v="0"/>
    <x v="126"/>
    <x v="1"/>
    <x v="4"/>
    <n v="0"/>
    <m/>
  </r>
  <r>
    <x v="18"/>
    <x v="2"/>
    <x v="0"/>
    <x v="127"/>
    <x v="1"/>
    <x v="4"/>
    <n v="0"/>
    <m/>
  </r>
  <r>
    <x v="18"/>
    <x v="2"/>
    <x v="0"/>
    <x v="128"/>
    <x v="1"/>
    <x v="4"/>
    <n v="0"/>
    <m/>
  </r>
  <r>
    <x v="18"/>
    <x v="2"/>
    <x v="0"/>
    <x v="129"/>
    <x v="1"/>
    <x v="4"/>
    <n v="0"/>
    <m/>
  </r>
  <r>
    <x v="18"/>
    <x v="2"/>
    <x v="0"/>
    <x v="130"/>
    <x v="1"/>
    <x v="4"/>
    <n v="0"/>
    <m/>
  </r>
  <r>
    <x v="18"/>
    <x v="2"/>
    <x v="0"/>
    <x v="131"/>
    <x v="1"/>
    <x v="4"/>
    <n v="0"/>
    <m/>
  </r>
  <r>
    <x v="18"/>
    <x v="2"/>
    <x v="0"/>
    <x v="132"/>
    <x v="1"/>
    <x v="4"/>
    <n v="0"/>
    <m/>
  </r>
  <r>
    <x v="18"/>
    <x v="2"/>
    <x v="0"/>
    <x v="133"/>
    <x v="1"/>
    <x v="4"/>
    <n v="0"/>
    <m/>
  </r>
  <r>
    <x v="18"/>
    <x v="2"/>
    <x v="0"/>
    <x v="134"/>
    <x v="1"/>
    <x v="4"/>
    <n v="0"/>
    <m/>
  </r>
  <r>
    <x v="18"/>
    <x v="2"/>
    <x v="0"/>
    <x v="135"/>
    <x v="1"/>
    <x v="4"/>
    <n v="0"/>
    <m/>
  </r>
  <r>
    <x v="18"/>
    <x v="2"/>
    <x v="0"/>
    <x v="136"/>
    <x v="1"/>
    <x v="4"/>
    <n v="0"/>
    <m/>
  </r>
  <r>
    <x v="18"/>
    <x v="2"/>
    <x v="0"/>
    <x v="137"/>
    <x v="1"/>
    <x v="4"/>
    <n v="0"/>
    <m/>
  </r>
  <r>
    <x v="18"/>
    <x v="2"/>
    <x v="0"/>
    <x v="138"/>
    <x v="1"/>
    <x v="4"/>
    <n v="0"/>
    <m/>
  </r>
  <r>
    <x v="18"/>
    <x v="2"/>
    <x v="0"/>
    <x v="139"/>
    <x v="1"/>
    <x v="4"/>
    <n v="0"/>
    <m/>
  </r>
  <r>
    <x v="18"/>
    <x v="2"/>
    <x v="1"/>
    <x v="140"/>
    <x v="1"/>
    <x v="4"/>
    <n v="0"/>
    <m/>
  </r>
  <r>
    <x v="18"/>
    <x v="2"/>
    <x v="1"/>
    <x v="141"/>
    <x v="1"/>
    <x v="4"/>
    <n v="0"/>
    <m/>
  </r>
  <r>
    <x v="18"/>
    <x v="2"/>
    <x v="1"/>
    <x v="142"/>
    <x v="1"/>
    <x v="4"/>
    <n v="0"/>
    <m/>
  </r>
  <r>
    <x v="18"/>
    <x v="2"/>
    <x v="1"/>
    <x v="143"/>
    <x v="1"/>
    <x v="4"/>
    <n v="0"/>
    <m/>
  </r>
  <r>
    <x v="18"/>
    <x v="2"/>
    <x v="1"/>
    <x v="144"/>
    <x v="1"/>
    <x v="4"/>
    <n v="0"/>
    <m/>
  </r>
  <r>
    <x v="18"/>
    <x v="2"/>
    <x v="1"/>
    <x v="145"/>
    <x v="1"/>
    <x v="4"/>
    <n v="0"/>
    <m/>
  </r>
  <r>
    <x v="18"/>
    <x v="2"/>
    <x v="1"/>
    <x v="146"/>
    <x v="1"/>
    <x v="4"/>
    <n v="0"/>
    <m/>
  </r>
  <r>
    <x v="18"/>
    <x v="2"/>
    <x v="1"/>
    <x v="147"/>
    <x v="1"/>
    <x v="4"/>
    <n v="0"/>
    <m/>
  </r>
  <r>
    <x v="18"/>
    <x v="2"/>
    <x v="1"/>
    <x v="148"/>
    <x v="1"/>
    <x v="4"/>
    <n v="0"/>
    <m/>
  </r>
  <r>
    <x v="18"/>
    <x v="2"/>
    <x v="1"/>
    <x v="149"/>
    <x v="1"/>
    <x v="4"/>
    <n v="0"/>
    <m/>
  </r>
  <r>
    <x v="18"/>
    <x v="2"/>
    <x v="1"/>
    <x v="150"/>
    <x v="1"/>
    <x v="4"/>
    <n v="0"/>
    <m/>
  </r>
  <r>
    <x v="18"/>
    <x v="2"/>
    <x v="1"/>
    <x v="151"/>
    <x v="1"/>
    <x v="4"/>
    <n v="0"/>
    <m/>
  </r>
  <r>
    <x v="18"/>
    <x v="2"/>
    <x v="1"/>
    <x v="152"/>
    <x v="1"/>
    <x v="4"/>
    <n v="0"/>
    <m/>
  </r>
  <r>
    <x v="18"/>
    <x v="2"/>
    <x v="1"/>
    <x v="153"/>
    <x v="1"/>
    <x v="4"/>
    <n v="0"/>
    <m/>
  </r>
  <r>
    <x v="18"/>
    <x v="2"/>
    <x v="1"/>
    <x v="154"/>
    <x v="1"/>
    <x v="4"/>
    <n v="0"/>
    <m/>
  </r>
  <r>
    <x v="18"/>
    <x v="2"/>
    <x v="1"/>
    <x v="155"/>
    <x v="1"/>
    <x v="4"/>
    <n v="0"/>
    <m/>
  </r>
  <r>
    <x v="18"/>
    <x v="2"/>
    <x v="1"/>
    <x v="156"/>
    <x v="1"/>
    <x v="4"/>
    <n v="0"/>
    <m/>
  </r>
  <r>
    <x v="18"/>
    <x v="2"/>
    <x v="1"/>
    <x v="157"/>
    <x v="1"/>
    <x v="4"/>
    <n v="0"/>
    <m/>
  </r>
  <r>
    <x v="18"/>
    <x v="2"/>
    <x v="1"/>
    <x v="158"/>
    <x v="1"/>
    <x v="4"/>
    <n v="0"/>
    <m/>
  </r>
  <r>
    <x v="18"/>
    <x v="2"/>
    <x v="1"/>
    <x v="159"/>
    <x v="1"/>
    <x v="4"/>
    <n v="0"/>
    <m/>
  </r>
  <r>
    <x v="18"/>
    <x v="2"/>
    <x v="2"/>
    <x v="160"/>
    <x v="1"/>
    <x v="4"/>
    <n v="0"/>
    <m/>
  </r>
  <r>
    <x v="18"/>
    <x v="2"/>
    <x v="2"/>
    <x v="161"/>
    <x v="1"/>
    <x v="4"/>
    <n v="0"/>
    <m/>
  </r>
  <r>
    <x v="18"/>
    <x v="2"/>
    <x v="2"/>
    <x v="162"/>
    <x v="1"/>
    <x v="4"/>
    <n v="0"/>
    <m/>
  </r>
  <r>
    <x v="18"/>
    <x v="2"/>
    <x v="2"/>
    <x v="163"/>
    <x v="1"/>
    <x v="4"/>
    <n v="0"/>
    <m/>
  </r>
  <r>
    <x v="18"/>
    <x v="2"/>
    <x v="2"/>
    <x v="164"/>
    <x v="1"/>
    <x v="4"/>
    <n v="0"/>
    <m/>
  </r>
  <r>
    <x v="18"/>
    <x v="2"/>
    <x v="2"/>
    <x v="165"/>
    <x v="1"/>
    <x v="4"/>
    <n v="0"/>
    <m/>
  </r>
  <r>
    <x v="18"/>
    <x v="2"/>
    <x v="2"/>
    <x v="166"/>
    <x v="1"/>
    <x v="4"/>
    <n v="0"/>
    <m/>
  </r>
  <r>
    <x v="18"/>
    <x v="2"/>
    <x v="2"/>
    <x v="167"/>
    <x v="0"/>
    <x v="2"/>
    <n v="1"/>
    <s v=""/>
  </r>
  <r>
    <x v="18"/>
    <x v="2"/>
    <x v="2"/>
    <x v="168"/>
    <x v="1"/>
    <x v="4"/>
    <n v="0"/>
    <m/>
  </r>
  <r>
    <x v="18"/>
    <x v="2"/>
    <x v="2"/>
    <x v="169"/>
    <x v="1"/>
    <x v="4"/>
    <n v="0"/>
    <m/>
  </r>
  <r>
    <x v="18"/>
    <x v="2"/>
    <x v="2"/>
    <x v="170"/>
    <x v="1"/>
    <x v="4"/>
    <n v="0"/>
    <m/>
  </r>
  <r>
    <x v="18"/>
    <x v="2"/>
    <x v="2"/>
    <x v="171"/>
    <x v="1"/>
    <x v="4"/>
    <n v="0"/>
    <m/>
  </r>
  <r>
    <x v="18"/>
    <x v="2"/>
    <x v="2"/>
    <x v="172"/>
    <x v="1"/>
    <x v="4"/>
    <n v="0"/>
    <m/>
  </r>
  <r>
    <x v="18"/>
    <x v="2"/>
    <x v="2"/>
    <x v="173"/>
    <x v="1"/>
    <x v="4"/>
    <n v="0"/>
    <m/>
  </r>
  <r>
    <x v="18"/>
    <x v="2"/>
    <x v="2"/>
    <x v="174"/>
    <x v="1"/>
    <x v="4"/>
    <n v="0"/>
    <m/>
  </r>
  <r>
    <x v="18"/>
    <x v="2"/>
    <x v="2"/>
    <x v="175"/>
    <x v="1"/>
    <x v="4"/>
    <n v="0"/>
    <m/>
  </r>
  <r>
    <x v="18"/>
    <x v="2"/>
    <x v="2"/>
    <x v="176"/>
    <x v="1"/>
    <x v="4"/>
    <n v="0"/>
    <m/>
  </r>
  <r>
    <x v="18"/>
    <x v="2"/>
    <x v="2"/>
    <x v="177"/>
    <x v="1"/>
    <x v="4"/>
    <n v="0"/>
    <m/>
  </r>
  <r>
    <x v="18"/>
    <x v="2"/>
    <x v="2"/>
    <x v="178"/>
    <x v="1"/>
    <x v="4"/>
    <n v="0"/>
    <m/>
  </r>
  <r>
    <x v="18"/>
    <x v="2"/>
    <x v="2"/>
    <x v="179"/>
    <x v="1"/>
    <x v="4"/>
    <n v="0"/>
    <m/>
  </r>
  <r>
    <x v="19"/>
    <x v="0"/>
    <x v="0"/>
    <x v="0"/>
    <x v="4"/>
    <x v="3"/>
    <s v=""/>
    <s v="plaque absente"/>
  </r>
  <r>
    <x v="19"/>
    <x v="0"/>
    <x v="0"/>
    <x v="16"/>
    <x v="2"/>
    <x v="1"/>
    <n v="5"/>
    <s v=""/>
  </r>
  <r>
    <x v="19"/>
    <x v="0"/>
    <x v="0"/>
    <x v="15"/>
    <x v="4"/>
    <x v="3"/>
    <s v=""/>
    <s v="plaque absente"/>
  </r>
  <r>
    <x v="19"/>
    <x v="0"/>
    <x v="0"/>
    <x v="17"/>
    <x v="1"/>
    <x v="4"/>
    <n v="0"/>
    <m/>
  </r>
  <r>
    <x v="19"/>
    <x v="0"/>
    <x v="0"/>
    <x v="14"/>
    <x v="1"/>
    <x v="4"/>
    <n v="0"/>
    <m/>
  </r>
  <r>
    <x v="19"/>
    <x v="0"/>
    <x v="0"/>
    <x v="18"/>
    <x v="0"/>
    <x v="0"/>
    <n v="1"/>
    <m/>
  </r>
  <r>
    <x v="19"/>
    <x v="0"/>
    <x v="0"/>
    <x v="18"/>
    <x v="2"/>
    <x v="1"/>
    <n v="3"/>
    <m/>
  </r>
  <r>
    <x v="19"/>
    <x v="0"/>
    <x v="0"/>
    <x v="18"/>
    <x v="2"/>
    <x v="0"/>
    <n v="8"/>
    <m/>
  </r>
  <r>
    <x v="19"/>
    <x v="0"/>
    <x v="0"/>
    <x v="13"/>
    <x v="4"/>
    <x v="3"/>
    <s v=""/>
    <s v="plaque absente"/>
  </r>
  <r>
    <x v="19"/>
    <x v="0"/>
    <x v="0"/>
    <x v="19"/>
    <x v="4"/>
    <x v="3"/>
    <s v=""/>
    <s v="plaque absente"/>
  </r>
  <r>
    <x v="19"/>
    <x v="0"/>
    <x v="0"/>
    <x v="20"/>
    <x v="4"/>
    <x v="3"/>
    <s v=""/>
    <s v="plaque absente"/>
  </r>
  <r>
    <x v="19"/>
    <x v="0"/>
    <x v="0"/>
    <x v="12"/>
    <x v="2"/>
    <x v="2"/>
    <n v="1"/>
    <s v=""/>
  </r>
  <r>
    <x v="19"/>
    <x v="0"/>
    <x v="0"/>
    <x v="21"/>
    <x v="4"/>
    <x v="3"/>
    <s v=""/>
    <s v="plaque absente"/>
  </r>
  <r>
    <x v="19"/>
    <x v="0"/>
    <x v="0"/>
    <x v="22"/>
    <x v="4"/>
    <x v="3"/>
    <s v=""/>
    <s v="plaque absente"/>
  </r>
  <r>
    <x v="19"/>
    <x v="0"/>
    <x v="0"/>
    <x v="23"/>
    <x v="4"/>
    <x v="3"/>
    <s v=""/>
    <s v="plaque absente"/>
  </r>
  <r>
    <x v="19"/>
    <x v="0"/>
    <x v="0"/>
    <x v="24"/>
    <x v="2"/>
    <x v="2"/>
    <n v="1"/>
    <s v=""/>
  </r>
  <r>
    <x v="19"/>
    <x v="0"/>
    <x v="0"/>
    <x v="25"/>
    <x v="0"/>
    <x v="0"/>
    <n v="1"/>
    <s v=""/>
  </r>
  <r>
    <x v="19"/>
    <x v="0"/>
    <x v="0"/>
    <x v="25"/>
    <x v="2"/>
    <x v="1"/>
    <n v="2"/>
    <s v=""/>
  </r>
  <r>
    <x v="19"/>
    <x v="0"/>
    <x v="0"/>
    <x v="25"/>
    <x v="2"/>
    <x v="0"/>
    <n v="2"/>
    <s v=""/>
  </r>
  <r>
    <x v="19"/>
    <x v="0"/>
    <x v="0"/>
    <x v="25"/>
    <x v="5"/>
    <x v="1"/>
    <n v="1"/>
    <s v=""/>
  </r>
  <r>
    <x v="19"/>
    <x v="0"/>
    <x v="0"/>
    <x v="25"/>
    <x v="5"/>
    <x v="2"/>
    <n v="1"/>
    <s v=""/>
  </r>
  <r>
    <x v="19"/>
    <x v="0"/>
    <x v="0"/>
    <x v="26"/>
    <x v="4"/>
    <x v="3"/>
    <s v=""/>
    <s v="plaque absente"/>
  </r>
  <r>
    <x v="19"/>
    <x v="0"/>
    <x v="0"/>
    <x v="27"/>
    <x v="4"/>
    <x v="3"/>
    <s v=""/>
    <s v="plaque absente"/>
  </r>
  <r>
    <x v="19"/>
    <x v="0"/>
    <x v="0"/>
    <x v="28"/>
    <x v="2"/>
    <x v="1"/>
    <n v="1"/>
    <s v=""/>
  </r>
  <r>
    <x v="19"/>
    <x v="0"/>
    <x v="0"/>
    <x v="28"/>
    <x v="2"/>
    <x v="0"/>
    <n v="2"/>
    <s v=""/>
  </r>
  <r>
    <x v="19"/>
    <x v="0"/>
    <x v="0"/>
    <x v="28"/>
    <x v="5"/>
    <x v="1"/>
    <n v="1"/>
    <s v=""/>
  </r>
  <r>
    <x v="19"/>
    <x v="0"/>
    <x v="0"/>
    <x v="28"/>
    <x v="5"/>
    <x v="0"/>
    <n v="1"/>
    <s v=""/>
  </r>
  <r>
    <x v="19"/>
    <x v="0"/>
    <x v="0"/>
    <x v="11"/>
    <x v="5"/>
    <x v="1"/>
    <n v="1"/>
    <m/>
  </r>
  <r>
    <x v="19"/>
    <x v="0"/>
    <x v="0"/>
    <x v="29"/>
    <x v="2"/>
    <x v="0"/>
    <n v="1"/>
    <s v=""/>
  </r>
  <r>
    <x v="19"/>
    <x v="0"/>
    <x v="1"/>
    <x v="30"/>
    <x v="4"/>
    <x v="3"/>
    <s v=""/>
    <s v="plaque absente"/>
  </r>
  <r>
    <x v="19"/>
    <x v="0"/>
    <x v="1"/>
    <x v="31"/>
    <x v="4"/>
    <x v="3"/>
    <s v=""/>
    <s v="plaque absente"/>
  </r>
  <r>
    <x v="19"/>
    <x v="0"/>
    <x v="1"/>
    <x v="32"/>
    <x v="3"/>
    <x v="1"/>
    <n v="1"/>
    <s v=""/>
  </r>
  <r>
    <x v="19"/>
    <x v="0"/>
    <x v="1"/>
    <x v="32"/>
    <x v="0"/>
    <x v="0"/>
    <n v="1"/>
    <s v=""/>
  </r>
  <r>
    <x v="19"/>
    <x v="0"/>
    <x v="1"/>
    <x v="32"/>
    <x v="2"/>
    <x v="1"/>
    <n v="5"/>
    <m/>
  </r>
  <r>
    <x v="19"/>
    <x v="0"/>
    <x v="1"/>
    <x v="32"/>
    <x v="5"/>
    <x v="1"/>
    <n v="1"/>
    <s v=""/>
  </r>
  <r>
    <x v="19"/>
    <x v="0"/>
    <x v="1"/>
    <x v="32"/>
    <x v="5"/>
    <x v="0"/>
    <n v="1"/>
    <s v=""/>
  </r>
  <r>
    <x v="19"/>
    <x v="0"/>
    <x v="1"/>
    <x v="33"/>
    <x v="4"/>
    <x v="3"/>
    <s v=""/>
    <s v="plaque absente"/>
  </r>
  <r>
    <x v="19"/>
    <x v="0"/>
    <x v="1"/>
    <x v="10"/>
    <x v="4"/>
    <x v="3"/>
    <s v=""/>
    <s v="plaque absente"/>
  </r>
  <r>
    <x v="19"/>
    <x v="0"/>
    <x v="1"/>
    <x v="34"/>
    <x v="1"/>
    <x v="4"/>
    <n v="0"/>
    <m/>
  </r>
  <r>
    <x v="19"/>
    <x v="0"/>
    <x v="1"/>
    <x v="35"/>
    <x v="1"/>
    <x v="4"/>
    <n v="0"/>
    <m/>
  </r>
  <r>
    <x v="19"/>
    <x v="0"/>
    <x v="1"/>
    <x v="36"/>
    <x v="2"/>
    <x v="1"/>
    <n v="2"/>
    <s v=""/>
  </r>
  <r>
    <x v="19"/>
    <x v="0"/>
    <x v="1"/>
    <x v="37"/>
    <x v="1"/>
    <x v="4"/>
    <n v="0"/>
    <m/>
  </r>
  <r>
    <x v="19"/>
    <x v="0"/>
    <x v="1"/>
    <x v="9"/>
    <x v="4"/>
    <x v="3"/>
    <s v=""/>
    <s v="plaque absente"/>
  </r>
  <r>
    <x v="19"/>
    <x v="0"/>
    <x v="1"/>
    <x v="38"/>
    <x v="4"/>
    <x v="3"/>
    <s v=""/>
    <s v="plaque absente"/>
  </r>
  <r>
    <x v="19"/>
    <x v="0"/>
    <x v="1"/>
    <x v="8"/>
    <x v="4"/>
    <x v="3"/>
    <s v=""/>
    <s v="plaque absente"/>
  </r>
  <r>
    <x v="19"/>
    <x v="0"/>
    <x v="1"/>
    <x v="39"/>
    <x v="2"/>
    <x v="0"/>
    <n v="1"/>
    <s v=""/>
  </r>
  <r>
    <x v="19"/>
    <x v="0"/>
    <x v="1"/>
    <x v="7"/>
    <x v="1"/>
    <x v="4"/>
    <n v="0"/>
    <m/>
  </r>
  <r>
    <x v="19"/>
    <x v="0"/>
    <x v="1"/>
    <x v="6"/>
    <x v="1"/>
    <x v="4"/>
    <n v="0"/>
    <m/>
  </r>
  <r>
    <x v="19"/>
    <x v="0"/>
    <x v="1"/>
    <x v="40"/>
    <x v="1"/>
    <x v="4"/>
    <n v="0"/>
    <m/>
  </r>
  <r>
    <x v="19"/>
    <x v="0"/>
    <x v="1"/>
    <x v="41"/>
    <x v="1"/>
    <x v="4"/>
    <n v="0"/>
    <m/>
  </r>
  <r>
    <x v="19"/>
    <x v="0"/>
    <x v="1"/>
    <x v="42"/>
    <x v="1"/>
    <x v="4"/>
    <n v="0"/>
    <m/>
  </r>
  <r>
    <x v="19"/>
    <x v="0"/>
    <x v="1"/>
    <x v="5"/>
    <x v="1"/>
    <x v="4"/>
    <n v="0"/>
    <m/>
  </r>
  <r>
    <x v="19"/>
    <x v="0"/>
    <x v="1"/>
    <x v="43"/>
    <x v="1"/>
    <x v="4"/>
    <n v="0"/>
    <m/>
  </r>
  <r>
    <x v="19"/>
    <x v="0"/>
    <x v="2"/>
    <x v="44"/>
    <x v="1"/>
    <x v="4"/>
    <n v="0"/>
    <m/>
  </r>
  <r>
    <x v="19"/>
    <x v="0"/>
    <x v="2"/>
    <x v="45"/>
    <x v="4"/>
    <x v="3"/>
    <s v=""/>
    <s v="plaque absente"/>
  </r>
  <r>
    <x v="19"/>
    <x v="0"/>
    <x v="2"/>
    <x v="46"/>
    <x v="2"/>
    <x v="1"/>
    <n v="2"/>
    <s v=""/>
  </r>
  <r>
    <x v="19"/>
    <x v="0"/>
    <x v="2"/>
    <x v="46"/>
    <x v="5"/>
    <x v="1"/>
    <n v="1"/>
    <s v=""/>
  </r>
  <r>
    <x v="19"/>
    <x v="0"/>
    <x v="2"/>
    <x v="46"/>
    <x v="5"/>
    <x v="0"/>
    <n v="1"/>
    <s v=""/>
  </r>
  <r>
    <x v="19"/>
    <x v="0"/>
    <x v="2"/>
    <x v="4"/>
    <x v="1"/>
    <x v="4"/>
    <n v="0"/>
    <m/>
  </r>
  <r>
    <x v="19"/>
    <x v="0"/>
    <x v="2"/>
    <x v="47"/>
    <x v="2"/>
    <x v="1"/>
    <n v="1"/>
    <s v=""/>
  </r>
  <r>
    <x v="19"/>
    <x v="0"/>
    <x v="2"/>
    <x v="47"/>
    <x v="2"/>
    <x v="0"/>
    <n v="2"/>
    <s v=""/>
  </r>
  <r>
    <x v="19"/>
    <x v="0"/>
    <x v="2"/>
    <x v="48"/>
    <x v="1"/>
    <x v="4"/>
    <n v="0"/>
    <m/>
  </r>
  <r>
    <x v="19"/>
    <x v="0"/>
    <x v="2"/>
    <x v="49"/>
    <x v="4"/>
    <x v="3"/>
    <s v=""/>
    <s v="plaque absente"/>
  </r>
  <r>
    <x v="19"/>
    <x v="0"/>
    <x v="2"/>
    <x v="50"/>
    <x v="2"/>
    <x v="0"/>
    <n v="2"/>
    <s v=""/>
  </r>
  <r>
    <x v="19"/>
    <x v="0"/>
    <x v="2"/>
    <x v="3"/>
    <x v="1"/>
    <x v="4"/>
    <n v="0"/>
    <m/>
  </r>
  <r>
    <x v="19"/>
    <x v="0"/>
    <x v="2"/>
    <x v="51"/>
    <x v="1"/>
    <x v="4"/>
    <n v="0"/>
    <m/>
  </r>
  <r>
    <x v="19"/>
    <x v="0"/>
    <x v="2"/>
    <x v="2"/>
    <x v="1"/>
    <x v="4"/>
    <n v="0"/>
    <m/>
  </r>
  <r>
    <x v="19"/>
    <x v="0"/>
    <x v="2"/>
    <x v="52"/>
    <x v="1"/>
    <x v="4"/>
    <n v="0"/>
    <m/>
  </r>
  <r>
    <x v="19"/>
    <x v="0"/>
    <x v="2"/>
    <x v="53"/>
    <x v="6"/>
    <x v="4"/>
    <m/>
    <s v="plaque absente"/>
  </r>
  <r>
    <x v="19"/>
    <x v="0"/>
    <x v="2"/>
    <x v="54"/>
    <x v="4"/>
    <x v="3"/>
    <s v=""/>
    <s v="plaque absente"/>
  </r>
  <r>
    <x v="19"/>
    <x v="0"/>
    <x v="2"/>
    <x v="1"/>
    <x v="4"/>
    <x v="3"/>
    <s v=""/>
    <s v="plaque absente"/>
  </r>
  <r>
    <x v="19"/>
    <x v="0"/>
    <x v="2"/>
    <x v="55"/>
    <x v="2"/>
    <x v="0"/>
    <n v="1"/>
    <m/>
  </r>
  <r>
    <x v="19"/>
    <x v="0"/>
    <x v="2"/>
    <x v="56"/>
    <x v="1"/>
    <x v="4"/>
    <n v="0"/>
    <m/>
  </r>
  <r>
    <x v="19"/>
    <x v="0"/>
    <x v="2"/>
    <x v="57"/>
    <x v="4"/>
    <x v="3"/>
    <s v=""/>
    <s v="plaque absente"/>
  </r>
  <r>
    <x v="19"/>
    <x v="0"/>
    <x v="2"/>
    <x v="58"/>
    <x v="4"/>
    <x v="3"/>
    <s v=""/>
    <s v="plaque absente"/>
  </r>
  <r>
    <x v="19"/>
    <x v="0"/>
    <x v="2"/>
    <x v="59"/>
    <x v="1"/>
    <x v="4"/>
    <n v="0"/>
    <m/>
  </r>
  <r>
    <x v="19"/>
    <x v="1"/>
    <x v="0"/>
    <x v="60"/>
    <x v="1"/>
    <x v="4"/>
    <n v="0"/>
    <m/>
  </r>
  <r>
    <x v="19"/>
    <x v="1"/>
    <x v="0"/>
    <x v="61"/>
    <x v="4"/>
    <x v="3"/>
    <s v=""/>
    <s v="plaque absente"/>
  </r>
  <r>
    <x v="19"/>
    <x v="1"/>
    <x v="0"/>
    <x v="62"/>
    <x v="2"/>
    <x v="1"/>
    <n v="1"/>
    <m/>
  </r>
  <r>
    <x v="19"/>
    <x v="1"/>
    <x v="0"/>
    <x v="63"/>
    <x v="1"/>
    <x v="1"/>
    <n v="2"/>
    <s v=""/>
  </r>
  <r>
    <x v="19"/>
    <x v="1"/>
    <x v="0"/>
    <x v="63"/>
    <x v="2"/>
    <x v="1"/>
    <n v="1"/>
    <s v=""/>
  </r>
  <r>
    <x v="19"/>
    <x v="1"/>
    <x v="0"/>
    <x v="63"/>
    <x v="2"/>
    <x v="0"/>
    <n v="2"/>
    <s v=""/>
  </r>
  <r>
    <x v="19"/>
    <x v="1"/>
    <x v="0"/>
    <x v="64"/>
    <x v="4"/>
    <x v="3"/>
    <s v=""/>
    <s v="plaque absente"/>
  </r>
  <r>
    <x v="19"/>
    <x v="1"/>
    <x v="0"/>
    <x v="65"/>
    <x v="2"/>
    <x v="2"/>
    <n v="2"/>
    <m/>
  </r>
  <r>
    <x v="19"/>
    <x v="1"/>
    <x v="0"/>
    <x v="66"/>
    <x v="2"/>
    <x v="1"/>
    <n v="1"/>
    <s v=""/>
  </r>
  <r>
    <x v="19"/>
    <x v="1"/>
    <x v="0"/>
    <x v="66"/>
    <x v="2"/>
    <x v="2"/>
    <n v="1"/>
    <s v=""/>
  </r>
  <r>
    <x v="19"/>
    <x v="1"/>
    <x v="0"/>
    <x v="67"/>
    <x v="4"/>
    <x v="3"/>
    <s v=""/>
    <s v="plaque absente"/>
  </r>
  <r>
    <x v="19"/>
    <x v="1"/>
    <x v="0"/>
    <x v="68"/>
    <x v="2"/>
    <x v="1"/>
    <n v="1"/>
    <s v=""/>
  </r>
  <r>
    <x v="19"/>
    <x v="1"/>
    <x v="0"/>
    <x v="69"/>
    <x v="2"/>
    <x v="0"/>
    <n v="1"/>
    <s v=""/>
  </r>
  <r>
    <x v="19"/>
    <x v="1"/>
    <x v="0"/>
    <x v="70"/>
    <x v="2"/>
    <x v="0"/>
    <n v="1"/>
    <s v=""/>
  </r>
  <r>
    <x v="19"/>
    <x v="1"/>
    <x v="0"/>
    <x v="70"/>
    <x v="5"/>
    <x v="1"/>
    <n v="1"/>
    <s v=""/>
  </r>
  <r>
    <x v="19"/>
    <x v="1"/>
    <x v="0"/>
    <x v="71"/>
    <x v="1"/>
    <x v="4"/>
    <n v="0"/>
    <m/>
  </r>
  <r>
    <x v="19"/>
    <x v="1"/>
    <x v="0"/>
    <x v="72"/>
    <x v="1"/>
    <x v="4"/>
    <n v="0"/>
    <m/>
  </r>
  <r>
    <x v="19"/>
    <x v="1"/>
    <x v="0"/>
    <x v="73"/>
    <x v="2"/>
    <x v="1"/>
    <n v="1"/>
    <s v=""/>
  </r>
  <r>
    <x v="19"/>
    <x v="1"/>
    <x v="0"/>
    <x v="73"/>
    <x v="5"/>
    <x v="1"/>
    <n v="1"/>
    <s v=""/>
  </r>
  <r>
    <x v="19"/>
    <x v="1"/>
    <x v="0"/>
    <x v="74"/>
    <x v="4"/>
    <x v="3"/>
    <s v=""/>
    <s v="plaque absente"/>
  </r>
  <r>
    <x v="19"/>
    <x v="1"/>
    <x v="0"/>
    <x v="75"/>
    <x v="2"/>
    <x v="0"/>
    <n v="1"/>
    <s v=""/>
  </r>
  <r>
    <x v="19"/>
    <x v="1"/>
    <x v="0"/>
    <x v="76"/>
    <x v="1"/>
    <x v="4"/>
    <n v="0"/>
    <m/>
  </r>
  <r>
    <x v="19"/>
    <x v="1"/>
    <x v="0"/>
    <x v="77"/>
    <x v="2"/>
    <x v="0"/>
    <n v="3"/>
    <s v=""/>
  </r>
  <r>
    <x v="19"/>
    <x v="1"/>
    <x v="0"/>
    <x v="78"/>
    <x v="2"/>
    <x v="2"/>
    <n v="1"/>
    <s v=""/>
  </r>
  <r>
    <x v="19"/>
    <x v="1"/>
    <x v="0"/>
    <x v="79"/>
    <x v="2"/>
    <x v="0"/>
    <n v="1"/>
    <s v=""/>
  </r>
  <r>
    <x v="19"/>
    <x v="1"/>
    <x v="0"/>
    <x v="79"/>
    <x v="2"/>
    <x v="2"/>
    <n v="2"/>
    <s v=""/>
  </r>
  <r>
    <x v="19"/>
    <x v="1"/>
    <x v="1"/>
    <x v="80"/>
    <x v="1"/>
    <x v="4"/>
    <n v="0"/>
    <m/>
  </r>
  <r>
    <x v="19"/>
    <x v="1"/>
    <x v="1"/>
    <x v="81"/>
    <x v="1"/>
    <x v="4"/>
    <n v="0"/>
    <m/>
  </r>
  <r>
    <x v="19"/>
    <x v="1"/>
    <x v="1"/>
    <x v="82"/>
    <x v="1"/>
    <x v="4"/>
    <n v="0"/>
    <m/>
  </r>
  <r>
    <x v="19"/>
    <x v="1"/>
    <x v="1"/>
    <x v="83"/>
    <x v="5"/>
    <x v="2"/>
    <n v="1"/>
    <s v=""/>
  </r>
  <r>
    <x v="19"/>
    <x v="1"/>
    <x v="1"/>
    <x v="84"/>
    <x v="4"/>
    <x v="3"/>
    <s v=""/>
    <s v="plaque absente"/>
  </r>
  <r>
    <x v="19"/>
    <x v="1"/>
    <x v="1"/>
    <x v="85"/>
    <x v="1"/>
    <x v="4"/>
    <n v="0"/>
    <m/>
  </r>
  <r>
    <x v="19"/>
    <x v="1"/>
    <x v="1"/>
    <x v="86"/>
    <x v="2"/>
    <x v="0"/>
    <n v="1"/>
    <s v=""/>
  </r>
  <r>
    <x v="19"/>
    <x v="1"/>
    <x v="1"/>
    <x v="87"/>
    <x v="2"/>
    <x v="0"/>
    <n v="1"/>
    <s v=""/>
  </r>
  <r>
    <x v="19"/>
    <x v="1"/>
    <x v="1"/>
    <x v="88"/>
    <x v="4"/>
    <x v="3"/>
    <s v=""/>
    <s v="plaque absente"/>
  </r>
  <r>
    <x v="19"/>
    <x v="1"/>
    <x v="1"/>
    <x v="89"/>
    <x v="1"/>
    <x v="4"/>
    <n v="0"/>
    <m/>
  </r>
  <r>
    <x v="19"/>
    <x v="1"/>
    <x v="1"/>
    <x v="90"/>
    <x v="1"/>
    <x v="4"/>
    <n v="0"/>
    <m/>
  </r>
  <r>
    <x v="19"/>
    <x v="1"/>
    <x v="1"/>
    <x v="91"/>
    <x v="2"/>
    <x v="2"/>
    <n v="1"/>
    <s v=""/>
  </r>
  <r>
    <x v="19"/>
    <x v="1"/>
    <x v="1"/>
    <x v="92"/>
    <x v="4"/>
    <x v="3"/>
    <s v=""/>
    <s v="plaque absente"/>
  </r>
  <r>
    <x v="19"/>
    <x v="1"/>
    <x v="1"/>
    <x v="93"/>
    <x v="2"/>
    <x v="0"/>
    <n v="1"/>
    <s v=""/>
  </r>
  <r>
    <x v="19"/>
    <x v="1"/>
    <x v="1"/>
    <x v="94"/>
    <x v="2"/>
    <x v="2"/>
    <n v="1"/>
    <s v=""/>
  </r>
  <r>
    <x v="19"/>
    <x v="1"/>
    <x v="1"/>
    <x v="95"/>
    <x v="1"/>
    <x v="4"/>
    <n v="0"/>
    <m/>
  </r>
  <r>
    <x v="19"/>
    <x v="1"/>
    <x v="1"/>
    <x v="96"/>
    <x v="1"/>
    <x v="4"/>
    <n v="0"/>
    <m/>
  </r>
  <r>
    <x v="19"/>
    <x v="1"/>
    <x v="1"/>
    <x v="97"/>
    <x v="4"/>
    <x v="3"/>
    <s v=""/>
    <s v="plaque absente"/>
  </r>
  <r>
    <x v="19"/>
    <x v="1"/>
    <x v="1"/>
    <x v="98"/>
    <x v="2"/>
    <x v="2"/>
    <n v="1"/>
    <s v=""/>
  </r>
  <r>
    <x v="19"/>
    <x v="1"/>
    <x v="1"/>
    <x v="99"/>
    <x v="4"/>
    <x v="3"/>
    <s v=""/>
    <s v="plaque absente"/>
  </r>
  <r>
    <x v="19"/>
    <x v="1"/>
    <x v="2"/>
    <x v="100"/>
    <x v="2"/>
    <x v="0"/>
    <n v="1"/>
    <s v=""/>
  </r>
  <r>
    <x v="19"/>
    <x v="1"/>
    <x v="2"/>
    <x v="101"/>
    <x v="1"/>
    <x v="4"/>
    <n v="0"/>
    <m/>
  </r>
  <r>
    <x v="19"/>
    <x v="1"/>
    <x v="2"/>
    <x v="102"/>
    <x v="2"/>
    <x v="0"/>
    <n v="1"/>
    <m/>
  </r>
  <r>
    <x v="19"/>
    <x v="1"/>
    <x v="2"/>
    <x v="103"/>
    <x v="1"/>
    <x v="4"/>
    <n v="0"/>
    <m/>
  </r>
  <r>
    <x v="19"/>
    <x v="1"/>
    <x v="2"/>
    <x v="104"/>
    <x v="1"/>
    <x v="4"/>
    <n v="0"/>
    <m/>
  </r>
  <r>
    <x v="19"/>
    <x v="1"/>
    <x v="2"/>
    <x v="105"/>
    <x v="1"/>
    <x v="4"/>
    <n v="0"/>
    <m/>
  </r>
  <r>
    <x v="19"/>
    <x v="1"/>
    <x v="2"/>
    <x v="106"/>
    <x v="1"/>
    <x v="4"/>
    <n v="0"/>
    <m/>
  </r>
  <r>
    <x v="19"/>
    <x v="1"/>
    <x v="2"/>
    <x v="107"/>
    <x v="1"/>
    <x v="4"/>
    <n v="0"/>
    <m/>
  </r>
  <r>
    <x v="19"/>
    <x v="1"/>
    <x v="2"/>
    <x v="108"/>
    <x v="4"/>
    <x v="3"/>
    <s v=""/>
    <s v="plaque absente"/>
  </r>
  <r>
    <x v="19"/>
    <x v="1"/>
    <x v="2"/>
    <x v="109"/>
    <x v="1"/>
    <x v="4"/>
    <n v="0"/>
    <m/>
  </r>
  <r>
    <x v="19"/>
    <x v="1"/>
    <x v="2"/>
    <x v="110"/>
    <x v="1"/>
    <x v="4"/>
    <n v="0"/>
    <m/>
  </r>
  <r>
    <x v="19"/>
    <x v="1"/>
    <x v="2"/>
    <x v="111"/>
    <x v="2"/>
    <x v="1"/>
    <n v="1"/>
    <s v=""/>
  </r>
  <r>
    <x v="19"/>
    <x v="1"/>
    <x v="2"/>
    <x v="112"/>
    <x v="1"/>
    <x v="4"/>
    <n v="0"/>
    <m/>
  </r>
  <r>
    <x v="19"/>
    <x v="1"/>
    <x v="2"/>
    <x v="113"/>
    <x v="2"/>
    <x v="0"/>
    <n v="1"/>
    <s v=""/>
  </r>
  <r>
    <x v="19"/>
    <x v="1"/>
    <x v="2"/>
    <x v="114"/>
    <x v="4"/>
    <x v="3"/>
    <s v=""/>
    <s v="plaque absente"/>
  </r>
  <r>
    <x v="19"/>
    <x v="1"/>
    <x v="2"/>
    <x v="115"/>
    <x v="2"/>
    <x v="0"/>
    <n v="1"/>
    <s v=""/>
  </r>
  <r>
    <x v="19"/>
    <x v="1"/>
    <x v="2"/>
    <x v="115"/>
    <x v="2"/>
    <x v="2"/>
    <n v="1"/>
    <s v=""/>
  </r>
  <r>
    <x v="19"/>
    <x v="1"/>
    <x v="2"/>
    <x v="116"/>
    <x v="1"/>
    <x v="4"/>
    <n v="0"/>
    <m/>
  </r>
  <r>
    <x v="19"/>
    <x v="1"/>
    <x v="2"/>
    <x v="117"/>
    <x v="1"/>
    <x v="4"/>
    <n v="0"/>
    <m/>
  </r>
  <r>
    <x v="19"/>
    <x v="1"/>
    <x v="2"/>
    <x v="118"/>
    <x v="4"/>
    <x v="3"/>
    <s v=""/>
    <s v="plaque absente"/>
  </r>
  <r>
    <x v="19"/>
    <x v="1"/>
    <x v="2"/>
    <x v="119"/>
    <x v="2"/>
    <x v="1"/>
    <n v="4"/>
    <s v=""/>
  </r>
  <r>
    <x v="19"/>
    <x v="1"/>
    <x v="2"/>
    <x v="119"/>
    <x v="2"/>
    <x v="0"/>
    <n v="1"/>
    <s v=""/>
  </r>
  <r>
    <x v="19"/>
    <x v="1"/>
    <x v="2"/>
    <x v="119"/>
    <x v="5"/>
    <x v="2"/>
    <n v="1"/>
    <s v=""/>
  </r>
  <r>
    <x v="19"/>
    <x v="2"/>
    <x v="0"/>
    <x v="120"/>
    <x v="1"/>
    <x v="4"/>
    <n v="0"/>
    <m/>
  </r>
  <r>
    <x v="19"/>
    <x v="2"/>
    <x v="0"/>
    <x v="121"/>
    <x v="2"/>
    <x v="1"/>
    <n v="2"/>
    <s v=""/>
  </r>
  <r>
    <x v="19"/>
    <x v="2"/>
    <x v="0"/>
    <x v="122"/>
    <x v="1"/>
    <x v="4"/>
    <n v="0"/>
    <m/>
  </r>
  <r>
    <x v="19"/>
    <x v="2"/>
    <x v="0"/>
    <x v="123"/>
    <x v="3"/>
    <x v="1"/>
    <n v="1"/>
    <s v=""/>
  </r>
  <r>
    <x v="19"/>
    <x v="2"/>
    <x v="0"/>
    <x v="123"/>
    <x v="2"/>
    <x v="1"/>
    <n v="1"/>
    <s v=""/>
  </r>
  <r>
    <x v="19"/>
    <x v="2"/>
    <x v="0"/>
    <x v="124"/>
    <x v="1"/>
    <x v="4"/>
    <n v="0"/>
    <m/>
  </r>
  <r>
    <x v="19"/>
    <x v="2"/>
    <x v="0"/>
    <x v="125"/>
    <x v="1"/>
    <x v="4"/>
    <n v="0"/>
    <m/>
  </r>
  <r>
    <x v="19"/>
    <x v="2"/>
    <x v="0"/>
    <x v="126"/>
    <x v="1"/>
    <x v="4"/>
    <n v="0"/>
    <m/>
  </r>
  <r>
    <x v="19"/>
    <x v="2"/>
    <x v="0"/>
    <x v="127"/>
    <x v="1"/>
    <x v="4"/>
    <n v="0"/>
    <m/>
  </r>
  <r>
    <x v="19"/>
    <x v="2"/>
    <x v="0"/>
    <x v="128"/>
    <x v="1"/>
    <x v="4"/>
    <n v="0"/>
    <m/>
  </r>
  <r>
    <x v="19"/>
    <x v="2"/>
    <x v="0"/>
    <x v="129"/>
    <x v="1"/>
    <x v="4"/>
    <n v="0"/>
    <m/>
  </r>
  <r>
    <x v="19"/>
    <x v="2"/>
    <x v="0"/>
    <x v="130"/>
    <x v="2"/>
    <x v="0"/>
    <n v="1"/>
    <s v=""/>
  </r>
  <r>
    <x v="19"/>
    <x v="2"/>
    <x v="0"/>
    <x v="131"/>
    <x v="2"/>
    <x v="2"/>
    <n v="1"/>
    <s v=""/>
  </r>
  <r>
    <x v="19"/>
    <x v="2"/>
    <x v="0"/>
    <x v="132"/>
    <x v="2"/>
    <x v="2"/>
    <n v="2"/>
    <s v=""/>
  </r>
  <r>
    <x v="19"/>
    <x v="2"/>
    <x v="0"/>
    <x v="133"/>
    <x v="1"/>
    <x v="4"/>
    <n v="0"/>
    <m/>
  </r>
  <r>
    <x v="19"/>
    <x v="2"/>
    <x v="0"/>
    <x v="134"/>
    <x v="2"/>
    <x v="0"/>
    <n v="1"/>
    <s v=""/>
  </r>
  <r>
    <x v="19"/>
    <x v="2"/>
    <x v="0"/>
    <x v="135"/>
    <x v="1"/>
    <x v="4"/>
    <n v="0"/>
    <s v="plaque absente"/>
  </r>
  <r>
    <x v="19"/>
    <x v="2"/>
    <x v="0"/>
    <x v="136"/>
    <x v="1"/>
    <x v="4"/>
    <n v="0"/>
    <m/>
  </r>
  <r>
    <x v="19"/>
    <x v="2"/>
    <x v="0"/>
    <x v="137"/>
    <x v="1"/>
    <x v="4"/>
    <n v="0"/>
    <m/>
  </r>
  <r>
    <x v="19"/>
    <x v="2"/>
    <x v="0"/>
    <x v="138"/>
    <x v="1"/>
    <x v="4"/>
    <n v="0"/>
    <m/>
  </r>
  <r>
    <x v="19"/>
    <x v="2"/>
    <x v="0"/>
    <x v="139"/>
    <x v="1"/>
    <x v="4"/>
    <n v="0"/>
    <m/>
  </r>
  <r>
    <x v="19"/>
    <x v="2"/>
    <x v="1"/>
    <x v="140"/>
    <x v="1"/>
    <x v="4"/>
    <n v="0"/>
    <m/>
  </r>
  <r>
    <x v="19"/>
    <x v="2"/>
    <x v="1"/>
    <x v="141"/>
    <x v="1"/>
    <x v="4"/>
    <n v="0"/>
    <m/>
  </r>
  <r>
    <x v="19"/>
    <x v="2"/>
    <x v="1"/>
    <x v="142"/>
    <x v="1"/>
    <x v="4"/>
    <n v="0"/>
    <m/>
  </r>
  <r>
    <x v="19"/>
    <x v="2"/>
    <x v="1"/>
    <x v="143"/>
    <x v="2"/>
    <x v="0"/>
    <n v="1"/>
    <s v=""/>
  </r>
  <r>
    <x v="19"/>
    <x v="2"/>
    <x v="1"/>
    <x v="144"/>
    <x v="2"/>
    <x v="2"/>
    <n v="1"/>
    <s v=""/>
  </r>
  <r>
    <x v="19"/>
    <x v="2"/>
    <x v="1"/>
    <x v="145"/>
    <x v="1"/>
    <x v="4"/>
    <n v="0"/>
    <m/>
  </r>
  <r>
    <x v="19"/>
    <x v="2"/>
    <x v="1"/>
    <x v="146"/>
    <x v="1"/>
    <x v="4"/>
    <n v="0"/>
    <m/>
  </r>
  <r>
    <x v="19"/>
    <x v="2"/>
    <x v="1"/>
    <x v="147"/>
    <x v="1"/>
    <x v="4"/>
    <n v="0"/>
    <m/>
  </r>
  <r>
    <x v="19"/>
    <x v="2"/>
    <x v="1"/>
    <x v="148"/>
    <x v="2"/>
    <x v="2"/>
    <n v="1"/>
    <s v=""/>
  </r>
  <r>
    <x v="19"/>
    <x v="2"/>
    <x v="1"/>
    <x v="149"/>
    <x v="2"/>
    <x v="1"/>
    <n v="1"/>
    <s v=""/>
  </r>
  <r>
    <x v="19"/>
    <x v="2"/>
    <x v="1"/>
    <x v="150"/>
    <x v="1"/>
    <x v="4"/>
    <n v="0"/>
    <m/>
  </r>
  <r>
    <x v="19"/>
    <x v="2"/>
    <x v="1"/>
    <x v="151"/>
    <x v="4"/>
    <x v="3"/>
    <s v=""/>
    <s v="plaque absente"/>
  </r>
  <r>
    <x v="19"/>
    <x v="2"/>
    <x v="1"/>
    <x v="152"/>
    <x v="4"/>
    <x v="3"/>
    <s v=""/>
    <s v="plaque absente"/>
  </r>
  <r>
    <x v="19"/>
    <x v="2"/>
    <x v="1"/>
    <x v="153"/>
    <x v="1"/>
    <x v="4"/>
    <n v="0"/>
    <m/>
  </r>
  <r>
    <x v="19"/>
    <x v="2"/>
    <x v="1"/>
    <x v="154"/>
    <x v="1"/>
    <x v="4"/>
    <n v="0"/>
    <m/>
  </r>
  <r>
    <x v="19"/>
    <x v="2"/>
    <x v="1"/>
    <x v="155"/>
    <x v="1"/>
    <x v="4"/>
    <n v="0"/>
    <m/>
  </r>
  <r>
    <x v="19"/>
    <x v="2"/>
    <x v="1"/>
    <x v="156"/>
    <x v="4"/>
    <x v="3"/>
    <s v=""/>
    <s v="plaque absente"/>
  </r>
  <r>
    <x v="19"/>
    <x v="2"/>
    <x v="1"/>
    <x v="157"/>
    <x v="1"/>
    <x v="4"/>
    <n v="0"/>
    <m/>
  </r>
  <r>
    <x v="19"/>
    <x v="2"/>
    <x v="1"/>
    <x v="158"/>
    <x v="1"/>
    <x v="4"/>
    <n v="0"/>
    <m/>
  </r>
  <r>
    <x v="19"/>
    <x v="2"/>
    <x v="1"/>
    <x v="159"/>
    <x v="1"/>
    <x v="4"/>
    <n v="0"/>
    <m/>
  </r>
  <r>
    <x v="19"/>
    <x v="2"/>
    <x v="2"/>
    <x v="160"/>
    <x v="2"/>
    <x v="0"/>
    <n v="1"/>
    <s v=""/>
  </r>
  <r>
    <x v="19"/>
    <x v="2"/>
    <x v="2"/>
    <x v="161"/>
    <x v="1"/>
    <x v="4"/>
    <n v="0"/>
    <m/>
  </r>
  <r>
    <x v="19"/>
    <x v="2"/>
    <x v="2"/>
    <x v="162"/>
    <x v="1"/>
    <x v="4"/>
    <n v="0"/>
    <m/>
  </r>
  <r>
    <x v="19"/>
    <x v="2"/>
    <x v="2"/>
    <x v="163"/>
    <x v="1"/>
    <x v="4"/>
    <n v="0"/>
    <m/>
  </r>
  <r>
    <x v="19"/>
    <x v="2"/>
    <x v="2"/>
    <x v="164"/>
    <x v="2"/>
    <x v="1"/>
    <n v="1"/>
    <s v=""/>
  </r>
  <r>
    <x v="19"/>
    <x v="2"/>
    <x v="2"/>
    <x v="165"/>
    <x v="2"/>
    <x v="1"/>
    <n v="1"/>
    <s v=""/>
  </r>
  <r>
    <x v="19"/>
    <x v="2"/>
    <x v="2"/>
    <x v="166"/>
    <x v="2"/>
    <x v="1"/>
    <n v="1"/>
    <s v=""/>
  </r>
  <r>
    <x v="19"/>
    <x v="2"/>
    <x v="2"/>
    <x v="167"/>
    <x v="4"/>
    <x v="3"/>
    <s v=""/>
    <s v="plaque absente"/>
  </r>
  <r>
    <x v="19"/>
    <x v="2"/>
    <x v="2"/>
    <x v="168"/>
    <x v="1"/>
    <x v="4"/>
    <n v="0"/>
    <m/>
  </r>
  <r>
    <x v="19"/>
    <x v="2"/>
    <x v="2"/>
    <x v="169"/>
    <x v="2"/>
    <x v="2"/>
    <n v="1"/>
    <s v=""/>
  </r>
  <r>
    <x v="19"/>
    <x v="2"/>
    <x v="2"/>
    <x v="170"/>
    <x v="1"/>
    <x v="4"/>
    <n v="0"/>
    <m/>
  </r>
  <r>
    <x v="19"/>
    <x v="2"/>
    <x v="2"/>
    <x v="171"/>
    <x v="1"/>
    <x v="4"/>
    <n v="0"/>
    <m/>
  </r>
  <r>
    <x v="19"/>
    <x v="2"/>
    <x v="2"/>
    <x v="172"/>
    <x v="2"/>
    <x v="1"/>
    <n v="1"/>
    <s v=""/>
  </r>
  <r>
    <x v="19"/>
    <x v="2"/>
    <x v="2"/>
    <x v="173"/>
    <x v="1"/>
    <x v="4"/>
    <n v="0"/>
    <m/>
  </r>
  <r>
    <x v="19"/>
    <x v="2"/>
    <x v="2"/>
    <x v="174"/>
    <x v="2"/>
    <x v="0"/>
    <n v="1"/>
    <s v=""/>
  </r>
  <r>
    <x v="19"/>
    <x v="2"/>
    <x v="2"/>
    <x v="175"/>
    <x v="4"/>
    <x v="3"/>
    <s v=""/>
    <s v="plaque absente"/>
  </r>
  <r>
    <x v="19"/>
    <x v="2"/>
    <x v="2"/>
    <x v="176"/>
    <x v="4"/>
    <x v="3"/>
    <s v=""/>
    <s v="plaque absente"/>
  </r>
  <r>
    <x v="19"/>
    <x v="2"/>
    <x v="2"/>
    <x v="177"/>
    <x v="2"/>
    <x v="2"/>
    <n v="1"/>
    <s v=""/>
  </r>
  <r>
    <x v="19"/>
    <x v="2"/>
    <x v="2"/>
    <x v="178"/>
    <x v="1"/>
    <x v="4"/>
    <n v="0"/>
    <m/>
  </r>
  <r>
    <x v="19"/>
    <x v="2"/>
    <x v="2"/>
    <x v="179"/>
    <x v="1"/>
    <x v="4"/>
    <n v="0"/>
    <m/>
  </r>
  <r>
    <x v="20"/>
    <x v="0"/>
    <x v="0"/>
    <x v="0"/>
    <x v="1"/>
    <x v="4"/>
    <n v="0"/>
    <m/>
  </r>
  <r>
    <x v="20"/>
    <x v="0"/>
    <x v="0"/>
    <x v="16"/>
    <x v="1"/>
    <x v="4"/>
    <n v="0"/>
    <m/>
  </r>
  <r>
    <x v="20"/>
    <x v="0"/>
    <x v="0"/>
    <x v="15"/>
    <x v="2"/>
    <x v="0"/>
    <n v="1"/>
    <s v=""/>
  </r>
  <r>
    <x v="20"/>
    <x v="0"/>
    <x v="0"/>
    <x v="17"/>
    <x v="1"/>
    <x v="4"/>
    <n v="0"/>
    <m/>
  </r>
  <r>
    <x v="20"/>
    <x v="0"/>
    <x v="0"/>
    <x v="14"/>
    <x v="2"/>
    <x v="0"/>
    <n v="1"/>
    <s v=""/>
  </r>
  <r>
    <x v="20"/>
    <x v="0"/>
    <x v="0"/>
    <x v="18"/>
    <x v="1"/>
    <x v="4"/>
    <n v="0"/>
    <m/>
  </r>
  <r>
    <x v="20"/>
    <x v="0"/>
    <x v="0"/>
    <x v="13"/>
    <x v="1"/>
    <x v="4"/>
    <n v="0"/>
    <m/>
  </r>
  <r>
    <x v="20"/>
    <x v="0"/>
    <x v="0"/>
    <x v="19"/>
    <x v="1"/>
    <x v="4"/>
    <n v="0"/>
    <m/>
  </r>
  <r>
    <x v="20"/>
    <x v="0"/>
    <x v="0"/>
    <x v="20"/>
    <x v="2"/>
    <x v="0"/>
    <n v="1"/>
    <s v=""/>
  </r>
  <r>
    <x v="20"/>
    <x v="0"/>
    <x v="0"/>
    <x v="12"/>
    <x v="1"/>
    <x v="4"/>
    <n v="0"/>
    <m/>
  </r>
  <r>
    <x v="20"/>
    <x v="0"/>
    <x v="0"/>
    <x v="21"/>
    <x v="1"/>
    <x v="4"/>
    <n v="0"/>
    <m/>
  </r>
  <r>
    <x v="20"/>
    <x v="0"/>
    <x v="0"/>
    <x v="22"/>
    <x v="1"/>
    <x v="4"/>
    <n v="0"/>
    <m/>
  </r>
  <r>
    <x v="20"/>
    <x v="0"/>
    <x v="0"/>
    <x v="23"/>
    <x v="1"/>
    <x v="4"/>
    <n v="0"/>
    <m/>
  </r>
  <r>
    <x v="20"/>
    <x v="0"/>
    <x v="0"/>
    <x v="24"/>
    <x v="2"/>
    <x v="2"/>
    <n v="1"/>
    <s v=""/>
  </r>
  <r>
    <x v="20"/>
    <x v="0"/>
    <x v="0"/>
    <x v="25"/>
    <x v="1"/>
    <x v="4"/>
    <n v="0"/>
    <m/>
  </r>
  <r>
    <x v="20"/>
    <x v="0"/>
    <x v="0"/>
    <x v="26"/>
    <x v="1"/>
    <x v="4"/>
    <n v="0"/>
    <m/>
  </r>
  <r>
    <x v="20"/>
    <x v="0"/>
    <x v="0"/>
    <x v="27"/>
    <x v="2"/>
    <x v="2"/>
    <n v="1"/>
    <s v=""/>
  </r>
  <r>
    <x v="20"/>
    <x v="0"/>
    <x v="0"/>
    <x v="28"/>
    <x v="1"/>
    <x v="4"/>
    <n v="0"/>
    <m/>
  </r>
  <r>
    <x v="20"/>
    <x v="0"/>
    <x v="0"/>
    <x v="11"/>
    <x v="2"/>
    <x v="0"/>
    <n v="1"/>
    <s v=""/>
  </r>
  <r>
    <x v="20"/>
    <x v="0"/>
    <x v="0"/>
    <x v="29"/>
    <x v="1"/>
    <x v="4"/>
    <n v="0"/>
    <m/>
  </r>
  <r>
    <x v="20"/>
    <x v="0"/>
    <x v="1"/>
    <x v="30"/>
    <x v="1"/>
    <x v="4"/>
    <n v="0"/>
    <m/>
  </r>
  <r>
    <x v="20"/>
    <x v="0"/>
    <x v="1"/>
    <x v="31"/>
    <x v="1"/>
    <x v="4"/>
    <n v="0"/>
    <m/>
  </r>
  <r>
    <x v="20"/>
    <x v="0"/>
    <x v="1"/>
    <x v="32"/>
    <x v="1"/>
    <x v="4"/>
    <n v="0"/>
    <m/>
  </r>
  <r>
    <x v="20"/>
    <x v="0"/>
    <x v="1"/>
    <x v="33"/>
    <x v="1"/>
    <x v="4"/>
    <n v="0"/>
    <m/>
  </r>
  <r>
    <x v="20"/>
    <x v="0"/>
    <x v="1"/>
    <x v="10"/>
    <x v="4"/>
    <x v="3"/>
    <s v=""/>
    <s v="plaque absente"/>
  </r>
  <r>
    <x v="20"/>
    <x v="0"/>
    <x v="1"/>
    <x v="34"/>
    <x v="1"/>
    <x v="4"/>
    <n v="0"/>
    <m/>
  </r>
  <r>
    <x v="20"/>
    <x v="0"/>
    <x v="1"/>
    <x v="35"/>
    <x v="1"/>
    <x v="4"/>
    <n v="0"/>
    <m/>
  </r>
  <r>
    <x v="20"/>
    <x v="0"/>
    <x v="1"/>
    <x v="36"/>
    <x v="1"/>
    <x v="4"/>
    <n v="0"/>
    <m/>
  </r>
  <r>
    <x v="20"/>
    <x v="0"/>
    <x v="1"/>
    <x v="37"/>
    <x v="2"/>
    <x v="2"/>
    <n v="1"/>
    <s v=""/>
  </r>
  <r>
    <x v="20"/>
    <x v="0"/>
    <x v="1"/>
    <x v="9"/>
    <x v="1"/>
    <x v="4"/>
    <n v="0"/>
    <m/>
  </r>
  <r>
    <x v="20"/>
    <x v="0"/>
    <x v="1"/>
    <x v="38"/>
    <x v="1"/>
    <x v="4"/>
    <n v="0"/>
    <m/>
  </r>
  <r>
    <x v="20"/>
    <x v="0"/>
    <x v="1"/>
    <x v="8"/>
    <x v="1"/>
    <x v="4"/>
    <n v="0"/>
    <m/>
  </r>
  <r>
    <x v="20"/>
    <x v="0"/>
    <x v="1"/>
    <x v="39"/>
    <x v="1"/>
    <x v="4"/>
    <n v="0"/>
    <m/>
  </r>
  <r>
    <x v="20"/>
    <x v="0"/>
    <x v="1"/>
    <x v="7"/>
    <x v="1"/>
    <x v="4"/>
    <n v="0"/>
    <m/>
  </r>
  <r>
    <x v="20"/>
    <x v="0"/>
    <x v="1"/>
    <x v="6"/>
    <x v="1"/>
    <x v="4"/>
    <n v="0"/>
    <m/>
  </r>
  <r>
    <x v="20"/>
    <x v="0"/>
    <x v="1"/>
    <x v="40"/>
    <x v="1"/>
    <x v="4"/>
    <n v="0"/>
    <m/>
  </r>
  <r>
    <x v="20"/>
    <x v="0"/>
    <x v="1"/>
    <x v="41"/>
    <x v="1"/>
    <x v="4"/>
    <n v="0"/>
    <m/>
  </r>
  <r>
    <x v="20"/>
    <x v="0"/>
    <x v="1"/>
    <x v="42"/>
    <x v="1"/>
    <x v="4"/>
    <n v="0"/>
    <m/>
  </r>
  <r>
    <x v="20"/>
    <x v="0"/>
    <x v="1"/>
    <x v="5"/>
    <x v="1"/>
    <x v="4"/>
    <n v="0"/>
    <m/>
  </r>
  <r>
    <x v="20"/>
    <x v="0"/>
    <x v="1"/>
    <x v="43"/>
    <x v="1"/>
    <x v="4"/>
    <n v="0"/>
    <m/>
  </r>
  <r>
    <x v="20"/>
    <x v="0"/>
    <x v="2"/>
    <x v="44"/>
    <x v="1"/>
    <x v="4"/>
    <n v="0"/>
    <m/>
  </r>
  <r>
    <x v="20"/>
    <x v="0"/>
    <x v="2"/>
    <x v="45"/>
    <x v="1"/>
    <x v="4"/>
    <n v="0"/>
    <m/>
  </r>
  <r>
    <x v="20"/>
    <x v="0"/>
    <x v="2"/>
    <x v="46"/>
    <x v="1"/>
    <x v="4"/>
    <n v="0"/>
    <m/>
  </r>
  <r>
    <x v="20"/>
    <x v="0"/>
    <x v="2"/>
    <x v="4"/>
    <x v="1"/>
    <x v="4"/>
    <n v="0"/>
    <m/>
  </r>
  <r>
    <x v="20"/>
    <x v="0"/>
    <x v="2"/>
    <x v="47"/>
    <x v="1"/>
    <x v="4"/>
    <n v="0"/>
    <m/>
  </r>
  <r>
    <x v="20"/>
    <x v="0"/>
    <x v="2"/>
    <x v="48"/>
    <x v="1"/>
    <x v="4"/>
    <n v="0"/>
    <m/>
  </r>
  <r>
    <x v="20"/>
    <x v="0"/>
    <x v="2"/>
    <x v="49"/>
    <x v="2"/>
    <x v="0"/>
    <n v="1"/>
    <s v=""/>
  </r>
  <r>
    <x v="20"/>
    <x v="0"/>
    <x v="2"/>
    <x v="50"/>
    <x v="1"/>
    <x v="4"/>
    <n v="0"/>
    <m/>
  </r>
  <r>
    <x v="20"/>
    <x v="0"/>
    <x v="2"/>
    <x v="3"/>
    <x v="1"/>
    <x v="4"/>
    <n v="0"/>
    <m/>
  </r>
  <r>
    <x v="20"/>
    <x v="0"/>
    <x v="2"/>
    <x v="51"/>
    <x v="1"/>
    <x v="4"/>
    <n v="0"/>
    <m/>
  </r>
  <r>
    <x v="20"/>
    <x v="0"/>
    <x v="2"/>
    <x v="2"/>
    <x v="1"/>
    <x v="4"/>
    <n v="0"/>
    <m/>
  </r>
  <r>
    <x v="20"/>
    <x v="0"/>
    <x v="2"/>
    <x v="52"/>
    <x v="1"/>
    <x v="4"/>
    <n v="0"/>
    <m/>
  </r>
  <r>
    <x v="20"/>
    <x v="0"/>
    <x v="2"/>
    <x v="53"/>
    <x v="1"/>
    <x v="4"/>
    <n v="0"/>
    <m/>
  </r>
  <r>
    <x v="20"/>
    <x v="0"/>
    <x v="2"/>
    <x v="54"/>
    <x v="1"/>
    <x v="4"/>
    <n v="0"/>
    <m/>
  </r>
  <r>
    <x v="20"/>
    <x v="0"/>
    <x v="2"/>
    <x v="1"/>
    <x v="1"/>
    <x v="4"/>
    <n v="0"/>
    <m/>
  </r>
  <r>
    <x v="20"/>
    <x v="0"/>
    <x v="2"/>
    <x v="55"/>
    <x v="1"/>
    <x v="4"/>
    <n v="0"/>
    <m/>
  </r>
  <r>
    <x v="20"/>
    <x v="0"/>
    <x v="2"/>
    <x v="56"/>
    <x v="1"/>
    <x v="4"/>
    <n v="0"/>
    <m/>
  </r>
  <r>
    <x v="20"/>
    <x v="0"/>
    <x v="2"/>
    <x v="57"/>
    <x v="1"/>
    <x v="4"/>
    <n v="0"/>
    <m/>
  </r>
  <r>
    <x v="20"/>
    <x v="0"/>
    <x v="2"/>
    <x v="58"/>
    <x v="1"/>
    <x v="4"/>
    <n v="0"/>
    <m/>
  </r>
  <r>
    <x v="20"/>
    <x v="0"/>
    <x v="2"/>
    <x v="59"/>
    <x v="1"/>
    <x v="4"/>
    <n v="0"/>
    <m/>
  </r>
  <r>
    <x v="20"/>
    <x v="1"/>
    <x v="0"/>
    <x v="60"/>
    <x v="1"/>
    <x v="4"/>
    <n v="0"/>
    <m/>
  </r>
  <r>
    <x v="20"/>
    <x v="1"/>
    <x v="0"/>
    <x v="61"/>
    <x v="1"/>
    <x v="4"/>
    <n v="0"/>
    <m/>
  </r>
  <r>
    <x v="20"/>
    <x v="1"/>
    <x v="0"/>
    <x v="62"/>
    <x v="1"/>
    <x v="4"/>
    <n v="0"/>
    <m/>
  </r>
  <r>
    <x v="20"/>
    <x v="1"/>
    <x v="0"/>
    <x v="63"/>
    <x v="1"/>
    <x v="4"/>
    <n v="0"/>
    <m/>
  </r>
  <r>
    <x v="20"/>
    <x v="1"/>
    <x v="0"/>
    <x v="64"/>
    <x v="1"/>
    <x v="4"/>
    <n v="0"/>
    <m/>
  </r>
  <r>
    <x v="20"/>
    <x v="1"/>
    <x v="0"/>
    <x v="65"/>
    <x v="1"/>
    <x v="4"/>
    <n v="0"/>
    <m/>
  </r>
  <r>
    <x v="20"/>
    <x v="1"/>
    <x v="0"/>
    <x v="66"/>
    <x v="1"/>
    <x v="4"/>
    <n v="0"/>
    <m/>
  </r>
  <r>
    <x v="20"/>
    <x v="1"/>
    <x v="0"/>
    <x v="67"/>
    <x v="1"/>
    <x v="4"/>
    <n v="0"/>
    <m/>
  </r>
  <r>
    <x v="20"/>
    <x v="1"/>
    <x v="0"/>
    <x v="68"/>
    <x v="1"/>
    <x v="4"/>
    <n v="0"/>
    <m/>
  </r>
  <r>
    <x v="20"/>
    <x v="1"/>
    <x v="0"/>
    <x v="69"/>
    <x v="1"/>
    <x v="4"/>
    <n v="0"/>
    <m/>
  </r>
  <r>
    <x v="20"/>
    <x v="1"/>
    <x v="0"/>
    <x v="70"/>
    <x v="1"/>
    <x v="4"/>
    <n v="0"/>
    <m/>
  </r>
  <r>
    <x v="20"/>
    <x v="1"/>
    <x v="0"/>
    <x v="71"/>
    <x v="1"/>
    <x v="4"/>
    <n v="0"/>
    <m/>
  </r>
  <r>
    <x v="20"/>
    <x v="1"/>
    <x v="0"/>
    <x v="72"/>
    <x v="1"/>
    <x v="4"/>
    <n v="0"/>
    <m/>
  </r>
  <r>
    <x v="20"/>
    <x v="1"/>
    <x v="0"/>
    <x v="73"/>
    <x v="1"/>
    <x v="4"/>
    <n v="0"/>
    <m/>
  </r>
  <r>
    <x v="20"/>
    <x v="1"/>
    <x v="0"/>
    <x v="74"/>
    <x v="1"/>
    <x v="4"/>
    <n v="0"/>
    <m/>
  </r>
  <r>
    <x v="20"/>
    <x v="1"/>
    <x v="0"/>
    <x v="75"/>
    <x v="1"/>
    <x v="4"/>
    <n v="0"/>
    <m/>
  </r>
  <r>
    <x v="20"/>
    <x v="1"/>
    <x v="0"/>
    <x v="76"/>
    <x v="1"/>
    <x v="4"/>
    <n v="0"/>
    <m/>
  </r>
  <r>
    <x v="20"/>
    <x v="1"/>
    <x v="0"/>
    <x v="77"/>
    <x v="1"/>
    <x v="4"/>
    <n v="0"/>
    <m/>
  </r>
  <r>
    <x v="20"/>
    <x v="1"/>
    <x v="0"/>
    <x v="78"/>
    <x v="2"/>
    <x v="2"/>
    <n v="1"/>
    <s v=""/>
  </r>
  <r>
    <x v="20"/>
    <x v="1"/>
    <x v="0"/>
    <x v="79"/>
    <x v="1"/>
    <x v="4"/>
    <n v="0"/>
    <m/>
  </r>
  <r>
    <x v="20"/>
    <x v="1"/>
    <x v="1"/>
    <x v="80"/>
    <x v="1"/>
    <x v="4"/>
    <n v="0"/>
    <m/>
  </r>
  <r>
    <x v="20"/>
    <x v="1"/>
    <x v="1"/>
    <x v="81"/>
    <x v="1"/>
    <x v="4"/>
    <n v="0"/>
    <m/>
  </r>
  <r>
    <x v="20"/>
    <x v="1"/>
    <x v="1"/>
    <x v="82"/>
    <x v="1"/>
    <x v="4"/>
    <n v="0"/>
    <m/>
  </r>
  <r>
    <x v="20"/>
    <x v="1"/>
    <x v="1"/>
    <x v="83"/>
    <x v="1"/>
    <x v="4"/>
    <n v="0"/>
    <m/>
  </r>
  <r>
    <x v="20"/>
    <x v="1"/>
    <x v="1"/>
    <x v="84"/>
    <x v="1"/>
    <x v="4"/>
    <n v="0"/>
    <m/>
  </r>
  <r>
    <x v="20"/>
    <x v="1"/>
    <x v="1"/>
    <x v="85"/>
    <x v="1"/>
    <x v="4"/>
    <n v="0"/>
    <m/>
  </r>
  <r>
    <x v="20"/>
    <x v="1"/>
    <x v="1"/>
    <x v="86"/>
    <x v="1"/>
    <x v="4"/>
    <n v="0"/>
    <m/>
  </r>
  <r>
    <x v="20"/>
    <x v="1"/>
    <x v="1"/>
    <x v="87"/>
    <x v="1"/>
    <x v="4"/>
    <n v="0"/>
    <m/>
  </r>
  <r>
    <x v="20"/>
    <x v="1"/>
    <x v="1"/>
    <x v="88"/>
    <x v="1"/>
    <x v="4"/>
    <n v="0"/>
    <m/>
  </r>
  <r>
    <x v="20"/>
    <x v="1"/>
    <x v="1"/>
    <x v="89"/>
    <x v="1"/>
    <x v="4"/>
    <n v="0"/>
    <m/>
  </r>
  <r>
    <x v="20"/>
    <x v="1"/>
    <x v="1"/>
    <x v="90"/>
    <x v="5"/>
    <x v="0"/>
    <n v="1"/>
    <s v=""/>
  </r>
  <r>
    <x v="20"/>
    <x v="1"/>
    <x v="1"/>
    <x v="91"/>
    <x v="1"/>
    <x v="4"/>
    <n v="0"/>
    <m/>
  </r>
  <r>
    <x v="20"/>
    <x v="1"/>
    <x v="1"/>
    <x v="92"/>
    <x v="1"/>
    <x v="4"/>
    <n v="0"/>
    <m/>
  </r>
  <r>
    <x v="20"/>
    <x v="1"/>
    <x v="1"/>
    <x v="93"/>
    <x v="1"/>
    <x v="4"/>
    <n v="0"/>
    <m/>
  </r>
  <r>
    <x v="20"/>
    <x v="1"/>
    <x v="1"/>
    <x v="94"/>
    <x v="1"/>
    <x v="4"/>
    <n v="0"/>
    <m/>
  </r>
  <r>
    <x v="20"/>
    <x v="1"/>
    <x v="1"/>
    <x v="95"/>
    <x v="1"/>
    <x v="4"/>
    <n v="0"/>
    <m/>
  </r>
  <r>
    <x v="20"/>
    <x v="1"/>
    <x v="1"/>
    <x v="96"/>
    <x v="1"/>
    <x v="4"/>
    <n v="0"/>
    <m/>
  </r>
  <r>
    <x v="20"/>
    <x v="1"/>
    <x v="1"/>
    <x v="97"/>
    <x v="1"/>
    <x v="4"/>
    <n v="0"/>
    <m/>
  </r>
  <r>
    <x v="20"/>
    <x v="1"/>
    <x v="1"/>
    <x v="98"/>
    <x v="1"/>
    <x v="4"/>
    <n v="0"/>
    <m/>
  </r>
  <r>
    <x v="20"/>
    <x v="1"/>
    <x v="1"/>
    <x v="99"/>
    <x v="3"/>
    <x v="1"/>
    <n v="1"/>
    <s v=""/>
  </r>
  <r>
    <x v="20"/>
    <x v="1"/>
    <x v="2"/>
    <x v="100"/>
    <x v="1"/>
    <x v="4"/>
    <n v="0"/>
    <m/>
  </r>
  <r>
    <x v="20"/>
    <x v="1"/>
    <x v="2"/>
    <x v="101"/>
    <x v="1"/>
    <x v="4"/>
    <n v="0"/>
    <m/>
  </r>
  <r>
    <x v="20"/>
    <x v="1"/>
    <x v="2"/>
    <x v="102"/>
    <x v="1"/>
    <x v="4"/>
    <n v="0"/>
    <m/>
  </r>
  <r>
    <x v="20"/>
    <x v="1"/>
    <x v="2"/>
    <x v="103"/>
    <x v="1"/>
    <x v="4"/>
    <n v="0"/>
    <m/>
  </r>
  <r>
    <x v="20"/>
    <x v="1"/>
    <x v="2"/>
    <x v="104"/>
    <x v="1"/>
    <x v="4"/>
    <n v="0"/>
    <m/>
  </r>
  <r>
    <x v="20"/>
    <x v="1"/>
    <x v="2"/>
    <x v="105"/>
    <x v="1"/>
    <x v="4"/>
    <n v="0"/>
    <m/>
  </r>
  <r>
    <x v="20"/>
    <x v="1"/>
    <x v="2"/>
    <x v="106"/>
    <x v="1"/>
    <x v="4"/>
    <n v="0"/>
    <m/>
  </r>
  <r>
    <x v="20"/>
    <x v="1"/>
    <x v="2"/>
    <x v="107"/>
    <x v="5"/>
    <x v="0"/>
    <n v="1"/>
    <s v=""/>
  </r>
  <r>
    <x v="20"/>
    <x v="1"/>
    <x v="2"/>
    <x v="108"/>
    <x v="1"/>
    <x v="4"/>
    <n v="0"/>
    <m/>
  </r>
  <r>
    <x v="20"/>
    <x v="1"/>
    <x v="2"/>
    <x v="109"/>
    <x v="1"/>
    <x v="4"/>
    <n v="0"/>
    <m/>
  </r>
  <r>
    <x v="20"/>
    <x v="1"/>
    <x v="2"/>
    <x v="110"/>
    <x v="1"/>
    <x v="4"/>
    <n v="0"/>
    <m/>
  </r>
  <r>
    <x v="20"/>
    <x v="1"/>
    <x v="2"/>
    <x v="111"/>
    <x v="1"/>
    <x v="4"/>
    <n v="0"/>
    <m/>
  </r>
  <r>
    <x v="20"/>
    <x v="1"/>
    <x v="2"/>
    <x v="112"/>
    <x v="1"/>
    <x v="4"/>
    <n v="0"/>
    <m/>
  </r>
  <r>
    <x v="20"/>
    <x v="1"/>
    <x v="2"/>
    <x v="113"/>
    <x v="1"/>
    <x v="4"/>
    <n v="0"/>
    <m/>
  </r>
  <r>
    <x v="20"/>
    <x v="1"/>
    <x v="2"/>
    <x v="114"/>
    <x v="1"/>
    <x v="4"/>
    <n v="0"/>
    <m/>
  </r>
  <r>
    <x v="20"/>
    <x v="1"/>
    <x v="2"/>
    <x v="115"/>
    <x v="1"/>
    <x v="4"/>
    <n v="0"/>
    <m/>
  </r>
  <r>
    <x v="20"/>
    <x v="1"/>
    <x v="2"/>
    <x v="116"/>
    <x v="1"/>
    <x v="4"/>
    <n v="0"/>
    <m/>
  </r>
  <r>
    <x v="20"/>
    <x v="1"/>
    <x v="2"/>
    <x v="117"/>
    <x v="1"/>
    <x v="4"/>
    <n v="0"/>
    <m/>
  </r>
  <r>
    <x v="20"/>
    <x v="1"/>
    <x v="2"/>
    <x v="118"/>
    <x v="1"/>
    <x v="4"/>
    <n v="0"/>
    <m/>
  </r>
  <r>
    <x v="20"/>
    <x v="1"/>
    <x v="2"/>
    <x v="119"/>
    <x v="1"/>
    <x v="4"/>
    <n v="0"/>
    <m/>
  </r>
  <r>
    <x v="20"/>
    <x v="2"/>
    <x v="0"/>
    <x v="120"/>
    <x v="1"/>
    <x v="4"/>
    <n v="0"/>
    <m/>
  </r>
  <r>
    <x v="20"/>
    <x v="2"/>
    <x v="0"/>
    <x v="121"/>
    <x v="1"/>
    <x v="4"/>
    <n v="0"/>
    <m/>
  </r>
  <r>
    <x v="20"/>
    <x v="2"/>
    <x v="0"/>
    <x v="122"/>
    <x v="1"/>
    <x v="4"/>
    <n v="0"/>
    <m/>
  </r>
  <r>
    <x v="20"/>
    <x v="2"/>
    <x v="0"/>
    <x v="123"/>
    <x v="1"/>
    <x v="4"/>
    <n v="0"/>
    <m/>
  </r>
  <r>
    <x v="20"/>
    <x v="2"/>
    <x v="0"/>
    <x v="124"/>
    <x v="1"/>
    <x v="4"/>
    <n v="0"/>
    <m/>
  </r>
  <r>
    <x v="20"/>
    <x v="2"/>
    <x v="0"/>
    <x v="125"/>
    <x v="1"/>
    <x v="4"/>
    <n v="0"/>
    <m/>
  </r>
  <r>
    <x v="20"/>
    <x v="2"/>
    <x v="0"/>
    <x v="126"/>
    <x v="1"/>
    <x v="4"/>
    <n v="0"/>
    <m/>
  </r>
  <r>
    <x v="20"/>
    <x v="2"/>
    <x v="0"/>
    <x v="127"/>
    <x v="1"/>
    <x v="4"/>
    <n v="0"/>
    <m/>
  </r>
  <r>
    <x v="20"/>
    <x v="2"/>
    <x v="0"/>
    <x v="128"/>
    <x v="1"/>
    <x v="4"/>
    <n v="0"/>
    <m/>
  </r>
  <r>
    <x v="20"/>
    <x v="2"/>
    <x v="0"/>
    <x v="129"/>
    <x v="1"/>
    <x v="4"/>
    <n v="0"/>
    <m/>
  </r>
  <r>
    <x v="20"/>
    <x v="2"/>
    <x v="0"/>
    <x v="130"/>
    <x v="1"/>
    <x v="4"/>
    <n v="0"/>
    <m/>
  </r>
  <r>
    <x v="20"/>
    <x v="2"/>
    <x v="0"/>
    <x v="131"/>
    <x v="1"/>
    <x v="4"/>
    <n v="0"/>
    <m/>
  </r>
  <r>
    <x v="20"/>
    <x v="2"/>
    <x v="0"/>
    <x v="132"/>
    <x v="1"/>
    <x v="4"/>
    <n v="0"/>
    <m/>
  </r>
  <r>
    <x v="20"/>
    <x v="2"/>
    <x v="0"/>
    <x v="133"/>
    <x v="1"/>
    <x v="4"/>
    <n v="0"/>
    <m/>
  </r>
  <r>
    <x v="20"/>
    <x v="2"/>
    <x v="0"/>
    <x v="134"/>
    <x v="1"/>
    <x v="4"/>
    <n v="0"/>
    <m/>
  </r>
  <r>
    <x v="20"/>
    <x v="2"/>
    <x v="0"/>
    <x v="135"/>
    <x v="4"/>
    <x v="3"/>
    <s v=""/>
    <s v="plaque absente"/>
  </r>
  <r>
    <x v="20"/>
    <x v="2"/>
    <x v="0"/>
    <x v="136"/>
    <x v="1"/>
    <x v="4"/>
    <n v="0"/>
    <m/>
  </r>
  <r>
    <x v="20"/>
    <x v="2"/>
    <x v="0"/>
    <x v="137"/>
    <x v="1"/>
    <x v="4"/>
    <n v="0"/>
    <m/>
  </r>
  <r>
    <x v="20"/>
    <x v="2"/>
    <x v="0"/>
    <x v="138"/>
    <x v="1"/>
    <x v="4"/>
    <n v="0"/>
    <m/>
  </r>
  <r>
    <x v="20"/>
    <x v="2"/>
    <x v="0"/>
    <x v="139"/>
    <x v="1"/>
    <x v="4"/>
    <n v="0"/>
    <m/>
  </r>
  <r>
    <x v="20"/>
    <x v="2"/>
    <x v="1"/>
    <x v="140"/>
    <x v="1"/>
    <x v="4"/>
    <n v="0"/>
    <m/>
  </r>
  <r>
    <x v="20"/>
    <x v="2"/>
    <x v="1"/>
    <x v="141"/>
    <x v="1"/>
    <x v="4"/>
    <n v="0"/>
    <m/>
  </r>
  <r>
    <x v="20"/>
    <x v="2"/>
    <x v="1"/>
    <x v="142"/>
    <x v="1"/>
    <x v="4"/>
    <n v="0"/>
    <m/>
  </r>
  <r>
    <x v="20"/>
    <x v="2"/>
    <x v="1"/>
    <x v="143"/>
    <x v="1"/>
    <x v="4"/>
    <n v="0"/>
    <m/>
  </r>
  <r>
    <x v="20"/>
    <x v="2"/>
    <x v="1"/>
    <x v="144"/>
    <x v="1"/>
    <x v="4"/>
    <n v="0"/>
    <m/>
  </r>
  <r>
    <x v="20"/>
    <x v="2"/>
    <x v="1"/>
    <x v="145"/>
    <x v="1"/>
    <x v="4"/>
    <n v="0"/>
    <m/>
  </r>
  <r>
    <x v="20"/>
    <x v="2"/>
    <x v="1"/>
    <x v="146"/>
    <x v="1"/>
    <x v="4"/>
    <n v="0"/>
    <m/>
  </r>
  <r>
    <x v="20"/>
    <x v="2"/>
    <x v="1"/>
    <x v="147"/>
    <x v="1"/>
    <x v="4"/>
    <n v="0"/>
    <m/>
  </r>
  <r>
    <x v="20"/>
    <x v="2"/>
    <x v="1"/>
    <x v="148"/>
    <x v="1"/>
    <x v="4"/>
    <n v="0"/>
    <m/>
  </r>
  <r>
    <x v="20"/>
    <x v="2"/>
    <x v="1"/>
    <x v="149"/>
    <x v="1"/>
    <x v="4"/>
    <n v="0"/>
    <m/>
  </r>
  <r>
    <x v="20"/>
    <x v="2"/>
    <x v="1"/>
    <x v="150"/>
    <x v="1"/>
    <x v="4"/>
    <n v="0"/>
    <m/>
  </r>
  <r>
    <x v="20"/>
    <x v="2"/>
    <x v="1"/>
    <x v="151"/>
    <x v="1"/>
    <x v="4"/>
    <n v="0"/>
    <m/>
  </r>
  <r>
    <x v="20"/>
    <x v="2"/>
    <x v="1"/>
    <x v="152"/>
    <x v="1"/>
    <x v="4"/>
    <n v="0"/>
    <m/>
  </r>
  <r>
    <x v="20"/>
    <x v="2"/>
    <x v="1"/>
    <x v="153"/>
    <x v="1"/>
    <x v="4"/>
    <n v="0"/>
    <m/>
  </r>
  <r>
    <x v="20"/>
    <x v="2"/>
    <x v="1"/>
    <x v="154"/>
    <x v="1"/>
    <x v="4"/>
    <n v="0"/>
    <m/>
  </r>
  <r>
    <x v="20"/>
    <x v="2"/>
    <x v="1"/>
    <x v="155"/>
    <x v="1"/>
    <x v="4"/>
    <n v="0"/>
    <m/>
  </r>
  <r>
    <x v="20"/>
    <x v="2"/>
    <x v="1"/>
    <x v="156"/>
    <x v="1"/>
    <x v="4"/>
    <n v="0"/>
    <m/>
  </r>
  <r>
    <x v="20"/>
    <x v="2"/>
    <x v="1"/>
    <x v="157"/>
    <x v="1"/>
    <x v="4"/>
    <n v="0"/>
    <m/>
  </r>
  <r>
    <x v="20"/>
    <x v="2"/>
    <x v="1"/>
    <x v="158"/>
    <x v="1"/>
    <x v="4"/>
    <n v="0"/>
    <m/>
  </r>
  <r>
    <x v="20"/>
    <x v="2"/>
    <x v="1"/>
    <x v="159"/>
    <x v="1"/>
    <x v="4"/>
    <n v="0"/>
    <m/>
  </r>
  <r>
    <x v="20"/>
    <x v="2"/>
    <x v="2"/>
    <x v="160"/>
    <x v="1"/>
    <x v="4"/>
    <n v="0"/>
    <m/>
  </r>
  <r>
    <x v="20"/>
    <x v="2"/>
    <x v="2"/>
    <x v="161"/>
    <x v="1"/>
    <x v="4"/>
    <n v="0"/>
    <m/>
  </r>
  <r>
    <x v="20"/>
    <x v="2"/>
    <x v="2"/>
    <x v="162"/>
    <x v="1"/>
    <x v="4"/>
    <n v="0"/>
    <m/>
  </r>
  <r>
    <x v="20"/>
    <x v="2"/>
    <x v="2"/>
    <x v="163"/>
    <x v="1"/>
    <x v="4"/>
    <n v="0"/>
    <m/>
  </r>
  <r>
    <x v="20"/>
    <x v="2"/>
    <x v="2"/>
    <x v="164"/>
    <x v="1"/>
    <x v="4"/>
    <n v="0"/>
    <m/>
  </r>
  <r>
    <x v="20"/>
    <x v="2"/>
    <x v="2"/>
    <x v="165"/>
    <x v="1"/>
    <x v="4"/>
    <n v="0"/>
    <m/>
  </r>
  <r>
    <x v="20"/>
    <x v="2"/>
    <x v="2"/>
    <x v="166"/>
    <x v="1"/>
    <x v="4"/>
    <n v="0"/>
    <m/>
  </r>
  <r>
    <x v="20"/>
    <x v="2"/>
    <x v="2"/>
    <x v="167"/>
    <x v="1"/>
    <x v="4"/>
    <n v="0"/>
    <m/>
  </r>
  <r>
    <x v="20"/>
    <x v="2"/>
    <x v="2"/>
    <x v="168"/>
    <x v="1"/>
    <x v="4"/>
    <n v="0"/>
    <m/>
  </r>
  <r>
    <x v="20"/>
    <x v="2"/>
    <x v="2"/>
    <x v="169"/>
    <x v="2"/>
    <x v="2"/>
    <n v="1"/>
    <s v=""/>
  </r>
  <r>
    <x v="20"/>
    <x v="2"/>
    <x v="2"/>
    <x v="170"/>
    <x v="1"/>
    <x v="4"/>
    <n v="0"/>
    <m/>
  </r>
  <r>
    <x v="20"/>
    <x v="2"/>
    <x v="2"/>
    <x v="171"/>
    <x v="1"/>
    <x v="4"/>
    <n v="0"/>
    <m/>
  </r>
  <r>
    <x v="20"/>
    <x v="2"/>
    <x v="2"/>
    <x v="172"/>
    <x v="1"/>
    <x v="4"/>
    <n v="0"/>
    <m/>
  </r>
  <r>
    <x v="20"/>
    <x v="2"/>
    <x v="2"/>
    <x v="173"/>
    <x v="1"/>
    <x v="4"/>
    <n v="0"/>
    <m/>
  </r>
  <r>
    <x v="20"/>
    <x v="2"/>
    <x v="2"/>
    <x v="174"/>
    <x v="1"/>
    <x v="4"/>
    <n v="0"/>
    <m/>
  </r>
  <r>
    <x v="20"/>
    <x v="2"/>
    <x v="2"/>
    <x v="175"/>
    <x v="1"/>
    <x v="4"/>
    <n v="0"/>
    <m/>
  </r>
  <r>
    <x v="20"/>
    <x v="2"/>
    <x v="2"/>
    <x v="176"/>
    <x v="1"/>
    <x v="4"/>
    <n v="0"/>
    <m/>
  </r>
  <r>
    <x v="20"/>
    <x v="2"/>
    <x v="2"/>
    <x v="177"/>
    <x v="1"/>
    <x v="4"/>
    <n v="0"/>
    <m/>
  </r>
  <r>
    <x v="20"/>
    <x v="2"/>
    <x v="2"/>
    <x v="178"/>
    <x v="1"/>
    <x v="4"/>
    <n v="0"/>
    <m/>
  </r>
  <r>
    <x v="20"/>
    <x v="2"/>
    <x v="2"/>
    <x v="179"/>
    <x v="1"/>
    <x v="4"/>
    <n v="0"/>
    <m/>
  </r>
  <r>
    <x v="21"/>
    <x v="0"/>
    <x v="0"/>
    <x v="0"/>
    <x v="0"/>
    <x v="2"/>
    <n v="1"/>
    <s v=""/>
  </r>
  <r>
    <x v="21"/>
    <x v="0"/>
    <x v="0"/>
    <x v="0"/>
    <x v="2"/>
    <x v="2"/>
    <n v="3"/>
    <s v=""/>
  </r>
  <r>
    <x v="21"/>
    <x v="0"/>
    <x v="0"/>
    <x v="16"/>
    <x v="2"/>
    <x v="1"/>
    <n v="1"/>
    <s v=""/>
  </r>
  <r>
    <x v="21"/>
    <x v="0"/>
    <x v="0"/>
    <x v="16"/>
    <x v="2"/>
    <x v="0"/>
    <n v="1"/>
    <s v=""/>
  </r>
  <r>
    <x v="21"/>
    <x v="0"/>
    <x v="0"/>
    <x v="16"/>
    <x v="2"/>
    <x v="2"/>
    <n v="1"/>
    <s v=""/>
  </r>
  <r>
    <x v="21"/>
    <x v="0"/>
    <x v="0"/>
    <x v="15"/>
    <x v="2"/>
    <x v="1"/>
    <n v="2"/>
    <s v=""/>
  </r>
  <r>
    <x v="21"/>
    <x v="0"/>
    <x v="0"/>
    <x v="15"/>
    <x v="2"/>
    <x v="0"/>
    <n v="2"/>
    <s v=""/>
  </r>
  <r>
    <x v="21"/>
    <x v="0"/>
    <x v="0"/>
    <x v="15"/>
    <x v="2"/>
    <x v="2"/>
    <n v="1"/>
    <s v=""/>
  </r>
  <r>
    <x v="21"/>
    <x v="0"/>
    <x v="0"/>
    <x v="15"/>
    <x v="5"/>
    <x v="2"/>
    <n v="2"/>
    <s v=""/>
  </r>
  <r>
    <x v="21"/>
    <x v="0"/>
    <x v="0"/>
    <x v="17"/>
    <x v="2"/>
    <x v="2"/>
    <n v="2"/>
    <s v=""/>
  </r>
  <r>
    <x v="21"/>
    <x v="0"/>
    <x v="0"/>
    <x v="14"/>
    <x v="2"/>
    <x v="1"/>
    <n v="1"/>
    <s v=""/>
  </r>
  <r>
    <x v="21"/>
    <x v="0"/>
    <x v="0"/>
    <x v="14"/>
    <x v="2"/>
    <x v="2"/>
    <n v="2"/>
    <s v=""/>
  </r>
  <r>
    <x v="21"/>
    <x v="0"/>
    <x v="0"/>
    <x v="14"/>
    <x v="5"/>
    <x v="2"/>
    <n v="1"/>
    <s v=""/>
  </r>
  <r>
    <x v="21"/>
    <x v="0"/>
    <x v="0"/>
    <x v="18"/>
    <x v="0"/>
    <x v="0"/>
    <n v="1"/>
    <s v=""/>
  </r>
  <r>
    <x v="21"/>
    <x v="0"/>
    <x v="0"/>
    <x v="18"/>
    <x v="0"/>
    <x v="2"/>
    <n v="1"/>
    <s v=""/>
  </r>
  <r>
    <x v="21"/>
    <x v="0"/>
    <x v="0"/>
    <x v="18"/>
    <x v="2"/>
    <x v="1"/>
    <n v="6"/>
    <s v=""/>
  </r>
  <r>
    <x v="21"/>
    <x v="0"/>
    <x v="0"/>
    <x v="18"/>
    <x v="2"/>
    <x v="0"/>
    <n v="4"/>
    <s v=""/>
  </r>
  <r>
    <x v="21"/>
    <x v="0"/>
    <x v="0"/>
    <x v="18"/>
    <x v="2"/>
    <x v="2"/>
    <n v="4"/>
    <s v=""/>
  </r>
  <r>
    <x v="21"/>
    <x v="0"/>
    <x v="0"/>
    <x v="18"/>
    <x v="5"/>
    <x v="2"/>
    <n v="1"/>
    <s v=""/>
  </r>
  <r>
    <x v="21"/>
    <x v="0"/>
    <x v="0"/>
    <x v="13"/>
    <x v="0"/>
    <x v="1"/>
    <n v="1"/>
    <s v=""/>
  </r>
  <r>
    <x v="21"/>
    <x v="0"/>
    <x v="0"/>
    <x v="13"/>
    <x v="2"/>
    <x v="1"/>
    <n v="4"/>
    <s v=""/>
  </r>
  <r>
    <x v="21"/>
    <x v="0"/>
    <x v="0"/>
    <x v="13"/>
    <x v="2"/>
    <x v="0"/>
    <n v="5"/>
    <s v=""/>
  </r>
  <r>
    <x v="21"/>
    <x v="0"/>
    <x v="0"/>
    <x v="13"/>
    <x v="2"/>
    <x v="2"/>
    <n v="1"/>
    <s v=""/>
  </r>
  <r>
    <x v="21"/>
    <x v="0"/>
    <x v="0"/>
    <x v="19"/>
    <x v="2"/>
    <x v="2"/>
    <n v="1"/>
    <s v=""/>
  </r>
  <r>
    <x v="21"/>
    <x v="0"/>
    <x v="0"/>
    <x v="20"/>
    <x v="2"/>
    <x v="1"/>
    <n v="1"/>
    <s v=""/>
  </r>
  <r>
    <x v="21"/>
    <x v="0"/>
    <x v="0"/>
    <x v="20"/>
    <x v="2"/>
    <x v="0"/>
    <n v="10"/>
    <s v=""/>
  </r>
  <r>
    <x v="21"/>
    <x v="0"/>
    <x v="0"/>
    <x v="20"/>
    <x v="2"/>
    <x v="2"/>
    <n v="2"/>
    <s v=""/>
  </r>
  <r>
    <x v="21"/>
    <x v="0"/>
    <x v="0"/>
    <x v="12"/>
    <x v="0"/>
    <x v="2"/>
    <n v="1"/>
    <s v=""/>
  </r>
  <r>
    <x v="21"/>
    <x v="0"/>
    <x v="0"/>
    <x v="12"/>
    <x v="2"/>
    <x v="1"/>
    <n v="1"/>
    <s v=""/>
  </r>
  <r>
    <x v="21"/>
    <x v="0"/>
    <x v="0"/>
    <x v="12"/>
    <x v="2"/>
    <x v="2"/>
    <n v="3"/>
    <s v=""/>
  </r>
  <r>
    <x v="21"/>
    <x v="0"/>
    <x v="0"/>
    <x v="12"/>
    <x v="5"/>
    <x v="2"/>
    <n v="1"/>
    <s v=""/>
  </r>
  <r>
    <x v="21"/>
    <x v="0"/>
    <x v="0"/>
    <x v="21"/>
    <x v="2"/>
    <x v="1"/>
    <n v="2"/>
    <s v=""/>
  </r>
  <r>
    <x v="21"/>
    <x v="0"/>
    <x v="0"/>
    <x v="21"/>
    <x v="2"/>
    <x v="0"/>
    <n v="3"/>
    <s v=""/>
  </r>
  <r>
    <x v="21"/>
    <x v="0"/>
    <x v="0"/>
    <x v="21"/>
    <x v="2"/>
    <x v="2"/>
    <n v="1"/>
    <s v=""/>
  </r>
  <r>
    <x v="21"/>
    <x v="0"/>
    <x v="0"/>
    <x v="21"/>
    <x v="5"/>
    <x v="0"/>
    <n v="1"/>
    <s v=""/>
  </r>
  <r>
    <x v="21"/>
    <x v="0"/>
    <x v="0"/>
    <x v="22"/>
    <x v="2"/>
    <x v="1"/>
    <n v="1"/>
    <s v=""/>
  </r>
  <r>
    <x v="21"/>
    <x v="0"/>
    <x v="0"/>
    <x v="22"/>
    <x v="2"/>
    <x v="0"/>
    <n v="6"/>
    <s v=""/>
  </r>
  <r>
    <x v="21"/>
    <x v="0"/>
    <x v="0"/>
    <x v="22"/>
    <x v="2"/>
    <x v="2"/>
    <n v="1"/>
    <s v=""/>
  </r>
  <r>
    <x v="21"/>
    <x v="0"/>
    <x v="0"/>
    <x v="23"/>
    <x v="2"/>
    <x v="1"/>
    <n v="2"/>
    <s v=""/>
  </r>
  <r>
    <x v="21"/>
    <x v="0"/>
    <x v="0"/>
    <x v="23"/>
    <x v="2"/>
    <x v="0"/>
    <n v="11"/>
    <s v=""/>
  </r>
  <r>
    <x v="21"/>
    <x v="0"/>
    <x v="0"/>
    <x v="23"/>
    <x v="2"/>
    <x v="2"/>
    <n v="1"/>
    <s v=""/>
  </r>
  <r>
    <x v="21"/>
    <x v="0"/>
    <x v="0"/>
    <x v="24"/>
    <x v="0"/>
    <x v="0"/>
    <n v="2"/>
    <s v=""/>
  </r>
  <r>
    <x v="21"/>
    <x v="0"/>
    <x v="0"/>
    <x v="24"/>
    <x v="2"/>
    <x v="1"/>
    <n v="2"/>
    <s v=""/>
  </r>
  <r>
    <x v="21"/>
    <x v="0"/>
    <x v="0"/>
    <x v="24"/>
    <x v="2"/>
    <x v="0"/>
    <n v="10"/>
    <s v=""/>
  </r>
  <r>
    <x v="21"/>
    <x v="0"/>
    <x v="0"/>
    <x v="24"/>
    <x v="2"/>
    <x v="2"/>
    <n v="7"/>
    <s v=""/>
  </r>
  <r>
    <x v="21"/>
    <x v="0"/>
    <x v="0"/>
    <x v="24"/>
    <x v="5"/>
    <x v="0"/>
    <n v="1"/>
    <s v=""/>
  </r>
  <r>
    <x v="21"/>
    <x v="0"/>
    <x v="0"/>
    <x v="24"/>
    <x v="5"/>
    <x v="2"/>
    <n v="1"/>
    <s v=""/>
  </r>
  <r>
    <x v="21"/>
    <x v="0"/>
    <x v="0"/>
    <x v="25"/>
    <x v="3"/>
    <x v="2"/>
    <n v="1"/>
    <s v=""/>
  </r>
  <r>
    <x v="21"/>
    <x v="0"/>
    <x v="0"/>
    <x v="25"/>
    <x v="2"/>
    <x v="1"/>
    <n v="1"/>
    <s v=""/>
  </r>
  <r>
    <x v="21"/>
    <x v="0"/>
    <x v="0"/>
    <x v="25"/>
    <x v="2"/>
    <x v="0"/>
    <n v="8"/>
    <s v=""/>
  </r>
  <r>
    <x v="21"/>
    <x v="0"/>
    <x v="0"/>
    <x v="25"/>
    <x v="2"/>
    <x v="2"/>
    <n v="7"/>
    <s v=""/>
  </r>
  <r>
    <x v="21"/>
    <x v="0"/>
    <x v="0"/>
    <x v="26"/>
    <x v="2"/>
    <x v="1"/>
    <n v="4"/>
    <s v=""/>
  </r>
  <r>
    <x v="21"/>
    <x v="0"/>
    <x v="0"/>
    <x v="26"/>
    <x v="2"/>
    <x v="0"/>
    <n v="9"/>
    <s v=""/>
  </r>
  <r>
    <x v="21"/>
    <x v="0"/>
    <x v="0"/>
    <x v="26"/>
    <x v="2"/>
    <x v="2"/>
    <n v="13"/>
    <s v=""/>
  </r>
  <r>
    <x v="21"/>
    <x v="0"/>
    <x v="0"/>
    <x v="26"/>
    <x v="5"/>
    <x v="2"/>
    <n v="1"/>
    <s v=""/>
  </r>
  <r>
    <x v="21"/>
    <x v="0"/>
    <x v="0"/>
    <x v="27"/>
    <x v="0"/>
    <x v="2"/>
    <n v="1"/>
    <s v=""/>
  </r>
  <r>
    <x v="21"/>
    <x v="0"/>
    <x v="0"/>
    <x v="27"/>
    <x v="2"/>
    <x v="1"/>
    <n v="9"/>
    <s v=""/>
  </r>
  <r>
    <x v="21"/>
    <x v="0"/>
    <x v="0"/>
    <x v="27"/>
    <x v="2"/>
    <x v="0"/>
    <n v="4"/>
    <s v=""/>
  </r>
  <r>
    <x v="21"/>
    <x v="0"/>
    <x v="0"/>
    <x v="27"/>
    <x v="2"/>
    <x v="2"/>
    <n v="3"/>
    <s v=""/>
  </r>
  <r>
    <x v="21"/>
    <x v="0"/>
    <x v="0"/>
    <x v="27"/>
    <x v="5"/>
    <x v="1"/>
    <n v="1"/>
    <s v=""/>
  </r>
  <r>
    <x v="21"/>
    <x v="0"/>
    <x v="0"/>
    <x v="28"/>
    <x v="2"/>
    <x v="1"/>
    <n v="10"/>
    <s v=""/>
  </r>
  <r>
    <x v="21"/>
    <x v="0"/>
    <x v="0"/>
    <x v="28"/>
    <x v="2"/>
    <x v="0"/>
    <n v="5"/>
    <s v=""/>
  </r>
  <r>
    <x v="21"/>
    <x v="0"/>
    <x v="0"/>
    <x v="28"/>
    <x v="2"/>
    <x v="2"/>
    <n v="3"/>
    <s v=""/>
  </r>
  <r>
    <x v="21"/>
    <x v="0"/>
    <x v="0"/>
    <x v="11"/>
    <x v="0"/>
    <x v="1"/>
    <n v="1"/>
    <s v=""/>
  </r>
  <r>
    <x v="21"/>
    <x v="0"/>
    <x v="0"/>
    <x v="11"/>
    <x v="0"/>
    <x v="2"/>
    <n v="1"/>
    <s v=""/>
  </r>
  <r>
    <x v="21"/>
    <x v="0"/>
    <x v="0"/>
    <x v="11"/>
    <x v="2"/>
    <x v="1"/>
    <n v="2"/>
    <s v=""/>
  </r>
  <r>
    <x v="21"/>
    <x v="0"/>
    <x v="0"/>
    <x v="11"/>
    <x v="2"/>
    <x v="0"/>
    <n v="9"/>
    <s v=""/>
  </r>
  <r>
    <x v="21"/>
    <x v="0"/>
    <x v="0"/>
    <x v="11"/>
    <x v="2"/>
    <x v="2"/>
    <n v="5"/>
    <s v=""/>
  </r>
  <r>
    <x v="21"/>
    <x v="0"/>
    <x v="0"/>
    <x v="11"/>
    <x v="5"/>
    <x v="0"/>
    <n v="1"/>
    <s v=""/>
  </r>
  <r>
    <x v="21"/>
    <x v="0"/>
    <x v="0"/>
    <x v="29"/>
    <x v="2"/>
    <x v="1"/>
    <n v="2"/>
    <s v=""/>
  </r>
  <r>
    <x v="21"/>
    <x v="0"/>
    <x v="0"/>
    <x v="29"/>
    <x v="2"/>
    <x v="0"/>
    <n v="2"/>
    <s v=""/>
  </r>
  <r>
    <x v="21"/>
    <x v="0"/>
    <x v="0"/>
    <x v="29"/>
    <x v="2"/>
    <x v="2"/>
    <n v="10"/>
    <s v=""/>
  </r>
  <r>
    <x v="21"/>
    <x v="0"/>
    <x v="1"/>
    <x v="30"/>
    <x v="2"/>
    <x v="0"/>
    <n v="2"/>
    <s v=""/>
  </r>
  <r>
    <x v="21"/>
    <x v="0"/>
    <x v="1"/>
    <x v="31"/>
    <x v="2"/>
    <x v="0"/>
    <n v="1"/>
    <s v=""/>
  </r>
  <r>
    <x v="21"/>
    <x v="0"/>
    <x v="1"/>
    <x v="32"/>
    <x v="2"/>
    <x v="2"/>
    <n v="1"/>
    <s v=""/>
  </r>
  <r>
    <x v="21"/>
    <x v="0"/>
    <x v="1"/>
    <x v="33"/>
    <x v="2"/>
    <x v="0"/>
    <n v="4"/>
    <s v=""/>
  </r>
  <r>
    <x v="21"/>
    <x v="0"/>
    <x v="1"/>
    <x v="10"/>
    <x v="2"/>
    <x v="0"/>
    <n v="2"/>
    <s v=""/>
  </r>
  <r>
    <x v="21"/>
    <x v="0"/>
    <x v="1"/>
    <x v="10"/>
    <x v="2"/>
    <x v="2"/>
    <n v="2"/>
    <s v=""/>
  </r>
  <r>
    <x v="21"/>
    <x v="0"/>
    <x v="1"/>
    <x v="34"/>
    <x v="2"/>
    <x v="0"/>
    <n v="3"/>
    <s v=""/>
  </r>
  <r>
    <x v="21"/>
    <x v="0"/>
    <x v="1"/>
    <x v="34"/>
    <x v="2"/>
    <x v="2"/>
    <n v="1"/>
    <s v=""/>
  </r>
  <r>
    <x v="21"/>
    <x v="0"/>
    <x v="1"/>
    <x v="35"/>
    <x v="2"/>
    <x v="0"/>
    <n v="5"/>
    <s v=""/>
  </r>
  <r>
    <x v="21"/>
    <x v="0"/>
    <x v="1"/>
    <x v="35"/>
    <x v="2"/>
    <x v="2"/>
    <n v="1"/>
    <s v=""/>
  </r>
  <r>
    <x v="21"/>
    <x v="0"/>
    <x v="1"/>
    <x v="36"/>
    <x v="2"/>
    <x v="0"/>
    <n v="1"/>
    <s v=""/>
  </r>
  <r>
    <x v="21"/>
    <x v="0"/>
    <x v="1"/>
    <x v="37"/>
    <x v="2"/>
    <x v="0"/>
    <n v="2"/>
    <s v=""/>
  </r>
  <r>
    <x v="21"/>
    <x v="0"/>
    <x v="1"/>
    <x v="9"/>
    <x v="2"/>
    <x v="0"/>
    <n v="2"/>
    <s v=""/>
  </r>
  <r>
    <x v="21"/>
    <x v="0"/>
    <x v="1"/>
    <x v="9"/>
    <x v="2"/>
    <x v="2"/>
    <n v="3"/>
    <s v=""/>
  </r>
  <r>
    <x v="21"/>
    <x v="0"/>
    <x v="1"/>
    <x v="38"/>
    <x v="2"/>
    <x v="1"/>
    <n v="1"/>
    <s v=""/>
  </r>
  <r>
    <x v="21"/>
    <x v="0"/>
    <x v="1"/>
    <x v="38"/>
    <x v="2"/>
    <x v="0"/>
    <n v="2"/>
    <s v=""/>
  </r>
  <r>
    <x v="21"/>
    <x v="0"/>
    <x v="1"/>
    <x v="38"/>
    <x v="2"/>
    <x v="2"/>
    <n v="2"/>
    <s v=""/>
  </r>
  <r>
    <x v="21"/>
    <x v="0"/>
    <x v="1"/>
    <x v="8"/>
    <x v="2"/>
    <x v="0"/>
    <n v="1"/>
    <s v=""/>
  </r>
  <r>
    <x v="21"/>
    <x v="0"/>
    <x v="1"/>
    <x v="39"/>
    <x v="1"/>
    <x v="4"/>
    <n v="0"/>
    <m/>
  </r>
  <r>
    <x v="21"/>
    <x v="0"/>
    <x v="1"/>
    <x v="7"/>
    <x v="2"/>
    <x v="2"/>
    <n v="1"/>
    <s v=""/>
  </r>
  <r>
    <x v="21"/>
    <x v="0"/>
    <x v="1"/>
    <x v="6"/>
    <x v="3"/>
    <x v="2"/>
    <n v="1"/>
    <s v=""/>
  </r>
  <r>
    <x v="21"/>
    <x v="0"/>
    <x v="1"/>
    <x v="6"/>
    <x v="0"/>
    <x v="0"/>
    <n v="1"/>
    <s v=""/>
  </r>
  <r>
    <x v="21"/>
    <x v="0"/>
    <x v="1"/>
    <x v="6"/>
    <x v="2"/>
    <x v="1"/>
    <n v="1"/>
    <s v=""/>
  </r>
  <r>
    <x v="21"/>
    <x v="0"/>
    <x v="1"/>
    <x v="6"/>
    <x v="2"/>
    <x v="0"/>
    <n v="2"/>
    <s v=""/>
  </r>
  <r>
    <x v="21"/>
    <x v="0"/>
    <x v="1"/>
    <x v="40"/>
    <x v="2"/>
    <x v="0"/>
    <n v="1"/>
    <s v=""/>
  </r>
  <r>
    <x v="21"/>
    <x v="0"/>
    <x v="1"/>
    <x v="41"/>
    <x v="2"/>
    <x v="0"/>
    <n v="7"/>
    <s v=""/>
  </r>
  <r>
    <x v="21"/>
    <x v="0"/>
    <x v="1"/>
    <x v="42"/>
    <x v="2"/>
    <x v="2"/>
    <n v="1"/>
    <s v=""/>
  </r>
  <r>
    <x v="21"/>
    <x v="0"/>
    <x v="1"/>
    <x v="5"/>
    <x v="2"/>
    <x v="0"/>
    <n v="1"/>
    <s v=""/>
  </r>
  <r>
    <x v="21"/>
    <x v="0"/>
    <x v="1"/>
    <x v="43"/>
    <x v="2"/>
    <x v="0"/>
    <n v="1"/>
    <s v=""/>
  </r>
  <r>
    <x v="21"/>
    <x v="0"/>
    <x v="1"/>
    <x v="44"/>
    <x v="1"/>
    <x v="4"/>
    <n v="0"/>
    <m/>
  </r>
  <r>
    <x v="21"/>
    <x v="0"/>
    <x v="2"/>
    <x v="45"/>
    <x v="2"/>
    <x v="0"/>
    <n v="3"/>
    <s v=""/>
  </r>
  <r>
    <x v="21"/>
    <x v="0"/>
    <x v="2"/>
    <x v="45"/>
    <x v="2"/>
    <x v="2"/>
    <n v="1"/>
    <s v=""/>
  </r>
  <r>
    <x v="21"/>
    <x v="0"/>
    <x v="2"/>
    <x v="46"/>
    <x v="1"/>
    <x v="4"/>
    <n v="0"/>
    <m/>
  </r>
  <r>
    <x v="21"/>
    <x v="0"/>
    <x v="2"/>
    <x v="4"/>
    <x v="2"/>
    <x v="1"/>
    <n v="2"/>
    <s v=""/>
  </r>
  <r>
    <x v="21"/>
    <x v="0"/>
    <x v="2"/>
    <x v="4"/>
    <x v="5"/>
    <x v="1"/>
    <n v="1"/>
    <s v=""/>
  </r>
  <r>
    <x v="21"/>
    <x v="0"/>
    <x v="2"/>
    <x v="47"/>
    <x v="2"/>
    <x v="1"/>
    <n v="2"/>
    <s v=""/>
  </r>
  <r>
    <x v="21"/>
    <x v="0"/>
    <x v="2"/>
    <x v="48"/>
    <x v="5"/>
    <x v="1"/>
    <n v="1"/>
    <s v=""/>
  </r>
  <r>
    <x v="21"/>
    <x v="0"/>
    <x v="2"/>
    <x v="49"/>
    <x v="1"/>
    <x v="4"/>
    <n v="0"/>
    <m/>
  </r>
  <r>
    <x v="21"/>
    <x v="0"/>
    <x v="2"/>
    <x v="50"/>
    <x v="3"/>
    <x v="1"/>
    <n v="1"/>
    <m/>
  </r>
  <r>
    <x v="21"/>
    <x v="0"/>
    <x v="2"/>
    <x v="50"/>
    <x v="2"/>
    <x v="1"/>
    <n v="4"/>
    <s v=""/>
  </r>
  <r>
    <x v="21"/>
    <x v="0"/>
    <x v="2"/>
    <x v="3"/>
    <x v="1"/>
    <x v="4"/>
    <n v="0"/>
    <m/>
  </r>
  <r>
    <x v="21"/>
    <x v="0"/>
    <x v="2"/>
    <x v="51"/>
    <x v="2"/>
    <x v="1"/>
    <n v="1"/>
    <s v=""/>
  </r>
  <r>
    <x v="21"/>
    <x v="0"/>
    <x v="2"/>
    <x v="2"/>
    <x v="2"/>
    <x v="2"/>
    <n v="2"/>
    <s v=""/>
  </r>
  <r>
    <x v="21"/>
    <x v="0"/>
    <x v="2"/>
    <x v="52"/>
    <x v="1"/>
    <x v="4"/>
    <n v="0"/>
    <m/>
  </r>
  <r>
    <x v="21"/>
    <x v="0"/>
    <x v="2"/>
    <x v="53"/>
    <x v="1"/>
    <x v="4"/>
    <n v="0"/>
    <m/>
  </r>
  <r>
    <x v="21"/>
    <x v="0"/>
    <x v="2"/>
    <x v="54"/>
    <x v="1"/>
    <x v="4"/>
    <n v="0"/>
    <m/>
  </r>
  <r>
    <x v="21"/>
    <x v="0"/>
    <x v="2"/>
    <x v="1"/>
    <x v="2"/>
    <x v="0"/>
    <n v="2"/>
    <s v=""/>
  </r>
  <r>
    <x v="21"/>
    <x v="0"/>
    <x v="2"/>
    <x v="55"/>
    <x v="2"/>
    <x v="0"/>
    <n v="5"/>
    <s v=""/>
  </r>
  <r>
    <x v="21"/>
    <x v="0"/>
    <x v="2"/>
    <x v="56"/>
    <x v="1"/>
    <x v="4"/>
    <n v="0"/>
    <m/>
  </r>
  <r>
    <x v="21"/>
    <x v="0"/>
    <x v="2"/>
    <x v="57"/>
    <x v="2"/>
    <x v="0"/>
    <n v="2"/>
    <s v=""/>
  </r>
  <r>
    <x v="21"/>
    <x v="0"/>
    <x v="2"/>
    <x v="58"/>
    <x v="2"/>
    <x v="0"/>
    <n v="1"/>
    <s v=""/>
  </r>
  <r>
    <x v="21"/>
    <x v="0"/>
    <x v="2"/>
    <x v="58"/>
    <x v="2"/>
    <x v="2"/>
    <n v="1"/>
    <s v=""/>
  </r>
  <r>
    <x v="21"/>
    <x v="0"/>
    <x v="2"/>
    <x v="59"/>
    <x v="2"/>
    <x v="0"/>
    <n v="1"/>
    <s v=""/>
  </r>
  <r>
    <x v="21"/>
    <x v="1"/>
    <x v="0"/>
    <x v="60"/>
    <x v="2"/>
    <x v="1"/>
    <n v="2"/>
    <s v=""/>
  </r>
  <r>
    <x v="21"/>
    <x v="1"/>
    <x v="0"/>
    <x v="60"/>
    <x v="2"/>
    <x v="2"/>
    <n v="1"/>
    <s v=""/>
  </r>
  <r>
    <x v="21"/>
    <x v="1"/>
    <x v="0"/>
    <x v="61"/>
    <x v="0"/>
    <x v="2"/>
    <n v="1"/>
    <s v=""/>
  </r>
  <r>
    <x v="21"/>
    <x v="1"/>
    <x v="0"/>
    <x v="61"/>
    <x v="2"/>
    <x v="1"/>
    <n v="4"/>
    <s v=""/>
  </r>
  <r>
    <x v="21"/>
    <x v="1"/>
    <x v="0"/>
    <x v="61"/>
    <x v="2"/>
    <x v="0"/>
    <n v="3"/>
    <s v=""/>
  </r>
  <r>
    <x v="21"/>
    <x v="1"/>
    <x v="0"/>
    <x v="61"/>
    <x v="2"/>
    <x v="2"/>
    <n v="5"/>
    <s v=""/>
  </r>
  <r>
    <x v="21"/>
    <x v="1"/>
    <x v="0"/>
    <x v="62"/>
    <x v="2"/>
    <x v="0"/>
    <n v="3"/>
    <s v=""/>
  </r>
  <r>
    <x v="21"/>
    <x v="1"/>
    <x v="0"/>
    <x v="62"/>
    <x v="2"/>
    <x v="2"/>
    <n v="6"/>
    <s v=""/>
  </r>
  <r>
    <x v="21"/>
    <x v="1"/>
    <x v="0"/>
    <x v="63"/>
    <x v="2"/>
    <x v="1"/>
    <n v="1"/>
    <s v=""/>
  </r>
  <r>
    <x v="21"/>
    <x v="1"/>
    <x v="0"/>
    <x v="63"/>
    <x v="2"/>
    <x v="2"/>
    <n v="2"/>
    <s v=""/>
  </r>
  <r>
    <x v="21"/>
    <x v="1"/>
    <x v="0"/>
    <x v="64"/>
    <x v="2"/>
    <x v="0"/>
    <n v="1"/>
    <s v=""/>
  </r>
  <r>
    <x v="21"/>
    <x v="1"/>
    <x v="0"/>
    <x v="64"/>
    <x v="2"/>
    <x v="2"/>
    <n v="1"/>
    <s v=""/>
  </r>
  <r>
    <x v="21"/>
    <x v="1"/>
    <x v="0"/>
    <x v="65"/>
    <x v="1"/>
    <x v="4"/>
    <n v="0"/>
    <m/>
  </r>
  <r>
    <x v="21"/>
    <x v="1"/>
    <x v="0"/>
    <x v="66"/>
    <x v="2"/>
    <x v="1"/>
    <n v="1"/>
    <s v=""/>
  </r>
  <r>
    <x v="21"/>
    <x v="1"/>
    <x v="0"/>
    <x v="66"/>
    <x v="2"/>
    <x v="0"/>
    <n v="2"/>
    <s v=""/>
  </r>
  <r>
    <x v="21"/>
    <x v="1"/>
    <x v="0"/>
    <x v="66"/>
    <x v="2"/>
    <x v="2"/>
    <n v="6"/>
    <s v=""/>
  </r>
  <r>
    <x v="21"/>
    <x v="1"/>
    <x v="0"/>
    <x v="67"/>
    <x v="2"/>
    <x v="1"/>
    <n v="1"/>
    <s v=""/>
  </r>
  <r>
    <x v="21"/>
    <x v="1"/>
    <x v="0"/>
    <x v="67"/>
    <x v="2"/>
    <x v="2"/>
    <n v="3"/>
    <s v=""/>
  </r>
  <r>
    <x v="21"/>
    <x v="1"/>
    <x v="0"/>
    <x v="68"/>
    <x v="2"/>
    <x v="0"/>
    <n v="1"/>
    <s v=""/>
  </r>
  <r>
    <x v="21"/>
    <x v="1"/>
    <x v="0"/>
    <x v="69"/>
    <x v="2"/>
    <x v="0"/>
    <n v="3"/>
    <s v=""/>
  </r>
  <r>
    <x v="21"/>
    <x v="1"/>
    <x v="0"/>
    <x v="69"/>
    <x v="2"/>
    <x v="2"/>
    <n v="1"/>
    <s v=""/>
  </r>
  <r>
    <x v="21"/>
    <x v="1"/>
    <x v="0"/>
    <x v="70"/>
    <x v="0"/>
    <x v="1"/>
    <n v="1"/>
    <s v=""/>
  </r>
  <r>
    <x v="21"/>
    <x v="1"/>
    <x v="0"/>
    <x v="70"/>
    <x v="0"/>
    <x v="2"/>
    <n v="1"/>
    <s v=""/>
  </r>
  <r>
    <x v="21"/>
    <x v="1"/>
    <x v="0"/>
    <x v="70"/>
    <x v="2"/>
    <x v="1"/>
    <n v="6"/>
    <s v=""/>
  </r>
  <r>
    <x v="21"/>
    <x v="1"/>
    <x v="0"/>
    <x v="70"/>
    <x v="2"/>
    <x v="2"/>
    <n v="6"/>
    <s v=""/>
  </r>
  <r>
    <x v="21"/>
    <x v="1"/>
    <x v="0"/>
    <x v="71"/>
    <x v="2"/>
    <x v="2"/>
    <n v="1"/>
    <s v=""/>
  </r>
  <r>
    <x v="21"/>
    <x v="1"/>
    <x v="0"/>
    <x v="72"/>
    <x v="2"/>
    <x v="1"/>
    <n v="3"/>
    <s v=""/>
  </r>
  <r>
    <x v="21"/>
    <x v="1"/>
    <x v="0"/>
    <x v="72"/>
    <x v="2"/>
    <x v="2"/>
    <n v="1"/>
    <s v=""/>
  </r>
  <r>
    <x v="21"/>
    <x v="1"/>
    <x v="0"/>
    <x v="73"/>
    <x v="3"/>
    <x v="0"/>
    <n v="1"/>
    <s v=""/>
  </r>
  <r>
    <x v="21"/>
    <x v="1"/>
    <x v="0"/>
    <x v="73"/>
    <x v="2"/>
    <x v="1"/>
    <n v="6"/>
    <s v=""/>
  </r>
  <r>
    <x v="21"/>
    <x v="1"/>
    <x v="0"/>
    <x v="74"/>
    <x v="2"/>
    <x v="1"/>
    <n v="2"/>
    <s v=""/>
  </r>
  <r>
    <x v="21"/>
    <x v="1"/>
    <x v="0"/>
    <x v="74"/>
    <x v="2"/>
    <x v="0"/>
    <n v="1"/>
    <s v=""/>
  </r>
  <r>
    <x v="21"/>
    <x v="1"/>
    <x v="0"/>
    <x v="74"/>
    <x v="2"/>
    <x v="2"/>
    <n v="4"/>
    <s v=""/>
  </r>
  <r>
    <x v="21"/>
    <x v="1"/>
    <x v="0"/>
    <x v="74"/>
    <x v="5"/>
    <x v="2"/>
    <n v="1"/>
    <s v=""/>
  </r>
  <r>
    <x v="21"/>
    <x v="1"/>
    <x v="0"/>
    <x v="75"/>
    <x v="2"/>
    <x v="0"/>
    <n v="2"/>
    <s v=""/>
  </r>
  <r>
    <x v="21"/>
    <x v="1"/>
    <x v="0"/>
    <x v="76"/>
    <x v="2"/>
    <x v="1"/>
    <n v="2"/>
    <s v=""/>
  </r>
  <r>
    <x v="21"/>
    <x v="1"/>
    <x v="0"/>
    <x v="76"/>
    <x v="2"/>
    <x v="2"/>
    <n v="1"/>
    <s v=""/>
  </r>
  <r>
    <x v="21"/>
    <x v="1"/>
    <x v="0"/>
    <x v="77"/>
    <x v="2"/>
    <x v="1"/>
    <n v="2"/>
    <s v=""/>
  </r>
  <r>
    <x v="21"/>
    <x v="1"/>
    <x v="0"/>
    <x v="77"/>
    <x v="2"/>
    <x v="0"/>
    <n v="11"/>
    <s v=""/>
  </r>
  <r>
    <x v="21"/>
    <x v="1"/>
    <x v="0"/>
    <x v="77"/>
    <x v="5"/>
    <x v="1"/>
    <n v="1"/>
    <s v=""/>
  </r>
  <r>
    <x v="21"/>
    <x v="1"/>
    <x v="0"/>
    <x v="78"/>
    <x v="0"/>
    <x v="2"/>
    <n v="1"/>
    <s v=""/>
  </r>
  <r>
    <x v="21"/>
    <x v="1"/>
    <x v="0"/>
    <x v="78"/>
    <x v="2"/>
    <x v="1"/>
    <n v="2"/>
    <s v=""/>
  </r>
  <r>
    <x v="21"/>
    <x v="1"/>
    <x v="0"/>
    <x v="78"/>
    <x v="2"/>
    <x v="2"/>
    <n v="5"/>
    <s v=""/>
  </r>
  <r>
    <x v="21"/>
    <x v="1"/>
    <x v="0"/>
    <x v="79"/>
    <x v="2"/>
    <x v="0"/>
    <n v="3"/>
    <s v=""/>
  </r>
  <r>
    <x v="21"/>
    <x v="1"/>
    <x v="0"/>
    <x v="79"/>
    <x v="2"/>
    <x v="2"/>
    <n v="5"/>
    <s v=""/>
  </r>
  <r>
    <x v="21"/>
    <x v="1"/>
    <x v="1"/>
    <x v="80"/>
    <x v="2"/>
    <x v="2"/>
    <n v="1"/>
    <s v=""/>
  </r>
  <r>
    <x v="21"/>
    <x v="1"/>
    <x v="1"/>
    <x v="81"/>
    <x v="2"/>
    <x v="1"/>
    <n v="1"/>
    <s v=""/>
  </r>
  <r>
    <x v="21"/>
    <x v="1"/>
    <x v="1"/>
    <x v="81"/>
    <x v="5"/>
    <x v="2"/>
    <n v="2"/>
    <s v=""/>
  </r>
  <r>
    <x v="21"/>
    <x v="1"/>
    <x v="1"/>
    <x v="82"/>
    <x v="1"/>
    <x v="4"/>
    <n v="0"/>
    <m/>
  </r>
  <r>
    <x v="21"/>
    <x v="1"/>
    <x v="1"/>
    <x v="83"/>
    <x v="2"/>
    <x v="1"/>
    <n v="7"/>
    <s v=""/>
  </r>
  <r>
    <x v="21"/>
    <x v="1"/>
    <x v="1"/>
    <x v="83"/>
    <x v="2"/>
    <x v="0"/>
    <n v="1"/>
    <s v=""/>
  </r>
  <r>
    <x v="21"/>
    <x v="1"/>
    <x v="1"/>
    <x v="83"/>
    <x v="2"/>
    <x v="2"/>
    <n v="2"/>
    <s v=""/>
  </r>
  <r>
    <x v="21"/>
    <x v="1"/>
    <x v="1"/>
    <x v="83"/>
    <x v="5"/>
    <x v="1"/>
    <n v="10"/>
    <s v=""/>
  </r>
  <r>
    <x v="21"/>
    <x v="1"/>
    <x v="1"/>
    <x v="84"/>
    <x v="3"/>
    <x v="0"/>
    <n v="1"/>
    <s v=""/>
  </r>
  <r>
    <x v="21"/>
    <x v="1"/>
    <x v="1"/>
    <x v="84"/>
    <x v="1"/>
    <x v="4"/>
    <n v="0"/>
    <m/>
  </r>
  <r>
    <x v="21"/>
    <x v="1"/>
    <x v="1"/>
    <x v="84"/>
    <x v="2"/>
    <x v="0"/>
    <n v="3"/>
    <s v=""/>
  </r>
  <r>
    <x v="21"/>
    <x v="1"/>
    <x v="1"/>
    <x v="84"/>
    <x v="2"/>
    <x v="2"/>
    <n v="3"/>
    <s v=""/>
  </r>
  <r>
    <x v="21"/>
    <x v="1"/>
    <x v="1"/>
    <x v="84"/>
    <x v="5"/>
    <x v="0"/>
    <n v="1"/>
    <s v=""/>
  </r>
  <r>
    <x v="21"/>
    <x v="1"/>
    <x v="1"/>
    <x v="84"/>
    <x v="5"/>
    <x v="2"/>
    <n v="6"/>
    <s v=""/>
  </r>
  <r>
    <x v="21"/>
    <x v="1"/>
    <x v="1"/>
    <x v="85"/>
    <x v="0"/>
    <x v="2"/>
    <n v="1"/>
    <s v=""/>
  </r>
  <r>
    <x v="21"/>
    <x v="1"/>
    <x v="1"/>
    <x v="85"/>
    <x v="2"/>
    <x v="0"/>
    <n v="3"/>
    <s v=""/>
  </r>
  <r>
    <x v="21"/>
    <x v="1"/>
    <x v="1"/>
    <x v="85"/>
    <x v="2"/>
    <x v="2"/>
    <n v="3"/>
    <s v=""/>
  </r>
  <r>
    <x v="21"/>
    <x v="1"/>
    <x v="1"/>
    <x v="85"/>
    <x v="5"/>
    <x v="2"/>
    <n v="5"/>
    <s v=""/>
  </r>
  <r>
    <x v="21"/>
    <x v="1"/>
    <x v="1"/>
    <x v="86"/>
    <x v="1"/>
    <x v="4"/>
    <n v="0"/>
    <m/>
  </r>
  <r>
    <x v="21"/>
    <x v="1"/>
    <x v="1"/>
    <x v="87"/>
    <x v="0"/>
    <x v="2"/>
    <n v="1"/>
    <s v=""/>
  </r>
  <r>
    <x v="21"/>
    <x v="1"/>
    <x v="1"/>
    <x v="87"/>
    <x v="2"/>
    <x v="0"/>
    <n v="1"/>
    <s v=""/>
  </r>
  <r>
    <x v="21"/>
    <x v="1"/>
    <x v="1"/>
    <x v="87"/>
    <x v="2"/>
    <x v="2"/>
    <n v="4"/>
    <s v=""/>
  </r>
  <r>
    <x v="21"/>
    <x v="1"/>
    <x v="1"/>
    <x v="87"/>
    <x v="5"/>
    <x v="0"/>
    <n v="1"/>
    <s v=""/>
  </r>
  <r>
    <x v="21"/>
    <x v="1"/>
    <x v="1"/>
    <x v="88"/>
    <x v="2"/>
    <x v="1"/>
    <n v="2"/>
    <s v=""/>
  </r>
  <r>
    <x v="21"/>
    <x v="1"/>
    <x v="1"/>
    <x v="88"/>
    <x v="2"/>
    <x v="0"/>
    <n v="1"/>
    <s v=""/>
  </r>
  <r>
    <x v="21"/>
    <x v="1"/>
    <x v="1"/>
    <x v="88"/>
    <x v="2"/>
    <x v="2"/>
    <n v="1"/>
    <s v=""/>
  </r>
  <r>
    <x v="21"/>
    <x v="1"/>
    <x v="1"/>
    <x v="88"/>
    <x v="5"/>
    <x v="0"/>
    <n v="1"/>
    <s v=""/>
  </r>
  <r>
    <x v="21"/>
    <x v="1"/>
    <x v="1"/>
    <x v="88"/>
    <x v="5"/>
    <x v="2"/>
    <n v="5"/>
    <s v=""/>
  </r>
  <r>
    <x v="21"/>
    <x v="1"/>
    <x v="1"/>
    <x v="89"/>
    <x v="2"/>
    <x v="0"/>
    <n v="1"/>
    <s v=""/>
  </r>
  <r>
    <x v="21"/>
    <x v="1"/>
    <x v="1"/>
    <x v="90"/>
    <x v="2"/>
    <x v="0"/>
    <n v="2"/>
    <s v=""/>
  </r>
  <r>
    <x v="21"/>
    <x v="1"/>
    <x v="1"/>
    <x v="91"/>
    <x v="2"/>
    <x v="0"/>
    <n v="1"/>
    <s v=""/>
  </r>
  <r>
    <x v="21"/>
    <x v="1"/>
    <x v="1"/>
    <x v="92"/>
    <x v="2"/>
    <x v="0"/>
    <n v="3"/>
    <s v=""/>
  </r>
  <r>
    <x v="21"/>
    <x v="1"/>
    <x v="1"/>
    <x v="92"/>
    <x v="2"/>
    <x v="2"/>
    <n v="2"/>
    <s v=""/>
  </r>
  <r>
    <x v="21"/>
    <x v="1"/>
    <x v="1"/>
    <x v="93"/>
    <x v="2"/>
    <x v="0"/>
    <n v="1"/>
    <s v=""/>
  </r>
  <r>
    <x v="21"/>
    <x v="1"/>
    <x v="1"/>
    <x v="93"/>
    <x v="2"/>
    <x v="2"/>
    <n v="1"/>
    <s v=""/>
  </r>
  <r>
    <x v="21"/>
    <x v="1"/>
    <x v="1"/>
    <x v="94"/>
    <x v="2"/>
    <x v="2"/>
    <n v="1"/>
    <s v=""/>
  </r>
  <r>
    <x v="21"/>
    <x v="1"/>
    <x v="1"/>
    <x v="95"/>
    <x v="2"/>
    <x v="0"/>
    <n v="4"/>
    <s v=""/>
  </r>
  <r>
    <x v="21"/>
    <x v="1"/>
    <x v="1"/>
    <x v="95"/>
    <x v="2"/>
    <x v="2"/>
    <n v="2"/>
    <s v=""/>
  </r>
  <r>
    <x v="21"/>
    <x v="1"/>
    <x v="1"/>
    <x v="95"/>
    <x v="5"/>
    <x v="0"/>
    <n v="1"/>
    <s v=""/>
  </r>
  <r>
    <x v="21"/>
    <x v="1"/>
    <x v="1"/>
    <x v="96"/>
    <x v="2"/>
    <x v="0"/>
    <n v="1"/>
    <s v=""/>
  </r>
  <r>
    <x v="21"/>
    <x v="1"/>
    <x v="1"/>
    <x v="97"/>
    <x v="2"/>
    <x v="0"/>
    <n v="5"/>
    <s v=""/>
  </r>
  <r>
    <x v="21"/>
    <x v="1"/>
    <x v="1"/>
    <x v="98"/>
    <x v="1"/>
    <x v="4"/>
    <n v="0"/>
    <m/>
  </r>
  <r>
    <x v="21"/>
    <x v="1"/>
    <x v="1"/>
    <x v="99"/>
    <x v="1"/>
    <x v="4"/>
    <n v="0"/>
    <m/>
  </r>
  <r>
    <x v="21"/>
    <x v="1"/>
    <x v="2"/>
    <x v="100"/>
    <x v="1"/>
    <x v="4"/>
    <n v="0"/>
    <m/>
  </r>
  <r>
    <x v="21"/>
    <x v="1"/>
    <x v="2"/>
    <x v="101"/>
    <x v="2"/>
    <x v="0"/>
    <n v="3"/>
    <s v=""/>
  </r>
  <r>
    <x v="21"/>
    <x v="1"/>
    <x v="2"/>
    <x v="101"/>
    <x v="2"/>
    <x v="2"/>
    <n v="1"/>
    <s v=""/>
  </r>
  <r>
    <x v="21"/>
    <x v="1"/>
    <x v="2"/>
    <x v="102"/>
    <x v="2"/>
    <x v="1"/>
    <n v="4"/>
    <s v=""/>
  </r>
  <r>
    <x v="21"/>
    <x v="1"/>
    <x v="2"/>
    <x v="102"/>
    <x v="2"/>
    <x v="0"/>
    <n v="1"/>
    <s v=""/>
  </r>
  <r>
    <x v="21"/>
    <x v="1"/>
    <x v="2"/>
    <x v="102"/>
    <x v="2"/>
    <x v="2"/>
    <n v="1"/>
    <s v=""/>
  </r>
  <r>
    <x v="21"/>
    <x v="1"/>
    <x v="2"/>
    <x v="103"/>
    <x v="1"/>
    <x v="4"/>
    <n v="0"/>
    <m/>
  </r>
  <r>
    <x v="21"/>
    <x v="1"/>
    <x v="2"/>
    <x v="104"/>
    <x v="2"/>
    <x v="1"/>
    <n v="3"/>
    <s v=""/>
  </r>
  <r>
    <x v="21"/>
    <x v="1"/>
    <x v="2"/>
    <x v="104"/>
    <x v="2"/>
    <x v="2"/>
    <n v="2"/>
    <s v=""/>
  </r>
  <r>
    <x v="21"/>
    <x v="1"/>
    <x v="2"/>
    <x v="104"/>
    <x v="5"/>
    <x v="2"/>
    <n v="1"/>
    <s v=""/>
  </r>
  <r>
    <x v="21"/>
    <x v="1"/>
    <x v="2"/>
    <x v="105"/>
    <x v="2"/>
    <x v="1"/>
    <n v="1"/>
    <s v=""/>
  </r>
  <r>
    <x v="21"/>
    <x v="1"/>
    <x v="2"/>
    <x v="105"/>
    <x v="2"/>
    <x v="0"/>
    <n v="1"/>
    <s v=""/>
  </r>
  <r>
    <x v="21"/>
    <x v="1"/>
    <x v="2"/>
    <x v="106"/>
    <x v="2"/>
    <x v="2"/>
    <n v="1"/>
    <s v=""/>
  </r>
  <r>
    <x v="21"/>
    <x v="1"/>
    <x v="2"/>
    <x v="106"/>
    <x v="5"/>
    <x v="2"/>
    <n v="1"/>
    <s v=""/>
  </r>
  <r>
    <x v="21"/>
    <x v="1"/>
    <x v="2"/>
    <x v="107"/>
    <x v="1"/>
    <x v="4"/>
    <n v="0"/>
    <m/>
  </r>
  <r>
    <x v="21"/>
    <x v="1"/>
    <x v="2"/>
    <x v="108"/>
    <x v="1"/>
    <x v="4"/>
    <n v="0"/>
    <m/>
  </r>
  <r>
    <x v="21"/>
    <x v="1"/>
    <x v="2"/>
    <x v="109"/>
    <x v="1"/>
    <x v="4"/>
    <n v="0"/>
    <m/>
  </r>
  <r>
    <x v="21"/>
    <x v="1"/>
    <x v="2"/>
    <x v="110"/>
    <x v="1"/>
    <x v="4"/>
    <n v="0"/>
    <m/>
  </r>
  <r>
    <x v="21"/>
    <x v="1"/>
    <x v="2"/>
    <x v="111"/>
    <x v="3"/>
    <x v="1"/>
    <n v="1"/>
    <s v=""/>
  </r>
  <r>
    <x v="21"/>
    <x v="1"/>
    <x v="2"/>
    <x v="111"/>
    <x v="2"/>
    <x v="1"/>
    <n v="3"/>
    <s v=""/>
  </r>
  <r>
    <x v="21"/>
    <x v="1"/>
    <x v="2"/>
    <x v="111"/>
    <x v="5"/>
    <x v="1"/>
    <n v="1"/>
    <s v=""/>
  </r>
  <r>
    <x v="21"/>
    <x v="1"/>
    <x v="2"/>
    <x v="112"/>
    <x v="2"/>
    <x v="0"/>
    <n v="1"/>
    <s v=""/>
  </r>
  <r>
    <x v="21"/>
    <x v="1"/>
    <x v="2"/>
    <x v="112"/>
    <x v="5"/>
    <x v="0"/>
    <n v="1"/>
    <s v=""/>
  </r>
  <r>
    <x v="21"/>
    <x v="1"/>
    <x v="2"/>
    <x v="113"/>
    <x v="2"/>
    <x v="0"/>
    <n v="3"/>
    <s v=""/>
  </r>
  <r>
    <x v="21"/>
    <x v="1"/>
    <x v="2"/>
    <x v="113"/>
    <x v="5"/>
    <x v="1"/>
    <n v="1"/>
    <s v=""/>
  </r>
  <r>
    <x v="21"/>
    <x v="1"/>
    <x v="2"/>
    <x v="113"/>
    <x v="5"/>
    <x v="0"/>
    <n v="1"/>
    <s v=""/>
  </r>
  <r>
    <x v="21"/>
    <x v="1"/>
    <x v="2"/>
    <x v="114"/>
    <x v="2"/>
    <x v="1"/>
    <n v="1"/>
    <s v=""/>
  </r>
  <r>
    <x v="21"/>
    <x v="1"/>
    <x v="2"/>
    <x v="115"/>
    <x v="1"/>
    <x v="4"/>
    <n v="0"/>
    <m/>
  </r>
  <r>
    <x v="21"/>
    <x v="1"/>
    <x v="2"/>
    <x v="116"/>
    <x v="1"/>
    <x v="4"/>
    <n v="0"/>
    <m/>
  </r>
  <r>
    <x v="21"/>
    <x v="1"/>
    <x v="2"/>
    <x v="117"/>
    <x v="2"/>
    <x v="2"/>
    <n v="2"/>
    <s v=""/>
  </r>
  <r>
    <x v="21"/>
    <x v="1"/>
    <x v="2"/>
    <x v="118"/>
    <x v="2"/>
    <x v="2"/>
    <n v="2"/>
    <s v=""/>
  </r>
  <r>
    <x v="21"/>
    <x v="1"/>
    <x v="2"/>
    <x v="119"/>
    <x v="2"/>
    <x v="1"/>
    <n v="3"/>
    <s v=""/>
  </r>
  <r>
    <x v="21"/>
    <x v="2"/>
    <x v="0"/>
    <x v="120"/>
    <x v="1"/>
    <x v="4"/>
    <n v="0"/>
    <m/>
  </r>
  <r>
    <x v="21"/>
    <x v="2"/>
    <x v="0"/>
    <x v="121"/>
    <x v="1"/>
    <x v="4"/>
    <n v="0"/>
    <m/>
  </r>
  <r>
    <x v="21"/>
    <x v="2"/>
    <x v="0"/>
    <x v="122"/>
    <x v="2"/>
    <x v="0"/>
    <n v="1"/>
    <s v=""/>
  </r>
  <r>
    <x v="21"/>
    <x v="2"/>
    <x v="0"/>
    <x v="123"/>
    <x v="1"/>
    <x v="4"/>
    <n v="0"/>
    <m/>
  </r>
  <r>
    <x v="21"/>
    <x v="2"/>
    <x v="0"/>
    <x v="124"/>
    <x v="2"/>
    <x v="1"/>
    <n v="1"/>
    <s v=""/>
  </r>
  <r>
    <x v="21"/>
    <x v="2"/>
    <x v="0"/>
    <x v="124"/>
    <x v="2"/>
    <x v="2"/>
    <n v="3"/>
    <s v=""/>
  </r>
  <r>
    <x v="21"/>
    <x v="2"/>
    <x v="0"/>
    <x v="125"/>
    <x v="1"/>
    <x v="4"/>
    <n v="0"/>
    <m/>
  </r>
  <r>
    <x v="21"/>
    <x v="2"/>
    <x v="0"/>
    <x v="126"/>
    <x v="1"/>
    <x v="4"/>
    <n v="0"/>
    <m/>
  </r>
  <r>
    <x v="21"/>
    <x v="2"/>
    <x v="0"/>
    <x v="127"/>
    <x v="1"/>
    <x v="4"/>
    <n v="0"/>
    <m/>
  </r>
  <r>
    <x v="21"/>
    <x v="2"/>
    <x v="0"/>
    <x v="128"/>
    <x v="2"/>
    <x v="0"/>
    <n v="1"/>
    <s v=""/>
  </r>
  <r>
    <x v="21"/>
    <x v="2"/>
    <x v="0"/>
    <x v="129"/>
    <x v="1"/>
    <x v="4"/>
    <n v="0"/>
    <m/>
  </r>
  <r>
    <x v="21"/>
    <x v="2"/>
    <x v="0"/>
    <x v="130"/>
    <x v="2"/>
    <x v="0"/>
    <n v="1"/>
    <s v=""/>
  </r>
  <r>
    <x v="21"/>
    <x v="2"/>
    <x v="0"/>
    <x v="130"/>
    <x v="2"/>
    <x v="2"/>
    <n v="1"/>
    <s v=""/>
  </r>
  <r>
    <x v="21"/>
    <x v="2"/>
    <x v="0"/>
    <x v="131"/>
    <x v="1"/>
    <x v="4"/>
    <n v="0"/>
    <m/>
  </r>
  <r>
    <x v="21"/>
    <x v="2"/>
    <x v="0"/>
    <x v="132"/>
    <x v="2"/>
    <x v="2"/>
    <n v="5"/>
    <s v=""/>
  </r>
  <r>
    <x v="21"/>
    <x v="2"/>
    <x v="0"/>
    <x v="132"/>
    <x v="5"/>
    <x v="2"/>
    <n v="1"/>
    <s v=""/>
  </r>
  <r>
    <x v="21"/>
    <x v="2"/>
    <x v="0"/>
    <x v="133"/>
    <x v="2"/>
    <x v="2"/>
    <n v="2"/>
    <s v=""/>
  </r>
  <r>
    <x v="21"/>
    <x v="2"/>
    <x v="0"/>
    <x v="134"/>
    <x v="2"/>
    <x v="0"/>
    <n v="1"/>
    <s v=""/>
  </r>
  <r>
    <x v="21"/>
    <x v="2"/>
    <x v="0"/>
    <x v="135"/>
    <x v="4"/>
    <x v="3"/>
    <s v=""/>
    <s v="plaque absente"/>
  </r>
  <r>
    <x v="21"/>
    <x v="2"/>
    <x v="0"/>
    <x v="136"/>
    <x v="4"/>
    <x v="3"/>
    <s v=""/>
    <s v="plaque absente"/>
  </r>
  <r>
    <x v="21"/>
    <x v="2"/>
    <x v="0"/>
    <x v="137"/>
    <x v="2"/>
    <x v="0"/>
    <n v="1"/>
    <s v=""/>
  </r>
  <r>
    <x v="21"/>
    <x v="2"/>
    <x v="0"/>
    <x v="137"/>
    <x v="2"/>
    <x v="2"/>
    <n v="3"/>
    <s v=""/>
  </r>
  <r>
    <x v="21"/>
    <x v="2"/>
    <x v="0"/>
    <x v="138"/>
    <x v="2"/>
    <x v="0"/>
    <n v="2"/>
    <s v=""/>
  </r>
  <r>
    <x v="21"/>
    <x v="2"/>
    <x v="0"/>
    <x v="139"/>
    <x v="1"/>
    <x v="4"/>
    <n v="0"/>
    <m/>
  </r>
  <r>
    <x v="21"/>
    <x v="2"/>
    <x v="1"/>
    <x v="140"/>
    <x v="2"/>
    <x v="1"/>
    <n v="1"/>
    <s v=""/>
  </r>
  <r>
    <x v="21"/>
    <x v="2"/>
    <x v="1"/>
    <x v="141"/>
    <x v="2"/>
    <x v="0"/>
    <n v="1"/>
    <s v=""/>
  </r>
  <r>
    <x v="21"/>
    <x v="2"/>
    <x v="1"/>
    <x v="141"/>
    <x v="2"/>
    <x v="2"/>
    <n v="1"/>
    <s v=""/>
  </r>
  <r>
    <x v="21"/>
    <x v="2"/>
    <x v="1"/>
    <x v="142"/>
    <x v="1"/>
    <x v="4"/>
    <n v="0"/>
    <m/>
  </r>
  <r>
    <x v="21"/>
    <x v="2"/>
    <x v="1"/>
    <x v="143"/>
    <x v="2"/>
    <x v="1"/>
    <n v="1"/>
    <s v=""/>
  </r>
  <r>
    <x v="21"/>
    <x v="2"/>
    <x v="1"/>
    <x v="143"/>
    <x v="5"/>
    <x v="2"/>
    <n v="1"/>
    <s v=""/>
  </r>
  <r>
    <x v="21"/>
    <x v="2"/>
    <x v="1"/>
    <x v="144"/>
    <x v="5"/>
    <x v="0"/>
    <n v="1"/>
    <s v=""/>
  </r>
  <r>
    <x v="21"/>
    <x v="2"/>
    <x v="1"/>
    <x v="145"/>
    <x v="2"/>
    <x v="1"/>
    <n v="2"/>
    <s v=""/>
  </r>
  <r>
    <x v="21"/>
    <x v="2"/>
    <x v="1"/>
    <x v="145"/>
    <x v="2"/>
    <x v="2"/>
    <n v="2"/>
    <s v=""/>
  </r>
  <r>
    <x v="21"/>
    <x v="2"/>
    <x v="1"/>
    <x v="145"/>
    <x v="5"/>
    <x v="2"/>
    <n v="1"/>
    <s v=""/>
  </r>
  <r>
    <x v="21"/>
    <x v="2"/>
    <x v="1"/>
    <x v="146"/>
    <x v="1"/>
    <x v="4"/>
    <n v="0"/>
    <m/>
  </r>
  <r>
    <x v="21"/>
    <x v="2"/>
    <x v="1"/>
    <x v="147"/>
    <x v="1"/>
    <x v="4"/>
    <n v="0"/>
    <m/>
  </r>
  <r>
    <x v="21"/>
    <x v="2"/>
    <x v="1"/>
    <x v="148"/>
    <x v="2"/>
    <x v="1"/>
    <n v="1"/>
    <s v=""/>
  </r>
  <r>
    <x v="21"/>
    <x v="2"/>
    <x v="1"/>
    <x v="148"/>
    <x v="2"/>
    <x v="0"/>
    <n v="2"/>
    <s v=""/>
  </r>
  <r>
    <x v="21"/>
    <x v="2"/>
    <x v="1"/>
    <x v="148"/>
    <x v="2"/>
    <x v="2"/>
    <n v="2"/>
    <s v=""/>
  </r>
  <r>
    <x v="21"/>
    <x v="2"/>
    <x v="1"/>
    <x v="148"/>
    <x v="5"/>
    <x v="0"/>
    <n v="1"/>
    <s v=""/>
  </r>
  <r>
    <x v="21"/>
    <x v="2"/>
    <x v="1"/>
    <x v="149"/>
    <x v="2"/>
    <x v="2"/>
    <n v="2"/>
    <s v=""/>
  </r>
  <r>
    <x v="21"/>
    <x v="2"/>
    <x v="1"/>
    <x v="150"/>
    <x v="2"/>
    <x v="2"/>
    <n v="1"/>
    <s v=""/>
  </r>
  <r>
    <x v="21"/>
    <x v="2"/>
    <x v="1"/>
    <x v="151"/>
    <x v="1"/>
    <x v="4"/>
    <n v="0"/>
    <m/>
  </r>
  <r>
    <x v="21"/>
    <x v="2"/>
    <x v="1"/>
    <x v="152"/>
    <x v="1"/>
    <x v="4"/>
    <n v="0"/>
    <m/>
  </r>
  <r>
    <x v="21"/>
    <x v="2"/>
    <x v="1"/>
    <x v="153"/>
    <x v="2"/>
    <x v="1"/>
    <n v="1"/>
    <s v=""/>
  </r>
  <r>
    <x v="21"/>
    <x v="2"/>
    <x v="1"/>
    <x v="154"/>
    <x v="1"/>
    <x v="4"/>
    <n v="0"/>
    <m/>
  </r>
  <r>
    <x v="21"/>
    <x v="2"/>
    <x v="1"/>
    <x v="155"/>
    <x v="1"/>
    <x v="4"/>
    <n v="0"/>
    <m/>
  </r>
  <r>
    <x v="21"/>
    <x v="2"/>
    <x v="1"/>
    <x v="156"/>
    <x v="1"/>
    <x v="4"/>
    <n v="0"/>
    <m/>
  </r>
  <r>
    <x v="21"/>
    <x v="2"/>
    <x v="1"/>
    <x v="157"/>
    <x v="2"/>
    <x v="0"/>
    <n v="1"/>
    <s v=""/>
  </r>
  <r>
    <x v="21"/>
    <x v="2"/>
    <x v="1"/>
    <x v="157"/>
    <x v="2"/>
    <x v="2"/>
    <n v="1"/>
    <s v=""/>
  </r>
  <r>
    <x v="21"/>
    <x v="2"/>
    <x v="1"/>
    <x v="158"/>
    <x v="2"/>
    <x v="0"/>
    <n v="1"/>
    <s v=""/>
  </r>
  <r>
    <x v="21"/>
    <x v="2"/>
    <x v="1"/>
    <x v="159"/>
    <x v="2"/>
    <x v="1"/>
    <n v="1"/>
    <s v=""/>
  </r>
  <r>
    <x v="21"/>
    <x v="2"/>
    <x v="2"/>
    <x v="160"/>
    <x v="2"/>
    <x v="2"/>
    <n v="1"/>
    <s v=""/>
  </r>
  <r>
    <x v="21"/>
    <x v="2"/>
    <x v="2"/>
    <x v="161"/>
    <x v="1"/>
    <x v="4"/>
    <n v="0"/>
    <m/>
  </r>
  <r>
    <x v="21"/>
    <x v="2"/>
    <x v="2"/>
    <x v="162"/>
    <x v="1"/>
    <x v="4"/>
    <n v="0"/>
    <m/>
  </r>
  <r>
    <x v="21"/>
    <x v="2"/>
    <x v="2"/>
    <x v="163"/>
    <x v="2"/>
    <x v="1"/>
    <n v="2"/>
    <s v=""/>
  </r>
  <r>
    <x v="21"/>
    <x v="2"/>
    <x v="2"/>
    <x v="163"/>
    <x v="2"/>
    <x v="0"/>
    <n v="1"/>
    <s v=""/>
  </r>
  <r>
    <x v="21"/>
    <x v="2"/>
    <x v="2"/>
    <x v="164"/>
    <x v="5"/>
    <x v="2"/>
    <n v="1"/>
    <s v=""/>
  </r>
  <r>
    <x v="21"/>
    <x v="2"/>
    <x v="2"/>
    <x v="165"/>
    <x v="2"/>
    <x v="1"/>
    <n v="1"/>
    <s v=""/>
  </r>
  <r>
    <x v="21"/>
    <x v="2"/>
    <x v="2"/>
    <x v="165"/>
    <x v="2"/>
    <x v="2"/>
    <n v="1"/>
    <s v=""/>
  </r>
  <r>
    <x v="21"/>
    <x v="2"/>
    <x v="2"/>
    <x v="166"/>
    <x v="2"/>
    <x v="1"/>
    <n v="1"/>
    <s v=""/>
  </r>
  <r>
    <x v="21"/>
    <x v="2"/>
    <x v="2"/>
    <x v="167"/>
    <x v="2"/>
    <x v="0"/>
    <n v="1"/>
    <s v=""/>
  </r>
  <r>
    <x v="21"/>
    <x v="2"/>
    <x v="2"/>
    <x v="167"/>
    <x v="2"/>
    <x v="2"/>
    <n v="1"/>
    <s v=""/>
  </r>
  <r>
    <x v="21"/>
    <x v="2"/>
    <x v="2"/>
    <x v="168"/>
    <x v="2"/>
    <x v="1"/>
    <n v="1"/>
    <s v=""/>
  </r>
  <r>
    <x v="21"/>
    <x v="2"/>
    <x v="2"/>
    <x v="169"/>
    <x v="1"/>
    <x v="4"/>
    <n v="0"/>
    <m/>
  </r>
  <r>
    <x v="21"/>
    <x v="2"/>
    <x v="2"/>
    <x v="170"/>
    <x v="1"/>
    <x v="4"/>
    <n v="0"/>
    <m/>
  </r>
  <r>
    <x v="21"/>
    <x v="2"/>
    <x v="2"/>
    <x v="171"/>
    <x v="2"/>
    <x v="1"/>
    <n v="3"/>
    <s v=""/>
  </r>
  <r>
    <x v="21"/>
    <x v="2"/>
    <x v="2"/>
    <x v="171"/>
    <x v="5"/>
    <x v="1"/>
    <n v="1"/>
    <s v=""/>
  </r>
  <r>
    <x v="21"/>
    <x v="2"/>
    <x v="2"/>
    <x v="172"/>
    <x v="2"/>
    <x v="0"/>
    <n v="1"/>
    <s v=""/>
  </r>
  <r>
    <x v="21"/>
    <x v="2"/>
    <x v="2"/>
    <x v="173"/>
    <x v="2"/>
    <x v="0"/>
    <n v="2"/>
    <s v=""/>
  </r>
  <r>
    <x v="21"/>
    <x v="2"/>
    <x v="2"/>
    <x v="174"/>
    <x v="0"/>
    <x v="0"/>
    <n v="1"/>
    <s v=""/>
  </r>
  <r>
    <x v="21"/>
    <x v="2"/>
    <x v="2"/>
    <x v="174"/>
    <x v="2"/>
    <x v="1"/>
    <n v="1"/>
    <s v=""/>
  </r>
  <r>
    <x v="21"/>
    <x v="2"/>
    <x v="2"/>
    <x v="174"/>
    <x v="2"/>
    <x v="0"/>
    <n v="8"/>
    <s v=""/>
  </r>
  <r>
    <x v="21"/>
    <x v="2"/>
    <x v="2"/>
    <x v="175"/>
    <x v="2"/>
    <x v="0"/>
    <n v="1"/>
    <s v=""/>
  </r>
  <r>
    <x v="21"/>
    <x v="2"/>
    <x v="2"/>
    <x v="176"/>
    <x v="2"/>
    <x v="2"/>
    <n v="2"/>
    <s v=""/>
  </r>
  <r>
    <x v="21"/>
    <x v="2"/>
    <x v="2"/>
    <x v="177"/>
    <x v="1"/>
    <x v="4"/>
    <n v="0"/>
    <m/>
  </r>
  <r>
    <x v="21"/>
    <x v="2"/>
    <x v="2"/>
    <x v="178"/>
    <x v="2"/>
    <x v="1"/>
    <n v="1"/>
    <s v=""/>
  </r>
  <r>
    <x v="21"/>
    <x v="2"/>
    <x v="2"/>
    <x v="178"/>
    <x v="2"/>
    <x v="0"/>
    <n v="2"/>
    <s v=""/>
  </r>
  <r>
    <x v="21"/>
    <x v="2"/>
    <x v="2"/>
    <x v="178"/>
    <x v="5"/>
    <x v="2"/>
    <n v="1"/>
    <s v=""/>
  </r>
  <r>
    <x v="21"/>
    <x v="2"/>
    <x v="2"/>
    <x v="179"/>
    <x v="2"/>
    <x v="0"/>
    <n v="1"/>
    <s v=""/>
  </r>
  <r>
    <x v="22"/>
    <x v="0"/>
    <x v="0"/>
    <x v="0"/>
    <x v="1"/>
    <x v="4"/>
    <n v="0"/>
    <m/>
  </r>
  <r>
    <x v="22"/>
    <x v="0"/>
    <x v="0"/>
    <x v="16"/>
    <x v="1"/>
    <x v="4"/>
    <n v="0"/>
    <m/>
  </r>
  <r>
    <x v="22"/>
    <x v="0"/>
    <x v="0"/>
    <x v="15"/>
    <x v="1"/>
    <x v="4"/>
    <n v="0"/>
    <m/>
  </r>
  <r>
    <x v="22"/>
    <x v="0"/>
    <x v="0"/>
    <x v="17"/>
    <x v="1"/>
    <x v="4"/>
    <n v="0"/>
    <m/>
  </r>
  <r>
    <x v="22"/>
    <x v="0"/>
    <x v="0"/>
    <x v="14"/>
    <x v="1"/>
    <x v="4"/>
    <n v="0"/>
    <m/>
  </r>
  <r>
    <x v="22"/>
    <x v="0"/>
    <x v="0"/>
    <x v="18"/>
    <x v="1"/>
    <x v="4"/>
    <n v="0"/>
    <m/>
  </r>
  <r>
    <x v="22"/>
    <x v="0"/>
    <x v="0"/>
    <x v="13"/>
    <x v="1"/>
    <x v="4"/>
    <n v="0"/>
    <m/>
  </r>
  <r>
    <x v="22"/>
    <x v="0"/>
    <x v="0"/>
    <x v="19"/>
    <x v="1"/>
    <x v="4"/>
    <n v="0"/>
    <m/>
  </r>
  <r>
    <x v="22"/>
    <x v="0"/>
    <x v="0"/>
    <x v="20"/>
    <x v="1"/>
    <x v="4"/>
    <n v="0"/>
    <m/>
  </r>
  <r>
    <x v="22"/>
    <x v="0"/>
    <x v="0"/>
    <x v="12"/>
    <x v="0"/>
    <x v="2"/>
    <n v="1"/>
    <s v=""/>
  </r>
  <r>
    <x v="22"/>
    <x v="0"/>
    <x v="0"/>
    <x v="21"/>
    <x v="1"/>
    <x v="4"/>
    <n v="0"/>
    <m/>
  </r>
  <r>
    <x v="22"/>
    <x v="0"/>
    <x v="0"/>
    <x v="22"/>
    <x v="1"/>
    <x v="4"/>
    <n v="0"/>
    <m/>
  </r>
  <r>
    <x v="22"/>
    <x v="0"/>
    <x v="0"/>
    <x v="23"/>
    <x v="1"/>
    <x v="4"/>
    <n v="0"/>
    <m/>
  </r>
  <r>
    <x v="22"/>
    <x v="0"/>
    <x v="0"/>
    <x v="24"/>
    <x v="1"/>
    <x v="4"/>
    <n v="0"/>
    <m/>
  </r>
  <r>
    <x v="22"/>
    <x v="0"/>
    <x v="0"/>
    <x v="25"/>
    <x v="1"/>
    <x v="4"/>
    <n v="0"/>
    <m/>
  </r>
  <r>
    <x v="22"/>
    <x v="0"/>
    <x v="0"/>
    <x v="26"/>
    <x v="1"/>
    <x v="4"/>
    <n v="0"/>
    <m/>
  </r>
  <r>
    <x v="22"/>
    <x v="0"/>
    <x v="0"/>
    <x v="27"/>
    <x v="2"/>
    <x v="0"/>
    <n v="2"/>
    <s v=""/>
  </r>
  <r>
    <x v="22"/>
    <x v="0"/>
    <x v="0"/>
    <x v="28"/>
    <x v="1"/>
    <x v="4"/>
    <n v="0"/>
    <m/>
  </r>
  <r>
    <x v="22"/>
    <x v="0"/>
    <x v="0"/>
    <x v="11"/>
    <x v="1"/>
    <x v="4"/>
    <n v="0"/>
    <m/>
  </r>
  <r>
    <x v="22"/>
    <x v="0"/>
    <x v="0"/>
    <x v="29"/>
    <x v="1"/>
    <x v="4"/>
    <n v="0"/>
    <m/>
  </r>
  <r>
    <x v="22"/>
    <x v="0"/>
    <x v="1"/>
    <x v="30"/>
    <x v="1"/>
    <x v="4"/>
    <n v="0"/>
    <m/>
  </r>
  <r>
    <x v="22"/>
    <x v="0"/>
    <x v="1"/>
    <x v="31"/>
    <x v="1"/>
    <x v="4"/>
    <n v="0"/>
    <m/>
  </r>
  <r>
    <x v="22"/>
    <x v="0"/>
    <x v="1"/>
    <x v="32"/>
    <x v="1"/>
    <x v="4"/>
    <n v="0"/>
    <m/>
  </r>
  <r>
    <x v="22"/>
    <x v="0"/>
    <x v="1"/>
    <x v="33"/>
    <x v="1"/>
    <x v="4"/>
    <n v="0"/>
    <m/>
  </r>
  <r>
    <x v="22"/>
    <x v="0"/>
    <x v="1"/>
    <x v="10"/>
    <x v="1"/>
    <x v="4"/>
    <n v="0"/>
    <m/>
  </r>
  <r>
    <x v="22"/>
    <x v="0"/>
    <x v="1"/>
    <x v="34"/>
    <x v="1"/>
    <x v="4"/>
    <n v="0"/>
    <m/>
  </r>
  <r>
    <x v="22"/>
    <x v="0"/>
    <x v="1"/>
    <x v="35"/>
    <x v="1"/>
    <x v="4"/>
    <n v="0"/>
    <m/>
  </r>
  <r>
    <x v="22"/>
    <x v="0"/>
    <x v="1"/>
    <x v="36"/>
    <x v="1"/>
    <x v="4"/>
    <n v="0"/>
    <m/>
  </r>
  <r>
    <x v="22"/>
    <x v="0"/>
    <x v="1"/>
    <x v="37"/>
    <x v="1"/>
    <x v="4"/>
    <n v="0"/>
    <m/>
  </r>
  <r>
    <x v="22"/>
    <x v="0"/>
    <x v="1"/>
    <x v="9"/>
    <x v="4"/>
    <x v="3"/>
    <s v=""/>
    <s v="plaque absente"/>
  </r>
  <r>
    <x v="22"/>
    <x v="0"/>
    <x v="1"/>
    <x v="38"/>
    <x v="1"/>
    <x v="4"/>
    <n v="0"/>
    <m/>
  </r>
  <r>
    <x v="22"/>
    <x v="0"/>
    <x v="1"/>
    <x v="8"/>
    <x v="1"/>
    <x v="4"/>
    <n v="0"/>
    <m/>
  </r>
  <r>
    <x v="22"/>
    <x v="0"/>
    <x v="1"/>
    <x v="39"/>
    <x v="4"/>
    <x v="3"/>
    <s v=""/>
    <s v="plaque absente"/>
  </r>
  <r>
    <x v="22"/>
    <x v="0"/>
    <x v="1"/>
    <x v="7"/>
    <x v="1"/>
    <x v="4"/>
    <n v="0"/>
    <m/>
  </r>
  <r>
    <x v="22"/>
    <x v="0"/>
    <x v="1"/>
    <x v="6"/>
    <x v="5"/>
    <x v="0"/>
    <n v="1"/>
    <s v=""/>
  </r>
  <r>
    <x v="22"/>
    <x v="0"/>
    <x v="1"/>
    <x v="40"/>
    <x v="1"/>
    <x v="4"/>
    <n v="0"/>
    <m/>
  </r>
  <r>
    <x v="22"/>
    <x v="0"/>
    <x v="1"/>
    <x v="41"/>
    <x v="1"/>
    <x v="4"/>
    <n v="0"/>
    <m/>
  </r>
  <r>
    <x v="22"/>
    <x v="0"/>
    <x v="1"/>
    <x v="42"/>
    <x v="2"/>
    <x v="0"/>
    <n v="1"/>
    <s v=""/>
  </r>
  <r>
    <x v="22"/>
    <x v="0"/>
    <x v="1"/>
    <x v="5"/>
    <x v="1"/>
    <x v="4"/>
    <n v="0"/>
    <m/>
  </r>
  <r>
    <x v="22"/>
    <x v="0"/>
    <x v="1"/>
    <x v="43"/>
    <x v="1"/>
    <x v="4"/>
    <n v="0"/>
    <m/>
  </r>
  <r>
    <x v="22"/>
    <x v="0"/>
    <x v="2"/>
    <x v="44"/>
    <x v="1"/>
    <x v="4"/>
    <n v="0"/>
    <m/>
  </r>
  <r>
    <x v="22"/>
    <x v="0"/>
    <x v="2"/>
    <x v="45"/>
    <x v="1"/>
    <x v="4"/>
    <n v="0"/>
    <m/>
  </r>
  <r>
    <x v="22"/>
    <x v="0"/>
    <x v="2"/>
    <x v="46"/>
    <x v="1"/>
    <x v="4"/>
    <n v="0"/>
    <m/>
  </r>
  <r>
    <x v="22"/>
    <x v="0"/>
    <x v="2"/>
    <x v="4"/>
    <x v="1"/>
    <x v="4"/>
    <n v="0"/>
    <m/>
  </r>
  <r>
    <x v="22"/>
    <x v="0"/>
    <x v="2"/>
    <x v="47"/>
    <x v="1"/>
    <x v="4"/>
    <n v="0"/>
    <m/>
  </r>
  <r>
    <x v="22"/>
    <x v="0"/>
    <x v="2"/>
    <x v="48"/>
    <x v="1"/>
    <x v="4"/>
    <n v="0"/>
    <m/>
  </r>
  <r>
    <x v="22"/>
    <x v="0"/>
    <x v="2"/>
    <x v="49"/>
    <x v="5"/>
    <x v="0"/>
    <n v="1"/>
    <s v=""/>
  </r>
  <r>
    <x v="22"/>
    <x v="0"/>
    <x v="2"/>
    <x v="50"/>
    <x v="1"/>
    <x v="4"/>
    <n v="0"/>
    <m/>
  </r>
  <r>
    <x v="22"/>
    <x v="0"/>
    <x v="2"/>
    <x v="3"/>
    <x v="1"/>
    <x v="4"/>
    <n v="0"/>
    <m/>
  </r>
  <r>
    <x v="22"/>
    <x v="0"/>
    <x v="2"/>
    <x v="51"/>
    <x v="1"/>
    <x v="4"/>
    <n v="0"/>
    <m/>
  </r>
  <r>
    <x v="22"/>
    <x v="0"/>
    <x v="2"/>
    <x v="2"/>
    <x v="1"/>
    <x v="4"/>
    <n v="0"/>
    <m/>
  </r>
  <r>
    <x v="22"/>
    <x v="0"/>
    <x v="2"/>
    <x v="52"/>
    <x v="1"/>
    <x v="4"/>
    <n v="0"/>
    <m/>
  </r>
  <r>
    <x v="22"/>
    <x v="0"/>
    <x v="2"/>
    <x v="53"/>
    <x v="1"/>
    <x v="4"/>
    <n v="0"/>
    <m/>
  </r>
  <r>
    <x v="22"/>
    <x v="0"/>
    <x v="2"/>
    <x v="54"/>
    <x v="1"/>
    <x v="4"/>
    <n v="0"/>
    <m/>
  </r>
  <r>
    <x v="22"/>
    <x v="0"/>
    <x v="2"/>
    <x v="1"/>
    <x v="1"/>
    <x v="4"/>
    <n v="0"/>
    <m/>
  </r>
  <r>
    <x v="22"/>
    <x v="0"/>
    <x v="2"/>
    <x v="55"/>
    <x v="1"/>
    <x v="4"/>
    <n v="0"/>
    <m/>
  </r>
  <r>
    <x v="22"/>
    <x v="0"/>
    <x v="2"/>
    <x v="56"/>
    <x v="1"/>
    <x v="4"/>
    <n v="0"/>
    <m/>
  </r>
  <r>
    <x v="22"/>
    <x v="0"/>
    <x v="2"/>
    <x v="57"/>
    <x v="1"/>
    <x v="4"/>
    <n v="0"/>
    <m/>
  </r>
  <r>
    <x v="22"/>
    <x v="0"/>
    <x v="2"/>
    <x v="58"/>
    <x v="1"/>
    <x v="4"/>
    <n v="0"/>
    <m/>
  </r>
  <r>
    <x v="22"/>
    <x v="0"/>
    <x v="2"/>
    <x v="59"/>
    <x v="1"/>
    <x v="4"/>
    <n v="0"/>
    <m/>
  </r>
  <r>
    <x v="22"/>
    <x v="1"/>
    <x v="0"/>
    <x v="60"/>
    <x v="1"/>
    <x v="4"/>
    <n v="0"/>
    <m/>
  </r>
  <r>
    <x v="22"/>
    <x v="1"/>
    <x v="0"/>
    <x v="61"/>
    <x v="1"/>
    <x v="4"/>
    <n v="0"/>
    <m/>
  </r>
  <r>
    <x v="22"/>
    <x v="1"/>
    <x v="0"/>
    <x v="62"/>
    <x v="2"/>
    <x v="2"/>
    <n v="1"/>
    <s v=""/>
  </r>
  <r>
    <x v="22"/>
    <x v="1"/>
    <x v="0"/>
    <x v="63"/>
    <x v="3"/>
    <x v="1"/>
    <n v="1"/>
    <s v=""/>
  </r>
  <r>
    <x v="22"/>
    <x v="1"/>
    <x v="0"/>
    <x v="64"/>
    <x v="1"/>
    <x v="4"/>
    <n v="0"/>
    <m/>
  </r>
  <r>
    <x v="22"/>
    <x v="1"/>
    <x v="0"/>
    <x v="65"/>
    <x v="1"/>
    <x v="4"/>
    <n v="0"/>
    <m/>
  </r>
  <r>
    <x v="22"/>
    <x v="1"/>
    <x v="0"/>
    <x v="66"/>
    <x v="1"/>
    <x v="4"/>
    <n v="0"/>
    <m/>
  </r>
  <r>
    <x v="22"/>
    <x v="1"/>
    <x v="0"/>
    <x v="67"/>
    <x v="1"/>
    <x v="4"/>
    <n v="0"/>
    <m/>
  </r>
  <r>
    <x v="22"/>
    <x v="1"/>
    <x v="0"/>
    <x v="68"/>
    <x v="1"/>
    <x v="4"/>
    <n v="0"/>
    <m/>
  </r>
  <r>
    <x v="22"/>
    <x v="1"/>
    <x v="0"/>
    <x v="69"/>
    <x v="2"/>
    <x v="1"/>
    <n v="1"/>
    <s v=""/>
  </r>
  <r>
    <x v="22"/>
    <x v="1"/>
    <x v="0"/>
    <x v="70"/>
    <x v="1"/>
    <x v="4"/>
    <n v="0"/>
    <m/>
  </r>
  <r>
    <x v="22"/>
    <x v="1"/>
    <x v="0"/>
    <x v="71"/>
    <x v="1"/>
    <x v="4"/>
    <n v="0"/>
    <m/>
  </r>
  <r>
    <x v="22"/>
    <x v="1"/>
    <x v="0"/>
    <x v="72"/>
    <x v="1"/>
    <x v="4"/>
    <n v="0"/>
    <m/>
  </r>
  <r>
    <x v="22"/>
    <x v="1"/>
    <x v="0"/>
    <x v="73"/>
    <x v="3"/>
    <x v="2"/>
    <n v="1"/>
    <s v=""/>
  </r>
  <r>
    <x v="22"/>
    <x v="1"/>
    <x v="0"/>
    <x v="74"/>
    <x v="1"/>
    <x v="4"/>
    <n v="0"/>
    <m/>
  </r>
  <r>
    <x v="22"/>
    <x v="1"/>
    <x v="0"/>
    <x v="75"/>
    <x v="1"/>
    <x v="4"/>
    <n v="0"/>
    <m/>
  </r>
  <r>
    <x v="22"/>
    <x v="1"/>
    <x v="0"/>
    <x v="76"/>
    <x v="1"/>
    <x v="4"/>
    <n v="0"/>
    <m/>
  </r>
  <r>
    <x v="22"/>
    <x v="1"/>
    <x v="0"/>
    <x v="77"/>
    <x v="1"/>
    <x v="4"/>
    <n v="0"/>
    <m/>
  </r>
  <r>
    <x v="22"/>
    <x v="1"/>
    <x v="0"/>
    <x v="78"/>
    <x v="1"/>
    <x v="4"/>
    <n v="0"/>
    <m/>
  </r>
  <r>
    <x v="22"/>
    <x v="1"/>
    <x v="0"/>
    <x v="79"/>
    <x v="1"/>
    <x v="4"/>
    <n v="0"/>
    <m/>
  </r>
  <r>
    <x v="22"/>
    <x v="1"/>
    <x v="1"/>
    <x v="80"/>
    <x v="1"/>
    <x v="4"/>
    <n v="0"/>
    <m/>
  </r>
  <r>
    <x v="22"/>
    <x v="1"/>
    <x v="1"/>
    <x v="81"/>
    <x v="1"/>
    <x v="4"/>
    <n v="0"/>
    <m/>
  </r>
  <r>
    <x v="22"/>
    <x v="1"/>
    <x v="1"/>
    <x v="82"/>
    <x v="5"/>
    <x v="0"/>
    <n v="1"/>
    <s v=""/>
  </r>
  <r>
    <x v="22"/>
    <x v="1"/>
    <x v="1"/>
    <x v="83"/>
    <x v="5"/>
    <x v="1"/>
    <n v="1"/>
    <s v=""/>
  </r>
  <r>
    <x v="22"/>
    <x v="1"/>
    <x v="1"/>
    <x v="84"/>
    <x v="0"/>
    <x v="0"/>
    <n v="1"/>
    <s v=""/>
  </r>
  <r>
    <x v="22"/>
    <x v="1"/>
    <x v="1"/>
    <x v="85"/>
    <x v="1"/>
    <x v="4"/>
    <n v="0"/>
    <m/>
  </r>
  <r>
    <x v="22"/>
    <x v="1"/>
    <x v="1"/>
    <x v="86"/>
    <x v="1"/>
    <x v="4"/>
    <n v="0"/>
    <m/>
  </r>
  <r>
    <x v="22"/>
    <x v="1"/>
    <x v="1"/>
    <x v="87"/>
    <x v="1"/>
    <x v="4"/>
    <n v="0"/>
    <m/>
  </r>
  <r>
    <x v="22"/>
    <x v="1"/>
    <x v="1"/>
    <x v="88"/>
    <x v="1"/>
    <x v="4"/>
    <n v="0"/>
    <m/>
  </r>
  <r>
    <x v="22"/>
    <x v="1"/>
    <x v="1"/>
    <x v="89"/>
    <x v="1"/>
    <x v="4"/>
    <n v="0"/>
    <m/>
  </r>
  <r>
    <x v="22"/>
    <x v="1"/>
    <x v="1"/>
    <x v="90"/>
    <x v="1"/>
    <x v="4"/>
    <n v="0"/>
    <m/>
  </r>
  <r>
    <x v="22"/>
    <x v="1"/>
    <x v="1"/>
    <x v="91"/>
    <x v="1"/>
    <x v="4"/>
    <n v="0"/>
    <m/>
  </r>
  <r>
    <x v="22"/>
    <x v="1"/>
    <x v="1"/>
    <x v="92"/>
    <x v="1"/>
    <x v="4"/>
    <n v="0"/>
    <m/>
  </r>
  <r>
    <x v="22"/>
    <x v="1"/>
    <x v="1"/>
    <x v="93"/>
    <x v="1"/>
    <x v="4"/>
    <n v="0"/>
    <m/>
  </r>
  <r>
    <x v="22"/>
    <x v="1"/>
    <x v="1"/>
    <x v="94"/>
    <x v="1"/>
    <x v="4"/>
    <n v="0"/>
    <m/>
  </r>
  <r>
    <x v="22"/>
    <x v="1"/>
    <x v="1"/>
    <x v="95"/>
    <x v="1"/>
    <x v="4"/>
    <n v="0"/>
    <m/>
  </r>
  <r>
    <x v="22"/>
    <x v="1"/>
    <x v="1"/>
    <x v="96"/>
    <x v="1"/>
    <x v="4"/>
    <n v="0"/>
    <m/>
  </r>
  <r>
    <x v="22"/>
    <x v="1"/>
    <x v="1"/>
    <x v="97"/>
    <x v="1"/>
    <x v="4"/>
    <n v="0"/>
    <m/>
  </r>
  <r>
    <x v="22"/>
    <x v="1"/>
    <x v="1"/>
    <x v="98"/>
    <x v="1"/>
    <x v="4"/>
    <n v="0"/>
    <m/>
  </r>
  <r>
    <x v="22"/>
    <x v="1"/>
    <x v="1"/>
    <x v="99"/>
    <x v="1"/>
    <x v="4"/>
    <n v="0"/>
    <m/>
  </r>
  <r>
    <x v="22"/>
    <x v="1"/>
    <x v="2"/>
    <x v="100"/>
    <x v="1"/>
    <x v="4"/>
    <n v="0"/>
    <m/>
  </r>
  <r>
    <x v="22"/>
    <x v="1"/>
    <x v="2"/>
    <x v="101"/>
    <x v="1"/>
    <x v="4"/>
    <n v="0"/>
    <m/>
  </r>
  <r>
    <x v="22"/>
    <x v="1"/>
    <x v="2"/>
    <x v="102"/>
    <x v="1"/>
    <x v="4"/>
    <n v="0"/>
    <m/>
  </r>
  <r>
    <x v="22"/>
    <x v="1"/>
    <x v="2"/>
    <x v="103"/>
    <x v="1"/>
    <x v="4"/>
    <n v="0"/>
    <m/>
  </r>
  <r>
    <x v="22"/>
    <x v="1"/>
    <x v="2"/>
    <x v="104"/>
    <x v="5"/>
    <x v="1"/>
    <n v="1"/>
    <s v=""/>
  </r>
  <r>
    <x v="22"/>
    <x v="1"/>
    <x v="2"/>
    <x v="105"/>
    <x v="1"/>
    <x v="4"/>
    <n v="0"/>
    <m/>
  </r>
  <r>
    <x v="22"/>
    <x v="1"/>
    <x v="2"/>
    <x v="106"/>
    <x v="1"/>
    <x v="4"/>
    <n v="0"/>
    <m/>
  </r>
  <r>
    <x v="22"/>
    <x v="1"/>
    <x v="2"/>
    <x v="107"/>
    <x v="1"/>
    <x v="4"/>
    <n v="0"/>
    <m/>
  </r>
  <r>
    <x v="22"/>
    <x v="1"/>
    <x v="2"/>
    <x v="108"/>
    <x v="1"/>
    <x v="4"/>
    <n v="0"/>
    <m/>
  </r>
  <r>
    <x v="22"/>
    <x v="1"/>
    <x v="2"/>
    <x v="109"/>
    <x v="1"/>
    <x v="4"/>
    <n v="0"/>
    <m/>
  </r>
  <r>
    <x v="22"/>
    <x v="1"/>
    <x v="2"/>
    <x v="110"/>
    <x v="1"/>
    <x v="4"/>
    <n v="0"/>
    <m/>
  </r>
  <r>
    <x v="22"/>
    <x v="1"/>
    <x v="2"/>
    <x v="111"/>
    <x v="2"/>
    <x v="1"/>
    <n v="1"/>
    <s v=""/>
  </r>
  <r>
    <x v="22"/>
    <x v="1"/>
    <x v="2"/>
    <x v="112"/>
    <x v="1"/>
    <x v="4"/>
    <n v="0"/>
    <m/>
  </r>
  <r>
    <x v="22"/>
    <x v="1"/>
    <x v="2"/>
    <x v="113"/>
    <x v="1"/>
    <x v="4"/>
    <n v="0"/>
    <m/>
  </r>
  <r>
    <x v="22"/>
    <x v="1"/>
    <x v="2"/>
    <x v="114"/>
    <x v="1"/>
    <x v="4"/>
    <n v="0"/>
    <m/>
  </r>
  <r>
    <x v="22"/>
    <x v="1"/>
    <x v="2"/>
    <x v="115"/>
    <x v="4"/>
    <x v="3"/>
    <s v=""/>
    <s v="plaque absente"/>
  </r>
  <r>
    <x v="22"/>
    <x v="1"/>
    <x v="2"/>
    <x v="116"/>
    <x v="1"/>
    <x v="4"/>
    <n v="0"/>
    <m/>
  </r>
  <r>
    <x v="22"/>
    <x v="1"/>
    <x v="2"/>
    <x v="117"/>
    <x v="1"/>
    <x v="4"/>
    <n v="0"/>
    <m/>
  </r>
  <r>
    <x v="22"/>
    <x v="1"/>
    <x v="2"/>
    <x v="118"/>
    <x v="1"/>
    <x v="4"/>
    <n v="0"/>
    <m/>
  </r>
  <r>
    <x v="22"/>
    <x v="1"/>
    <x v="2"/>
    <x v="119"/>
    <x v="1"/>
    <x v="4"/>
    <n v="0"/>
    <m/>
  </r>
  <r>
    <x v="22"/>
    <x v="2"/>
    <x v="0"/>
    <x v="120"/>
    <x v="1"/>
    <x v="4"/>
    <n v="0"/>
    <m/>
  </r>
  <r>
    <x v="22"/>
    <x v="2"/>
    <x v="0"/>
    <x v="121"/>
    <x v="1"/>
    <x v="4"/>
    <n v="0"/>
    <m/>
  </r>
  <r>
    <x v="22"/>
    <x v="2"/>
    <x v="0"/>
    <x v="122"/>
    <x v="1"/>
    <x v="4"/>
    <n v="0"/>
    <m/>
  </r>
  <r>
    <x v="22"/>
    <x v="2"/>
    <x v="0"/>
    <x v="123"/>
    <x v="1"/>
    <x v="4"/>
    <n v="0"/>
    <m/>
  </r>
  <r>
    <x v="22"/>
    <x v="2"/>
    <x v="0"/>
    <x v="124"/>
    <x v="1"/>
    <x v="4"/>
    <n v="0"/>
    <m/>
  </r>
  <r>
    <x v="22"/>
    <x v="2"/>
    <x v="0"/>
    <x v="125"/>
    <x v="1"/>
    <x v="4"/>
    <n v="0"/>
    <m/>
  </r>
  <r>
    <x v="22"/>
    <x v="2"/>
    <x v="0"/>
    <x v="126"/>
    <x v="1"/>
    <x v="4"/>
    <n v="0"/>
    <m/>
  </r>
  <r>
    <x v="22"/>
    <x v="2"/>
    <x v="0"/>
    <x v="127"/>
    <x v="1"/>
    <x v="4"/>
    <n v="0"/>
    <m/>
  </r>
  <r>
    <x v="22"/>
    <x v="2"/>
    <x v="0"/>
    <x v="128"/>
    <x v="1"/>
    <x v="4"/>
    <n v="0"/>
    <m/>
  </r>
  <r>
    <x v="22"/>
    <x v="2"/>
    <x v="0"/>
    <x v="129"/>
    <x v="1"/>
    <x v="4"/>
    <n v="0"/>
    <m/>
  </r>
  <r>
    <x v="22"/>
    <x v="2"/>
    <x v="0"/>
    <x v="130"/>
    <x v="1"/>
    <x v="4"/>
    <n v="0"/>
    <m/>
  </r>
  <r>
    <x v="22"/>
    <x v="2"/>
    <x v="0"/>
    <x v="131"/>
    <x v="1"/>
    <x v="4"/>
    <n v="0"/>
    <m/>
  </r>
  <r>
    <x v="22"/>
    <x v="2"/>
    <x v="0"/>
    <x v="132"/>
    <x v="1"/>
    <x v="4"/>
    <n v="0"/>
    <m/>
  </r>
  <r>
    <x v="22"/>
    <x v="2"/>
    <x v="0"/>
    <x v="133"/>
    <x v="1"/>
    <x v="4"/>
    <n v="0"/>
    <m/>
  </r>
  <r>
    <x v="22"/>
    <x v="2"/>
    <x v="0"/>
    <x v="134"/>
    <x v="1"/>
    <x v="4"/>
    <n v="0"/>
    <m/>
  </r>
  <r>
    <x v="22"/>
    <x v="2"/>
    <x v="0"/>
    <x v="135"/>
    <x v="1"/>
    <x v="4"/>
    <n v="0"/>
    <m/>
  </r>
  <r>
    <x v="22"/>
    <x v="2"/>
    <x v="0"/>
    <x v="136"/>
    <x v="1"/>
    <x v="4"/>
    <n v="0"/>
    <m/>
  </r>
  <r>
    <x v="22"/>
    <x v="2"/>
    <x v="0"/>
    <x v="137"/>
    <x v="1"/>
    <x v="4"/>
    <n v="0"/>
    <m/>
  </r>
  <r>
    <x v="22"/>
    <x v="2"/>
    <x v="0"/>
    <x v="138"/>
    <x v="1"/>
    <x v="4"/>
    <n v="0"/>
    <m/>
  </r>
  <r>
    <x v="22"/>
    <x v="2"/>
    <x v="0"/>
    <x v="139"/>
    <x v="2"/>
    <x v="2"/>
    <n v="1"/>
    <s v=""/>
  </r>
  <r>
    <x v="22"/>
    <x v="2"/>
    <x v="1"/>
    <x v="140"/>
    <x v="1"/>
    <x v="4"/>
    <n v="0"/>
    <m/>
  </r>
  <r>
    <x v="22"/>
    <x v="2"/>
    <x v="1"/>
    <x v="141"/>
    <x v="1"/>
    <x v="4"/>
    <n v="0"/>
    <m/>
  </r>
  <r>
    <x v="22"/>
    <x v="2"/>
    <x v="1"/>
    <x v="142"/>
    <x v="1"/>
    <x v="4"/>
    <n v="0"/>
    <m/>
  </r>
  <r>
    <x v="22"/>
    <x v="2"/>
    <x v="1"/>
    <x v="143"/>
    <x v="1"/>
    <x v="4"/>
    <n v="0"/>
    <m/>
  </r>
  <r>
    <x v="22"/>
    <x v="2"/>
    <x v="1"/>
    <x v="144"/>
    <x v="1"/>
    <x v="4"/>
    <n v="0"/>
    <m/>
  </r>
  <r>
    <x v="22"/>
    <x v="2"/>
    <x v="1"/>
    <x v="145"/>
    <x v="1"/>
    <x v="4"/>
    <n v="0"/>
    <m/>
  </r>
  <r>
    <x v="22"/>
    <x v="2"/>
    <x v="1"/>
    <x v="146"/>
    <x v="1"/>
    <x v="4"/>
    <n v="0"/>
    <m/>
  </r>
  <r>
    <x v="22"/>
    <x v="2"/>
    <x v="1"/>
    <x v="147"/>
    <x v="1"/>
    <x v="4"/>
    <n v="0"/>
    <m/>
  </r>
  <r>
    <x v="22"/>
    <x v="2"/>
    <x v="1"/>
    <x v="148"/>
    <x v="1"/>
    <x v="4"/>
    <n v="0"/>
    <m/>
  </r>
  <r>
    <x v="22"/>
    <x v="2"/>
    <x v="1"/>
    <x v="149"/>
    <x v="1"/>
    <x v="4"/>
    <n v="0"/>
    <m/>
  </r>
  <r>
    <x v="22"/>
    <x v="2"/>
    <x v="1"/>
    <x v="150"/>
    <x v="1"/>
    <x v="4"/>
    <n v="0"/>
    <m/>
  </r>
  <r>
    <x v="22"/>
    <x v="2"/>
    <x v="1"/>
    <x v="151"/>
    <x v="1"/>
    <x v="4"/>
    <n v="0"/>
    <m/>
  </r>
  <r>
    <x v="22"/>
    <x v="2"/>
    <x v="1"/>
    <x v="152"/>
    <x v="1"/>
    <x v="4"/>
    <n v="0"/>
    <m/>
  </r>
  <r>
    <x v="22"/>
    <x v="2"/>
    <x v="1"/>
    <x v="153"/>
    <x v="1"/>
    <x v="4"/>
    <n v="0"/>
    <m/>
  </r>
  <r>
    <x v="22"/>
    <x v="2"/>
    <x v="1"/>
    <x v="154"/>
    <x v="1"/>
    <x v="4"/>
    <n v="0"/>
    <m/>
  </r>
  <r>
    <x v="22"/>
    <x v="2"/>
    <x v="1"/>
    <x v="155"/>
    <x v="1"/>
    <x v="4"/>
    <n v="0"/>
    <m/>
  </r>
  <r>
    <x v="22"/>
    <x v="2"/>
    <x v="1"/>
    <x v="156"/>
    <x v="1"/>
    <x v="4"/>
    <n v="0"/>
    <m/>
  </r>
  <r>
    <x v="22"/>
    <x v="2"/>
    <x v="1"/>
    <x v="157"/>
    <x v="1"/>
    <x v="4"/>
    <n v="0"/>
    <m/>
  </r>
  <r>
    <x v="22"/>
    <x v="2"/>
    <x v="1"/>
    <x v="158"/>
    <x v="1"/>
    <x v="4"/>
    <n v="0"/>
    <m/>
  </r>
  <r>
    <x v="22"/>
    <x v="2"/>
    <x v="1"/>
    <x v="159"/>
    <x v="1"/>
    <x v="4"/>
    <n v="0"/>
    <m/>
  </r>
  <r>
    <x v="22"/>
    <x v="2"/>
    <x v="2"/>
    <x v="160"/>
    <x v="1"/>
    <x v="4"/>
    <n v="0"/>
    <m/>
  </r>
  <r>
    <x v="22"/>
    <x v="2"/>
    <x v="2"/>
    <x v="161"/>
    <x v="1"/>
    <x v="4"/>
    <n v="0"/>
    <m/>
  </r>
  <r>
    <x v="22"/>
    <x v="2"/>
    <x v="2"/>
    <x v="162"/>
    <x v="1"/>
    <x v="4"/>
    <n v="0"/>
    <m/>
  </r>
  <r>
    <x v="22"/>
    <x v="2"/>
    <x v="2"/>
    <x v="163"/>
    <x v="1"/>
    <x v="4"/>
    <n v="0"/>
    <m/>
  </r>
  <r>
    <x v="22"/>
    <x v="2"/>
    <x v="2"/>
    <x v="164"/>
    <x v="1"/>
    <x v="4"/>
    <n v="0"/>
    <m/>
  </r>
  <r>
    <x v="22"/>
    <x v="2"/>
    <x v="2"/>
    <x v="165"/>
    <x v="1"/>
    <x v="4"/>
    <n v="0"/>
    <m/>
  </r>
  <r>
    <x v="22"/>
    <x v="2"/>
    <x v="2"/>
    <x v="166"/>
    <x v="1"/>
    <x v="4"/>
    <n v="0"/>
    <m/>
  </r>
  <r>
    <x v="22"/>
    <x v="2"/>
    <x v="2"/>
    <x v="167"/>
    <x v="1"/>
    <x v="4"/>
    <n v="0"/>
    <m/>
  </r>
  <r>
    <x v="22"/>
    <x v="2"/>
    <x v="2"/>
    <x v="168"/>
    <x v="0"/>
    <x v="0"/>
    <n v="1"/>
    <s v=""/>
  </r>
  <r>
    <x v="22"/>
    <x v="2"/>
    <x v="2"/>
    <x v="169"/>
    <x v="1"/>
    <x v="4"/>
    <n v="0"/>
    <m/>
  </r>
  <r>
    <x v="22"/>
    <x v="2"/>
    <x v="2"/>
    <x v="170"/>
    <x v="1"/>
    <x v="4"/>
    <n v="0"/>
    <m/>
  </r>
  <r>
    <x v="22"/>
    <x v="2"/>
    <x v="2"/>
    <x v="171"/>
    <x v="1"/>
    <x v="4"/>
    <n v="0"/>
    <m/>
  </r>
  <r>
    <x v="22"/>
    <x v="2"/>
    <x v="2"/>
    <x v="172"/>
    <x v="1"/>
    <x v="4"/>
    <n v="0"/>
    <m/>
  </r>
  <r>
    <x v="22"/>
    <x v="2"/>
    <x v="2"/>
    <x v="173"/>
    <x v="1"/>
    <x v="4"/>
    <n v="0"/>
    <m/>
  </r>
  <r>
    <x v="22"/>
    <x v="2"/>
    <x v="2"/>
    <x v="174"/>
    <x v="1"/>
    <x v="4"/>
    <n v="0"/>
    <m/>
  </r>
  <r>
    <x v="22"/>
    <x v="2"/>
    <x v="2"/>
    <x v="175"/>
    <x v="1"/>
    <x v="4"/>
    <n v="0"/>
    <m/>
  </r>
  <r>
    <x v="22"/>
    <x v="2"/>
    <x v="2"/>
    <x v="176"/>
    <x v="1"/>
    <x v="4"/>
    <n v="0"/>
    <m/>
  </r>
  <r>
    <x v="22"/>
    <x v="2"/>
    <x v="2"/>
    <x v="177"/>
    <x v="1"/>
    <x v="4"/>
    <n v="0"/>
    <m/>
  </r>
  <r>
    <x v="22"/>
    <x v="2"/>
    <x v="2"/>
    <x v="178"/>
    <x v="1"/>
    <x v="4"/>
    <n v="0"/>
    <m/>
  </r>
  <r>
    <x v="22"/>
    <x v="2"/>
    <x v="2"/>
    <x v="179"/>
    <x v="1"/>
    <x v="4"/>
    <n v="0"/>
    <m/>
  </r>
  <r>
    <x v="23"/>
    <x v="0"/>
    <x v="0"/>
    <x v="0"/>
    <x v="1"/>
    <x v="4"/>
    <n v="0"/>
    <m/>
  </r>
  <r>
    <x v="23"/>
    <x v="0"/>
    <x v="0"/>
    <x v="16"/>
    <x v="1"/>
    <x v="4"/>
    <n v="0"/>
    <m/>
  </r>
  <r>
    <x v="23"/>
    <x v="0"/>
    <x v="0"/>
    <x v="15"/>
    <x v="0"/>
    <x v="1"/>
    <n v="1"/>
    <s v=""/>
  </r>
  <r>
    <x v="23"/>
    <x v="0"/>
    <x v="0"/>
    <x v="15"/>
    <x v="0"/>
    <x v="2"/>
    <n v="1"/>
    <s v=""/>
  </r>
  <r>
    <x v="23"/>
    <x v="0"/>
    <x v="0"/>
    <x v="15"/>
    <x v="2"/>
    <x v="1"/>
    <n v="1"/>
    <s v=""/>
  </r>
  <r>
    <x v="23"/>
    <x v="0"/>
    <x v="0"/>
    <x v="15"/>
    <x v="2"/>
    <x v="2"/>
    <n v="1"/>
    <s v=""/>
  </r>
  <r>
    <x v="23"/>
    <x v="0"/>
    <x v="0"/>
    <x v="15"/>
    <x v="5"/>
    <x v="2"/>
    <n v="1"/>
    <s v=""/>
  </r>
  <r>
    <x v="23"/>
    <x v="0"/>
    <x v="0"/>
    <x v="17"/>
    <x v="5"/>
    <x v="0"/>
    <n v="1"/>
    <s v=""/>
  </r>
  <r>
    <x v="23"/>
    <x v="0"/>
    <x v="0"/>
    <x v="14"/>
    <x v="1"/>
    <x v="4"/>
    <n v="0"/>
    <m/>
  </r>
  <r>
    <x v="23"/>
    <x v="0"/>
    <x v="0"/>
    <x v="18"/>
    <x v="0"/>
    <x v="1"/>
    <n v="1"/>
    <s v=""/>
  </r>
  <r>
    <x v="23"/>
    <x v="0"/>
    <x v="0"/>
    <x v="18"/>
    <x v="0"/>
    <x v="2"/>
    <n v="1"/>
    <s v=""/>
  </r>
  <r>
    <x v="23"/>
    <x v="0"/>
    <x v="0"/>
    <x v="18"/>
    <x v="2"/>
    <x v="0"/>
    <n v="1"/>
    <s v=""/>
  </r>
  <r>
    <x v="23"/>
    <x v="0"/>
    <x v="0"/>
    <x v="18"/>
    <x v="5"/>
    <x v="1"/>
    <n v="2"/>
    <s v=""/>
  </r>
  <r>
    <x v="23"/>
    <x v="0"/>
    <x v="0"/>
    <x v="13"/>
    <x v="1"/>
    <x v="4"/>
    <n v="0"/>
    <m/>
  </r>
  <r>
    <x v="23"/>
    <x v="0"/>
    <x v="0"/>
    <x v="19"/>
    <x v="0"/>
    <x v="1"/>
    <n v="1"/>
    <s v=""/>
  </r>
  <r>
    <x v="23"/>
    <x v="0"/>
    <x v="0"/>
    <x v="20"/>
    <x v="2"/>
    <x v="0"/>
    <n v="1"/>
    <s v=""/>
  </r>
  <r>
    <x v="23"/>
    <x v="0"/>
    <x v="0"/>
    <x v="20"/>
    <x v="5"/>
    <x v="1"/>
    <n v="1"/>
    <s v=""/>
  </r>
  <r>
    <x v="23"/>
    <x v="0"/>
    <x v="0"/>
    <x v="20"/>
    <x v="5"/>
    <x v="0"/>
    <n v="1"/>
    <s v=""/>
  </r>
  <r>
    <x v="23"/>
    <x v="0"/>
    <x v="0"/>
    <x v="12"/>
    <x v="0"/>
    <x v="1"/>
    <n v="1"/>
    <s v=""/>
  </r>
  <r>
    <x v="23"/>
    <x v="0"/>
    <x v="0"/>
    <x v="12"/>
    <x v="0"/>
    <x v="0"/>
    <n v="1"/>
    <s v=""/>
  </r>
  <r>
    <x v="23"/>
    <x v="0"/>
    <x v="0"/>
    <x v="12"/>
    <x v="2"/>
    <x v="1"/>
    <n v="1"/>
    <s v=""/>
  </r>
  <r>
    <x v="23"/>
    <x v="0"/>
    <x v="0"/>
    <x v="12"/>
    <x v="2"/>
    <x v="0"/>
    <n v="3"/>
    <s v=""/>
  </r>
  <r>
    <x v="23"/>
    <x v="0"/>
    <x v="0"/>
    <x v="12"/>
    <x v="5"/>
    <x v="1"/>
    <n v="1"/>
    <s v=""/>
  </r>
  <r>
    <x v="23"/>
    <x v="0"/>
    <x v="0"/>
    <x v="12"/>
    <x v="5"/>
    <x v="0"/>
    <n v="1"/>
    <s v=""/>
  </r>
  <r>
    <x v="23"/>
    <x v="0"/>
    <x v="0"/>
    <x v="12"/>
    <x v="5"/>
    <x v="2"/>
    <n v="1"/>
    <s v=""/>
  </r>
  <r>
    <x v="23"/>
    <x v="0"/>
    <x v="0"/>
    <x v="21"/>
    <x v="0"/>
    <x v="2"/>
    <n v="1"/>
    <s v=""/>
  </r>
  <r>
    <x v="23"/>
    <x v="0"/>
    <x v="0"/>
    <x v="21"/>
    <x v="5"/>
    <x v="1"/>
    <n v="1"/>
    <s v=""/>
  </r>
  <r>
    <x v="23"/>
    <x v="0"/>
    <x v="0"/>
    <x v="21"/>
    <x v="5"/>
    <x v="0"/>
    <n v="1"/>
    <s v=""/>
  </r>
  <r>
    <x v="23"/>
    <x v="0"/>
    <x v="0"/>
    <x v="22"/>
    <x v="1"/>
    <x v="4"/>
    <n v="0"/>
    <m/>
  </r>
  <r>
    <x v="23"/>
    <x v="0"/>
    <x v="0"/>
    <x v="23"/>
    <x v="1"/>
    <x v="4"/>
    <n v="0"/>
    <m/>
  </r>
  <r>
    <x v="23"/>
    <x v="0"/>
    <x v="0"/>
    <x v="24"/>
    <x v="0"/>
    <x v="1"/>
    <n v="1"/>
    <s v=""/>
  </r>
  <r>
    <x v="23"/>
    <x v="0"/>
    <x v="0"/>
    <x v="24"/>
    <x v="0"/>
    <x v="0"/>
    <n v="1"/>
    <s v=""/>
  </r>
  <r>
    <x v="23"/>
    <x v="0"/>
    <x v="0"/>
    <x v="24"/>
    <x v="2"/>
    <x v="1"/>
    <n v="1"/>
    <s v=""/>
  </r>
  <r>
    <x v="23"/>
    <x v="0"/>
    <x v="0"/>
    <x v="24"/>
    <x v="5"/>
    <x v="2"/>
    <n v="1"/>
    <s v=""/>
  </r>
  <r>
    <x v="23"/>
    <x v="0"/>
    <x v="0"/>
    <x v="25"/>
    <x v="0"/>
    <x v="1"/>
    <n v="1"/>
    <s v=""/>
  </r>
  <r>
    <x v="23"/>
    <x v="0"/>
    <x v="0"/>
    <x v="25"/>
    <x v="5"/>
    <x v="1"/>
    <n v="1"/>
    <s v=""/>
  </r>
  <r>
    <x v="23"/>
    <x v="0"/>
    <x v="0"/>
    <x v="25"/>
    <x v="5"/>
    <x v="0"/>
    <n v="1"/>
    <s v=""/>
  </r>
  <r>
    <x v="23"/>
    <x v="0"/>
    <x v="0"/>
    <x v="26"/>
    <x v="0"/>
    <x v="1"/>
    <n v="1"/>
    <s v=""/>
  </r>
  <r>
    <x v="23"/>
    <x v="0"/>
    <x v="0"/>
    <x v="26"/>
    <x v="2"/>
    <x v="0"/>
    <n v="1"/>
    <s v=""/>
  </r>
  <r>
    <x v="23"/>
    <x v="0"/>
    <x v="0"/>
    <x v="26"/>
    <x v="5"/>
    <x v="0"/>
    <n v="1"/>
    <s v=""/>
  </r>
  <r>
    <x v="23"/>
    <x v="0"/>
    <x v="0"/>
    <x v="27"/>
    <x v="1"/>
    <x v="4"/>
    <n v="0"/>
    <m/>
  </r>
  <r>
    <x v="23"/>
    <x v="0"/>
    <x v="0"/>
    <x v="28"/>
    <x v="2"/>
    <x v="0"/>
    <n v="1"/>
    <s v=""/>
  </r>
  <r>
    <x v="23"/>
    <x v="0"/>
    <x v="0"/>
    <x v="28"/>
    <x v="5"/>
    <x v="0"/>
    <n v="1"/>
    <s v=""/>
  </r>
  <r>
    <x v="23"/>
    <x v="0"/>
    <x v="0"/>
    <x v="11"/>
    <x v="1"/>
    <x v="4"/>
    <n v="0"/>
    <m/>
  </r>
  <r>
    <x v="23"/>
    <x v="0"/>
    <x v="0"/>
    <x v="29"/>
    <x v="2"/>
    <x v="0"/>
    <n v="1"/>
    <s v=""/>
  </r>
  <r>
    <x v="23"/>
    <x v="0"/>
    <x v="1"/>
    <x v="30"/>
    <x v="2"/>
    <x v="0"/>
    <n v="1"/>
    <s v=""/>
  </r>
  <r>
    <x v="23"/>
    <x v="0"/>
    <x v="1"/>
    <x v="31"/>
    <x v="2"/>
    <x v="2"/>
    <n v="1"/>
    <s v=""/>
  </r>
  <r>
    <x v="23"/>
    <x v="0"/>
    <x v="1"/>
    <x v="32"/>
    <x v="1"/>
    <x v="4"/>
    <n v="0"/>
    <m/>
  </r>
  <r>
    <x v="23"/>
    <x v="0"/>
    <x v="1"/>
    <x v="33"/>
    <x v="0"/>
    <x v="0"/>
    <n v="1"/>
    <s v=""/>
  </r>
  <r>
    <x v="23"/>
    <x v="0"/>
    <x v="1"/>
    <x v="33"/>
    <x v="2"/>
    <x v="0"/>
    <n v="1"/>
    <s v=""/>
  </r>
  <r>
    <x v="23"/>
    <x v="0"/>
    <x v="1"/>
    <x v="33"/>
    <x v="5"/>
    <x v="0"/>
    <n v="1"/>
    <s v=""/>
  </r>
  <r>
    <x v="23"/>
    <x v="0"/>
    <x v="1"/>
    <x v="10"/>
    <x v="2"/>
    <x v="0"/>
    <n v="1"/>
    <s v=""/>
  </r>
  <r>
    <x v="23"/>
    <x v="0"/>
    <x v="1"/>
    <x v="34"/>
    <x v="1"/>
    <x v="0"/>
    <n v="1"/>
    <s v=""/>
  </r>
  <r>
    <x v="23"/>
    <x v="0"/>
    <x v="1"/>
    <x v="34"/>
    <x v="2"/>
    <x v="0"/>
    <n v="1"/>
    <s v=""/>
  </r>
  <r>
    <x v="23"/>
    <x v="0"/>
    <x v="1"/>
    <x v="34"/>
    <x v="5"/>
    <x v="0"/>
    <n v="1"/>
    <s v=""/>
  </r>
  <r>
    <x v="23"/>
    <x v="0"/>
    <x v="1"/>
    <x v="35"/>
    <x v="1"/>
    <x v="4"/>
    <n v="0"/>
    <m/>
  </r>
  <r>
    <x v="23"/>
    <x v="0"/>
    <x v="1"/>
    <x v="36"/>
    <x v="1"/>
    <x v="4"/>
    <n v="0"/>
    <m/>
  </r>
  <r>
    <x v="23"/>
    <x v="0"/>
    <x v="1"/>
    <x v="37"/>
    <x v="0"/>
    <x v="0"/>
    <n v="1"/>
    <s v=""/>
  </r>
  <r>
    <x v="23"/>
    <x v="0"/>
    <x v="1"/>
    <x v="9"/>
    <x v="1"/>
    <x v="4"/>
    <n v="0"/>
    <m/>
  </r>
  <r>
    <x v="23"/>
    <x v="0"/>
    <x v="1"/>
    <x v="38"/>
    <x v="0"/>
    <x v="2"/>
    <n v="1"/>
    <s v=""/>
  </r>
  <r>
    <x v="23"/>
    <x v="0"/>
    <x v="1"/>
    <x v="38"/>
    <x v="2"/>
    <x v="0"/>
    <n v="1"/>
    <s v=""/>
  </r>
  <r>
    <x v="23"/>
    <x v="0"/>
    <x v="1"/>
    <x v="38"/>
    <x v="2"/>
    <x v="2"/>
    <n v="1"/>
    <s v=""/>
  </r>
  <r>
    <x v="23"/>
    <x v="0"/>
    <x v="1"/>
    <x v="8"/>
    <x v="1"/>
    <x v="4"/>
    <n v="0"/>
    <m/>
  </r>
  <r>
    <x v="23"/>
    <x v="0"/>
    <x v="1"/>
    <x v="39"/>
    <x v="1"/>
    <x v="4"/>
    <n v="0"/>
    <m/>
  </r>
  <r>
    <x v="23"/>
    <x v="0"/>
    <x v="1"/>
    <x v="7"/>
    <x v="0"/>
    <x v="1"/>
    <n v="1"/>
    <s v=""/>
  </r>
  <r>
    <x v="23"/>
    <x v="0"/>
    <x v="1"/>
    <x v="6"/>
    <x v="2"/>
    <x v="0"/>
    <n v="1"/>
    <s v=""/>
  </r>
  <r>
    <x v="23"/>
    <x v="0"/>
    <x v="1"/>
    <x v="40"/>
    <x v="1"/>
    <x v="4"/>
    <n v="0"/>
    <m/>
  </r>
  <r>
    <x v="23"/>
    <x v="0"/>
    <x v="1"/>
    <x v="41"/>
    <x v="2"/>
    <x v="0"/>
    <n v="2"/>
    <s v=""/>
  </r>
  <r>
    <x v="23"/>
    <x v="0"/>
    <x v="1"/>
    <x v="41"/>
    <x v="2"/>
    <x v="2"/>
    <n v="1"/>
    <s v=""/>
  </r>
  <r>
    <x v="23"/>
    <x v="0"/>
    <x v="1"/>
    <x v="41"/>
    <x v="5"/>
    <x v="0"/>
    <n v="1"/>
    <s v=""/>
  </r>
  <r>
    <x v="23"/>
    <x v="0"/>
    <x v="1"/>
    <x v="41"/>
    <x v="5"/>
    <x v="2"/>
    <n v="1"/>
    <s v=""/>
  </r>
  <r>
    <x v="23"/>
    <x v="0"/>
    <x v="1"/>
    <x v="42"/>
    <x v="1"/>
    <x v="4"/>
    <n v="0"/>
    <m/>
  </r>
  <r>
    <x v="23"/>
    <x v="0"/>
    <x v="1"/>
    <x v="5"/>
    <x v="1"/>
    <x v="4"/>
    <n v="0"/>
    <m/>
  </r>
  <r>
    <x v="23"/>
    <x v="0"/>
    <x v="1"/>
    <x v="43"/>
    <x v="1"/>
    <x v="4"/>
    <n v="0"/>
    <m/>
  </r>
  <r>
    <x v="23"/>
    <x v="0"/>
    <x v="2"/>
    <x v="44"/>
    <x v="1"/>
    <x v="4"/>
    <n v="0"/>
    <m/>
  </r>
  <r>
    <x v="23"/>
    <x v="0"/>
    <x v="2"/>
    <x v="45"/>
    <x v="1"/>
    <x v="4"/>
    <n v="0"/>
    <m/>
  </r>
  <r>
    <x v="23"/>
    <x v="0"/>
    <x v="2"/>
    <x v="46"/>
    <x v="1"/>
    <x v="4"/>
    <n v="0"/>
    <m/>
  </r>
  <r>
    <x v="23"/>
    <x v="0"/>
    <x v="2"/>
    <x v="4"/>
    <x v="1"/>
    <x v="4"/>
    <n v="0"/>
    <m/>
  </r>
  <r>
    <x v="23"/>
    <x v="0"/>
    <x v="2"/>
    <x v="47"/>
    <x v="1"/>
    <x v="4"/>
    <n v="0"/>
    <m/>
  </r>
  <r>
    <x v="23"/>
    <x v="0"/>
    <x v="2"/>
    <x v="48"/>
    <x v="1"/>
    <x v="4"/>
    <n v="0"/>
    <m/>
  </r>
  <r>
    <x v="23"/>
    <x v="0"/>
    <x v="2"/>
    <x v="49"/>
    <x v="2"/>
    <x v="0"/>
    <n v="1"/>
    <s v=""/>
  </r>
  <r>
    <x v="23"/>
    <x v="0"/>
    <x v="2"/>
    <x v="50"/>
    <x v="1"/>
    <x v="4"/>
    <n v="0"/>
    <m/>
  </r>
  <r>
    <x v="23"/>
    <x v="0"/>
    <x v="2"/>
    <x v="3"/>
    <x v="1"/>
    <x v="4"/>
    <n v="0"/>
    <m/>
  </r>
  <r>
    <x v="23"/>
    <x v="0"/>
    <x v="2"/>
    <x v="51"/>
    <x v="0"/>
    <x v="2"/>
    <n v="1"/>
    <s v=""/>
  </r>
  <r>
    <x v="23"/>
    <x v="0"/>
    <x v="2"/>
    <x v="2"/>
    <x v="1"/>
    <x v="4"/>
    <n v="0"/>
    <m/>
  </r>
  <r>
    <x v="23"/>
    <x v="0"/>
    <x v="2"/>
    <x v="52"/>
    <x v="1"/>
    <x v="4"/>
    <n v="0"/>
    <m/>
  </r>
  <r>
    <x v="23"/>
    <x v="0"/>
    <x v="2"/>
    <x v="53"/>
    <x v="2"/>
    <x v="0"/>
    <n v="2"/>
    <s v=""/>
  </r>
  <r>
    <x v="23"/>
    <x v="0"/>
    <x v="2"/>
    <x v="54"/>
    <x v="1"/>
    <x v="4"/>
    <n v="0"/>
    <m/>
  </r>
  <r>
    <x v="23"/>
    <x v="0"/>
    <x v="2"/>
    <x v="1"/>
    <x v="1"/>
    <x v="4"/>
    <n v="0"/>
    <m/>
  </r>
  <r>
    <x v="23"/>
    <x v="0"/>
    <x v="2"/>
    <x v="55"/>
    <x v="2"/>
    <x v="2"/>
    <n v="1"/>
    <s v=""/>
  </r>
  <r>
    <x v="23"/>
    <x v="0"/>
    <x v="2"/>
    <x v="56"/>
    <x v="1"/>
    <x v="4"/>
    <n v="0"/>
    <m/>
  </r>
  <r>
    <x v="23"/>
    <x v="0"/>
    <x v="2"/>
    <x v="57"/>
    <x v="1"/>
    <x v="4"/>
    <n v="0"/>
    <m/>
  </r>
  <r>
    <x v="23"/>
    <x v="0"/>
    <x v="2"/>
    <x v="58"/>
    <x v="1"/>
    <x v="4"/>
    <n v="0"/>
    <m/>
  </r>
  <r>
    <x v="23"/>
    <x v="0"/>
    <x v="2"/>
    <x v="59"/>
    <x v="1"/>
    <x v="4"/>
    <n v="0"/>
    <m/>
  </r>
  <r>
    <x v="23"/>
    <x v="1"/>
    <x v="0"/>
    <x v="60"/>
    <x v="5"/>
    <x v="2"/>
    <n v="1"/>
    <s v=""/>
  </r>
  <r>
    <x v="23"/>
    <x v="1"/>
    <x v="0"/>
    <x v="61"/>
    <x v="1"/>
    <x v="4"/>
    <n v="0"/>
    <m/>
  </r>
  <r>
    <x v="23"/>
    <x v="1"/>
    <x v="0"/>
    <x v="62"/>
    <x v="1"/>
    <x v="4"/>
    <n v="0"/>
    <m/>
  </r>
  <r>
    <x v="23"/>
    <x v="1"/>
    <x v="0"/>
    <x v="63"/>
    <x v="1"/>
    <x v="4"/>
    <n v="0"/>
    <m/>
  </r>
  <r>
    <x v="23"/>
    <x v="1"/>
    <x v="0"/>
    <x v="64"/>
    <x v="1"/>
    <x v="4"/>
    <n v="0"/>
    <m/>
  </r>
  <r>
    <x v="23"/>
    <x v="1"/>
    <x v="0"/>
    <x v="65"/>
    <x v="0"/>
    <x v="2"/>
    <n v="1"/>
    <s v=""/>
  </r>
  <r>
    <x v="23"/>
    <x v="1"/>
    <x v="0"/>
    <x v="65"/>
    <x v="2"/>
    <x v="1"/>
    <n v="1"/>
    <s v=""/>
  </r>
  <r>
    <x v="23"/>
    <x v="1"/>
    <x v="0"/>
    <x v="65"/>
    <x v="2"/>
    <x v="2"/>
    <n v="1"/>
    <s v=""/>
  </r>
  <r>
    <x v="23"/>
    <x v="1"/>
    <x v="0"/>
    <x v="65"/>
    <x v="5"/>
    <x v="2"/>
    <n v="2"/>
    <s v=""/>
  </r>
  <r>
    <x v="23"/>
    <x v="1"/>
    <x v="0"/>
    <x v="66"/>
    <x v="2"/>
    <x v="1"/>
    <n v="1"/>
    <s v=""/>
  </r>
  <r>
    <x v="23"/>
    <x v="1"/>
    <x v="0"/>
    <x v="66"/>
    <x v="2"/>
    <x v="0"/>
    <n v="1"/>
    <s v=""/>
  </r>
  <r>
    <x v="23"/>
    <x v="1"/>
    <x v="0"/>
    <x v="67"/>
    <x v="5"/>
    <x v="1"/>
    <n v="1"/>
    <s v=""/>
  </r>
  <r>
    <x v="23"/>
    <x v="1"/>
    <x v="0"/>
    <x v="68"/>
    <x v="5"/>
    <x v="1"/>
    <n v="2"/>
    <s v=""/>
  </r>
  <r>
    <x v="23"/>
    <x v="1"/>
    <x v="0"/>
    <x v="69"/>
    <x v="0"/>
    <x v="2"/>
    <n v="1"/>
    <s v=""/>
  </r>
  <r>
    <x v="23"/>
    <x v="1"/>
    <x v="0"/>
    <x v="69"/>
    <x v="5"/>
    <x v="2"/>
    <n v="1"/>
    <s v=""/>
  </r>
  <r>
    <x v="23"/>
    <x v="1"/>
    <x v="0"/>
    <x v="70"/>
    <x v="1"/>
    <x v="4"/>
    <n v="0"/>
    <m/>
  </r>
  <r>
    <x v="23"/>
    <x v="1"/>
    <x v="0"/>
    <x v="71"/>
    <x v="0"/>
    <x v="1"/>
    <n v="1"/>
    <s v=""/>
  </r>
  <r>
    <x v="23"/>
    <x v="1"/>
    <x v="0"/>
    <x v="71"/>
    <x v="5"/>
    <x v="1"/>
    <n v="1"/>
    <s v=""/>
  </r>
  <r>
    <x v="23"/>
    <x v="1"/>
    <x v="0"/>
    <x v="71"/>
    <x v="5"/>
    <x v="2"/>
    <n v="1"/>
    <s v=""/>
  </r>
  <r>
    <x v="23"/>
    <x v="1"/>
    <x v="0"/>
    <x v="72"/>
    <x v="1"/>
    <x v="4"/>
    <n v="0"/>
    <m/>
  </r>
  <r>
    <x v="23"/>
    <x v="1"/>
    <x v="0"/>
    <x v="73"/>
    <x v="1"/>
    <x v="0"/>
    <n v="1"/>
    <s v=""/>
  </r>
  <r>
    <x v="23"/>
    <x v="1"/>
    <x v="0"/>
    <x v="74"/>
    <x v="1"/>
    <x v="4"/>
    <n v="0"/>
    <m/>
  </r>
  <r>
    <x v="23"/>
    <x v="1"/>
    <x v="0"/>
    <x v="75"/>
    <x v="5"/>
    <x v="2"/>
    <n v="1"/>
    <s v=""/>
  </r>
  <r>
    <x v="23"/>
    <x v="1"/>
    <x v="0"/>
    <x v="76"/>
    <x v="2"/>
    <x v="1"/>
    <n v="1"/>
    <s v=""/>
  </r>
  <r>
    <x v="23"/>
    <x v="1"/>
    <x v="0"/>
    <x v="77"/>
    <x v="5"/>
    <x v="2"/>
    <n v="1"/>
    <s v=""/>
  </r>
  <r>
    <x v="23"/>
    <x v="1"/>
    <x v="0"/>
    <x v="78"/>
    <x v="1"/>
    <x v="4"/>
    <n v="0"/>
    <m/>
  </r>
  <r>
    <x v="23"/>
    <x v="1"/>
    <x v="0"/>
    <x v="79"/>
    <x v="0"/>
    <x v="1"/>
    <n v="1"/>
    <s v=""/>
  </r>
  <r>
    <x v="23"/>
    <x v="1"/>
    <x v="1"/>
    <x v="80"/>
    <x v="2"/>
    <x v="0"/>
    <n v="1"/>
    <s v=""/>
  </r>
  <r>
    <x v="23"/>
    <x v="1"/>
    <x v="1"/>
    <x v="81"/>
    <x v="3"/>
    <x v="0"/>
    <n v="1"/>
    <s v=""/>
  </r>
  <r>
    <x v="23"/>
    <x v="1"/>
    <x v="1"/>
    <x v="81"/>
    <x v="5"/>
    <x v="2"/>
    <n v="2"/>
    <s v=""/>
  </r>
  <r>
    <x v="23"/>
    <x v="1"/>
    <x v="1"/>
    <x v="82"/>
    <x v="0"/>
    <x v="2"/>
    <n v="1"/>
    <s v=""/>
  </r>
  <r>
    <x v="23"/>
    <x v="1"/>
    <x v="1"/>
    <x v="82"/>
    <x v="5"/>
    <x v="0"/>
    <n v="2"/>
    <s v=""/>
  </r>
  <r>
    <x v="23"/>
    <x v="1"/>
    <x v="1"/>
    <x v="83"/>
    <x v="0"/>
    <x v="2"/>
    <n v="2"/>
    <s v=""/>
  </r>
  <r>
    <x v="23"/>
    <x v="1"/>
    <x v="1"/>
    <x v="83"/>
    <x v="2"/>
    <x v="1"/>
    <n v="1"/>
    <s v=""/>
  </r>
  <r>
    <x v="23"/>
    <x v="1"/>
    <x v="1"/>
    <x v="83"/>
    <x v="5"/>
    <x v="2"/>
    <n v="1"/>
    <s v=""/>
  </r>
  <r>
    <x v="23"/>
    <x v="1"/>
    <x v="1"/>
    <x v="84"/>
    <x v="0"/>
    <x v="0"/>
    <n v="1"/>
    <s v=""/>
  </r>
  <r>
    <x v="23"/>
    <x v="1"/>
    <x v="1"/>
    <x v="84"/>
    <x v="2"/>
    <x v="0"/>
    <n v="3"/>
    <s v=""/>
  </r>
  <r>
    <x v="23"/>
    <x v="1"/>
    <x v="1"/>
    <x v="84"/>
    <x v="5"/>
    <x v="1"/>
    <n v="1"/>
    <s v=""/>
  </r>
  <r>
    <x v="23"/>
    <x v="1"/>
    <x v="1"/>
    <x v="84"/>
    <x v="5"/>
    <x v="0"/>
    <n v="2"/>
    <s v=""/>
  </r>
  <r>
    <x v="23"/>
    <x v="1"/>
    <x v="1"/>
    <x v="85"/>
    <x v="2"/>
    <x v="2"/>
    <n v="1"/>
    <s v=""/>
  </r>
  <r>
    <x v="23"/>
    <x v="1"/>
    <x v="1"/>
    <x v="85"/>
    <x v="5"/>
    <x v="1"/>
    <n v="1"/>
    <s v=""/>
  </r>
  <r>
    <x v="23"/>
    <x v="1"/>
    <x v="1"/>
    <x v="86"/>
    <x v="1"/>
    <x v="4"/>
    <n v="0"/>
    <m/>
  </r>
  <r>
    <x v="23"/>
    <x v="1"/>
    <x v="1"/>
    <x v="87"/>
    <x v="2"/>
    <x v="0"/>
    <n v="1"/>
    <s v=""/>
  </r>
  <r>
    <x v="23"/>
    <x v="1"/>
    <x v="1"/>
    <x v="88"/>
    <x v="1"/>
    <x v="4"/>
    <n v="0"/>
    <m/>
  </r>
  <r>
    <x v="23"/>
    <x v="1"/>
    <x v="1"/>
    <x v="89"/>
    <x v="5"/>
    <x v="1"/>
    <n v="1"/>
    <s v=""/>
  </r>
  <r>
    <x v="23"/>
    <x v="1"/>
    <x v="1"/>
    <x v="89"/>
    <x v="5"/>
    <x v="0"/>
    <n v="2"/>
    <s v=""/>
  </r>
  <r>
    <x v="23"/>
    <x v="1"/>
    <x v="1"/>
    <x v="89"/>
    <x v="5"/>
    <x v="2"/>
    <n v="1"/>
    <s v=""/>
  </r>
  <r>
    <x v="23"/>
    <x v="1"/>
    <x v="1"/>
    <x v="90"/>
    <x v="5"/>
    <x v="2"/>
    <n v="1"/>
    <s v=""/>
  </r>
  <r>
    <x v="23"/>
    <x v="1"/>
    <x v="1"/>
    <x v="91"/>
    <x v="1"/>
    <x v="4"/>
    <n v="0"/>
    <m/>
  </r>
  <r>
    <x v="23"/>
    <x v="1"/>
    <x v="1"/>
    <x v="92"/>
    <x v="1"/>
    <x v="4"/>
    <n v="0"/>
    <m/>
  </r>
  <r>
    <x v="23"/>
    <x v="1"/>
    <x v="1"/>
    <x v="93"/>
    <x v="5"/>
    <x v="0"/>
    <n v="1"/>
    <s v=""/>
  </r>
  <r>
    <x v="23"/>
    <x v="1"/>
    <x v="1"/>
    <x v="94"/>
    <x v="1"/>
    <x v="4"/>
    <n v="0"/>
    <m/>
  </r>
  <r>
    <x v="23"/>
    <x v="1"/>
    <x v="1"/>
    <x v="95"/>
    <x v="1"/>
    <x v="4"/>
    <n v="0"/>
    <m/>
  </r>
  <r>
    <x v="23"/>
    <x v="1"/>
    <x v="1"/>
    <x v="96"/>
    <x v="2"/>
    <x v="0"/>
    <n v="1"/>
    <s v=""/>
  </r>
  <r>
    <x v="23"/>
    <x v="1"/>
    <x v="1"/>
    <x v="96"/>
    <x v="2"/>
    <x v="2"/>
    <n v="1"/>
    <s v=""/>
  </r>
  <r>
    <x v="23"/>
    <x v="1"/>
    <x v="1"/>
    <x v="97"/>
    <x v="1"/>
    <x v="4"/>
    <n v="0"/>
    <m/>
  </r>
  <r>
    <x v="23"/>
    <x v="1"/>
    <x v="1"/>
    <x v="98"/>
    <x v="1"/>
    <x v="4"/>
    <n v="0"/>
    <m/>
  </r>
  <r>
    <x v="23"/>
    <x v="1"/>
    <x v="1"/>
    <x v="99"/>
    <x v="1"/>
    <x v="4"/>
    <n v="0"/>
    <m/>
  </r>
  <r>
    <x v="23"/>
    <x v="1"/>
    <x v="2"/>
    <x v="100"/>
    <x v="4"/>
    <x v="3"/>
    <s v=""/>
    <s v="plaque absente"/>
  </r>
  <r>
    <x v="23"/>
    <x v="1"/>
    <x v="2"/>
    <x v="101"/>
    <x v="1"/>
    <x v="4"/>
    <n v="0"/>
    <m/>
  </r>
  <r>
    <x v="23"/>
    <x v="1"/>
    <x v="2"/>
    <x v="102"/>
    <x v="1"/>
    <x v="4"/>
    <n v="0"/>
    <m/>
  </r>
  <r>
    <x v="23"/>
    <x v="1"/>
    <x v="2"/>
    <x v="103"/>
    <x v="1"/>
    <x v="4"/>
    <n v="0"/>
    <m/>
  </r>
  <r>
    <x v="23"/>
    <x v="1"/>
    <x v="2"/>
    <x v="104"/>
    <x v="1"/>
    <x v="1"/>
    <n v="1"/>
    <s v=""/>
  </r>
  <r>
    <x v="23"/>
    <x v="1"/>
    <x v="2"/>
    <x v="104"/>
    <x v="5"/>
    <x v="1"/>
    <n v="1"/>
    <s v=""/>
  </r>
  <r>
    <x v="23"/>
    <x v="1"/>
    <x v="2"/>
    <x v="105"/>
    <x v="1"/>
    <x v="4"/>
    <n v="0"/>
    <m/>
  </r>
  <r>
    <x v="23"/>
    <x v="1"/>
    <x v="2"/>
    <x v="106"/>
    <x v="1"/>
    <x v="4"/>
    <n v="0"/>
    <m/>
  </r>
  <r>
    <x v="23"/>
    <x v="1"/>
    <x v="2"/>
    <x v="107"/>
    <x v="1"/>
    <x v="4"/>
    <n v="0"/>
    <m/>
  </r>
  <r>
    <x v="23"/>
    <x v="1"/>
    <x v="2"/>
    <x v="108"/>
    <x v="5"/>
    <x v="2"/>
    <n v="1"/>
    <s v=""/>
  </r>
  <r>
    <x v="23"/>
    <x v="1"/>
    <x v="2"/>
    <x v="109"/>
    <x v="1"/>
    <x v="4"/>
    <n v="0"/>
    <m/>
  </r>
  <r>
    <x v="23"/>
    <x v="1"/>
    <x v="2"/>
    <x v="110"/>
    <x v="1"/>
    <x v="4"/>
    <n v="0"/>
    <m/>
  </r>
  <r>
    <x v="23"/>
    <x v="1"/>
    <x v="2"/>
    <x v="111"/>
    <x v="0"/>
    <x v="1"/>
    <n v="1"/>
    <s v=""/>
  </r>
  <r>
    <x v="23"/>
    <x v="1"/>
    <x v="2"/>
    <x v="112"/>
    <x v="1"/>
    <x v="4"/>
    <n v="0"/>
    <m/>
  </r>
  <r>
    <x v="23"/>
    <x v="1"/>
    <x v="2"/>
    <x v="113"/>
    <x v="2"/>
    <x v="1"/>
    <n v="1"/>
    <s v=""/>
  </r>
  <r>
    <x v="23"/>
    <x v="1"/>
    <x v="2"/>
    <x v="114"/>
    <x v="1"/>
    <x v="4"/>
    <n v="0"/>
    <m/>
  </r>
  <r>
    <x v="23"/>
    <x v="1"/>
    <x v="2"/>
    <x v="115"/>
    <x v="1"/>
    <x v="4"/>
    <n v="0"/>
    <m/>
  </r>
  <r>
    <x v="23"/>
    <x v="1"/>
    <x v="2"/>
    <x v="116"/>
    <x v="4"/>
    <x v="3"/>
    <s v=""/>
    <s v="plaque absente"/>
  </r>
  <r>
    <x v="23"/>
    <x v="1"/>
    <x v="2"/>
    <x v="117"/>
    <x v="4"/>
    <x v="3"/>
    <s v=""/>
    <s v="plaque absente"/>
  </r>
  <r>
    <x v="23"/>
    <x v="1"/>
    <x v="2"/>
    <x v="118"/>
    <x v="1"/>
    <x v="4"/>
    <n v="0"/>
    <m/>
  </r>
  <r>
    <x v="23"/>
    <x v="1"/>
    <x v="2"/>
    <x v="119"/>
    <x v="5"/>
    <x v="1"/>
    <n v="1"/>
    <s v=""/>
  </r>
  <r>
    <x v="23"/>
    <x v="2"/>
    <x v="0"/>
    <x v="120"/>
    <x v="1"/>
    <x v="4"/>
    <n v="0"/>
    <m/>
  </r>
  <r>
    <x v="23"/>
    <x v="2"/>
    <x v="0"/>
    <x v="121"/>
    <x v="1"/>
    <x v="4"/>
    <n v="0"/>
    <m/>
  </r>
  <r>
    <x v="23"/>
    <x v="2"/>
    <x v="0"/>
    <x v="122"/>
    <x v="2"/>
    <x v="2"/>
    <n v="1"/>
    <s v=""/>
  </r>
  <r>
    <x v="23"/>
    <x v="2"/>
    <x v="0"/>
    <x v="123"/>
    <x v="1"/>
    <x v="4"/>
    <n v="0"/>
    <m/>
  </r>
  <r>
    <x v="23"/>
    <x v="2"/>
    <x v="0"/>
    <x v="124"/>
    <x v="0"/>
    <x v="1"/>
    <n v="1"/>
    <s v=""/>
  </r>
  <r>
    <x v="23"/>
    <x v="2"/>
    <x v="0"/>
    <x v="125"/>
    <x v="1"/>
    <x v="4"/>
    <n v="0"/>
    <m/>
  </r>
  <r>
    <x v="23"/>
    <x v="2"/>
    <x v="0"/>
    <x v="126"/>
    <x v="1"/>
    <x v="4"/>
    <n v="0"/>
    <m/>
  </r>
  <r>
    <x v="23"/>
    <x v="2"/>
    <x v="0"/>
    <x v="127"/>
    <x v="1"/>
    <x v="4"/>
    <n v="0"/>
    <m/>
  </r>
  <r>
    <x v="23"/>
    <x v="2"/>
    <x v="0"/>
    <x v="128"/>
    <x v="1"/>
    <x v="4"/>
    <n v="0"/>
    <m/>
  </r>
  <r>
    <x v="23"/>
    <x v="2"/>
    <x v="0"/>
    <x v="129"/>
    <x v="1"/>
    <x v="4"/>
    <n v="0"/>
    <m/>
  </r>
  <r>
    <x v="23"/>
    <x v="2"/>
    <x v="0"/>
    <x v="130"/>
    <x v="2"/>
    <x v="0"/>
    <n v="1"/>
    <s v=""/>
  </r>
  <r>
    <x v="23"/>
    <x v="2"/>
    <x v="0"/>
    <x v="131"/>
    <x v="2"/>
    <x v="2"/>
    <n v="1"/>
    <s v=""/>
  </r>
  <r>
    <x v="23"/>
    <x v="2"/>
    <x v="0"/>
    <x v="132"/>
    <x v="1"/>
    <x v="4"/>
    <n v="0"/>
    <m/>
  </r>
  <r>
    <x v="23"/>
    <x v="2"/>
    <x v="0"/>
    <x v="133"/>
    <x v="2"/>
    <x v="1"/>
    <n v="1"/>
    <s v=""/>
  </r>
  <r>
    <x v="23"/>
    <x v="2"/>
    <x v="0"/>
    <x v="133"/>
    <x v="5"/>
    <x v="1"/>
    <n v="1"/>
    <s v=""/>
  </r>
  <r>
    <x v="23"/>
    <x v="2"/>
    <x v="0"/>
    <x v="134"/>
    <x v="1"/>
    <x v="4"/>
    <n v="0"/>
    <m/>
  </r>
  <r>
    <x v="23"/>
    <x v="2"/>
    <x v="0"/>
    <x v="135"/>
    <x v="2"/>
    <x v="2"/>
    <n v="1"/>
    <s v=""/>
  </r>
  <r>
    <x v="23"/>
    <x v="2"/>
    <x v="0"/>
    <x v="136"/>
    <x v="1"/>
    <x v="4"/>
    <n v="0"/>
    <m/>
  </r>
  <r>
    <x v="23"/>
    <x v="2"/>
    <x v="0"/>
    <x v="137"/>
    <x v="2"/>
    <x v="0"/>
    <n v="1"/>
    <s v=""/>
  </r>
  <r>
    <x v="23"/>
    <x v="2"/>
    <x v="0"/>
    <x v="137"/>
    <x v="2"/>
    <x v="2"/>
    <n v="1"/>
    <s v=""/>
  </r>
  <r>
    <x v="23"/>
    <x v="2"/>
    <x v="0"/>
    <x v="138"/>
    <x v="2"/>
    <x v="0"/>
    <n v="1"/>
    <s v=""/>
  </r>
  <r>
    <x v="23"/>
    <x v="2"/>
    <x v="0"/>
    <x v="139"/>
    <x v="2"/>
    <x v="2"/>
    <n v="2"/>
    <s v=""/>
  </r>
  <r>
    <x v="23"/>
    <x v="2"/>
    <x v="1"/>
    <x v="140"/>
    <x v="1"/>
    <x v="4"/>
    <n v="0"/>
    <m/>
  </r>
  <r>
    <x v="23"/>
    <x v="2"/>
    <x v="1"/>
    <x v="141"/>
    <x v="1"/>
    <x v="4"/>
    <n v="0"/>
    <m/>
  </r>
  <r>
    <x v="23"/>
    <x v="2"/>
    <x v="1"/>
    <x v="142"/>
    <x v="1"/>
    <x v="4"/>
    <n v="0"/>
    <m/>
  </r>
  <r>
    <x v="23"/>
    <x v="2"/>
    <x v="1"/>
    <x v="143"/>
    <x v="1"/>
    <x v="4"/>
    <n v="0"/>
    <m/>
  </r>
  <r>
    <x v="23"/>
    <x v="2"/>
    <x v="1"/>
    <x v="144"/>
    <x v="1"/>
    <x v="4"/>
    <n v="0"/>
    <m/>
  </r>
  <r>
    <x v="23"/>
    <x v="2"/>
    <x v="1"/>
    <x v="145"/>
    <x v="1"/>
    <x v="4"/>
    <n v="0"/>
    <m/>
  </r>
  <r>
    <x v="23"/>
    <x v="2"/>
    <x v="1"/>
    <x v="146"/>
    <x v="1"/>
    <x v="4"/>
    <n v="0"/>
    <m/>
  </r>
  <r>
    <x v="23"/>
    <x v="2"/>
    <x v="1"/>
    <x v="147"/>
    <x v="1"/>
    <x v="4"/>
    <n v="0"/>
    <m/>
  </r>
  <r>
    <x v="23"/>
    <x v="2"/>
    <x v="1"/>
    <x v="148"/>
    <x v="0"/>
    <x v="2"/>
    <n v="1"/>
    <s v=""/>
  </r>
  <r>
    <x v="23"/>
    <x v="2"/>
    <x v="1"/>
    <x v="149"/>
    <x v="1"/>
    <x v="4"/>
    <n v="0"/>
    <m/>
  </r>
  <r>
    <x v="23"/>
    <x v="2"/>
    <x v="1"/>
    <x v="150"/>
    <x v="2"/>
    <x v="2"/>
    <n v="1"/>
    <s v=""/>
  </r>
  <r>
    <x v="23"/>
    <x v="2"/>
    <x v="1"/>
    <x v="151"/>
    <x v="5"/>
    <x v="2"/>
    <n v="1"/>
    <s v=""/>
  </r>
  <r>
    <x v="23"/>
    <x v="2"/>
    <x v="1"/>
    <x v="152"/>
    <x v="5"/>
    <x v="0"/>
    <n v="1"/>
    <s v=""/>
  </r>
  <r>
    <x v="23"/>
    <x v="2"/>
    <x v="1"/>
    <x v="153"/>
    <x v="1"/>
    <x v="4"/>
    <n v="0"/>
    <m/>
  </r>
  <r>
    <x v="23"/>
    <x v="2"/>
    <x v="1"/>
    <x v="154"/>
    <x v="0"/>
    <x v="2"/>
    <n v="1"/>
    <s v=""/>
  </r>
  <r>
    <x v="23"/>
    <x v="2"/>
    <x v="1"/>
    <x v="155"/>
    <x v="1"/>
    <x v="4"/>
    <n v="0"/>
    <m/>
  </r>
  <r>
    <x v="23"/>
    <x v="2"/>
    <x v="1"/>
    <x v="156"/>
    <x v="0"/>
    <x v="1"/>
    <n v="1"/>
    <s v=""/>
  </r>
  <r>
    <x v="23"/>
    <x v="2"/>
    <x v="1"/>
    <x v="156"/>
    <x v="5"/>
    <x v="2"/>
    <n v="2"/>
    <s v=""/>
  </r>
  <r>
    <x v="23"/>
    <x v="2"/>
    <x v="1"/>
    <x v="157"/>
    <x v="1"/>
    <x v="4"/>
    <n v="0"/>
    <m/>
  </r>
  <r>
    <x v="23"/>
    <x v="2"/>
    <x v="1"/>
    <x v="158"/>
    <x v="1"/>
    <x v="4"/>
    <n v="0"/>
    <m/>
  </r>
  <r>
    <x v="23"/>
    <x v="2"/>
    <x v="1"/>
    <x v="159"/>
    <x v="1"/>
    <x v="4"/>
    <n v="0"/>
    <m/>
  </r>
  <r>
    <x v="23"/>
    <x v="2"/>
    <x v="2"/>
    <x v="160"/>
    <x v="1"/>
    <x v="4"/>
    <n v="0"/>
    <m/>
  </r>
  <r>
    <x v="23"/>
    <x v="2"/>
    <x v="2"/>
    <x v="161"/>
    <x v="1"/>
    <x v="4"/>
    <n v="0"/>
    <m/>
  </r>
  <r>
    <x v="23"/>
    <x v="2"/>
    <x v="2"/>
    <x v="162"/>
    <x v="1"/>
    <x v="4"/>
    <n v="0"/>
    <m/>
  </r>
  <r>
    <x v="23"/>
    <x v="2"/>
    <x v="2"/>
    <x v="163"/>
    <x v="1"/>
    <x v="4"/>
    <n v="0"/>
    <m/>
  </r>
  <r>
    <x v="23"/>
    <x v="2"/>
    <x v="2"/>
    <x v="164"/>
    <x v="1"/>
    <x v="4"/>
    <n v="0"/>
    <m/>
  </r>
  <r>
    <x v="23"/>
    <x v="2"/>
    <x v="2"/>
    <x v="165"/>
    <x v="1"/>
    <x v="4"/>
    <n v="0"/>
    <m/>
  </r>
  <r>
    <x v="23"/>
    <x v="2"/>
    <x v="2"/>
    <x v="166"/>
    <x v="1"/>
    <x v="4"/>
    <n v="0"/>
    <m/>
  </r>
  <r>
    <x v="23"/>
    <x v="2"/>
    <x v="2"/>
    <x v="167"/>
    <x v="1"/>
    <x v="4"/>
    <n v="0"/>
    <m/>
  </r>
  <r>
    <x v="23"/>
    <x v="2"/>
    <x v="2"/>
    <x v="168"/>
    <x v="1"/>
    <x v="4"/>
    <n v="0"/>
    <m/>
  </r>
  <r>
    <x v="23"/>
    <x v="2"/>
    <x v="2"/>
    <x v="169"/>
    <x v="1"/>
    <x v="4"/>
    <n v="0"/>
    <m/>
  </r>
  <r>
    <x v="23"/>
    <x v="2"/>
    <x v="2"/>
    <x v="170"/>
    <x v="1"/>
    <x v="4"/>
    <n v="0"/>
    <m/>
  </r>
  <r>
    <x v="23"/>
    <x v="2"/>
    <x v="2"/>
    <x v="171"/>
    <x v="2"/>
    <x v="1"/>
    <n v="1"/>
    <s v=""/>
  </r>
  <r>
    <x v="23"/>
    <x v="2"/>
    <x v="2"/>
    <x v="172"/>
    <x v="1"/>
    <x v="4"/>
    <n v="0"/>
    <m/>
  </r>
  <r>
    <x v="23"/>
    <x v="2"/>
    <x v="2"/>
    <x v="173"/>
    <x v="1"/>
    <x v="4"/>
    <n v="0"/>
    <m/>
  </r>
  <r>
    <x v="23"/>
    <x v="2"/>
    <x v="2"/>
    <x v="174"/>
    <x v="5"/>
    <x v="0"/>
    <n v="1"/>
    <s v=""/>
  </r>
  <r>
    <x v="23"/>
    <x v="2"/>
    <x v="2"/>
    <x v="175"/>
    <x v="0"/>
    <x v="0"/>
    <n v="1"/>
    <s v=""/>
  </r>
  <r>
    <x v="23"/>
    <x v="2"/>
    <x v="2"/>
    <x v="176"/>
    <x v="1"/>
    <x v="4"/>
    <n v="0"/>
    <m/>
  </r>
  <r>
    <x v="23"/>
    <x v="2"/>
    <x v="2"/>
    <x v="177"/>
    <x v="2"/>
    <x v="1"/>
    <n v="1"/>
    <s v=""/>
  </r>
  <r>
    <x v="23"/>
    <x v="2"/>
    <x v="2"/>
    <x v="178"/>
    <x v="1"/>
    <x v="4"/>
    <n v="0"/>
    <m/>
  </r>
  <r>
    <x v="23"/>
    <x v="2"/>
    <x v="2"/>
    <x v="179"/>
    <x v="1"/>
    <x v="4"/>
    <n v="0"/>
    <m/>
  </r>
  <r>
    <x v="24"/>
    <x v="0"/>
    <x v="0"/>
    <x v="0"/>
    <x v="1"/>
    <x v="4"/>
    <n v="0"/>
    <m/>
  </r>
  <r>
    <x v="24"/>
    <x v="0"/>
    <x v="0"/>
    <x v="16"/>
    <x v="1"/>
    <x v="4"/>
    <n v="0"/>
    <m/>
  </r>
  <r>
    <x v="24"/>
    <x v="0"/>
    <x v="0"/>
    <x v="15"/>
    <x v="1"/>
    <x v="4"/>
    <n v="0"/>
    <m/>
  </r>
  <r>
    <x v="24"/>
    <x v="0"/>
    <x v="0"/>
    <x v="17"/>
    <x v="1"/>
    <x v="4"/>
    <n v="0"/>
    <m/>
  </r>
  <r>
    <x v="24"/>
    <x v="0"/>
    <x v="0"/>
    <x v="14"/>
    <x v="1"/>
    <x v="4"/>
    <n v="0"/>
    <m/>
  </r>
  <r>
    <x v="24"/>
    <x v="0"/>
    <x v="0"/>
    <x v="18"/>
    <x v="1"/>
    <x v="4"/>
    <n v="0"/>
    <m/>
  </r>
  <r>
    <x v="24"/>
    <x v="0"/>
    <x v="0"/>
    <x v="13"/>
    <x v="1"/>
    <x v="4"/>
    <n v="0"/>
    <m/>
  </r>
  <r>
    <x v="24"/>
    <x v="0"/>
    <x v="0"/>
    <x v="19"/>
    <x v="1"/>
    <x v="4"/>
    <n v="0"/>
    <m/>
  </r>
  <r>
    <x v="24"/>
    <x v="0"/>
    <x v="0"/>
    <x v="20"/>
    <x v="1"/>
    <x v="4"/>
    <n v="0"/>
    <m/>
  </r>
  <r>
    <x v="24"/>
    <x v="0"/>
    <x v="0"/>
    <x v="12"/>
    <x v="1"/>
    <x v="4"/>
    <n v="0"/>
    <m/>
  </r>
  <r>
    <x v="24"/>
    <x v="0"/>
    <x v="0"/>
    <x v="21"/>
    <x v="1"/>
    <x v="4"/>
    <n v="0"/>
    <m/>
  </r>
  <r>
    <x v="24"/>
    <x v="0"/>
    <x v="0"/>
    <x v="22"/>
    <x v="1"/>
    <x v="4"/>
    <n v="0"/>
    <m/>
  </r>
  <r>
    <x v="24"/>
    <x v="0"/>
    <x v="0"/>
    <x v="23"/>
    <x v="1"/>
    <x v="4"/>
    <n v="0"/>
    <m/>
  </r>
  <r>
    <x v="24"/>
    <x v="0"/>
    <x v="0"/>
    <x v="24"/>
    <x v="1"/>
    <x v="4"/>
    <n v="0"/>
    <m/>
  </r>
  <r>
    <x v="24"/>
    <x v="0"/>
    <x v="0"/>
    <x v="25"/>
    <x v="1"/>
    <x v="4"/>
    <n v="0"/>
    <m/>
  </r>
  <r>
    <x v="24"/>
    <x v="0"/>
    <x v="0"/>
    <x v="26"/>
    <x v="1"/>
    <x v="4"/>
    <n v="0"/>
    <m/>
  </r>
  <r>
    <x v="24"/>
    <x v="0"/>
    <x v="0"/>
    <x v="27"/>
    <x v="1"/>
    <x v="4"/>
    <n v="0"/>
    <m/>
  </r>
  <r>
    <x v="24"/>
    <x v="0"/>
    <x v="0"/>
    <x v="28"/>
    <x v="1"/>
    <x v="4"/>
    <n v="0"/>
    <m/>
  </r>
  <r>
    <x v="24"/>
    <x v="0"/>
    <x v="0"/>
    <x v="11"/>
    <x v="1"/>
    <x v="4"/>
    <n v="0"/>
    <m/>
  </r>
  <r>
    <x v="24"/>
    <x v="0"/>
    <x v="0"/>
    <x v="29"/>
    <x v="1"/>
    <x v="4"/>
    <n v="0"/>
    <m/>
  </r>
  <r>
    <x v="24"/>
    <x v="0"/>
    <x v="1"/>
    <x v="30"/>
    <x v="1"/>
    <x v="4"/>
    <n v="0"/>
    <m/>
  </r>
  <r>
    <x v="24"/>
    <x v="0"/>
    <x v="1"/>
    <x v="31"/>
    <x v="1"/>
    <x v="4"/>
    <n v="0"/>
    <m/>
  </r>
  <r>
    <x v="24"/>
    <x v="0"/>
    <x v="1"/>
    <x v="32"/>
    <x v="1"/>
    <x v="4"/>
    <n v="0"/>
    <m/>
  </r>
  <r>
    <x v="24"/>
    <x v="0"/>
    <x v="1"/>
    <x v="33"/>
    <x v="1"/>
    <x v="4"/>
    <n v="0"/>
    <m/>
  </r>
  <r>
    <x v="24"/>
    <x v="0"/>
    <x v="1"/>
    <x v="10"/>
    <x v="1"/>
    <x v="4"/>
    <n v="0"/>
    <m/>
  </r>
  <r>
    <x v="24"/>
    <x v="0"/>
    <x v="1"/>
    <x v="34"/>
    <x v="1"/>
    <x v="4"/>
    <n v="0"/>
    <m/>
  </r>
  <r>
    <x v="24"/>
    <x v="0"/>
    <x v="1"/>
    <x v="35"/>
    <x v="1"/>
    <x v="4"/>
    <n v="0"/>
    <m/>
  </r>
  <r>
    <x v="24"/>
    <x v="0"/>
    <x v="1"/>
    <x v="36"/>
    <x v="1"/>
    <x v="4"/>
    <n v="0"/>
    <m/>
  </r>
  <r>
    <x v="24"/>
    <x v="0"/>
    <x v="1"/>
    <x v="37"/>
    <x v="1"/>
    <x v="4"/>
    <n v="0"/>
    <m/>
  </r>
  <r>
    <x v="24"/>
    <x v="0"/>
    <x v="1"/>
    <x v="9"/>
    <x v="3"/>
    <x v="0"/>
    <n v="1"/>
    <s v=""/>
  </r>
  <r>
    <x v="24"/>
    <x v="0"/>
    <x v="1"/>
    <x v="38"/>
    <x v="0"/>
    <x v="2"/>
    <n v="1"/>
    <s v=""/>
  </r>
  <r>
    <x v="24"/>
    <x v="0"/>
    <x v="1"/>
    <x v="8"/>
    <x v="3"/>
    <x v="2"/>
    <n v="1"/>
    <s v=""/>
  </r>
  <r>
    <x v="24"/>
    <x v="0"/>
    <x v="1"/>
    <x v="39"/>
    <x v="1"/>
    <x v="4"/>
    <n v="0"/>
    <m/>
  </r>
  <r>
    <x v="24"/>
    <x v="0"/>
    <x v="1"/>
    <x v="7"/>
    <x v="1"/>
    <x v="4"/>
    <n v="0"/>
    <m/>
  </r>
  <r>
    <x v="24"/>
    <x v="0"/>
    <x v="1"/>
    <x v="6"/>
    <x v="1"/>
    <x v="4"/>
    <n v="0"/>
    <m/>
  </r>
  <r>
    <x v="24"/>
    <x v="0"/>
    <x v="1"/>
    <x v="40"/>
    <x v="1"/>
    <x v="4"/>
    <n v="0"/>
    <m/>
  </r>
  <r>
    <x v="24"/>
    <x v="0"/>
    <x v="1"/>
    <x v="41"/>
    <x v="3"/>
    <x v="2"/>
    <n v="1"/>
    <s v=""/>
  </r>
  <r>
    <x v="24"/>
    <x v="0"/>
    <x v="1"/>
    <x v="42"/>
    <x v="1"/>
    <x v="4"/>
    <n v="0"/>
    <m/>
  </r>
  <r>
    <x v="24"/>
    <x v="0"/>
    <x v="1"/>
    <x v="5"/>
    <x v="1"/>
    <x v="4"/>
    <n v="0"/>
    <m/>
  </r>
  <r>
    <x v="24"/>
    <x v="0"/>
    <x v="1"/>
    <x v="43"/>
    <x v="1"/>
    <x v="4"/>
    <n v="0"/>
    <m/>
  </r>
  <r>
    <x v="24"/>
    <x v="0"/>
    <x v="2"/>
    <x v="44"/>
    <x v="1"/>
    <x v="4"/>
    <n v="0"/>
    <m/>
  </r>
  <r>
    <x v="24"/>
    <x v="0"/>
    <x v="2"/>
    <x v="45"/>
    <x v="1"/>
    <x v="4"/>
    <n v="0"/>
    <m/>
  </r>
  <r>
    <x v="24"/>
    <x v="0"/>
    <x v="2"/>
    <x v="46"/>
    <x v="5"/>
    <x v="0"/>
    <n v="1"/>
    <s v=""/>
  </r>
  <r>
    <x v="24"/>
    <x v="0"/>
    <x v="2"/>
    <x v="4"/>
    <x v="1"/>
    <x v="4"/>
    <n v="0"/>
    <m/>
  </r>
  <r>
    <x v="24"/>
    <x v="0"/>
    <x v="2"/>
    <x v="47"/>
    <x v="1"/>
    <x v="4"/>
    <n v="0"/>
    <m/>
  </r>
  <r>
    <x v="24"/>
    <x v="0"/>
    <x v="2"/>
    <x v="48"/>
    <x v="1"/>
    <x v="4"/>
    <n v="0"/>
    <m/>
  </r>
  <r>
    <x v="24"/>
    <x v="0"/>
    <x v="2"/>
    <x v="49"/>
    <x v="1"/>
    <x v="4"/>
    <n v="0"/>
    <m/>
  </r>
  <r>
    <x v="24"/>
    <x v="0"/>
    <x v="2"/>
    <x v="50"/>
    <x v="1"/>
    <x v="4"/>
    <n v="0"/>
    <m/>
  </r>
  <r>
    <x v="24"/>
    <x v="0"/>
    <x v="2"/>
    <x v="3"/>
    <x v="1"/>
    <x v="4"/>
    <n v="0"/>
    <m/>
  </r>
  <r>
    <x v="24"/>
    <x v="0"/>
    <x v="2"/>
    <x v="51"/>
    <x v="1"/>
    <x v="4"/>
    <n v="0"/>
    <m/>
  </r>
  <r>
    <x v="24"/>
    <x v="0"/>
    <x v="2"/>
    <x v="2"/>
    <x v="1"/>
    <x v="4"/>
    <n v="0"/>
    <m/>
  </r>
  <r>
    <x v="24"/>
    <x v="0"/>
    <x v="2"/>
    <x v="52"/>
    <x v="1"/>
    <x v="4"/>
    <n v="0"/>
    <m/>
  </r>
  <r>
    <x v="24"/>
    <x v="0"/>
    <x v="2"/>
    <x v="53"/>
    <x v="1"/>
    <x v="4"/>
    <n v="0"/>
    <m/>
  </r>
  <r>
    <x v="24"/>
    <x v="0"/>
    <x v="2"/>
    <x v="54"/>
    <x v="1"/>
    <x v="4"/>
    <n v="0"/>
    <m/>
  </r>
  <r>
    <x v="24"/>
    <x v="0"/>
    <x v="2"/>
    <x v="1"/>
    <x v="1"/>
    <x v="4"/>
    <n v="0"/>
    <m/>
  </r>
  <r>
    <x v="24"/>
    <x v="0"/>
    <x v="2"/>
    <x v="55"/>
    <x v="1"/>
    <x v="4"/>
    <n v="0"/>
    <m/>
  </r>
  <r>
    <x v="24"/>
    <x v="0"/>
    <x v="2"/>
    <x v="56"/>
    <x v="1"/>
    <x v="4"/>
    <n v="0"/>
    <m/>
  </r>
  <r>
    <x v="24"/>
    <x v="0"/>
    <x v="2"/>
    <x v="57"/>
    <x v="1"/>
    <x v="4"/>
    <n v="0"/>
    <m/>
  </r>
  <r>
    <x v="24"/>
    <x v="0"/>
    <x v="2"/>
    <x v="58"/>
    <x v="1"/>
    <x v="4"/>
    <n v="0"/>
    <m/>
  </r>
  <r>
    <x v="24"/>
    <x v="0"/>
    <x v="2"/>
    <x v="59"/>
    <x v="1"/>
    <x v="4"/>
    <n v="0"/>
    <m/>
  </r>
  <r>
    <x v="24"/>
    <x v="1"/>
    <x v="0"/>
    <x v="60"/>
    <x v="1"/>
    <x v="4"/>
    <n v="0"/>
    <m/>
  </r>
  <r>
    <x v="24"/>
    <x v="1"/>
    <x v="0"/>
    <x v="61"/>
    <x v="1"/>
    <x v="4"/>
    <n v="0"/>
    <m/>
  </r>
  <r>
    <x v="24"/>
    <x v="1"/>
    <x v="0"/>
    <x v="62"/>
    <x v="3"/>
    <x v="1"/>
    <n v="1"/>
    <s v=""/>
  </r>
  <r>
    <x v="24"/>
    <x v="1"/>
    <x v="0"/>
    <x v="63"/>
    <x v="1"/>
    <x v="4"/>
    <n v="0"/>
    <m/>
  </r>
  <r>
    <x v="24"/>
    <x v="1"/>
    <x v="0"/>
    <x v="64"/>
    <x v="1"/>
    <x v="4"/>
    <n v="0"/>
    <m/>
  </r>
  <r>
    <x v="24"/>
    <x v="1"/>
    <x v="0"/>
    <x v="65"/>
    <x v="1"/>
    <x v="4"/>
    <n v="0"/>
    <m/>
  </r>
  <r>
    <x v="24"/>
    <x v="1"/>
    <x v="0"/>
    <x v="66"/>
    <x v="1"/>
    <x v="4"/>
    <n v="0"/>
    <m/>
  </r>
  <r>
    <x v="24"/>
    <x v="1"/>
    <x v="0"/>
    <x v="67"/>
    <x v="1"/>
    <x v="4"/>
    <n v="0"/>
    <m/>
  </r>
  <r>
    <x v="24"/>
    <x v="1"/>
    <x v="0"/>
    <x v="68"/>
    <x v="1"/>
    <x v="4"/>
    <n v="0"/>
    <m/>
  </r>
  <r>
    <x v="24"/>
    <x v="1"/>
    <x v="0"/>
    <x v="69"/>
    <x v="1"/>
    <x v="4"/>
    <n v="0"/>
    <m/>
  </r>
  <r>
    <x v="24"/>
    <x v="1"/>
    <x v="0"/>
    <x v="70"/>
    <x v="1"/>
    <x v="4"/>
    <n v="0"/>
    <m/>
  </r>
  <r>
    <x v="24"/>
    <x v="1"/>
    <x v="0"/>
    <x v="71"/>
    <x v="2"/>
    <x v="1"/>
    <n v="1"/>
    <s v=""/>
  </r>
  <r>
    <x v="24"/>
    <x v="1"/>
    <x v="0"/>
    <x v="72"/>
    <x v="3"/>
    <x v="2"/>
    <n v="1"/>
    <s v=""/>
  </r>
  <r>
    <x v="24"/>
    <x v="1"/>
    <x v="0"/>
    <x v="73"/>
    <x v="1"/>
    <x v="4"/>
    <n v="0"/>
    <m/>
  </r>
  <r>
    <x v="24"/>
    <x v="1"/>
    <x v="0"/>
    <x v="74"/>
    <x v="1"/>
    <x v="4"/>
    <n v="0"/>
    <m/>
  </r>
  <r>
    <x v="24"/>
    <x v="1"/>
    <x v="0"/>
    <x v="75"/>
    <x v="1"/>
    <x v="4"/>
    <n v="0"/>
    <m/>
  </r>
  <r>
    <x v="24"/>
    <x v="1"/>
    <x v="0"/>
    <x v="76"/>
    <x v="1"/>
    <x v="4"/>
    <n v="0"/>
    <m/>
  </r>
  <r>
    <x v="24"/>
    <x v="1"/>
    <x v="0"/>
    <x v="77"/>
    <x v="1"/>
    <x v="4"/>
    <n v="0"/>
    <m/>
  </r>
  <r>
    <x v="24"/>
    <x v="1"/>
    <x v="0"/>
    <x v="78"/>
    <x v="1"/>
    <x v="4"/>
    <n v="0"/>
    <m/>
  </r>
  <r>
    <x v="24"/>
    <x v="1"/>
    <x v="0"/>
    <x v="79"/>
    <x v="1"/>
    <x v="4"/>
    <n v="0"/>
    <m/>
  </r>
  <r>
    <x v="24"/>
    <x v="1"/>
    <x v="1"/>
    <x v="80"/>
    <x v="1"/>
    <x v="4"/>
    <n v="0"/>
    <m/>
  </r>
  <r>
    <x v="24"/>
    <x v="1"/>
    <x v="1"/>
    <x v="81"/>
    <x v="2"/>
    <x v="0"/>
    <n v="1"/>
    <s v=""/>
  </r>
  <r>
    <x v="24"/>
    <x v="1"/>
    <x v="1"/>
    <x v="82"/>
    <x v="1"/>
    <x v="4"/>
    <n v="0"/>
    <m/>
  </r>
  <r>
    <x v="24"/>
    <x v="1"/>
    <x v="1"/>
    <x v="83"/>
    <x v="1"/>
    <x v="4"/>
    <n v="0"/>
    <m/>
  </r>
  <r>
    <x v="24"/>
    <x v="1"/>
    <x v="1"/>
    <x v="84"/>
    <x v="1"/>
    <x v="4"/>
    <n v="0"/>
    <m/>
  </r>
  <r>
    <x v="24"/>
    <x v="1"/>
    <x v="1"/>
    <x v="85"/>
    <x v="1"/>
    <x v="4"/>
    <n v="0"/>
    <m/>
  </r>
  <r>
    <x v="24"/>
    <x v="1"/>
    <x v="1"/>
    <x v="86"/>
    <x v="5"/>
    <x v="0"/>
    <n v="1"/>
    <s v=""/>
  </r>
  <r>
    <x v="24"/>
    <x v="1"/>
    <x v="1"/>
    <x v="87"/>
    <x v="5"/>
    <x v="0"/>
    <n v="1"/>
    <s v=""/>
  </r>
  <r>
    <x v="24"/>
    <x v="1"/>
    <x v="1"/>
    <x v="88"/>
    <x v="1"/>
    <x v="4"/>
    <n v="0"/>
    <m/>
  </r>
  <r>
    <x v="24"/>
    <x v="1"/>
    <x v="1"/>
    <x v="89"/>
    <x v="1"/>
    <x v="4"/>
    <n v="0"/>
    <m/>
  </r>
  <r>
    <x v="24"/>
    <x v="1"/>
    <x v="1"/>
    <x v="90"/>
    <x v="1"/>
    <x v="4"/>
    <n v="0"/>
    <m/>
  </r>
  <r>
    <x v="24"/>
    <x v="1"/>
    <x v="1"/>
    <x v="91"/>
    <x v="1"/>
    <x v="4"/>
    <n v="0"/>
    <m/>
  </r>
  <r>
    <x v="24"/>
    <x v="1"/>
    <x v="1"/>
    <x v="92"/>
    <x v="1"/>
    <x v="4"/>
    <n v="0"/>
    <m/>
  </r>
  <r>
    <x v="24"/>
    <x v="1"/>
    <x v="1"/>
    <x v="93"/>
    <x v="1"/>
    <x v="4"/>
    <n v="0"/>
    <m/>
  </r>
  <r>
    <x v="24"/>
    <x v="1"/>
    <x v="1"/>
    <x v="94"/>
    <x v="1"/>
    <x v="4"/>
    <n v="0"/>
    <m/>
  </r>
  <r>
    <x v="24"/>
    <x v="1"/>
    <x v="1"/>
    <x v="95"/>
    <x v="3"/>
    <x v="0"/>
    <n v="1"/>
    <s v=""/>
  </r>
  <r>
    <x v="24"/>
    <x v="1"/>
    <x v="1"/>
    <x v="96"/>
    <x v="1"/>
    <x v="4"/>
    <n v="0"/>
    <m/>
  </r>
  <r>
    <x v="24"/>
    <x v="1"/>
    <x v="1"/>
    <x v="97"/>
    <x v="1"/>
    <x v="4"/>
    <n v="0"/>
    <m/>
  </r>
  <r>
    <x v="24"/>
    <x v="1"/>
    <x v="1"/>
    <x v="98"/>
    <x v="1"/>
    <x v="4"/>
    <n v="0"/>
    <m/>
  </r>
  <r>
    <x v="24"/>
    <x v="1"/>
    <x v="1"/>
    <x v="99"/>
    <x v="1"/>
    <x v="4"/>
    <n v="0"/>
    <m/>
  </r>
  <r>
    <x v="24"/>
    <x v="1"/>
    <x v="2"/>
    <x v="100"/>
    <x v="1"/>
    <x v="4"/>
    <n v="0"/>
    <m/>
  </r>
  <r>
    <x v="24"/>
    <x v="1"/>
    <x v="2"/>
    <x v="101"/>
    <x v="1"/>
    <x v="4"/>
    <n v="0"/>
    <m/>
  </r>
  <r>
    <x v="24"/>
    <x v="1"/>
    <x v="2"/>
    <x v="102"/>
    <x v="6"/>
    <x v="4"/>
    <m/>
    <s v="plaque absente"/>
  </r>
  <r>
    <x v="24"/>
    <x v="1"/>
    <x v="2"/>
    <x v="103"/>
    <x v="1"/>
    <x v="4"/>
    <n v="0"/>
    <m/>
  </r>
  <r>
    <x v="24"/>
    <x v="1"/>
    <x v="2"/>
    <x v="104"/>
    <x v="1"/>
    <x v="4"/>
    <n v="0"/>
    <m/>
  </r>
  <r>
    <x v="24"/>
    <x v="1"/>
    <x v="2"/>
    <x v="105"/>
    <x v="1"/>
    <x v="4"/>
    <n v="0"/>
    <m/>
  </r>
  <r>
    <x v="24"/>
    <x v="1"/>
    <x v="2"/>
    <x v="106"/>
    <x v="1"/>
    <x v="4"/>
    <n v="0"/>
    <m/>
  </r>
  <r>
    <x v="24"/>
    <x v="1"/>
    <x v="2"/>
    <x v="107"/>
    <x v="1"/>
    <x v="4"/>
    <n v="0"/>
    <m/>
  </r>
  <r>
    <x v="24"/>
    <x v="1"/>
    <x v="2"/>
    <x v="108"/>
    <x v="1"/>
    <x v="4"/>
    <n v="0"/>
    <m/>
  </r>
  <r>
    <x v="24"/>
    <x v="1"/>
    <x v="2"/>
    <x v="109"/>
    <x v="1"/>
    <x v="4"/>
    <n v="0"/>
    <m/>
  </r>
  <r>
    <x v="24"/>
    <x v="1"/>
    <x v="2"/>
    <x v="110"/>
    <x v="1"/>
    <x v="4"/>
    <n v="0"/>
    <m/>
  </r>
  <r>
    <x v="24"/>
    <x v="1"/>
    <x v="2"/>
    <x v="111"/>
    <x v="1"/>
    <x v="4"/>
    <n v="0"/>
    <m/>
  </r>
  <r>
    <x v="24"/>
    <x v="1"/>
    <x v="2"/>
    <x v="112"/>
    <x v="1"/>
    <x v="4"/>
    <n v="0"/>
    <m/>
  </r>
  <r>
    <x v="24"/>
    <x v="1"/>
    <x v="2"/>
    <x v="113"/>
    <x v="1"/>
    <x v="4"/>
    <n v="0"/>
    <m/>
  </r>
  <r>
    <x v="24"/>
    <x v="1"/>
    <x v="2"/>
    <x v="114"/>
    <x v="1"/>
    <x v="4"/>
    <n v="0"/>
    <m/>
  </r>
  <r>
    <x v="24"/>
    <x v="1"/>
    <x v="2"/>
    <x v="115"/>
    <x v="1"/>
    <x v="4"/>
    <n v="0"/>
    <m/>
  </r>
  <r>
    <x v="24"/>
    <x v="1"/>
    <x v="2"/>
    <x v="116"/>
    <x v="1"/>
    <x v="4"/>
    <n v="0"/>
    <m/>
  </r>
  <r>
    <x v="24"/>
    <x v="1"/>
    <x v="2"/>
    <x v="117"/>
    <x v="1"/>
    <x v="4"/>
    <n v="0"/>
    <m/>
  </r>
  <r>
    <x v="24"/>
    <x v="1"/>
    <x v="2"/>
    <x v="118"/>
    <x v="5"/>
    <x v="0"/>
    <n v="1"/>
    <s v=""/>
  </r>
  <r>
    <x v="24"/>
    <x v="1"/>
    <x v="2"/>
    <x v="119"/>
    <x v="1"/>
    <x v="4"/>
    <n v="0"/>
    <m/>
  </r>
  <r>
    <x v="24"/>
    <x v="2"/>
    <x v="0"/>
    <x v="120"/>
    <x v="1"/>
    <x v="4"/>
    <n v="0"/>
    <m/>
  </r>
  <r>
    <x v="24"/>
    <x v="2"/>
    <x v="0"/>
    <x v="121"/>
    <x v="1"/>
    <x v="4"/>
    <n v="0"/>
    <m/>
  </r>
  <r>
    <x v="24"/>
    <x v="2"/>
    <x v="0"/>
    <x v="122"/>
    <x v="1"/>
    <x v="4"/>
    <n v="0"/>
    <m/>
  </r>
  <r>
    <x v="24"/>
    <x v="2"/>
    <x v="0"/>
    <x v="123"/>
    <x v="1"/>
    <x v="4"/>
    <n v="0"/>
    <m/>
  </r>
  <r>
    <x v="24"/>
    <x v="2"/>
    <x v="0"/>
    <x v="124"/>
    <x v="1"/>
    <x v="4"/>
    <n v="0"/>
    <m/>
  </r>
  <r>
    <x v="24"/>
    <x v="2"/>
    <x v="0"/>
    <x v="125"/>
    <x v="1"/>
    <x v="4"/>
    <n v="0"/>
    <m/>
  </r>
  <r>
    <x v="24"/>
    <x v="2"/>
    <x v="0"/>
    <x v="126"/>
    <x v="1"/>
    <x v="4"/>
    <n v="0"/>
    <m/>
  </r>
  <r>
    <x v="24"/>
    <x v="2"/>
    <x v="0"/>
    <x v="127"/>
    <x v="1"/>
    <x v="4"/>
    <n v="0"/>
    <m/>
  </r>
  <r>
    <x v="24"/>
    <x v="2"/>
    <x v="0"/>
    <x v="128"/>
    <x v="1"/>
    <x v="4"/>
    <n v="0"/>
    <m/>
  </r>
  <r>
    <x v="24"/>
    <x v="2"/>
    <x v="0"/>
    <x v="129"/>
    <x v="1"/>
    <x v="4"/>
    <n v="0"/>
    <m/>
  </r>
  <r>
    <x v="24"/>
    <x v="2"/>
    <x v="0"/>
    <x v="130"/>
    <x v="1"/>
    <x v="4"/>
    <n v="0"/>
    <m/>
  </r>
  <r>
    <x v="24"/>
    <x v="2"/>
    <x v="0"/>
    <x v="131"/>
    <x v="1"/>
    <x v="4"/>
    <n v="0"/>
    <m/>
  </r>
  <r>
    <x v="24"/>
    <x v="2"/>
    <x v="0"/>
    <x v="132"/>
    <x v="1"/>
    <x v="4"/>
    <n v="0"/>
    <m/>
  </r>
  <r>
    <x v="24"/>
    <x v="2"/>
    <x v="0"/>
    <x v="133"/>
    <x v="1"/>
    <x v="4"/>
    <n v="0"/>
    <m/>
  </r>
  <r>
    <x v="24"/>
    <x v="2"/>
    <x v="0"/>
    <x v="134"/>
    <x v="1"/>
    <x v="4"/>
    <n v="0"/>
    <m/>
  </r>
  <r>
    <x v="24"/>
    <x v="2"/>
    <x v="0"/>
    <x v="135"/>
    <x v="1"/>
    <x v="4"/>
    <n v="0"/>
    <m/>
  </r>
  <r>
    <x v="24"/>
    <x v="2"/>
    <x v="0"/>
    <x v="136"/>
    <x v="1"/>
    <x v="4"/>
    <n v="0"/>
    <m/>
  </r>
  <r>
    <x v="24"/>
    <x v="2"/>
    <x v="0"/>
    <x v="137"/>
    <x v="1"/>
    <x v="4"/>
    <n v="0"/>
    <m/>
  </r>
  <r>
    <x v="24"/>
    <x v="2"/>
    <x v="0"/>
    <x v="138"/>
    <x v="1"/>
    <x v="4"/>
    <n v="0"/>
    <m/>
  </r>
  <r>
    <x v="24"/>
    <x v="2"/>
    <x v="0"/>
    <x v="139"/>
    <x v="1"/>
    <x v="4"/>
    <n v="0"/>
    <m/>
  </r>
  <r>
    <x v="24"/>
    <x v="2"/>
    <x v="1"/>
    <x v="140"/>
    <x v="1"/>
    <x v="4"/>
    <n v="0"/>
    <m/>
  </r>
  <r>
    <x v="24"/>
    <x v="2"/>
    <x v="1"/>
    <x v="141"/>
    <x v="1"/>
    <x v="4"/>
    <n v="0"/>
    <m/>
  </r>
  <r>
    <x v="24"/>
    <x v="2"/>
    <x v="1"/>
    <x v="142"/>
    <x v="1"/>
    <x v="4"/>
    <n v="0"/>
    <m/>
  </r>
  <r>
    <x v="24"/>
    <x v="2"/>
    <x v="1"/>
    <x v="143"/>
    <x v="1"/>
    <x v="4"/>
    <n v="0"/>
    <m/>
  </r>
  <r>
    <x v="24"/>
    <x v="2"/>
    <x v="1"/>
    <x v="144"/>
    <x v="1"/>
    <x v="4"/>
    <n v="0"/>
    <m/>
  </r>
  <r>
    <x v="24"/>
    <x v="2"/>
    <x v="1"/>
    <x v="145"/>
    <x v="1"/>
    <x v="4"/>
    <n v="0"/>
    <m/>
  </r>
  <r>
    <x v="24"/>
    <x v="2"/>
    <x v="1"/>
    <x v="146"/>
    <x v="2"/>
    <x v="2"/>
    <n v="1"/>
    <s v=""/>
  </r>
  <r>
    <x v="24"/>
    <x v="2"/>
    <x v="1"/>
    <x v="147"/>
    <x v="1"/>
    <x v="4"/>
    <n v="0"/>
    <m/>
  </r>
  <r>
    <x v="24"/>
    <x v="2"/>
    <x v="1"/>
    <x v="148"/>
    <x v="1"/>
    <x v="4"/>
    <n v="0"/>
    <m/>
  </r>
  <r>
    <x v="24"/>
    <x v="2"/>
    <x v="1"/>
    <x v="149"/>
    <x v="1"/>
    <x v="4"/>
    <n v="0"/>
    <m/>
  </r>
  <r>
    <x v="24"/>
    <x v="2"/>
    <x v="1"/>
    <x v="150"/>
    <x v="1"/>
    <x v="4"/>
    <n v="0"/>
    <m/>
  </r>
  <r>
    <x v="24"/>
    <x v="2"/>
    <x v="1"/>
    <x v="151"/>
    <x v="1"/>
    <x v="4"/>
    <n v="0"/>
    <m/>
  </r>
  <r>
    <x v="24"/>
    <x v="2"/>
    <x v="1"/>
    <x v="152"/>
    <x v="1"/>
    <x v="4"/>
    <n v="0"/>
    <m/>
  </r>
  <r>
    <x v="24"/>
    <x v="2"/>
    <x v="1"/>
    <x v="153"/>
    <x v="1"/>
    <x v="4"/>
    <n v="0"/>
    <m/>
  </r>
  <r>
    <x v="24"/>
    <x v="2"/>
    <x v="1"/>
    <x v="154"/>
    <x v="1"/>
    <x v="4"/>
    <n v="0"/>
    <m/>
  </r>
  <r>
    <x v="24"/>
    <x v="2"/>
    <x v="1"/>
    <x v="155"/>
    <x v="2"/>
    <x v="2"/>
    <n v="1"/>
    <s v=""/>
  </r>
  <r>
    <x v="24"/>
    <x v="2"/>
    <x v="1"/>
    <x v="156"/>
    <x v="1"/>
    <x v="4"/>
    <n v="0"/>
    <m/>
  </r>
  <r>
    <x v="24"/>
    <x v="2"/>
    <x v="1"/>
    <x v="157"/>
    <x v="1"/>
    <x v="4"/>
    <n v="0"/>
    <m/>
  </r>
  <r>
    <x v="24"/>
    <x v="2"/>
    <x v="1"/>
    <x v="158"/>
    <x v="1"/>
    <x v="4"/>
    <n v="0"/>
    <m/>
  </r>
  <r>
    <x v="24"/>
    <x v="2"/>
    <x v="1"/>
    <x v="159"/>
    <x v="1"/>
    <x v="4"/>
    <n v="0"/>
    <m/>
  </r>
  <r>
    <x v="24"/>
    <x v="2"/>
    <x v="2"/>
    <x v="160"/>
    <x v="1"/>
    <x v="4"/>
    <n v="0"/>
    <m/>
  </r>
  <r>
    <x v="24"/>
    <x v="2"/>
    <x v="2"/>
    <x v="161"/>
    <x v="1"/>
    <x v="4"/>
    <n v="0"/>
    <m/>
  </r>
  <r>
    <x v="24"/>
    <x v="2"/>
    <x v="2"/>
    <x v="162"/>
    <x v="1"/>
    <x v="4"/>
    <n v="0"/>
    <m/>
  </r>
  <r>
    <x v="24"/>
    <x v="2"/>
    <x v="2"/>
    <x v="163"/>
    <x v="1"/>
    <x v="4"/>
    <n v="0"/>
    <m/>
  </r>
  <r>
    <x v="24"/>
    <x v="2"/>
    <x v="2"/>
    <x v="164"/>
    <x v="1"/>
    <x v="4"/>
    <n v="0"/>
    <m/>
  </r>
  <r>
    <x v="24"/>
    <x v="2"/>
    <x v="2"/>
    <x v="165"/>
    <x v="1"/>
    <x v="4"/>
    <n v="0"/>
    <m/>
  </r>
  <r>
    <x v="24"/>
    <x v="2"/>
    <x v="2"/>
    <x v="166"/>
    <x v="1"/>
    <x v="4"/>
    <n v="0"/>
    <m/>
  </r>
  <r>
    <x v="24"/>
    <x v="2"/>
    <x v="2"/>
    <x v="167"/>
    <x v="1"/>
    <x v="4"/>
    <n v="0"/>
    <m/>
  </r>
  <r>
    <x v="24"/>
    <x v="2"/>
    <x v="2"/>
    <x v="168"/>
    <x v="1"/>
    <x v="4"/>
    <n v="0"/>
    <m/>
  </r>
  <r>
    <x v="24"/>
    <x v="2"/>
    <x v="2"/>
    <x v="169"/>
    <x v="1"/>
    <x v="4"/>
    <n v="0"/>
    <m/>
  </r>
  <r>
    <x v="24"/>
    <x v="2"/>
    <x v="2"/>
    <x v="170"/>
    <x v="3"/>
    <x v="1"/>
    <n v="1"/>
    <s v=""/>
  </r>
  <r>
    <x v="24"/>
    <x v="2"/>
    <x v="2"/>
    <x v="171"/>
    <x v="1"/>
    <x v="4"/>
    <n v="0"/>
    <m/>
  </r>
  <r>
    <x v="24"/>
    <x v="2"/>
    <x v="2"/>
    <x v="172"/>
    <x v="1"/>
    <x v="4"/>
    <n v="0"/>
    <m/>
  </r>
  <r>
    <x v="24"/>
    <x v="2"/>
    <x v="2"/>
    <x v="173"/>
    <x v="4"/>
    <x v="3"/>
    <s v=""/>
    <s v="plaque absente"/>
  </r>
  <r>
    <x v="24"/>
    <x v="2"/>
    <x v="2"/>
    <x v="174"/>
    <x v="1"/>
    <x v="4"/>
    <n v="0"/>
    <m/>
  </r>
  <r>
    <x v="24"/>
    <x v="2"/>
    <x v="2"/>
    <x v="175"/>
    <x v="1"/>
    <x v="4"/>
    <n v="0"/>
    <m/>
  </r>
  <r>
    <x v="24"/>
    <x v="2"/>
    <x v="2"/>
    <x v="176"/>
    <x v="1"/>
    <x v="4"/>
    <n v="0"/>
    <m/>
  </r>
  <r>
    <x v="24"/>
    <x v="2"/>
    <x v="2"/>
    <x v="177"/>
    <x v="1"/>
    <x v="4"/>
    <n v="0"/>
    <m/>
  </r>
  <r>
    <x v="24"/>
    <x v="2"/>
    <x v="2"/>
    <x v="178"/>
    <x v="1"/>
    <x v="4"/>
    <n v="0"/>
    <m/>
  </r>
  <r>
    <x v="24"/>
    <x v="2"/>
    <x v="2"/>
    <x v="179"/>
    <x v="1"/>
    <x v="4"/>
    <n v="0"/>
    <m/>
  </r>
  <r>
    <x v="25"/>
    <x v="0"/>
    <x v="0"/>
    <x v="0"/>
    <x v="2"/>
    <x v="0"/>
    <n v="1"/>
    <s v=""/>
  </r>
  <r>
    <x v="25"/>
    <x v="0"/>
    <x v="0"/>
    <x v="0"/>
    <x v="2"/>
    <x v="2"/>
    <n v="1"/>
    <s v=""/>
  </r>
  <r>
    <x v="25"/>
    <x v="0"/>
    <x v="0"/>
    <x v="16"/>
    <x v="0"/>
    <x v="2"/>
    <n v="1"/>
    <s v=""/>
  </r>
  <r>
    <x v="25"/>
    <x v="0"/>
    <x v="0"/>
    <x v="16"/>
    <x v="2"/>
    <x v="0"/>
    <n v="1"/>
    <s v=""/>
  </r>
  <r>
    <x v="25"/>
    <x v="0"/>
    <x v="0"/>
    <x v="16"/>
    <x v="2"/>
    <x v="2"/>
    <n v="2"/>
    <s v=""/>
  </r>
  <r>
    <x v="25"/>
    <x v="0"/>
    <x v="0"/>
    <x v="15"/>
    <x v="2"/>
    <x v="1"/>
    <n v="1"/>
    <s v=""/>
  </r>
  <r>
    <x v="25"/>
    <x v="0"/>
    <x v="0"/>
    <x v="17"/>
    <x v="2"/>
    <x v="0"/>
    <n v="1"/>
    <s v=""/>
  </r>
  <r>
    <x v="25"/>
    <x v="0"/>
    <x v="0"/>
    <x v="14"/>
    <x v="1"/>
    <x v="4"/>
    <n v="0"/>
    <m/>
  </r>
  <r>
    <x v="25"/>
    <x v="0"/>
    <x v="0"/>
    <x v="18"/>
    <x v="2"/>
    <x v="0"/>
    <n v="1"/>
    <s v=""/>
  </r>
  <r>
    <x v="25"/>
    <x v="0"/>
    <x v="0"/>
    <x v="13"/>
    <x v="2"/>
    <x v="0"/>
    <n v="3"/>
    <s v=""/>
  </r>
  <r>
    <x v="25"/>
    <x v="0"/>
    <x v="0"/>
    <x v="19"/>
    <x v="0"/>
    <x v="2"/>
    <n v="1"/>
    <s v=""/>
  </r>
  <r>
    <x v="25"/>
    <x v="0"/>
    <x v="0"/>
    <x v="19"/>
    <x v="2"/>
    <x v="0"/>
    <n v="1"/>
    <s v=""/>
  </r>
  <r>
    <x v="25"/>
    <x v="0"/>
    <x v="0"/>
    <x v="19"/>
    <x v="2"/>
    <x v="2"/>
    <n v="2"/>
    <s v=""/>
  </r>
  <r>
    <x v="25"/>
    <x v="0"/>
    <x v="0"/>
    <x v="20"/>
    <x v="2"/>
    <x v="1"/>
    <n v="1"/>
    <s v=""/>
  </r>
  <r>
    <x v="25"/>
    <x v="0"/>
    <x v="0"/>
    <x v="20"/>
    <x v="2"/>
    <x v="0"/>
    <n v="1"/>
    <s v=""/>
  </r>
  <r>
    <x v="25"/>
    <x v="0"/>
    <x v="0"/>
    <x v="12"/>
    <x v="2"/>
    <x v="1"/>
    <n v="3"/>
    <s v=""/>
  </r>
  <r>
    <x v="25"/>
    <x v="0"/>
    <x v="0"/>
    <x v="21"/>
    <x v="1"/>
    <x v="4"/>
    <n v="0"/>
    <m/>
  </r>
  <r>
    <x v="25"/>
    <x v="0"/>
    <x v="0"/>
    <x v="22"/>
    <x v="1"/>
    <x v="4"/>
    <n v="0"/>
    <m/>
  </r>
  <r>
    <x v="25"/>
    <x v="0"/>
    <x v="0"/>
    <x v="23"/>
    <x v="1"/>
    <x v="4"/>
    <n v="0"/>
    <m/>
  </r>
  <r>
    <x v="25"/>
    <x v="0"/>
    <x v="0"/>
    <x v="24"/>
    <x v="2"/>
    <x v="1"/>
    <n v="2"/>
    <s v=""/>
  </r>
  <r>
    <x v="25"/>
    <x v="0"/>
    <x v="0"/>
    <x v="24"/>
    <x v="2"/>
    <x v="0"/>
    <n v="6"/>
    <s v=""/>
  </r>
  <r>
    <x v="25"/>
    <x v="0"/>
    <x v="0"/>
    <x v="25"/>
    <x v="2"/>
    <x v="0"/>
    <n v="5"/>
    <s v=""/>
  </r>
  <r>
    <x v="25"/>
    <x v="0"/>
    <x v="0"/>
    <x v="26"/>
    <x v="3"/>
    <x v="1"/>
    <n v="2"/>
    <s v=""/>
  </r>
  <r>
    <x v="25"/>
    <x v="0"/>
    <x v="0"/>
    <x v="26"/>
    <x v="2"/>
    <x v="1"/>
    <n v="2"/>
    <s v=""/>
  </r>
  <r>
    <x v="25"/>
    <x v="0"/>
    <x v="0"/>
    <x v="26"/>
    <x v="2"/>
    <x v="0"/>
    <n v="1"/>
    <s v=""/>
  </r>
  <r>
    <x v="25"/>
    <x v="0"/>
    <x v="0"/>
    <x v="27"/>
    <x v="2"/>
    <x v="2"/>
    <n v="1"/>
    <s v=""/>
  </r>
  <r>
    <x v="25"/>
    <x v="0"/>
    <x v="0"/>
    <x v="28"/>
    <x v="2"/>
    <x v="0"/>
    <n v="1"/>
    <s v=""/>
  </r>
  <r>
    <x v="25"/>
    <x v="0"/>
    <x v="0"/>
    <x v="11"/>
    <x v="1"/>
    <x v="4"/>
    <n v="0"/>
    <m/>
  </r>
  <r>
    <x v="25"/>
    <x v="0"/>
    <x v="0"/>
    <x v="29"/>
    <x v="1"/>
    <x v="4"/>
    <n v="0"/>
    <m/>
  </r>
  <r>
    <x v="25"/>
    <x v="0"/>
    <x v="1"/>
    <x v="30"/>
    <x v="2"/>
    <x v="0"/>
    <n v="1"/>
    <s v=""/>
  </r>
  <r>
    <x v="25"/>
    <x v="0"/>
    <x v="1"/>
    <x v="31"/>
    <x v="2"/>
    <x v="0"/>
    <n v="1"/>
    <s v=""/>
  </r>
  <r>
    <x v="25"/>
    <x v="0"/>
    <x v="1"/>
    <x v="32"/>
    <x v="2"/>
    <x v="1"/>
    <n v="1"/>
    <s v=""/>
  </r>
  <r>
    <x v="25"/>
    <x v="0"/>
    <x v="1"/>
    <x v="32"/>
    <x v="2"/>
    <x v="2"/>
    <n v="1"/>
    <s v=""/>
  </r>
  <r>
    <x v="25"/>
    <x v="0"/>
    <x v="1"/>
    <x v="33"/>
    <x v="2"/>
    <x v="1"/>
    <n v="1"/>
    <s v=""/>
  </r>
  <r>
    <x v="25"/>
    <x v="0"/>
    <x v="1"/>
    <x v="33"/>
    <x v="2"/>
    <x v="0"/>
    <n v="1"/>
    <s v=""/>
  </r>
  <r>
    <x v="25"/>
    <x v="0"/>
    <x v="1"/>
    <x v="10"/>
    <x v="2"/>
    <x v="0"/>
    <n v="1"/>
    <s v=""/>
  </r>
  <r>
    <x v="25"/>
    <x v="0"/>
    <x v="1"/>
    <x v="10"/>
    <x v="2"/>
    <x v="2"/>
    <n v="1"/>
    <s v=""/>
  </r>
  <r>
    <x v="25"/>
    <x v="0"/>
    <x v="1"/>
    <x v="34"/>
    <x v="2"/>
    <x v="0"/>
    <n v="2"/>
    <s v=""/>
  </r>
  <r>
    <x v="25"/>
    <x v="0"/>
    <x v="1"/>
    <x v="35"/>
    <x v="2"/>
    <x v="0"/>
    <n v="1"/>
    <s v=""/>
  </r>
  <r>
    <x v="25"/>
    <x v="0"/>
    <x v="1"/>
    <x v="35"/>
    <x v="2"/>
    <x v="2"/>
    <n v="1"/>
    <s v=""/>
  </r>
  <r>
    <x v="25"/>
    <x v="0"/>
    <x v="1"/>
    <x v="36"/>
    <x v="2"/>
    <x v="0"/>
    <n v="1"/>
    <s v=""/>
  </r>
  <r>
    <x v="25"/>
    <x v="0"/>
    <x v="1"/>
    <x v="37"/>
    <x v="2"/>
    <x v="1"/>
    <n v="1"/>
    <s v=""/>
  </r>
  <r>
    <x v="25"/>
    <x v="0"/>
    <x v="1"/>
    <x v="37"/>
    <x v="2"/>
    <x v="2"/>
    <n v="1"/>
    <s v=""/>
  </r>
  <r>
    <x v="25"/>
    <x v="0"/>
    <x v="1"/>
    <x v="9"/>
    <x v="1"/>
    <x v="4"/>
    <n v="0"/>
    <m/>
  </r>
  <r>
    <x v="25"/>
    <x v="0"/>
    <x v="1"/>
    <x v="38"/>
    <x v="0"/>
    <x v="0"/>
    <n v="1"/>
    <s v=""/>
  </r>
  <r>
    <x v="25"/>
    <x v="0"/>
    <x v="1"/>
    <x v="8"/>
    <x v="2"/>
    <x v="2"/>
    <n v="2"/>
    <s v=""/>
  </r>
  <r>
    <x v="25"/>
    <x v="0"/>
    <x v="1"/>
    <x v="39"/>
    <x v="2"/>
    <x v="0"/>
    <n v="1"/>
    <s v=""/>
  </r>
  <r>
    <x v="25"/>
    <x v="0"/>
    <x v="1"/>
    <x v="7"/>
    <x v="1"/>
    <x v="4"/>
    <n v="0"/>
    <m/>
  </r>
  <r>
    <x v="25"/>
    <x v="0"/>
    <x v="1"/>
    <x v="6"/>
    <x v="1"/>
    <x v="4"/>
    <n v="0"/>
    <m/>
  </r>
  <r>
    <x v="25"/>
    <x v="0"/>
    <x v="1"/>
    <x v="40"/>
    <x v="2"/>
    <x v="0"/>
    <n v="2"/>
    <s v=""/>
  </r>
  <r>
    <x v="25"/>
    <x v="0"/>
    <x v="1"/>
    <x v="41"/>
    <x v="2"/>
    <x v="0"/>
    <n v="2"/>
    <s v=""/>
  </r>
  <r>
    <x v="25"/>
    <x v="0"/>
    <x v="1"/>
    <x v="42"/>
    <x v="1"/>
    <x v="4"/>
    <n v="0"/>
    <m/>
  </r>
  <r>
    <x v="25"/>
    <x v="0"/>
    <x v="1"/>
    <x v="5"/>
    <x v="1"/>
    <x v="4"/>
    <n v="0"/>
    <m/>
  </r>
  <r>
    <x v="25"/>
    <x v="0"/>
    <x v="1"/>
    <x v="43"/>
    <x v="1"/>
    <x v="4"/>
    <n v="0"/>
    <m/>
  </r>
  <r>
    <x v="25"/>
    <x v="0"/>
    <x v="2"/>
    <x v="44"/>
    <x v="1"/>
    <x v="4"/>
    <n v="0"/>
    <m/>
  </r>
  <r>
    <x v="25"/>
    <x v="0"/>
    <x v="2"/>
    <x v="45"/>
    <x v="1"/>
    <x v="4"/>
    <n v="0"/>
    <m/>
  </r>
  <r>
    <x v="25"/>
    <x v="0"/>
    <x v="2"/>
    <x v="46"/>
    <x v="1"/>
    <x v="4"/>
    <n v="0"/>
    <m/>
  </r>
  <r>
    <x v="25"/>
    <x v="0"/>
    <x v="2"/>
    <x v="4"/>
    <x v="0"/>
    <x v="0"/>
    <n v="1"/>
    <s v=""/>
  </r>
  <r>
    <x v="25"/>
    <x v="0"/>
    <x v="2"/>
    <x v="47"/>
    <x v="1"/>
    <x v="4"/>
    <n v="0"/>
    <m/>
  </r>
  <r>
    <x v="25"/>
    <x v="0"/>
    <x v="2"/>
    <x v="48"/>
    <x v="1"/>
    <x v="4"/>
    <n v="0"/>
    <m/>
  </r>
  <r>
    <x v="25"/>
    <x v="0"/>
    <x v="2"/>
    <x v="49"/>
    <x v="2"/>
    <x v="0"/>
    <n v="4"/>
    <s v=""/>
  </r>
  <r>
    <x v="25"/>
    <x v="0"/>
    <x v="2"/>
    <x v="50"/>
    <x v="2"/>
    <x v="0"/>
    <n v="1"/>
    <s v=""/>
  </r>
  <r>
    <x v="25"/>
    <x v="0"/>
    <x v="2"/>
    <x v="3"/>
    <x v="1"/>
    <x v="4"/>
    <n v="0"/>
    <m/>
  </r>
  <r>
    <x v="25"/>
    <x v="0"/>
    <x v="2"/>
    <x v="51"/>
    <x v="1"/>
    <x v="4"/>
    <n v="0"/>
    <m/>
  </r>
  <r>
    <x v="25"/>
    <x v="0"/>
    <x v="2"/>
    <x v="2"/>
    <x v="1"/>
    <x v="4"/>
    <n v="0"/>
    <m/>
  </r>
  <r>
    <x v="25"/>
    <x v="0"/>
    <x v="2"/>
    <x v="52"/>
    <x v="1"/>
    <x v="4"/>
    <n v="0"/>
    <m/>
  </r>
  <r>
    <x v="25"/>
    <x v="0"/>
    <x v="2"/>
    <x v="53"/>
    <x v="2"/>
    <x v="0"/>
    <n v="1"/>
    <s v=""/>
  </r>
  <r>
    <x v="25"/>
    <x v="0"/>
    <x v="2"/>
    <x v="54"/>
    <x v="1"/>
    <x v="4"/>
    <n v="0"/>
    <m/>
  </r>
  <r>
    <x v="25"/>
    <x v="0"/>
    <x v="2"/>
    <x v="1"/>
    <x v="2"/>
    <x v="0"/>
    <n v="1"/>
    <s v=""/>
  </r>
  <r>
    <x v="25"/>
    <x v="0"/>
    <x v="2"/>
    <x v="1"/>
    <x v="2"/>
    <x v="2"/>
    <n v="2"/>
    <s v=""/>
  </r>
  <r>
    <x v="25"/>
    <x v="0"/>
    <x v="2"/>
    <x v="55"/>
    <x v="1"/>
    <x v="4"/>
    <n v="0"/>
    <m/>
  </r>
  <r>
    <x v="25"/>
    <x v="0"/>
    <x v="2"/>
    <x v="56"/>
    <x v="2"/>
    <x v="0"/>
    <n v="2"/>
    <s v=""/>
  </r>
  <r>
    <x v="25"/>
    <x v="0"/>
    <x v="2"/>
    <x v="57"/>
    <x v="1"/>
    <x v="4"/>
    <n v="0"/>
    <m/>
  </r>
  <r>
    <x v="25"/>
    <x v="0"/>
    <x v="2"/>
    <x v="58"/>
    <x v="2"/>
    <x v="0"/>
    <n v="2"/>
    <s v=""/>
  </r>
  <r>
    <x v="25"/>
    <x v="0"/>
    <x v="2"/>
    <x v="59"/>
    <x v="5"/>
    <x v="1"/>
    <n v="1"/>
    <s v=""/>
  </r>
  <r>
    <x v="25"/>
    <x v="1"/>
    <x v="0"/>
    <x v="60"/>
    <x v="1"/>
    <x v="4"/>
    <n v="0"/>
    <m/>
  </r>
  <r>
    <x v="25"/>
    <x v="1"/>
    <x v="0"/>
    <x v="61"/>
    <x v="1"/>
    <x v="4"/>
    <n v="0"/>
    <m/>
  </r>
  <r>
    <x v="25"/>
    <x v="1"/>
    <x v="0"/>
    <x v="62"/>
    <x v="1"/>
    <x v="4"/>
    <n v="0"/>
    <m/>
  </r>
  <r>
    <x v="25"/>
    <x v="1"/>
    <x v="0"/>
    <x v="63"/>
    <x v="1"/>
    <x v="4"/>
    <n v="0"/>
    <m/>
  </r>
  <r>
    <x v="25"/>
    <x v="1"/>
    <x v="0"/>
    <x v="64"/>
    <x v="2"/>
    <x v="0"/>
    <n v="1"/>
    <s v=""/>
  </r>
  <r>
    <x v="25"/>
    <x v="1"/>
    <x v="0"/>
    <x v="65"/>
    <x v="1"/>
    <x v="4"/>
    <n v="0"/>
    <m/>
  </r>
  <r>
    <x v="25"/>
    <x v="1"/>
    <x v="0"/>
    <x v="66"/>
    <x v="2"/>
    <x v="1"/>
    <n v="4"/>
    <s v=""/>
  </r>
  <r>
    <x v="25"/>
    <x v="1"/>
    <x v="0"/>
    <x v="67"/>
    <x v="2"/>
    <x v="0"/>
    <n v="1"/>
    <s v=""/>
  </r>
  <r>
    <x v="25"/>
    <x v="1"/>
    <x v="0"/>
    <x v="67"/>
    <x v="2"/>
    <x v="2"/>
    <n v="1"/>
    <s v=""/>
  </r>
  <r>
    <x v="25"/>
    <x v="1"/>
    <x v="0"/>
    <x v="68"/>
    <x v="1"/>
    <x v="4"/>
    <n v="0"/>
    <m/>
  </r>
  <r>
    <x v="25"/>
    <x v="1"/>
    <x v="0"/>
    <x v="69"/>
    <x v="1"/>
    <x v="4"/>
    <n v="0"/>
    <m/>
  </r>
  <r>
    <x v="25"/>
    <x v="1"/>
    <x v="0"/>
    <x v="70"/>
    <x v="2"/>
    <x v="1"/>
    <n v="1"/>
    <s v=""/>
  </r>
  <r>
    <x v="25"/>
    <x v="1"/>
    <x v="0"/>
    <x v="70"/>
    <x v="2"/>
    <x v="2"/>
    <n v="1"/>
    <s v=""/>
  </r>
  <r>
    <x v="25"/>
    <x v="1"/>
    <x v="0"/>
    <x v="71"/>
    <x v="2"/>
    <x v="0"/>
    <n v="2"/>
    <s v=""/>
  </r>
  <r>
    <x v="25"/>
    <x v="1"/>
    <x v="0"/>
    <x v="72"/>
    <x v="2"/>
    <x v="0"/>
    <n v="1"/>
    <s v=""/>
  </r>
  <r>
    <x v="25"/>
    <x v="1"/>
    <x v="0"/>
    <x v="73"/>
    <x v="2"/>
    <x v="0"/>
    <n v="1"/>
    <s v=""/>
  </r>
  <r>
    <x v="25"/>
    <x v="1"/>
    <x v="0"/>
    <x v="74"/>
    <x v="1"/>
    <x v="4"/>
    <n v="0"/>
    <m/>
  </r>
  <r>
    <x v="25"/>
    <x v="1"/>
    <x v="0"/>
    <x v="75"/>
    <x v="0"/>
    <x v="0"/>
    <n v="1"/>
    <s v=""/>
  </r>
  <r>
    <x v="25"/>
    <x v="1"/>
    <x v="0"/>
    <x v="75"/>
    <x v="2"/>
    <x v="2"/>
    <n v="2"/>
    <s v=""/>
  </r>
  <r>
    <x v="25"/>
    <x v="1"/>
    <x v="0"/>
    <x v="76"/>
    <x v="1"/>
    <x v="4"/>
    <n v="0"/>
    <m/>
  </r>
  <r>
    <x v="25"/>
    <x v="1"/>
    <x v="0"/>
    <x v="77"/>
    <x v="3"/>
    <x v="1"/>
    <n v="1"/>
    <s v=""/>
  </r>
  <r>
    <x v="25"/>
    <x v="1"/>
    <x v="0"/>
    <x v="77"/>
    <x v="0"/>
    <x v="1"/>
    <n v="1"/>
    <s v=""/>
  </r>
  <r>
    <x v="25"/>
    <x v="1"/>
    <x v="0"/>
    <x v="77"/>
    <x v="2"/>
    <x v="1"/>
    <n v="3"/>
    <s v=""/>
  </r>
  <r>
    <x v="25"/>
    <x v="1"/>
    <x v="0"/>
    <x v="77"/>
    <x v="2"/>
    <x v="2"/>
    <n v="1"/>
    <s v=""/>
  </r>
  <r>
    <x v="25"/>
    <x v="1"/>
    <x v="0"/>
    <x v="78"/>
    <x v="2"/>
    <x v="0"/>
    <n v="2"/>
    <s v=""/>
  </r>
  <r>
    <x v="25"/>
    <x v="1"/>
    <x v="0"/>
    <x v="79"/>
    <x v="5"/>
    <x v="1"/>
    <n v="1"/>
    <s v=""/>
  </r>
  <r>
    <x v="25"/>
    <x v="1"/>
    <x v="1"/>
    <x v="80"/>
    <x v="1"/>
    <x v="4"/>
    <n v="0"/>
    <m/>
  </r>
  <r>
    <x v="25"/>
    <x v="1"/>
    <x v="1"/>
    <x v="81"/>
    <x v="2"/>
    <x v="0"/>
    <n v="1"/>
    <s v=""/>
  </r>
  <r>
    <x v="25"/>
    <x v="1"/>
    <x v="1"/>
    <x v="82"/>
    <x v="1"/>
    <x v="4"/>
    <n v="0"/>
    <m/>
  </r>
  <r>
    <x v="25"/>
    <x v="1"/>
    <x v="1"/>
    <x v="83"/>
    <x v="5"/>
    <x v="1"/>
    <n v="1"/>
    <s v=""/>
  </r>
  <r>
    <x v="25"/>
    <x v="1"/>
    <x v="1"/>
    <x v="84"/>
    <x v="1"/>
    <x v="4"/>
    <n v="0"/>
    <m/>
  </r>
  <r>
    <x v="25"/>
    <x v="1"/>
    <x v="1"/>
    <x v="85"/>
    <x v="2"/>
    <x v="0"/>
    <n v="1"/>
    <s v=""/>
  </r>
  <r>
    <x v="25"/>
    <x v="1"/>
    <x v="1"/>
    <x v="86"/>
    <x v="1"/>
    <x v="4"/>
    <n v="0"/>
    <m/>
  </r>
  <r>
    <x v="25"/>
    <x v="1"/>
    <x v="1"/>
    <x v="87"/>
    <x v="3"/>
    <x v="0"/>
    <n v="1"/>
    <s v=""/>
  </r>
  <r>
    <x v="25"/>
    <x v="1"/>
    <x v="1"/>
    <x v="87"/>
    <x v="2"/>
    <x v="0"/>
    <n v="3"/>
    <s v=""/>
  </r>
  <r>
    <x v="25"/>
    <x v="1"/>
    <x v="1"/>
    <x v="87"/>
    <x v="5"/>
    <x v="0"/>
    <n v="2"/>
    <s v=""/>
  </r>
  <r>
    <x v="25"/>
    <x v="1"/>
    <x v="1"/>
    <x v="88"/>
    <x v="5"/>
    <x v="1"/>
    <n v="1"/>
    <s v=""/>
  </r>
  <r>
    <x v="25"/>
    <x v="1"/>
    <x v="1"/>
    <x v="88"/>
    <x v="5"/>
    <x v="2"/>
    <n v="2"/>
    <s v=""/>
  </r>
  <r>
    <x v="25"/>
    <x v="1"/>
    <x v="1"/>
    <x v="89"/>
    <x v="3"/>
    <x v="0"/>
    <n v="1"/>
    <s v=""/>
  </r>
  <r>
    <x v="25"/>
    <x v="1"/>
    <x v="1"/>
    <x v="90"/>
    <x v="2"/>
    <x v="0"/>
    <n v="1"/>
    <s v=""/>
  </r>
  <r>
    <x v="25"/>
    <x v="1"/>
    <x v="1"/>
    <x v="91"/>
    <x v="1"/>
    <x v="4"/>
    <n v="0"/>
    <m/>
  </r>
  <r>
    <x v="25"/>
    <x v="1"/>
    <x v="1"/>
    <x v="92"/>
    <x v="1"/>
    <x v="4"/>
    <n v="0"/>
    <m/>
  </r>
  <r>
    <x v="25"/>
    <x v="1"/>
    <x v="1"/>
    <x v="93"/>
    <x v="1"/>
    <x v="4"/>
    <n v="0"/>
    <m/>
  </r>
  <r>
    <x v="25"/>
    <x v="1"/>
    <x v="1"/>
    <x v="94"/>
    <x v="2"/>
    <x v="0"/>
    <n v="1"/>
    <s v=""/>
  </r>
  <r>
    <x v="25"/>
    <x v="1"/>
    <x v="1"/>
    <x v="95"/>
    <x v="0"/>
    <x v="2"/>
    <n v="1"/>
    <s v=""/>
  </r>
  <r>
    <x v="25"/>
    <x v="1"/>
    <x v="1"/>
    <x v="95"/>
    <x v="2"/>
    <x v="0"/>
    <n v="2"/>
    <s v=""/>
  </r>
  <r>
    <x v="25"/>
    <x v="1"/>
    <x v="1"/>
    <x v="96"/>
    <x v="2"/>
    <x v="1"/>
    <n v="1"/>
    <s v=""/>
  </r>
  <r>
    <x v="25"/>
    <x v="1"/>
    <x v="1"/>
    <x v="96"/>
    <x v="2"/>
    <x v="0"/>
    <n v="2"/>
    <s v=""/>
  </r>
  <r>
    <x v="25"/>
    <x v="1"/>
    <x v="1"/>
    <x v="97"/>
    <x v="2"/>
    <x v="1"/>
    <n v="1"/>
    <s v=""/>
  </r>
  <r>
    <x v="25"/>
    <x v="1"/>
    <x v="1"/>
    <x v="98"/>
    <x v="1"/>
    <x v="4"/>
    <n v="0"/>
    <m/>
  </r>
  <r>
    <x v="25"/>
    <x v="1"/>
    <x v="1"/>
    <x v="99"/>
    <x v="1"/>
    <x v="4"/>
    <n v="0"/>
    <m/>
  </r>
  <r>
    <x v="25"/>
    <x v="1"/>
    <x v="2"/>
    <x v="100"/>
    <x v="1"/>
    <x v="4"/>
    <n v="0"/>
    <m/>
  </r>
  <r>
    <x v="25"/>
    <x v="1"/>
    <x v="2"/>
    <x v="101"/>
    <x v="1"/>
    <x v="4"/>
    <n v="0"/>
    <m/>
  </r>
  <r>
    <x v="25"/>
    <x v="1"/>
    <x v="2"/>
    <x v="102"/>
    <x v="1"/>
    <x v="4"/>
    <n v="0"/>
    <m/>
  </r>
  <r>
    <x v="25"/>
    <x v="1"/>
    <x v="2"/>
    <x v="103"/>
    <x v="0"/>
    <x v="2"/>
    <n v="1"/>
    <s v=""/>
  </r>
  <r>
    <x v="25"/>
    <x v="1"/>
    <x v="2"/>
    <x v="104"/>
    <x v="5"/>
    <x v="1"/>
    <n v="1"/>
    <s v=""/>
  </r>
  <r>
    <x v="25"/>
    <x v="1"/>
    <x v="2"/>
    <x v="104"/>
    <x v="5"/>
    <x v="2"/>
    <n v="2"/>
    <s v=""/>
  </r>
  <r>
    <x v="25"/>
    <x v="1"/>
    <x v="2"/>
    <x v="105"/>
    <x v="1"/>
    <x v="4"/>
    <n v="0"/>
    <m/>
  </r>
  <r>
    <x v="25"/>
    <x v="1"/>
    <x v="2"/>
    <x v="106"/>
    <x v="1"/>
    <x v="4"/>
    <n v="0"/>
    <m/>
  </r>
  <r>
    <x v="25"/>
    <x v="1"/>
    <x v="2"/>
    <x v="107"/>
    <x v="1"/>
    <x v="4"/>
    <n v="0"/>
    <m/>
  </r>
  <r>
    <x v="25"/>
    <x v="1"/>
    <x v="2"/>
    <x v="108"/>
    <x v="1"/>
    <x v="4"/>
    <n v="0"/>
    <m/>
  </r>
  <r>
    <x v="25"/>
    <x v="1"/>
    <x v="2"/>
    <x v="109"/>
    <x v="1"/>
    <x v="4"/>
    <n v="0"/>
    <m/>
  </r>
  <r>
    <x v="25"/>
    <x v="1"/>
    <x v="2"/>
    <x v="110"/>
    <x v="5"/>
    <x v="2"/>
    <n v="1"/>
    <s v=""/>
  </r>
  <r>
    <x v="25"/>
    <x v="1"/>
    <x v="2"/>
    <x v="111"/>
    <x v="1"/>
    <x v="4"/>
    <n v="0"/>
    <m/>
  </r>
  <r>
    <x v="25"/>
    <x v="1"/>
    <x v="2"/>
    <x v="112"/>
    <x v="1"/>
    <x v="4"/>
    <n v="0"/>
    <m/>
  </r>
  <r>
    <x v="25"/>
    <x v="1"/>
    <x v="2"/>
    <x v="113"/>
    <x v="2"/>
    <x v="0"/>
    <n v="1"/>
    <s v=""/>
  </r>
  <r>
    <x v="25"/>
    <x v="1"/>
    <x v="2"/>
    <x v="114"/>
    <x v="2"/>
    <x v="0"/>
    <n v="1"/>
    <s v=""/>
  </r>
  <r>
    <x v="25"/>
    <x v="1"/>
    <x v="2"/>
    <x v="115"/>
    <x v="1"/>
    <x v="4"/>
    <n v="0"/>
    <m/>
  </r>
  <r>
    <x v="25"/>
    <x v="1"/>
    <x v="2"/>
    <x v="116"/>
    <x v="2"/>
    <x v="1"/>
    <n v="1"/>
    <s v=""/>
  </r>
  <r>
    <x v="25"/>
    <x v="1"/>
    <x v="2"/>
    <x v="117"/>
    <x v="1"/>
    <x v="4"/>
    <n v="0"/>
    <m/>
  </r>
  <r>
    <x v="25"/>
    <x v="1"/>
    <x v="2"/>
    <x v="118"/>
    <x v="1"/>
    <x v="4"/>
    <n v="0"/>
    <m/>
  </r>
  <r>
    <x v="25"/>
    <x v="1"/>
    <x v="2"/>
    <x v="119"/>
    <x v="1"/>
    <x v="4"/>
    <n v="0"/>
    <m/>
  </r>
  <r>
    <x v="25"/>
    <x v="2"/>
    <x v="0"/>
    <x v="120"/>
    <x v="2"/>
    <x v="1"/>
    <n v="1"/>
    <s v=""/>
  </r>
  <r>
    <x v="25"/>
    <x v="2"/>
    <x v="0"/>
    <x v="120"/>
    <x v="2"/>
    <x v="2"/>
    <n v="1"/>
    <s v=""/>
  </r>
  <r>
    <x v="25"/>
    <x v="2"/>
    <x v="0"/>
    <x v="121"/>
    <x v="1"/>
    <x v="4"/>
    <n v="0"/>
    <m/>
  </r>
  <r>
    <x v="25"/>
    <x v="2"/>
    <x v="0"/>
    <x v="122"/>
    <x v="2"/>
    <x v="2"/>
    <n v="1"/>
    <s v=""/>
  </r>
  <r>
    <x v="25"/>
    <x v="2"/>
    <x v="0"/>
    <x v="123"/>
    <x v="1"/>
    <x v="4"/>
    <n v="0"/>
    <m/>
  </r>
  <r>
    <x v="25"/>
    <x v="2"/>
    <x v="0"/>
    <x v="124"/>
    <x v="1"/>
    <x v="4"/>
    <n v="0"/>
    <m/>
  </r>
  <r>
    <x v="25"/>
    <x v="2"/>
    <x v="0"/>
    <x v="125"/>
    <x v="1"/>
    <x v="4"/>
    <n v="0"/>
    <m/>
  </r>
  <r>
    <x v="25"/>
    <x v="2"/>
    <x v="0"/>
    <x v="126"/>
    <x v="1"/>
    <x v="4"/>
    <n v="0"/>
    <s v="1 juv"/>
  </r>
  <r>
    <x v="25"/>
    <x v="2"/>
    <x v="0"/>
    <x v="126"/>
    <x v="5"/>
    <x v="0"/>
    <n v="1"/>
    <s v=""/>
  </r>
  <r>
    <x v="25"/>
    <x v="2"/>
    <x v="0"/>
    <x v="127"/>
    <x v="1"/>
    <x v="4"/>
    <n v="0"/>
    <m/>
  </r>
  <r>
    <x v="25"/>
    <x v="2"/>
    <x v="0"/>
    <x v="128"/>
    <x v="1"/>
    <x v="4"/>
    <n v="0"/>
    <m/>
  </r>
  <r>
    <x v="25"/>
    <x v="2"/>
    <x v="0"/>
    <x v="129"/>
    <x v="2"/>
    <x v="0"/>
    <n v="2"/>
    <s v=""/>
  </r>
  <r>
    <x v="25"/>
    <x v="2"/>
    <x v="0"/>
    <x v="130"/>
    <x v="2"/>
    <x v="1"/>
    <n v="1"/>
    <s v=""/>
  </r>
  <r>
    <x v="25"/>
    <x v="2"/>
    <x v="0"/>
    <x v="130"/>
    <x v="2"/>
    <x v="2"/>
    <n v="1"/>
    <s v=""/>
  </r>
  <r>
    <x v="25"/>
    <x v="2"/>
    <x v="0"/>
    <x v="131"/>
    <x v="2"/>
    <x v="1"/>
    <n v="1"/>
    <s v=""/>
  </r>
  <r>
    <x v="25"/>
    <x v="2"/>
    <x v="0"/>
    <x v="131"/>
    <x v="2"/>
    <x v="0"/>
    <n v="1"/>
    <s v=""/>
  </r>
  <r>
    <x v="25"/>
    <x v="2"/>
    <x v="0"/>
    <x v="131"/>
    <x v="2"/>
    <x v="2"/>
    <n v="1"/>
    <s v=""/>
  </r>
  <r>
    <x v="25"/>
    <x v="2"/>
    <x v="0"/>
    <x v="132"/>
    <x v="1"/>
    <x v="4"/>
    <n v="0"/>
    <m/>
  </r>
  <r>
    <x v="25"/>
    <x v="2"/>
    <x v="0"/>
    <x v="133"/>
    <x v="2"/>
    <x v="1"/>
    <n v="1"/>
    <s v=""/>
  </r>
  <r>
    <x v="25"/>
    <x v="2"/>
    <x v="0"/>
    <x v="133"/>
    <x v="2"/>
    <x v="2"/>
    <n v="1"/>
    <s v=""/>
  </r>
  <r>
    <x v="25"/>
    <x v="2"/>
    <x v="0"/>
    <x v="134"/>
    <x v="1"/>
    <x v="4"/>
    <n v="0"/>
    <m/>
  </r>
  <r>
    <x v="25"/>
    <x v="2"/>
    <x v="0"/>
    <x v="135"/>
    <x v="1"/>
    <x v="4"/>
    <n v="0"/>
    <m/>
  </r>
  <r>
    <x v="25"/>
    <x v="2"/>
    <x v="0"/>
    <x v="136"/>
    <x v="1"/>
    <x v="4"/>
    <n v="0"/>
    <m/>
  </r>
  <r>
    <x v="25"/>
    <x v="2"/>
    <x v="0"/>
    <x v="137"/>
    <x v="1"/>
    <x v="4"/>
    <n v="0"/>
    <s v="1 juv"/>
  </r>
  <r>
    <x v="25"/>
    <x v="2"/>
    <x v="0"/>
    <x v="138"/>
    <x v="1"/>
    <x v="4"/>
    <n v="0"/>
    <m/>
  </r>
  <r>
    <x v="25"/>
    <x v="2"/>
    <x v="0"/>
    <x v="139"/>
    <x v="1"/>
    <x v="4"/>
    <n v="0"/>
    <m/>
  </r>
  <r>
    <x v="25"/>
    <x v="2"/>
    <x v="1"/>
    <x v="140"/>
    <x v="2"/>
    <x v="1"/>
    <n v="1"/>
    <s v=""/>
  </r>
  <r>
    <x v="25"/>
    <x v="2"/>
    <x v="1"/>
    <x v="140"/>
    <x v="2"/>
    <x v="2"/>
    <n v="2"/>
    <s v=""/>
  </r>
  <r>
    <x v="25"/>
    <x v="2"/>
    <x v="1"/>
    <x v="141"/>
    <x v="1"/>
    <x v="4"/>
    <n v="0"/>
    <m/>
  </r>
  <r>
    <x v="25"/>
    <x v="2"/>
    <x v="1"/>
    <x v="142"/>
    <x v="2"/>
    <x v="2"/>
    <n v="1"/>
    <s v=""/>
  </r>
  <r>
    <x v="25"/>
    <x v="2"/>
    <x v="1"/>
    <x v="143"/>
    <x v="1"/>
    <x v="4"/>
    <n v="0"/>
    <m/>
  </r>
  <r>
    <x v="25"/>
    <x v="2"/>
    <x v="1"/>
    <x v="144"/>
    <x v="0"/>
    <x v="2"/>
    <n v="1"/>
    <s v=""/>
  </r>
  <r>
    <x v="25"/>
    <x v="2"/>
    <x v="1"/>
    <x v="144"/>
    <x v="2"/>
    <x v="2"/>
    <n v="1"/>
    <s v=""/>
  </r>
  <r>
    <x v="25"/>
    <x v="2"/>
    <x v="1"/>
    <x v="145"/>
    <x v="2"/>
    <x v="2"/>
    <n v="1"/>
    <s v=""/>
  </r>
  <r>
    <x v="25"/>
    <x v="2"/>
    <x v="1"/>
    <x v="146"/>
    <x v="1"/>
    <x v="4"/>
    <n v="0"/>
    <m/>
  </r>
  <r>
    <x v="25"/>
    <x v="2"/>
    <x v="1"/>
    <x v="147"/>
    <x v="2"/>
    <x v="1"/>
    <n v="1"/>
    <s v=""/>
  </r>
  <r>
    <x v="25"/>
    <x v="2"/>
    <x v="1"/>
    <x v="148"/>
    <x v="1"/>
    <x v="4"/>
    <n v="0"/>
    <m/>
  </r>
  <r>
    <x v="25"/>
    <x v="2"/>
    <x v="1"/>
    <x v="149"/>
    <x v="2"/>
    <x v="2"/>
    <n v="1"/>
    <s v=""/>
  </r>
  <r>
    <x v="25"/>
    <x v="2"/>
    <x v="1"/>
    <x v="150"/>
    <x v="1"/>
    <x v="4"/>
    <n v="0"/>
    <m/>
  </r>
  <r>
    <x v="25"/>
    <x v="2"/>
    <x v="1"/>
    <x v="151"/>
    <x v="1"/>
    <x v="4"/>
    <n v="0"/>
    <m/>
  </r>
  <r>
    <x v="25"/>
    <x v="2"/>
    <x v="1"/>
    <x v="152"/>
    <x v="2"/>
    <x v="1"/>
    <n v="1"/>
    <s v=""/>
  </r>
  <r>
    <x v="25"/>
    <x v="2"/>
    <x v="1"/>
    <x v="152"/>
    <x v="2"/>
    <x v="0"/>
    <n v="3"/>
    <s v=""/>
  </r>
  <r>
    <x v="25"/>
    <x v="2"/>
    <x v="1"/>
    <x v="152"/>
    <x v="2"/>
    <x v="2"/>
    <n v="1"/>
    <s v=""/>
  </r>
  <r>
    <x v="25"/>
    <x v="2"/>
    <x v="1"/>
    <x v="153"/>
    <x v="0"/>
    <x v="2"/>
    <n v="1"/>
    <s v=""/>
  </r>
  <r>
    <x v="25"/>
    <x v="2"/>
    <x v="1"/>
    <x v="153"/>
    <x v="2"/>
    <x v="1"/>
    <n v="1"/>
    <s v=""/>
  </r>
  <r>
    <x v="25"/>
    <x v="2"/>
    <x v="1"/>
    <x v="153"/>
    <x v="5"/>
    <x v="2"/>
    <n v="1"/>
    <s v=""/>
  </r>
  <r>
    <x v="25"/>
    <x v="2"/>
    <x v="1"/>
    <x v="154"/>
    <x v="1"/>
    <x v="4"/>
    <n v="0"/>
    <m/>
  </r>
  <r>
    <x v="25"/>
    <x v="2"/>
    <x v="1"/>
    <x v="155"/>
    <x v="1"/>
    <x v="4"/>
    <n v="0"/>
    <m/>
  </r>
  <r>
    <x v="25"/>
    <x v="2"/>
    <x v="1"/>
    <x v="156"/>
    <x v="1"/>
    <x v="4"/>
    <n v="0"/>
    <m/>
  </r>
  <r>
    <x v="25"/>
    <x v="2"/>
    <x v="1"/>
    <x v="157"/>
    <x v="1"/>
    <x v="4"/>
    <n v="0"/>
    <m/>
  </r>
  <r>
    <x v="25"/>
    <x v="2"/>
    <x v="1"/>
    <x v="158"/>
    <x v="2"/>
    <x v="0"/>
    <n v="1"/>
    <s v=""/>
  </r>
  <r>
    <x v="25"/>
    <x v="2"/>
    <x v="1"/>
    <x v="159"/>
    <x v="1"/>
    <x v="4"/>
    <n v="0"/>
    <m/>
  </r>
  <r>
    <x v="25"/>
    <x v="2"/>
    <x v="2"/>
    <x v="160"/>
    <x v="2"/>
    <x v="0"/>
    <n v="2"/>
    <s v=""/>
  </r>
  <r>
    <x v="25"/>
    <x v="2"/>
    <x v="2"/>
    <x v="160"/>
    <x v="2"/>
    <x v="2"/>
    <n v="1"/>
    <s v=""/>
  </r>
  <r>
    <x v="25"/>
    <x v="2"/>
    <x v="2"/>
    <x v="161"/>
    <x v="1"/>
    <x v="4"/>
    <n v="0"/>
    <m/>
  </r>
  <r>
    <x v="25"/>
    <x v="2"/>
    <x v="2"/>
    <x v="162"/>
    <x v="0"/>
    <x v="2"/>
    <n v="1"/>
    <s v=""/>
  </r>
  <r>
    <x v="25"/>
    <x v="2"/>
    <x v="2"/>
    <x v="162"/>
    <x v="2"/>
    <x v="2"/>
    <n v="2"/>
    <s v=""/>
  </r>
  <r>
    <x v="25"/>
    <x v="2"/>
    <x v="2"/>
    <x v="163"/>
    <x v="1"/>
    <x v="4"/>
    <n v="0"/>
    <m/>
  </r>
  <r>
    <x v="25"/>
    <x v="2"/>
    <x v="2"/>
    <x v="164"/>
    <x v="1"/>
    <x v="4"/>
    <n v="0"/>
    <m/>
  </r>
  <r>
    <x v="25"/>
    <x v="2"/>
    <x v="2"/>
    <x v="165"/>
    <x v="1"/>
    <x v="4"/>
    <n v="0"/>
    <m/>
  </r>
  <r>
    <x v="25"/>
    <x v="2"/>
    <x v="2"/>
    <x v="166"/>
    <x v="1"/>
    <x v="4"/>
    <n v="0"/>
    <m/>
  </r>
  <r>
    <x v="25"/>
    <x v="2"/>
    <x v="2"/>
    <x v="167"/>
    <x v="2"/>
    <x v="2"/>
    <n v="1"/>
    <s v=""/>
  </r>
  <r>
    <x v="25"/>
    <x v="2"/>
    <x v="2"/>
    <x v="168"/>
    <x v="1"/>
    <x v="4"/>
    <n v="0"/>
    <m/>
  </r>
  <r>
    <x v="25"/>
    <x v="2"/>
    <x v="2"/>
    <x v="169"/>
    <x v="1"/>
    <x v="4"/>
    <n v="0"/>
    <m/>
  </r>
  <r>
    <x v="25"/>
    <x v="2"/>
    <x v="2"/>
    <x v="170"/>
    <x v="1"/>
    <x v="4"/>
    <n v="0"/>
    <m/>
  </r>
  <r>
    <x v="25"/>
    <x v="2"/>
    <x v="2"/>
    <x v="171"/>
    <x v="2"/>
    <x v="1"/>
    <n v="1"/>
    <s v=""/>
  </r>
  <r>
    <x v="25"/>
    <x v="2"/>
    <x v="2"/>
    <x v="172"/>
    <x v="1"/>
    <x v="4"/>
    <n v="0"/>
    <m/>
  </r>
  <r>
    <x v="25"/>
    <x v="2"/>
    <x v="2"/>
    <x v="173"/>
    <x v="2"/>
    <x v="0"/>
    <n v="1"/>
    <s v="1 juv"/>
  </r>
  <r>
    <x v="25"/>
    <x v="2"/>
    <x v="2"/>
    <x v="174"/>
    <x v="2"/>
    <x v="0"/>
    <n v="1"/>
    <s v=""/>
  </r>
  <r>
    <x v="25"/>
    <x v="2"/>
    <x v="2"/>
    <x v="175"/>
    <x v="5"/>
    <x v="2"/>
    <n v="1"/>
    <s v=""/>
  </r>
  <r>
    <x v="25"/>
    <x v="2"/>
    <x v="2"/>
    <x v="176"/>
    <x v="1"/>
    <x v="4"/>
    <n v="0"/>
    <m/>
  </r>
  <r>
    <x v="25"/>
    <x v="2"/>
    <x v="2"/>
    <x v="177"/>
    <x v="1"/>
    <x v="4"/>
    <n v="0"/>
    <m/>
  </r>
  <r>
    <x v="25"/>
    <x v="2"/>
    <x v="2"/>
    <x v="178"/>
    <x v="1"/>
    <x v="4"/>
    <n v="0"/>
    <m/>
  </r>
  <r>
    <x v="25"/>
    <x v="2"/>
    <x v="2"/>
    <x v="179"/>
    <x v="2"/>
    <x v="2"/>
    <n v="1"/>
    <s v=""/>
  </r>
  <r>
    <x v="26"/>
    <x v="0"/>
    <x v="0"/>
    <x v="0"/>
    <x v="1"/>
    <x v="4"/>
    <n v="0"/>
    <m/>
  </r>
  <r>
    <x v="26"/>
    <x v="0"/>
    <x v="0"/>
    <x v="16"/>
    <x v="1"/>
    <x v="4"/>
    <n v="0"/>
    <m/>
  </r>
  <r>
    <x v="26"/>
    <x v="0"/>
    <x v="0"/>
    <x v="15"/>
    <x v="1"/>
    <x v="4"/>
    <n v="0"/>
    <m/>
  </r>
  <r>
    <x v="26"/>
    <x v="0"/>
    <x v="0"/>
    <x v="17"/>
    <x v="1"/>
    <x v="4"/>
    <n v="0"/>
    <m/>
  </r>
  <r>
    <x v="26"/>
    <x v="0"/>
    <x v="0"/>
    <x v="14"/>
    <x v="1"/>
    <x v="4"/>
    <n v="0"/>
    <m/>
  </r>
  <r>
    <x v="26"/>
    <x v="0"/>
    <x v="0"/>
    <x v="18"/>
    <x v="1"/>
    <x v="4"/>
    <n v="0"/>
    <m/>
  </r>
  <r>
    <x v="26"/>
    <x v="0"/>
    <x v="0"/>
    <x v="13"/>
    <x v="1"/>
    <x v="4"/>
    <n v="0"/>
    <m/>
  </r>
  <r>
    <x v="26"/>
    <x v="0"/>
    <x v="0"/>
    <x v="19"/>
    <x v="1"/>
    <x v="4"/>
    <n v="0"/>
    <m/>
  </r>
  <r>
    <x v="26"/>
    <x v="0"/>
    <x v="0"/>
    <x v="20"/>
    <x v="0"/>
    <x v="2"/>
    <n v="1"/>
    <s v=""/>
  </r>
  <r>
    <x v="26"/>
    <x v="0"/>
    <x v="0"/>
    <x v="12"/>
    <x v="1"/>
    <x v="4"/>
    <n v="0"/>
    <m/>
  </r>
  <r>
    <x v="26"/>
    <x v="0"/>
    <x v="0"/>
    <x v="21"/>
    <x v="5"/>
    <x v="0"/>
    <n v="1"/>
    <s v=""/>
  </r>
  <r>
    <x v="26"/>
    <x v="0"/>
    <x v="0"/>
    <x v="22"/>
    <x v="1"/>
    <x v="4"/>
    <n v="0"/>
    <m/>
  </r>
  <r>
    <x v="26"/>
    <x v="0"/>
    <x v="0"/>
    <x v="23"/>
    <x v="1"/>
    <x v="4"/>
    <n v="0"/>
    <m/>
  </r>
  <r>
    <x v="26"/>
    <x v="0"/>
    <x v="0"/>
    <x v="24"/>
    <x v="2"/>
    <x v="0"/>
    <n v="2"/>
    <s v=""/>
  </r>
  <r>
    <x v="26"/>
    <x v="0"/>
    <x v="0"/>
    <x v="25"/>
    <x v="1"/>
    <x v="4"/>
    <n v="0"/>
    <m/>
  </r>
  <r>
    <x v="26"/>
    <x v="0"/>
    <x v="0"/>
    <x v="26"/>
    <x v="2"/>
    <x v="0"/>
    <n v="1"/>
    <s v=""/>
  </r>
  <r>
    <x v="26"/>
    <x v="0"/>
    <x v="0"/>
    <x v="27"/>
    <x v="2"/>
    <x v="0"/>
    <n v="1"/>
    <s v=""/>
  </r>
  <r>
    <x v="26"/>
    <x v="0"/>
    <x v="0"/>
    <x v="28"/>
    <x v="1"/>
    <x v="4"/>
    <n v="0"/>
    <m/>
  </r>
  <r>
    <x v="26"/>
    <x v="0"/>
    <x v="0"/>
    <x v="11"/>
    <x v="1"/>
    <x v="4"/>
    <n v="0"/>
    <m/>
  </r>
  <r>
    <x v="26"/>
    <x v="0"/>
    <x v="0"/>
    <x v="29"/>
    <x v="1"/>
    <x v="4"/>
    <n v="0"/>
    <m/>
  </r>
  <r>
    <x v="26"/>
    <x v="0"/>
    <x v="1"/>
    <x v="30"/>
    <x v="1"/>
    <x v="4"/>
    <n v="0"/>
    <m/>
  </r>
  <r>
    <x v="26"/>
    <x v="0"/>
    <x v="1"/>
    <x v="31"/>
    <x v="1"/>
    <x v="4"/>
    <n v="0"/>
    <m/>
  </r>
  <r>
    <x v="26"/>
    <x v="0"/>
    <x v="1"/>
    <x v="32"/>
    <x v="1"/>
    <x v="4"/>
    <n v="0"/>
    <m/>
  </r>
  <r>
    <x v="26"/>
    <x v="0"/>
    <x v="1"/>
    <x v="33"/>
    <x v="1"/>
    <x v="4"/>
    <n v="0"/>
    <m/>
  </r>
  <r>
    <x v="26"/>
    <x v="0"/>
    <x v="1"/>
    <x v="10"/>
    <x v="1"/>
    <x v="4"/>
    <n v="0"/>
    <m/>
  </r>
  <r>
    <x v="26"/>
    <x v="0"/>
    <x v="1"/>
    <x v="34"/>
    <x v="2"/>
    <x v="0"/>
    <n v="2"/>
    <s v=""/>
  </r>
  <r>
    <x v="26"/>
    <x v="0"/>
    <x v="1"/>
    <x v="35"/>
    <x v="1"/>
    <x v="4"/>
    <n v="0"/>
    <m/>
  </r>
  <r>
    <x v="26"/>
    <x v="0"/>
    <x v="1"/>
    <x v="36"/>
    <x v="1"/>
    <x v="4"/>
    <n v="0"/>
    <m/>
  </r>
  <r>
    <x v="26"/>
    <x v="0"/>
    <x v="1"/>
    <x v="37"/>
    <x v="1"/>
    <x v="4"/>
    <n v="0"/>
    <m/>
  </r>
  <r>
    <x v="26"/>
    <x v="0"/>
    <x v="1"/>
    <x v="9"/>
    <x v="1"/>
    <x v="4"/>
    <n v="0"/>
    <m/>
  </r>
  <r>
    <x v="26"/>
    <x v="0"/>
    <x v="1"/>
    <x v="38"/>
    <x v="1"/>
    <x v="4"/>
    <n v="0"/>
    <m/>
  </r>
  <r>
    <x v="26"/>
    <x v="0"/>
    <x v="1"/>
    <x v="8"/>
    <x v="2"/>
    <x v="0"/>
    <n v="1"/>
    <s v=""/>
  </r>
  <r>
    <x v="26"/>
    <x v="0"/>
    <x v="1"/>
    <x v="39"/>
    <x v="1"/>
    <x v="4"/>
    <n v="0"/>
    <m/>
  </r>
  <r>
    <x v="26"/>
    <x v="0"/>
    <x v="1"/>
    <x v="7"/>
    <x v="1"/>
    <x v="4"/>
    <n v="0"/>
    <m/>
  </r>
  <r>
    <x v="26"/>
    <x v="0"/>
    <x v="1"/>
    <x v="6"/>
    <x v="2"/>
    <x v="0"/>
    <n v="1"/>
    <s v=""/>
  </r>
  <r>
    <x v="26"/>
    <x v="0"/>
    <x v="1"/>
    <x v="40"/>
    <x v="1"/>
    <x v="4"/>
    <n v="0"/>
    <m/>
  </r>
  <r>
    <x v="26"/>
    <x v="0"/>
    <x v="1"/>
    <x v="41"/>
    <x v="1"/>
    <x v="4"/>
    <n v="0"/>
    <m/>
  </r>
  <r>
    <x v="26"/>
    <x v="0"/>
    <x v="1"/>
    <x v="42"/>
    <x v="5"/>
    <x v="0"/>
    <n v="1"/>
    <s v=""/>
  </r>
  <r>
    <x v="26"/>
    <x v="0"/>
    <x v="1"/>
    <x v="5"/>
    <x v="1"/>
    <x v="4"/>
    <n v="0"/>
    <m/>
  </r>
  <r>
    <x v="26"/>
    <x v="0"/>
    <x v="1"/>
    <x v="43"/>
    <x v="1"/>
    <x v="4"/>
    <n v="0"/>
    <m/>
  </r>
  <r>
    <x v="26"/>
    <x v="0"/>
    <x v="2"/>
    <x v="44"/>
    <x v="1"/>
    <x v="4"/>
    <n v="0"/>
    <m/>
  </r>
  <r>
    <x v="26"/>
    <x v="0"/>
    <x v="2"/>
    <x v="45"/>
    <x v="2"/>
    <x v="0"/>
    <n v="1"/>
    <s v=""/>
  </r>
  <r>
    <x v="26"/>
    <x v="0"/>
    <x v="2"/>
    <x v="45"/>
    <x v="2"/>
    <x v="2"/>
    <n v="1"/>
    <s v=""/>
  </r>
  <r>
    <x v="26"/>
    <x v="0"/>
    <x v="2"/>
    <x v="46"/>
    <x v="1"/>
    <x v="4"/>
    <n v="0"/>
    <m/>
  </r>
  <r>
    <x v="26"/>
    <x v="0"/>
    <x v="2"/>
    <x v="4"/>
    <x v="1"/>
    <x v="4"/>
    <n v="0"/>
    <m/>
  </r>
  <r>
    <x v="26"/>
    <x v="0"/>
    <x v="2"/>
    <x v="47"/>
    <x v="1"/>
    <x v="4"/>
    <n v="0"/>
    <m/>
  </r>
  <r>
    <x v="26"/>
    <x v="0"/>
    <x v="2"/>
    <x v="48"/>
    <x v="1"/>
    <x v="4"/>
    <n v="0"/>
    <m/>
  </r>
  <r>
    <x v="26"/>
    <x v="0"/>
    <x v="2"/>
    <x v="49"/>
    <x v="1"/>
    <x v="4"/>
    <n v="0"/>
    <m/>
  </r>
  <r>
    <x v="26"/>
    <x v="0"/>
    <x v="2"/>
    <x v="50"/>
    <x v="1"/>
    <x v="4"/>
    <n v="0"/>
    <m/>
  </r>
  <r>
    <x v="26"/>
    <x v="0"/>
    <x v="2"/>
    <x v="3"/>
    <x v="1"/>
    <x v="4"/>
    <n v="0"/>
    <m/>
  </r>
  <r>
    <x v="26"/>
    <x v="0"/>
    <x v="2"/>
    <x v="51"/>
    <x v="1"/>
    <x v="4"/>
    <n v="0"/>
    <m/>
  </r>
  <r>
    <x v="26"/>
    <x v="0"/>
    <x v="2"/>
    <x v="2"/>
    <x v="1"/>
    <x v="4"/>
    <n v="0"/>
    <m/>
  </r>
  <r>
    <x v="26"/>
    <x v="0"/>
    <x v="2"/>
    <x v="52"/>
    <x v="1"/>
    <x v="4"/>
    <n v="0"/>
    <m/>
  </r>
  <r>
    <x v="26"/>
    <x v="0"/>
    <x v="2"/>
    <x v="53"/>
    <x v="1"/>
    <x v="4"/>
    <n v="0"/>
    <m/>
  </r>
  <r>
    <x v="26"/>
    <x v="0"/>
    <x v="2"/>
    <x v="54"/>
    <x v="1"/>
    <x v="4"/>
    <n v="0"/>
    <m/>
  </r>
  <r>
    <x v="26"/>
    <x v="0"/>
    <x v="2"/>
    <x v="1"/>
    <x v="1"/>
    <x v="4"/>
    <n v="0"/>
    <m/>
  </r>
  <r>
    <x v="26"/>
    <x v="0"/>
    <x v="2"/>
    <x v="55"/>
    <x v="1"/>
    <x v="4"/>
    <n v="0"/>
    <m/>
  </r>
  <r>
    <x v="26"/>
    <x v="0"/>
    <x v="2"/>
    <x v="56"/>
    <x v="1"/>
    <x v="4"/>
    <n v="0"/>
    <m/>
  </r>
  <r>
    <x v="26"/>
    <x v="0"/>
    <x v="2"/>
    <x v="57"/>
    <x v="1"/>
    <x v="4"/>
    <n v="0"/>
    <m/>
  </r>
  <r>
    <x v="26"/>
    <x v="0"/>
    <x v="2"/>
    <x v="58"/>
    <x v="1"/>
    <x v="4"/>
    <n v="0"/>
    <m/>
  </r>
  <r>
    <x v="26"/>
    <x v="0"/>
    <x v="2"/>
    <x v="59"/>
    <x v="1"/>
    <x v="4"/>
    <n v="0"/>
    <m/>
  </r>
  <r>
    <x v="26"/>
    <x v="1"/>
    <x v="0"/>
    <x v="60"/>
    <x v="1"/>
    <x v="4"/>
    <n v="0"/>
    <m/>
  </r>
  <r>
    <x v="26"/>
    <x v="1"/>
    <x v="0"/>
    <x v="61"/>
    <x v="1"/>
    <x v="4"/>
    <n v="0"/>
    <m/>
  </r>
  <r>
    <x v="26"/>
    <x v="1"/>
    <x v="0"/>
    <x v="62"/>
    <x v="2"/>
    <x v="2"/>
    <n v="1"/>
    <s v=""/>
  </r>
  <r>
    <x v="26"/>
    <x v="1"/>
    <x v="0"/>
    <x v="63"/>
    <x v="2"/>
    <x v="0"/>
    <n v="4"/>
    <s v=""/>
  </r>
  <r>
    <x v="26"/>
    <x v="1"/>
    <x v="0"/>
    <x v="64"/>
    <x v="1"/>
    <x v="4"/>
    <n v="0"/>
    <m/>
  </r>
  <r>
    <x v="26"/>
    <x v="1"/>
    <x v="0"/>
    <x v="65"/>
    <x v="2"/>
    <x v="2"/>
    <n v="1"/>
    <s v=""/>
  </r>
  <r>
    <x v="26"/>
    <x v="1"/>
    <x v="0"/>
    <x v="66"/>
    <x v="1"/>
    <x v="4"/>
    <n v="0"/>
    <m/>
  </r>
  <r>
    <x v="26"/>
    <x v="1"/>
    <x v="0"/>
    <x v="67"/>
    <x v="2"/>
    <x v="0"/>
    <n v="1"/>
    <s v=""/>
  </r>
  <r>
    <x v="26"/>
    <x v="1"/>
    <x v="0"/>
    <x v="68"/>
    <x v="1"/>
    <x v="4"/>
    <n v="0"/>
    <m/>
  </r>
  <r>
    <x v="26"/>
    <x v="1"/>
    <x v="0"/>
    <x v="69"/>
    <x v="1"/>
    <x v="4"/>
    <n v="0"/>
    <m/>
  </r>
  <r>
    <x v="26"/>
    <x v="1"/>
    <x v="0"/>
    <x v="70"/>
    <x v="1"/>
    <x v="4"/>
    <n v="0"/>
    <m/>
  </r>
  <r>
    <x v="26"/>
    <x v="1"/>
    <x v="0"/>
    <x v="71"/>
    <x v="1"/>
    <x v="4"/>
    <n v="0"/>
    <m/>
  </r>
  <r>
    <x v="26"/>
    <x v="1"/>
    <x v="0"/>
    <x v="72"/>
    <x v="2"/>
    <x v="0"/>
    <n v="3"/>
    <s v=""/>
  </r>
  <r>
    <x v="26"/>
    <x v="1"/>
    <x v="0"/>
    <x v="73"/>
    <x v="1"/>
    <x v="4"/>
    <n v="0"/>
    <m/>
  </r>
  <r>
    <x v="26"/>
    <x v="1"/>
    <x v="0"/>
    <x v="74"/>
    <x v="1"/>
    <x v="4"/>
    <n v="0"/>
    <m/>
  </r>
  <r>
    <x v="26"/>
    <x v="1"/>
    <x v="0"/>
    <x v="75"/>
    <x v="1"/>
    <x v="4"/>
    <n v="0"/>
    <m/>
  </r>
  <r>
    <x v="26"/>
    <x v="1"/>
    <x v="0"/>
    <x v="76"/>
    <x v="1"/>
    <x v="4"/>
    <n v="0"/>
    <m/>
  </r>
  <r>
    <x v="26"/>
    <x v="1"/>
    <x v="0"/>
    <x v="77"/>
    <x v="1"/>
    <x v="4"/>
    <n v="0"/>
    <m/>
  </r>
  <r>
    <x v="26"/>
    <x v="1"/>
    <x v="0"/>
    <x v="78"/>
    <x v="1"/>
    <x v="4"/>
    <n v="0"/>
    <m/>
  </r>
  <r>
    <x v="26"/>
    <x v="1"/>
    <x v="0"/>
    <x v="79"/>
    <x v="1"/>
    <x v="4"/>
    <n v="0"/>
    <m/>
  </r>
  <r>
    <x v="26"/>
    <x v="1"/>
    <x v="1"/>
    <x v="80"/>
    <x v="1"/>
    <x v="4"/>
    <n v="0"/>
    <m/>
  </r>
  <r>
    <x v="26"/>
    <x v="1"/>
    <x v="1"/>
    <x v="81"/>
    <x v="1"/>
    <x v="4"/>
    <n v="0"/>
    <m/>
  </r>
  <r>
    <x v="26"/>
    <x v="1"/>
    <x v="1"/>
    <x v="82"/>
    <x v="1"/>
    <x v="4"/>
    <n v="0"/>
    <m/>
  </r>
  <r>
    <x v="26"/>
    <x v="1"/>
    <x v="1"/>
    <x v="83"/>
    <x v="2"/>
    <x v="1"/>
    <n v="1"/>
    <s v=""/>
  </r>
  <r>
    <x v="26"/>
    <x v="1"/>
    <x v="1"/>
    <x v="83"/>
    <x v="5"/>
    <x v="1"/>
    <n v="1"/>
    <s v=""/>
  </r>
  <r>
    <x v="26"/>
    <x v="1"/>
    <x v="1"/>
    <x v="84"/>
    <x v="2"/>
    <x v="0"/>
    <n v="1"/>
    <s v=""/>
  </r>
  <r>
    <x v="26"/>
    <x v="1"/>
    <x v="1"/>
    <x v="85"/>
    <x v="1"/>
    <x v="4"/>
    <n v="0"/>
    <m/>
  </r>
  <r>
    <x v="26"/>
    <x v="1"/>
    <x v="1"/>
    <x v="86"/>
    <x v="1"/>
    <x v="4"/>
    <n v="0"/>
    <m/>
  </r>
  <r>
    <x v="26"/>
    <x v="1"/>
    <x v="1"/>
    <x v="87"/>
    <x v="5"/>
    <x v="0"/>
    <n v="5"/>
    <s v=""/>
  </r>
  <r>
    <x v="26"/>
    <x v="1"/>
    <x v="1"/>
    <x v="88"/>
    <x v="1"/>
    <x v="4"/>
    <n v="0"/>
    <m/>
  </r>
  <r>
    <x v="26"/>
    <x v="1"/>
    <x v="1"/>
    <x v="89"/>
    <x v="1"/>
    <x v="4"/>
    <n v="0"/>
    <m/>
  </r>
  <r>
    <x v="26"/>
    <x v="1"/>
    <x v="1"/>
    <x v="90"/>
    <x v="1"/>
    <x v="4"/>
    <n v="0"/>
    <m/>
  </r>
  <r>
    <x v="26"/>
    <x v="1"/>
    <x v="1"/>
    <x v="91"/>
    <x v="1"/>
    <x v="4"/>
    <n v="0"/>
    <m/>
  </r>
  <r>
    <x v="26"/>
    <x v="1"/>
    <x v="1"/>
    <x v="92"/>
    <x v="1"/>
    <x v="4"/>
    <n v="0"/>
    <m/>
  </r>
  <r>
    <x v="26"/>
    <x v="1"/>
    <x v="1"/>
    <x v="93"/>
    <x v="1"/>
    <x v="4"/>
    <n v="0"/>
    <m/>
  </r>
  <r>
    <x v="26"/>
    <x v="1"/>
    <x v="1"/>
    <x v="94"/>
    <x v="2"/>
    <x v="0"/>
    <n v="2"/>
    <s v=""/>
  </r>
  <r>
    <x v="26"/>
    <x v="1"/>
    <x v="1"/>
    <x v="94"/>
    <x v="5"/>
    <x v="0"/>
    <n v="1"/>
    <s v=""/>
  </r>
  <r>
    <x v="26"/>
    <x v="1"/>
    <x v="1"/>
    <x v="95"/>
    <x v="5"/>
    <x v="0"/>
    <n v="1"/>
    <s v=""/>
  </r>
  <r>
    <x v="26"/>
    <x v="1"/>
    <x v="1"/>
    <x v="96"/>
    <x v="1"/>
    <x v="4"/>
    <n v="0"/>
    <m/>
  </r>
  <r>
    <x v="26"/>
    <x v="1"/>
    <x v="1"/>
    <x v="97"/>
    <x v="1"/>
    <x v="4"/>
    <n v="0"/>
    <m/>
  </r>
  <r>
    <x v="26"/>
    <x v="1"/>
    <x v="1"/>
    <x v="98"/>
    <x v="1"/>
    <x v="4"/>
    <n v="0"/>
    <m/>
  </r>
  <r>
    <x v="26"/>
    <x v="1"/>
    <x v="1"/>
    <x v="99"/>
    <x v="1"/>
    <x v="4"/>
    <n v="0"/>
    <m/>
  </r>
  <r>
    <x v="26"/>
    <x v="1"/>
    <x v="2"/>
    <x v="100"/>
    <x v="5"/>
    <x v="0"/>
    <n v="2"/>
    <s v=""/>
  </r>
  <r>
    <x v="26"/>
    <x v="1"/>
    <x v="2"/>
    <x v="100"/>
    <x v="5"/>
    <x v="2"/>
    <n v="1"/>
    <s v=""/>
  </r>
  <r>
    <x v="26"/>
    <x v="1"/>
    <x v="2"/>
    <x v="101"/>
    <x v="4"/>
    <x v="3"/>
    <s v=""/>
    <s v="plaque absente"/>
  </r>
  <r>
    <x v="26"/>
    <x v="1"/>
    <x v="2"/>
    <x v="102"/>
    <x v="5"/>
    <x v="0"/>
    <n v="1"/>
    <s v=""/>
  </r>
  <r>
    <x v="26"/>
    <x v="1"/>
    <x v="2"/>
    <x v="103"/>
    <x v="5"/>
    <x v="0"/>
    <n v="3"/>
    <s v=""/>
  </r>
  <r>
    <x v="26"/>
    <x v="1"/>
    <x v="2"/>
    <x v="104"/>
    <x v="5"/>
    <x v="1"/>
    <n v="5"/>
    <s v=""/>
  </r>
  <r>
    <x v="26"/>
    <x v="1"/>
    <x v="2"/>
    <x v="104"/>
    <x v="5"/>
    <x v="0"/>
    <n v="6"/>
    <s v=""/>
  </r>
  <r>
    <x v="26"/>
    <x v="1"/>
    <x v="2"/>
    <x v="105"/>
    <x v="0"/>
    <x v="2"/>
    <n v="1"/>
    <s v=""/>
  </r>
  <r>
    <x v="26"/>
    <x v="1"/>
    <x v="2"/>
    <x v="105"/>
    <x v="5"/>
    <x v="1"/>
    <n v="1"/>
    <s v=""/>
  </r>
  <r>
    <x v="26"/>
    <x v="1"/>
    <x v="2"/>
    <x v="106"/>
    <x v="1"/>
    <x v="4"/>
    <n v="0"/>
    <m/>
  </r>
  <r>
    <x v="26"/>
    <x v="1"/>
    <x v="2"/>
    <x v="107"/>
    <x v="1"/>
    <x v="4"/>
    <n v="0"/>
    <m/>
  </r>
  <r>
    <x v="26"/>
    <x v="1"/>
    <x v="2"/>
    <x v="108"/>
    <x v="1"/>
    <x v="4"/>
    <n v="0"/>
    <m/>
  </r>
  <r>
    <x v="26"/>
    <x v="1"/>
    <x v="2"/>
    <x v="109"/>
    <x v="5"/>
    <x v="0"/>
    <n v="2"/>
    <s v=""/>
  </r>
  <r>
    <x v="26"/>
    <x v="1"/>
    <x v="2"/>
    <x v="110"/>
    <x v="5"/>
    <x v="2"/>
    <n v="1"/>
    <s v=""/>
  </r>
  <r>
    <x v="26"/>
    <x v="1"/>
    <x v="2"/>
    <x v="111"/>
    <x v="1"/>
    <x v="4"/>
    <n v="0"/>
    <m/>
  </r>
  <r>
    <x v="26"/>
    <x v="1"/>
    <x v="2"/>
    <x v="112"/>
    <x v="5"/>
    <x v="0"/>
    <n v="1"/>
    <s v=""/>
  </r>
  <r>
    <x v="26"/>
    <x v="1"/>
    <x v="2"/>
    <x v="113"/>
    <x v="5"/>
    <x v="1"/>
    <n v="1"/>
    <s v=""/>
  </r>
  <r>
    <x v="26"/>
    <x v="1"/>
    <x v="2"/>
    <x v="114"/>
    <x v="1"/>
    <x v="4"/>
    <n v="0"/>
    <m/>
  </r>
  <r>
    <x v="26"/>
    <x v="1"/>
    <x v="2"/>
    <x v="115"/>
    <x v="1"/>
    <x v="4"/>
    <n v="0"/>
    <m/>
  </r>
  <r>
    <x v="26"/>
    <x v="1"/>
    <x v="2"/>
    <x v="116"/>
    <x v="3"/>
    <x v="2"/>
    <n v="1"/>
    <s v=""/>
  </r>
  <r>
    <x v="26"/>
    <x v="1"/>
    <x v="2"/>
    <x v="117"/>
    <x v="1"/>
    <x v="4"/>
    <n v="0"/>
    <m/>
  </r>
  <r>
    <x v="26"/>
    <x v="1"/>
    <x v="2"/>
    <x v="118"/>
    <x v="1"/>
    <x v="4"/>
    <n v="0"/>
    <m/>
  </r>
  <r>
    <x v="26"/>
    <x v="1"/>
    <x v="2"/>
    <x v="119"/>
    <x v="5"/>
    <x v="0"/>
    <n v="1"/>
    <s v=""/>
  </r>
  <r>
    <x v="26"/>
    <x v="2"/>
    <x v="0"/>
    <x v="120"/>
    <x v="1"/>
    <x v="4"/>
    <n v="0"/>
    <m/>
  </r>
  <r>
    <x v="26"/>
    <x v="2"/>
    <x v="0"/>
    <x v="121"/>
    <x v="1"/>
    <x v="4"/>
    <n v="0"/>
    <m/>
  </r>
  <r>
    <x v="26"/>
    <x v="2"/>
    <x v="0"/>
    <x v="122"/>
    <x v="1"/>
    <x v="4"/>
    <n v="0"/>
    <m/>
  </r>
  <r>
    <x v="26"/>
    <x v="2"/>
    <x v="0"/>
    <x v="123"/>
    <x v="1"/>
    <x v="4"/>
    <n v="0"/>
    <m/>
  </r>
  <r>
    <x v="26"/>
    <x v="2"/>
    <x v="0"/>
    <x v="124"/>
    <x v="1"/>
    <x v="4"/>
    <n v="0"/>
    <m/>
  </r>
  <r>
    <x v="26"/>
    <x v="2"/>
    <x v="0"/>
    <x v="125"/>
    <x v="1"/>
    <x v="4"/>
    <n v="0"/>
    <s v="plaque absente"/>
  </r>
  <r>
    <x v="26"/>
    <x v="2"/>
    <x v="0"/>
    <x v="126"/>
    <x v="1"/>
    <x v="4"/>
    <n v="0"/>
    <m/>
  </r>
  <r>
    <x v="26"/>
    <x v="2"/>
    <x v="0"/>
    <x v="127"/>
    <x v="1"/>
    <x v="4"/>
    <n v="0"/>
    <m/>
  </r>
  <r>
    <x v="26"/>
    <x v="2"/>
    <x v="0"/>
    <x v="128"/>
    <x v="1"/>
    <x v="4"/>
    <n v="0"/>
    <m/>
  </r>
  <r>
    <x v="26"/>
    <x v="2"/>
    <x v="0"/>
    <x v="129"/>
    <x v="1"/>
    <x v="4"/>
    <n v="0"/>
    <m/>
  </r>
  <r>
    <x v="26"/>
    <x v="2"/>
    <x v="0"/>
    <x v="130"/>
    <x v="1"/>
    <x v="4"/>
    <n v="0"/>
    <m/>
  </r>
  <r>
    <x v="26"/>
    <x v="2"/>
    <x v="0"/>
    <x v="131"/>
    <x v="1"/>
    <x v="4"/>
    <n v="0"/>
    <m/>
  </r>
  <r>
    <x v="26"/>
    <x v="2"/>
    <x v="0"/>
    <x v="132"/>
    <x v="1"/>
    <x v="4"/>
    <n v="0"/>
    <m/>
  </r>
  <r>
    <x v="26"/>
    <x v="2"/>
    <x v="0"/>
    <x v="133"/>
    <x v="1"/>
    <x v="4"/>
    <n v="0"/>
    <m/>
  </r>
  <r>
    <x v="26"/>
    <x v="2"/>
    <x v="0"/>
    <x v="134"/>
    <x v="1"/>
    <x v="4"/>
    <n v="0"/>
    <m/>
  </r>
  <r>
    <x v="26"/>
    <x v="2"/>
    <x v="0"/>
    <x v="135"/>
    <x v="1"/>
    <x v="4"/>
    <n v="0"/>
    <m/>
  </r>
  <r>
    <x v="26"/>
    <x v="2"/>
    <x v="0"/>
    <x v="136"/>
    <x v="1"/>
    <x v="4"/>
    <n v="0"/>
    <m/>
  </r>
  <r>
    <x v="26"/>
    <x v="2"/>
    <x v="0"/>
    <x v="137"/>
    <x v="1"/>
    <x v="4"/>
    <n v="0"/>
    <m/>
  </r>
  <r>
    <x v="26"/>
    <x v="2"/>
    <x v="0"/>
    <x v="138"/>
    <x v="1"/>
    <x v="4"/>
    <n v="0"/>
    <m/>
  </r>
  <r>
    <x v="26"/>
    <x v="2"/>
    <x v="0"/>
    <x v="139"/>
    <x v="1"/>
    <x v="4"/>
    <n v="0"/>
    <m/>
  </r>
  <r>
    <x v="26"/>
    <x v="2"/>
    <x v="1"/>
    <x v="140"/>
    <x v="1"/>
    <x v="4"/>
    <n v="0"/>
    <m/>
  </r>
  <r>
    <x v="26"/>
    <x v="2"/>
    <x v="1"/>
    <x v="141"/>
    <x v="1"/>
    <x v="4"/>
    <n v="0"/>
    <m/>
  </r>
  <r>
    <x v="26"/>
    <x v="2"/>
    <x v="1"/>
    <x v="142"/>
    <x v="2"/>
    <x v="1"/>
    <n v="1"/>
    <s v=""/>
  </r>
  <r>
    <x v="26"/>
    <x v="2"/>
    <x v="1"/>
    <x v="143"/>
    <x v="1"/>
    <x v="4"/>
    <n v="0"/>
    <m/>
  </r>
  <r>
    <x v="26"/>
    <x v="2"/>
    <x v="1"/>
    <x v="144"/>
    <x v="1"/>
    <x v="4"/>
    <n v="0"/>
    <m/>
  </r>
  <r>
    <x v="26"/>
    <x v="2"/>
    <x v="1"/>
    <x v="145"/>
    <x v="1"/>
    <x v="4"/>
    <n v="0"/>
    <m/>
  </r>
  <r>
    <x v="26"/>
    <x v="2"/>
    <x v="1"/>
    <x v="146"/>
    <x v="1"/>
    <x v="4"/>
    <n v="0"/>
    <m/>
  </r>
  <r>
    <x v="26"/>
    <x v="2"/>
    <x v="1"/>
    <x v="147"/>
    <x v="1"/>
    <x v="4"/>
    <n v="0"/>
    <m/>
  </r>
  <r>
    <x v="26"/>
    <x v="2"/>
    <x v="1"/>
    <x v="148"/>
    <x v="1"/>
    <x v="4"/>
    <n v="0"/>
    <m/>
  </r>
  <r>
    <x v="26"/>
    <x v="2"/>
    <x v="1"/>
    <x v="149"/>
    <x v="1"/>
    <x v="4"/>
    <n v="0"/>
    <m/>
  </r>
  <r>
    <x v="26"/>
    <x v="2"/>
    <x v="1"/>
    <x v="150"/>
    <x v="1"/>
    <x v="4"/>
    <n v="0"/>
    <m/>
  </r>
  <r>
    <x v="26"/>
    <x v="2"/>
    <x v="1"/>
    <x v="151"/>
    <x v="1"/>
    <x v="4"/>
    <n v="0"/>
    <m/>
  </r>
  <r>
    <x v="26"/>
    <x v="2"/>
    <x v="1"/>
    <x v="152"/>
    <x v="1"/>
    <x v="4"/>
    <n v="0"/>
    <m/>
  </r>
  <r>
    <x v="26"/>
    <x v="2"/>
    <x v="1"/>
    <x v="153"/>
    <x v="1"/>
    <x v="4"/>
    <n v="0"/>
    <m/>
  </r>
  <r>
    <x v="26"/>
    <x v="2"/>
    <x v="1"/>
    <x v="154"/>
    <x v="1"/>
    <x v="4"/>
    <n v="0"/>
    <m/>
  </r>
  <r>
    <x v="26"/>
    <x v="2"/>
    <x v="1"/>
    <x v="155"/>
    <x v="2"/>
    <x v="0"/>
    <n v="1"/>
    <s v=""/>
  </r>
  <r>
    <x v="26"/>
    <x v="2"/>
    <x v="1"/>
    <x v="156"/>
    <x v="1"/>
    <x v="4"/>
    <n v="0"/>
    <m/>
  </r>
  <r>
    <x v="26"/>
    <x v="2"/>
    <x v="1"/>
    <x v="157"/>
    <x v="1"/>
    <x v="4"/>
    <n v="0"/>
    <m/>
  </r>
  <r>
    <x v="26"/>
    <x v="2"/>
    <x v="1"/>
    <x v="158"/>
    <x v="1"/>
    <x v="4"/>
    <n v="0"/>
    <m/>
  </r>
  <r>
    <x v="26"/>
    <x v="2"/>
    <x v="1"/>
    <x v="159"/>
    <x v="1"/>
    <x v="4"/>
    <n v="0"/>
    <m/>
  </r>
  <r>
    <x v="26"/>
    <x v="2"/>
    <x v="2"/>
    <x v="160"/>
    <x v="1"/>
    <x v="4"/>
    <n v="0"/>
    <m/>
  </r>
  <r>
    <x v="26"/>
    <x v="2"/>
    <x v="2"/>
    <x v="161"/>
    <x v="2"/>
    <x v="0"/>
    <n v="2"/>
    <s v=""/>
  </r>
  <r>
    <x v="26"/>
    <x v="2"/>
    <x v="2"/>
    <x v="162"/>
    <x v="1"/>
    <x v="4"/>
    <n v="0"/>
    <m/>
  </r>
  <r>
    <x v="26"/>
    <x v="2"/>
    <x v="2"/>
    <x v="163"/>
    <x v="1"/>
    <x v="4"/>
    <n v="0"/>
    <m/>
  </r>
  <r>
    <x v="26"/>
    <x v="2"/>
    <x v="2"/>
    <x v="164"/>
    <x v="1"/>
    <x v="4"/>
    <n v="0"/>
    <m/>
  </r>
  <r>
    <x v="26"/>
    <x v="2"/>
    <x v="2"/>
    <x v="165"/>
    <x v="2"/>
    <x v="2"/>
    <n v="1"/>
    <s v=""/>
  </r>
  <r>
    <x v="26"/>
    <x v="2"/>
    <x v="2"/>
    <x v="166"/>
    <x v="1"/>
    <x v="4"/>
    <n v="0"/>
    <m/>
  </r>
  <r>
    <x v="26"/>
    <x v="2"/>
    <x v="2"/>
    <x v="167"/>
    <x v="1"/>
    <x v="4"/>
    <n v="0"/>
    <m/>
  </r>
  <r>
    <x v="26"/>
    <x v="2"/>
    <x v="2"/>
    <x v="168"/>
    <x v="1"/>
    <x v="4"/>
    <n v="0"/>
    <m/>
  </r>
  <r>
    <x v="26"/>
    <x v="2"/>
    <x v="2"/>
    <x v="169"/>
    <x v="1"/>
    <x v="4"/>
    <n v="0"/>
    <m/>
  </r>
  <r>
    <x v="26"/>
    <x v="2"/>
    <x v="2"/>
    <x v="170"/>
    <x v="1"/>
    <x v="4"/>
    <n v="0"/>
    <m/>
  </r>
  <r>
    <x v="26"/>
    <x v="2"/>
    <x v="2"/>
    <x v="171"/>
    <x v="1"/>
    <x v="4"/>
    <n v="0"/>
    <m/>
  </r>
  <r>
    <x v="26"/>
    <x v="2"/>
    <x v="2"/>
    <x v="172"/>
    <x v="1"/>
    <x v="4"/>
    <n v="0"/>
    <m/>
  </r>
  <r>
    <x v="26"/>
    <x v="2"/>
    <x v="2"/>
    <x v="173"/>
    <x v="1"/>
    <x v="4"/>
    <n v="0"/>
    <m/>
  </r>
  <r>
    <x v="26"/>
    <x v="2"/>
    <x v="2"/>
    <x v="174"/>
    <x v="1"/>
    <x v="4"/>
    <n v="0"/>
    <m/>
  </r>
  <r>
    <x v="26"/>
    <x v="2"/>
    <x v="2"/>
    <x v="175"/>
    <x v="2"/>
    <x v="1"/>
    <n v="1"/>
    <s v=""/>
  </r>
  <r>
    <x v="26"/>
    <x v="2"/>
    <x v="2"/>
    <x v="176"/>
    <x v="1"/>
    <x v="4"/>
    <n v="0"/>
    <m/>
  </r>
  <r>
    <x v="26"/>
    <x v="2"/>
    <x v="2"/>
    <x v="177"/>
    <x v="1"/>
    <x v="4"/>
    <n v="0"/>
    <m/>
  </r>
  <r>
    <x v="26"/>
    <x v="2"/>
    <x v="2"/>
    <x v="178"/>
    <x v="1"/>
    <x v="4"/>
    <n v="0"/>
    <m/>
  </r>
  <r>
    <x v="26"/>
    <x v="2"/>
    <x v="2"/>
    <x v="179"/>
    <x v="1"/>
    <x v="4"/>
    <n v="0"/>
    <m/>
  </r>
  <r>
    <x v="27"/>
    <x v="0"/>
    <x v="0"/>
    <x v="0"/>
    <x v="2"/>
    <x v="1"/>
    <n v="1"/>
    <s v=""/>
  </r>
  <r>
    <x v="27"/>
    <x v="0"/>
    <x v="0"/>
    <x v="0"/>
    <x v="2"/>
    <x v="0"/>
    <n v="2"/>
    <s v=""/>
  </r>
  <r>
    <x v="27"/>
    <x v="0"/>
    <x v="0"/>
    <x v="16"/>
    <x v="1"/>
    <x v="4"/>
    <n v="0"/>
    <m/>
  </r>
  <r>
    <x v="27"/>
    <x v="0"/>
    <x v="0"/>
    <x v="15"/>
    <x v="1"/>
    <x v="4"/>
    <n v="0"/>
    <m/>
  </r>
  <r>
    <x v="27"/>
    <x v="0"/>
    <x v="0"/>
    <x v="17"/>
    <x v="2"/>
    <x v="0"/>
    <n v="1"/>
    <s v=""/>
  </r>
  <r>
    <x v="27"/>
    <x v="0"/>
    <x v="0"/>
    <x v="14"/>
    <x v="2"/>
    <x v="0"/>
    <n v="1"/>
    <s v=""/>
  </r>
  <r>
    <x v="27"/>
    <x v="0"/>
    <x v="0"/>
    <x v="18"/>
    <x v="2"/>
    <x v="1"/>
    <n v="2"/>
    <s v=""/>
  </r>
  <r>
    <x v="27"/>
    <x v="0"/>
    <x v="0"/>
    <x v="18"/>
    <x v="2"/>
    <x v="0"/>
    <n v="4"/>
    <s v=""/>
  </r>
  <r>
    <x v="27"/>
    <x v="0"/>
    <x v="0"/>
    <x v="13"/>
    <x v="1"/>
    <x v="4"/>
    <n v="0"/>
    <m/>
  </r>
  <r>
    <x v="27"/>
    <x v="0"/>
    <x v="0"/>
    <x v="19"/>
    <x v="2"/>
    <x v="0"/>
    <n v="1"/>
    <s v=""/>
  </r>
  <r>
    <x v="27"/>
    <x v="0"/>
    <x v="0"/>
    <x v="20"/>
    <x v="2"/>
    <x v="2"/>
    <n v="1"/>
    <s v=""/>
  </r>
  <r>
    <x v="27"/>
    <x v="0"/>
    <x v="0"/>
    <x v="12"/>
    <x v="2"/>
    <x v="2"/>
    <n v="1"/>
    <s v=""/>
  </r>
  <r>
    <x v="27"/>
    <x v="0"/>
    <x v="0"/>
    <x v="21"/>
    <x v="1"/>
    <x v="4"/>
    <n v="0"/>
    <m/>
  </r>
  <r>
    <x v="27"/>
    <x v="0"/>
    <x v="0"/>
    <x v="22"/>
    <x v="2"/>
    <x v="2"/>
    <n v="1"/>
    <s v=""/>
  </r>
  <r>
    <x v="27"/>
    <x v="0"/>
    <x v="0"/>
    <x v="23"/>
    <x v="1"/>
    <x v="4"/>
    <n v="0"/>
    <m/>
  </r>
  <r>
    <x v="27"/>
    <x v="0"/>
    <x v="0"/>
    <x v="24"/>
    <x v="1"/>
    <x v="4"/>
    <n v="0"/>
    <m/>
  </r>
  <r>
    <x v="27"/>
    <x v="0"/>
    <x v="0"/>
    <x v="25"/>
    <x v="1"/>
    <x v="4"/>
    <n v="0"/>
    <m/>
  </r>
  <r>
    <x v="27"/>
    <x v="0"/>
    <x v="0"/>
    <x v="26"/>
    <x v="2"/>
    <x v="1"/>
    <n v="1"/>
    <s v=""/>
  </r>
  <r>
    <x v="27"/>
    <x v="0"/>
    <x v="0"/>
    <x v="27"/>
    <x v="1"/>
    <x v="4"/>
    <n v="0"/>
    <m/>
  </r>
  <r>
    <x v="27"/>
    <x v="0"/>
    <x v="0"/>
    <x v="28"/>
    <x v="1"/>
    <x v="4"/>
    <n v="0"/>
    <m/>
  </r>
  <r>
    <x v="27"/>
    <x v="0"/>
    <x v="0"/>
    <x v="11"/>
    <x v="1"/>
    <x v="4"/>
    <n v="0"/>
    <m/>
  </r>
  <r>
    <x v="27"/>
    <x v="0"/>
    <x v="0"/>
    <x v="29"/>
    <x v="1"/>
    <x v="4"/>
    <n v="0"/>
    <m/>
  </r>
  <r>
    <x v="27"/>
    <x v="0"/>
    <x v="1"/>
    <x v="30"/>
    <x v="1"/>
    <x v="4"/>
    <n v="0"/>
    <m/>
  </r>
  <r>
    <x v="27"/>
    <x v="0"/>
    <x v="1"/>
    <x v="31"/>
    <x v="2"/>
    <x v="2"/>
    <n v="1"/>
    <s v=""/>
  </r>
  <r>
    <x v="27"/>
    <x v="0"/>
    <x v="1"/>
    <x v="32"/>
    <x v="2"/>
    <x v="1"/>
    <n v="1"/>
    <s v=""/>
  </r>
  <r>
    <x v="27"/>
    <x v="0"/>
    <x v="1"/>
    <x v="33"/>
    <x v="2"/>
    <x v="0"/>
    <n v="1"/>
    <s v=""/>
  </r>
  <r>
    <x v="27"/>
    <x v="0"/>
    <x v="1"/>
    <x v="10"/>
    <x v="2"/>
    <x v="0"/>
    <n v="1"/>
    <s v=""/>
  </r>
  <r>
    <x v="27"/>
    <x v="0"/>
    <x v="1"/>
    <x v="10"/>
    <x v="5"/>
    <x v="0"/>
    <n v="1"/>
    <s v=""/>
  </r>
  <r>
    <x v="27"/>
    <x v="0"/>
    <x v="1"/>
    <x v="34"/>
    <x v="1"/>
    <x v="4"/>
    <n v="0"/>
    <m/>
  </r>
  <r>
    <x v="27"/>
    <x v="0"/>
    <x v="1"/>
    <x v="35"/>
    <x v="2"/>
    <x v="1"/>
    <n v="1"/>
    <s v=""/>
  </r>
  <r>
    <x v="27"/>
    <x v="0"/>
    <x v="1"/>
    <x v="36"/>
    <x v="2"/>
    <x v="0"/>
    <n v="1"/>
    <s v=""/>
  </r>
  <r>
    <x v="27"/>
    <x v="0"/>
    <x v="1"/>
    <x v="37"/>
    <x v="1"/>
    <x v="4"/>
    <n v="0"/>
    <m/>
  </r>
  <r>
    <x v="27"/>
    <x v="0"/>
    <x v="1"/>
    <x v="9"/>
    <x v="1"/>
    <x v="4"/>
    <n v="0"/>
    <m/>
  </r>
  <r>
    <x v="27"/>
    <x v="0"/>
    <x v="1"/>
    <x v="38"/>
    <x v="1"/>
    <x v="4"/>
    <n v="0"/>
    <m/>
  </r>
  <r>
    <x v="27"/>
    <x v="0"/>
    <x v="1"/>
    <x v="8"/>
    <x v="1"/>
    <x v="4"/>
    <n v="0"/>
    <m/>
  </r>
  <r>
    <x v="27"/>
    <x v="0"/>
    <x v="1"/>
    <x v="39"/>
    <x v="5"/>
    <x v="0"/>
    <n v="1"/>
    <s v=""/>
  </r>
  <r>
    <x v="27"/>
    <x v="0"/>
    <x v="1"/>
    <x v="7"/>
    <x v="1"/>
    <x v="4"/>
    <n v="0"/>
    <m/>
  </r>
  <r>
    <x v="27"/>
    <x v="0"/>
    <x v="1"/>
    <x v="6"/>
    <x v="1"/>
    <x v="4"/>
    <n v="0"/>
    <m/>
  </r>
  <r>
    <x v="27"/>
    <x v="0"/>
    <x v="1"/>
    <x v="40"/>
    <x v="2"/>
    <x v="0"/>
    <n v="2"/>
    <s v=""/>
  </r>
  <r>
    <x v="27"/>
    <x v="0"/>
    <x v="1"/>
    <x v="41"/>
    <x v="2"/>
    <x v="0"/>
    <n v="1"/>
    <s v=""/>
  </r>
  <r>
    <x v="27"/>
    <x v="0"/>
    <x v="1"/>
    <x v="42"/>
    <x v="1"/>
    <x v="4"/>
    <n v="0"/>
    <m/>
  </r>
  <r>
    <x v="27"/>
    <x v="0"/>
    <x v="1"/>
    <x v="5"/>
    <x v="1"/>
    <x v="4"/>
    <n v="0"/>
    <m/>
  </r>
  <r>
    <x v="27"/>
    <x v="0"/>
    <x v="1"/>
    <x v="43"/>
    <x v="2"/>
    <x v="0"/>
    <n v="1"/>
    <s v=""/>
  </r>
  <r>
    <x v="27"/>
    <x v="0"/>
    <x v="2"/>
    <x v="44"/>
    <x v="1"/>
    <x v="4"/>
    <n v="0"/>
    <m/>
  </r>
  <r>
    <x v="27"/>
    <x v="0"/>
    <x v="2"/>
    <x v="45"/>
    <x v="2"/>
    <x v="0"/>
    <n v="2"/>
    <s v=""/>
  </r>
  <r>
    <x v="27"/>
    <x v="0"/>
    <x v="2"/>
    <x v="46"/>
    <x v="2"/>
    <x v="0"/>
    <n v="3"/>
    <s v=""/>
  </r>
  <r>
    <x v="27"/>
    <x v="0"/>
    <x v="2"/>
    <x v="4"/>
    <x v="2"/>
    <x v="2"/>
    <n v="1"/>
    <s v=""/>
  </r>
  <r>
    <x v="27"/>
    <x v="0"/>
    <x v="2"/>
    <x v="47"/>
    <x v="2"/>
    <x v="0"/>
    <n v="1"/>
    <s v=""/>
  </r>
  <r>
    <x v="27"/>
    <x v="0"/>
    <x v="2"/>
    <x v="48"/>
    <x v="1"/>
    <x v="4"/>
    <n v="0"/>
    <m/>
  </r>
  <r>
    <x v="27"/>
    <x v="0"/>
    <x v="2"/>
    <x v="49"/>
    <x v="2"/>
    <x v="0"/>
    <n v="1"/>
    <s v=""/>
  </r>
  <r>
    <x v="27"/>
    <x v="0"/>
    <x v="2"/>
    <x v="50"/>
    <x v="2"/>
    <x v="0"/>
    <n v="1"/>
    <s v=""/>
  </r>
  <r>
    <x v="27"/>
    <x v="0"/>
    <x v="2"/>
    <x v="3"/>
    <x v="1"/>
    <x v="4"/>
    <n v="0"/>
    <m/>
  </r>
  <r>
    <x v="27"/>
    <x v="0"/>
    <x v="2"/>
    <x v="51"/>
    <x v="2"/>
    <x v="2"/>
    <n v="1"/>
    <s v=""/>
  </r>
  <r>
    <x v="27"/>
    <x v="0"/>
    <x v="2"/>
    <x v="2"/>
    <x v="1"/>
    <x v="4"/>
    <n v="0"/>
    <m/>
  </r>
  <r>
    <x v="27"/>
    <x v="0"/>
    <x v="2"/>
    <x v="52"/>
    <x v="1"/>
    <x v="4"/>
    <n v="0"/>
    <m/>
  </r>
  <r>
    <x v="27"/>
    <x v="0"/>
    <x v="2"/>
    <x v="53"/>
    <x v="2"/>
    <x v="0"/>
    <n v="1"/>
    <s v=""/>
  </r>
  <r>
    <x v="27"/>
    <x v="0"/>
    <x v="2"/>
    <x v="54"/>
    <x v="1"/>
    <x v="4"/>
    <n v="0"/>
    <m/>
  </r>
  <r>
    <x v="27"/>
    <x v="0"/>
    <x v="2"/>
    <x v="1"/>
    <x v="2"/>
    <x v="0"/>
    <n v="3"/>
    <s v=""/>
  </r>
  <r>
    <x v="27"/>
    <x v="0"/>
    <x v="2"/>
    <x v="55"/>
    <x v="1"/>
    <x v="4"/>
    <n v="0"/>
    <m/>
  </r>
  <r>
    <x v="27"/>
    <x v="0"/>
    <x v="2"/>
    <x v="56"/>
    <x v="3"/>
    <x v="1"/>
    <n v="1"/>
    <s v=""/>
  </r>
  <r>
    <x v="27"/>
    <x v="0"/>
    <x v="2"/>
    <x v="57"/>
    <x v="1"/>
    <x v="4"/>
    <n v="0"/>
    <m/>
  </r>
  <r>
    <x v="27"/>
    <x v="0"/>
    <x v="2"/>
    <x v="58"/>
    <x v="1"/>
    <x v="4"/>
    <n v="0"/>
    <m/>
  </r>
  <r>
    <x v="27"/>
    <x v="0"/>
    <x v="2"/>
    <x v="59"/>
    <x v="2"/>
    <x v="2"/>
    <n v="1"/>
    <s v=""/>
  </r>
  <r>
    <x v="27"/>
    <x v="1"/>
    <x v="0"/>
    <x v="60"/>
    <x v="1"/>
    <x v="4"/>
    <n v="0"/>
    <m/>
  </r>
  <r>
    <x v="27"/>
    <x v="1"/>
    <x v="0"/>
    <x v="61"/>
    <x v="1"/>
    <x v="4"/>
    <n v="0"/>
    <m/>
  </r>
  <r>
    <x v="27"/>
    <x v="1"/>
    <x v="0"/>
    <x v="62"/>
    <x v="2"/>
    <x v="0"/>
    <n v="1"/>
    <s v=""/>
  </r>
  <r>
    <x v="27"/>
    <x v="1"/>
    <x v="0"/>
    <x v="63"/>
    <x v="1"/>
    <x v="4"/>
    <n v="0"/>
    <m/>
  </r>
  <r>
    <x v="27"/>
    <x v="1"/>
    <x v="0"/>
    <x v="64"/>
    <x v="1"/>
    <x v="4"/>
    <n v="0"/>
    <m/>
  </r>
  <r>
    <x v="27"/>
    <x v="1"/>
    <x v="0"/>
    <x v="65"/>
    <x v="1"/>
    <x v="4"/>
    <n v="0"/>
    <m/>
  </r>
  <r>
    <x v="27"/>
    <x v="1"/>
    <x v="0"/>
    <x v="66"/>
    <x v="2"/>
    <x v="1"/>
    <n v="1"/>
    <s v=""/>
  </r>
  <r>
    <x v="27"/>
    <x v="1"/>
    <x v="0"/>
    <x v="67"/>
    <x v="1"/>
    <x v="4"/>
    <n v="0"/>
    <m/>
  </r>
  <r>
    <x v="27"/>
    <x v="1"/>
    <x v="0"/>
    <x v="68"/>
    <x v="1"/>
    <x v="4"/>
    <n v="0"/>
    <m/>
  </r>
  <r>
    <x v="27"/>
    <x v="1"/>
    <x v="0"/>
    <x v="69"/>
    <x v="1"/>
    <x v="4"/>
    <n v="0"/>
    <m/>
  </r>
  <r>
    <x v="27"/>
    <x v="1"/>
    <x v="0"/>
    <x v="70"/>
    <x v="1"/>
    <x v="4"/>
    <n v="0"/>
    <m/>
  </r>
  <r>
    <x v="27"/>
    <x v="1"/>
    <x v="0"/>
    <x v="71"/>
    <x v="1"/>
    <x v="4"/>
    <n v="0"/>
    <m/>
  </r>
  <r>
    <x v="27"/>
    <x v="1"/>
    <x v="0"/>
    <x v="72"/>
    <x v="2"/>
    <x v="0"/>
    <n v="1"/>
    <s v=""/>
  </r>
  <r>
    <x v="27"/>
    <x v="1"/>
    <x v="0"/>
    <x v="73"/>
    <x v="1"/>
    <x v="4"/>
    <n v="0"/>
    <m/>
  </r>
  <r>
    <x v="27"/>
    <x v="1"/>
    <x v="0"/>
    <x v="74"/>
    <x v="1"/>
    <x v="4"/>
    <n v="0"/>
    <m/>
  </r>
  <r>
    <x v="27"/>
    <x v="1"/>
    <x v="0"/>
    <x v="75"/>
    <x v="1"/>
    <x v="4"/>
    <n v="0"/>
    <m/>
  </r>
  <r>
    <x v="27"/>
    <x v="1"/>
    <x v="0"/>
    <x v="76"/>
    <x v="1"/>
    <x v="4"/>
    <n v="0"/>
    <m/>
  </r>
  <r>
    <x v="27"/>
    <x v="1"/>
    <x v="0"/>
    <x v="77"/>
    <x v="1"/>
    <x v="4"/>
    <n v="0"/>
    <m/>
  </r>
  <r>
    <x v="27"/>
    <x v="1"/>
    <x v="0"/>
    <x v="78"/>
    <x v="1"/>
    <x v="4"/>
    <n v="0"/>
    <m/>
  </r>
  <r>
    <x v="27"/>
    <x v="1"/>
    <x v="0"/>
    <x v="78"/>
    <x v="2"/>
    <x v="0"/>
    <n v="1"/>
    <s v=""/>
  </r>
  <r>
    <x v="27"/>
    <x v="1"/>
    <x v="0"/>
    <x v="79"/>
    <x v="1"/>
    <x v="4"/>
    <n v="0"/>
    <m/>
  </r>
  <r>
    <x v="27"/>
    <x v="1"/>
    <x v="1"/>
    <x v="80"/>
    <x v="1"/>
    <x v="4"/>
    <n v="0"/>
    <m/>
  </r>
  <r>
    <x v="27"/>
    <x v="1"/>
    <x v="1"/>
    <x v="81"/>
    <x v="5"/>
    <x v="0"/>
    <n v="1"/>
    <s v=""/>
  </r>
  <r>
    <x v="27"/>
    <x v="1"/>
    <x v="1"/>
    <x v="82"/>
    <x v="1"/>
    <x v="0"/>
    <n v="1"/>
    <s v=""/>
  </r>
  <r>
    <x v="27"/>
    <x v="1"/>
    <x v="1"/>
    <x v="83"/>
    <x v="5"/>
    <x v="1"/>
    <n v="1"/>
    <s v=""/>
  </r>
  <r>
    <x v="27"/>
    <x v="1"/>
    <x v="1"/>
    <x v="84"/>
    <x v="1"/>
    <x v="4"/>
    <n v="0"/>
    <m/>
  </r>
  <r>
    <x v="27"/>
    <x v="1"/>
    <x v="1"/>
    <x v="85"/>
    <x v="2"/>
    <x v="1"/>
    <n v="1"/>
    <s v=""/>
  </r>
  <r>
    <x v="27"/>
    <x v="1"/>
    <x v="1"/>
    <x v="86"/>
    <x v="1"/>
    <x v="4"/>
    <n v="0"/>
    <m/>
  </r>
  <r>
    <x v="27"/>
    <x v="1"/>
    <x v="1"/>
    <x v="87"/>
    <x v="5"/>
    <x v="0"/>
    <n v="4"/>
    <s v=""/>
  </r>
  <r>
    <x v="27"/>
    <x v="1"/>
    <x v="1"/>
    <x v="88"/>
    <x v="5"/>
    <x v="0"/>
    <n v="1"/>
    <s v=""/>
  </r>
  <r>
    <x v="27"/>
    <x v="1"/>
    <x v="1"/>
    <x v="89"/>
    <x v="1"/>
    <x v="4"/>
    <n v="0"/>
    <m/>
  </r>
  <r>
    <x v="27"/>
    <x v="1"/>
    <x v="1"/>
    <x v="90"/>
    <x v="2"/>
    <x v="0"/>
    <n v="1"/>
    <s v=""/>
  </r>
  <r>
    <x v="27"/>
    <x v="1"/>
    <x v="1"/>
    <x v="91"/>
    <x v="2"/>
    <x v="0"/>
    <n v="1"/>
    <s v=""/>
  </r>
  <r>
    <x v="27"/>
    <x v="1"/>
    <x v="1"/>
    <x v="92"/>
    <x v="1"/>
    <x v="4"/>
    <n v="0"/>
    <m/>
  </r>
  <r>
    <x v="27"/>
    <x v="1"/>
    <x v="1"/>
    <x v="93"/>
    <x v="1"/>
    <x v="4"/>
    <n v="0"/>
    <m/>
  </r>
  <r>
    <x v="27"/>
    <x v="1"/>
    <x v="1"/>
    <x v="94"/>
    <x v="1"/>
    <x v="4"/>
    <n v="0"/>
    <m/>
  </r>
  <r>
    <x v="27"/>
    <x v="1"/>
    <x v="1"/>
    <x v="95"/>
    <x v="1"/>
    <x v="4"/>
    <n v="0"/>
    <m/>
  </r>
  <r>
    <x v="27"/>
    <x v="1"/>
    <x v="1"/>
    <x v="96"/>
    <x v="2"/>
    <x v="0"/>
    <n v="1"/>
    <s v=""/>
  </r>
  <r>
    <x v="27"/>
    <x v="1"/>
    <x v="1"/>
    <x v="97"/>
    <x v="2"/>
    <x v="0"/>
    <n v="2"/>
    <s v=""/>
  </r>
  <r>
    <x v="27"/>
    <x v="1"/>
    <x v="1"/>
    <x v="98"/>
    <x v="1"/>
    <x v="4"/>
    <n v="0"/>
    <m/>
  </r>
  <r>
    <x v="27"/>
    <x v="1"/>
    <x v="1"/>
    <x v="99"/>
    <x v="2"/>
    <x v="1"/>
    <n v="1"/>
    <s v=""/>
  </r>
  <r>
    <x v="27"/>
    <x v="1"/>
    <x v="1"/>
    <x v="99"/>
    <x v="5"/>
    <x v="0"/>
    <n v="1"/>
    <s v=""/>
  </r>
  <r>
    <x v="27"/>
    <x v="1"/>
    <x v="2"/>
    <x v="100"/>
    <x v="2"/>
    <x v="2"/>
    <n v="1"/>
    <s v=""/>
  </r>
  <r>
    <x v="27"/>
    <x v="1"/>
    <x v="2"/>
    <x v="101"/>
    <x v="1"/>
    <x v="4"/>
    <n v="0"/>
    <m/>
  </r>
  <r>
    <x v="27"/>
    <x v="1"/>
    <x v="2"/>
    <x v="102"/>
    <x v="5"/>
    <x v="0"/>
    <n v="1"/>
    <s v=""/>
  </r>
  <r>
    <x v="27"/>
    <x v="1"/>
    <x v="2"/>
    <x v="103"/>
    <x v="1"/>
    <x v="4"/>
    <n v="0"/>
    <m/>
  </r>
  <r>
    <x v="27"/>
    <x v="1"/>
    <x v="2"/>
    <x v="104"/>
    <x v="1"/>
    <x v="4"/>
    <n v="0"/>
    <m/>
  </r>
  <r>
    <x v="27"/>
    <x v="1"/>
    <x v="2"/>
    <x v="105"/>
    <x v="5"/>
    <x v="1"/>
    <n v="2"/>
    <s v=""/>
  </r>
  <r>
    <x v="27"/>
    <x v="1"/>
    <x v="2"/>
    <x v="106"/>
    <x v="1"/>
    <x v="4"/>
    <n v="0"/>
    <m/>
  </r>
  <r>
    <x v="27"/>
    <x v="1"/>
    <x v="2"/>
    <x v="107"/>
    <x v="1"/>
    <x v="4"/>
    <n v="0"/>
    <m/>
  </r>
  <r>
    <x v="27"/>
    <x v="1"/>
    <x v="2"/>
    <x v="108"/>
    <x v="1"/>
    <x v="4"/>
    <n v="0"/>
    <m/>
  </r>
  <r>
    <x v="27"/>
    <x v="1"/>
    <x v="2"/>
    <x v="109"/>
    <x v="1"/>
    <x v="4"/>
    <n v="0"/>
    <m/>
  </r>
  <r>
    <x v="27"/>
    <x v="1"/>
    <x v="2"/>
    <x v="110"/>
    <x v="2"/>
    <x v="2"/>
    <n v="1"/>
    <s v=""/>
  </r>
  <r>
    <x v="27"/>
    <x v="1"/>
    <x v="2"/>
    <x v="110"/>
    <x v="5"/>
    <x v="1"/>
    <n v="1"/>
    <s v=""/>
  </r>
  <r>
    <x v="27"/>
    <x v="1"/>
    <x v="2"/>
    <x v="111"/>
    <x v="1"/>
    <x v="4"/>
    <n v="0"/>
    <m/>
  </r>
  <r>
    <x v="27"/>
    <x v="1"/>
    <x v="2"/>
    <x v="112"/>
    <x v="2"/>
    <x v="0"/>
    <n v="1"/>
    <s v=""/>
  </r>
  <r>
    <x v="27"/>
    <x v="1"/>
    <x v="2"/>
    <x v="113"/>
    <x v="2"/>
    <x v="1"/>
    <n v="2"/>
    <s v=""/>
  </r>
  <r>
    <x v="27"/>
    <x v="1"/>
    <x v="2"/>
    <x v="113"/>
    <x v="5"/>
    <x v="1"/>
    <n v="2"/>
    <s v=""/>
  </r>
  <r>
    <x v="27"/>
    <x v="1"/>
    <x v="2"/>
    <x v="114"/>
    <x v="2"/>
    <x v="1"/>
    <n v="1"/>
    <s v=""/>
  </r>
  <r>
    <x v="27"/>
    <x v="1"/>
    <x v="2"/>
    <x v="114"/>
    <x v="5"/>
    <x v="1"/>
    <n v="1"/>
    <s v=""/>
  </r>
  <r>
    <x v="27"/>
    <x v="1"/>
    <x v="2"/>
    <x v="115"/>
    <x v="5"/>
    <x v="2"/>
    <n v="1"/>
    <s v=""/>
  </r>
  <r>
    <x v="27"/>
    <x v="1"/>
    <x v="2"/>
    <x v="116"/>
    <x v="1"/>
    <x v="4"/>
    <n v="0"/>
    <m/>
  </r>
  <r>
    <x v="27"/>
    <x v="1"/>
    <x v="2"/>
    <x v="117"/>
    <x v="1"/>
    <x v="4"/>
    <n v="0"/>
    <m/>
  </r>
  <r>
    <x v="27"/>
    <x v="1"/>
    <x v="2"/>
    <x v="118"/>
    <x v="1"/>
    <x v="4"/>
    <n v="0"/>
    <m/>
  </r>
  <r>
    <x v="27"/>
    <x v="1"/>
    <x v="2"/>
    <x v="119"/>
    <x v="1"/>
    <x v="4"/>
    <n v="0"/>
    <m/>
  </r>
  <r>
    <x v="27"/>
    <x v="2"/>
    <x v="0"/>
    <x v="120"/>
    <x v="1"/>
    <x v="4"/>
    <n v="0"/>
    <m/>
  </r>
  <r>
    <x v="27"/>
    <x v="2"/>
    <x v="0"/>
    <x v="121"/>
    <x v="1"/>
    <x v="4"/>
    <n v="0"/>
    <m/>
  </r>
  <r>
    <x v="27"/>
    <x v="2"/>
    <x v="0"/>
    <x v="122"/>
    <x v="1"/>
    <x v="4"/>
    <n v="0"/>
    <m/>
  </r>
  <r>
    <x v="27"/>
    <x v="2"/>
    <x v="0"/>
    <x v="123"/>
    <x v="1"/>
    <x v="4"/>
    <n v="0"/>
    <m/>
  </r>
  <r>
    <x v="27"/>
    <x v="2"/>
    <x v="0"/>
    <x v="124"/>
    <x v="1"/>
    <x v="4"/>
    <n v="0"/>
    <m/>
  </r>
  <r>
    <x v="27"/>
    <x v="2"/>
    <x v="0"/>
    <x v="125"/>
    <x v="4"/>
    <x v="3"/>
    <s v=""/>
    <s v="plaque absente"/>
  </r>
  <r>
    <x v="27"/>
    <x v="2"/>
    <x v="0"/>
    <x v="126"/>
    <x v="1"/>
    <x v="4"/>
    <n v="0"/>
    <m/>
  </r>
  <r>
    <x v="27"/>
    <x v="2"/>
    <x v="0"/>
    <x v="127"/>
    <x v="1"/>
    <x v="4"/>
    <n v="0"/>
    <m/>
  </r>
  <r>
    <x v="27"/>
    <x v="2"/>
    <x v="0"/>
    <x v="128"/>
    <x v="2"/>
    <x v="0"/>
    <n v="1"/>
    <s v=""/>
  </r>
  <r>
    <x v="27"/>
    <x v="2"/>
    <x v="0"/>
    <x v="129"/>
    <x v="1"/>
    <x v="4"/>
    <n v="0"/>
    <m/>
  </r>
  <r>
    <x v="27"/>
    <x v="2"/>
    <x v="0"/>
    <x v="130"/>
    <x v="3"/>
    <x v="2"/>
    <n v="1"/>
    <s v=""/>
  </r>
  <r>
    <x v="27"/>
    <x v="2"/>
    <x v="0"/>
    <x v="131"/>
    <x v="1"/>
    <x v="4"/>
    <n v="0"/>
    <m/>
  </r>
  <r>
    <x v="27"/>
    <x v="2"/>
    <x v="0"/>
    <x v="132"/>
    <x v="1"/>
    <x v="4"/>
    <n v="0"/>
    <m/>
  </r>
  <r>
    <x v="27"/>
    <x v="2"/>
    <x v="0"/>
    <x v="133"/>
    <x v="1"/>
    <x v="4"/>
    <n v="0"/>
    <m/>
  </r>
  <r>
    <x v="27"/>
    <x v="2"/>
    <x v="0"/>
    <x v="134"/>
    <x v="1"/>
    <x v="4"/>
    <n v="0"/>
    <m/>
  </r>
  <r>
    <x v="27"/>
    <x v="2"/>
    <x v="0"/>
    <x v="135"/>
    <x v="1"/>
    <x v="4"/>
    <n v="0"/>
    <m/>
  </r>
  <r>
    <x v="27"/>
    <x v="2"/>
    <x v="0"/>
    <x v="136"/>
    <x v="1"/>
    <x v="4"/>
    <n v="0"/>
    <m/>
  </r>
  <r>
    <x v="27"/>
    <x v="2"/>
    <x v="0"/>
    <x v="137"/>
    <x v="1"/>
    <x v="4"/>
    <n v="0"/>
    <m/>
  </r>
  <r>
    <x v="27"/>
    <x v="2"/>
    <x v="0"/>
    <x v="138"/>
    <x v="1"/>
    <x v="4"/>
    <n v="0"/>
    <m/>
  </r>
  <r>
    <x v="27"/>
    <x v="2"/>
    <x v="0"/>
    <x v="139"/>
    <x v="1"/>
    <x v="4"/>
    <n v="0"/>
    <m/>
  </r>
  <r>
    <x v="27"/>
    <x v="2"/>
    <x v="1"/>
    <x v="140"/>
    <x v="1"/>
    <x v="4"/>
    <n v="0"/>
    <m/>
  </r>
  <r>
    <x v="27"/>
    <x v="2"/>
    <x v="1"/>
    <x v="141"/>
    <x v="1"/>
    <x v="4"/>
    <n v="0"/>
    <m/>
  </r>
  <r>
    <x v="27"/>
    <x v="2"/>
    <x v="1"/>
    <x v="142"/>
    <x v="2"/>
    <x v="1"/>
    <n v="1"/>
    <s v=""/>
  </r>
  <r>
    <x v="27"/>
    <x v="2"/>
    <x v="1"/>
    <x v="143"/>
    <x v="1"/>
    <x v="4"/>
    <n v="0"/>
    <m/>
  </r>
  <r>
    <x v="27"/>
    <x v="2"/>
    <x v="1"/>
    <x v="144"/>
    <x v="1"/>
    <x v="4"/>
    <n v="0"/>
    <m/>
  </r>
  <r>
    <x v="27"/>
    <x v="2"/>
    <x v="1"/>
    <x v="145"/>
    <x v="1"/>
    <x v="4"/>
    <n v="0"/>
    <m/>
  </r>
  <r>
    <x v="27"/>
    <x v="2"/>
    <x v="1"/>
    <x v="146"/>
    <x v="1"/>
    <x v="4"/>
    <n v="0"/>
    <m/>
  </r>
  <r>
    <x v="27"/>
    <x v="2"/>
    <x v="1"/>
    <x v="147"/>
    <x v="1"/>
    <x v="4"/>
    <n v="0"/>
    <m/>
  </r>
  <r>
    <x v="27"/>
    <x v="2"/>
    <x v="1"/>
    <x v="148"/>
    <x v="1"/>
    <x v="4"/>
    <n v="0"/>
    <m/>
  </r>
  <r>
    <x v="27"/>
    <x v="2"/>
    <x v="1"/>
    <x v="149"/>
    <x v="1"/>
    <x v="4"/>
    <n v="0"/>
    <m/>
  </r>
  <r>
    <x v="27"/>
    <x v="2"/>
    <x v="1"/>
    <x v="150"/>
    <x v="1"/>
    <x v="4"/>
    <n v="0"/>
    <m/>
  </r>
  <r>
    <x v="27"/>
    <x v="2"/>
    <x v="1"/>
    <x v="151"/>
    <x v="1"/>
    <x v="4"/>
    <n v="0"/>
    <m/>
  </r>
  <r>
    <x v="27"/>
    <x v="2"/>
    <x v="1"/>
    <x v="152"/>
    <x v="1"/>
    <x v="4"/>
    <n v="0"/>
    <m/>
  </r>
  <r>
    <x v="27"/>
    <x v="2"/>
    <x v="1"/>
    <x v="153"/>
    <x v="1"/>
    <x v="4"/>
    <n v="0"/>
    <m/>
  </r>
  <r>
    <x v="27"/>
    <x v="2"/>
    <x v="1"/>
    <x v="154"/>
    <x v="1"/>
    <x v="4"/>
    <n v="0"/>
    <m/>
  </r>
  <r>
    <x v="27"/>
    <x v="2"/>
    <x v="1"/>
    <x v="155"/>
    <x v="1"/>
    <x v="4"/>
    <n v="0"/>
    <m/>
  </r>
  <r>
    <x v="27"/>
    <x v="2"/>
    <x v="1"/>
    <x v="156"/>
    <x v="1"/>
    <x v="4"/>
    <n v="0"/>
    <m/>
  </r>
  <r>
    <x v="27"/>
    <x v="2"/>
    <x v="1"/>
    <x v="157"/>
    <x v="1"/>
    <x v="4"/>
    <n v="0"/>
    <m/>
  </r>
  <r>
    <x v="27"/>
    <x v="2"/>
    <x v="1"/>
    <x v="158"/>
    <x v="1"/>
    <x v="4"/>
    <n v="0"/>
    <m/>
  </r>
  <r>
    <x v="27"/>
    <x v="2"/>
    <x v="1"/>
    <x v="159"/>
    <x v="1"/>
    <x v="4"/>
    <n v="0"/>
    <m/>
  </r>
  <r>
    <x v="27"/>
    <x v="2"/>
    <x v="2"/>
    <x v="160"/>
    <x v="1"/>
    <x v="4"/>
    <n v="0"/>
    <m/>
  </r>
  <r>
    <x v="27"/>
    <x v="2"/>
    <x v="2"/>
    <x v="161"/>
    <x v="2"/>
    <x v="1"/>
    <n v="1"/>
    <s v=""/>
  </r>
  <r>
    <x v="27"/>
    <x v="2"/>
    <x v="2"/>
    <x v="162"/>
    <x v="1"/>
    <x v="4"/>
    <n v="0"/>
    <m/>
  </r>
  <r>
    <x v="27"/>
    <x v="2"/>
    <x v="2"/>
    <x v="163"/>
    <x v="1"/>
    <x v="4"/>
    <n v="0"/>
    <m/>
  </r>
  <r>
    <x v="27"/>
    <x v="2"/>
    <x v="2"/>
    <x v="164"/>
    <x v="2"/>
    <x v="0"/>
    <n v="1"/>
    <s v=""/>
  </r>
  <r>
    <x v="27"/>
    <x v="2"/>
    <x v="2"/>
    <x v="165"/>
    <x v="1"/>
    <x v="4"/>
    <n v="0"/>
    <m/>
  </r>
  <r>
    <x v="27"/>
    <x v="2"/>
    <x v="2"/>
    <x v="166"/>
    <x v="1"/>
    <x v="4"/>
    <n v="0"/>
    <m/>
  </r>
  <r>
    <x v="27"/>
    <x v="2"/>
    <x v="2"/>
    <x v="167"/>
    <x v="1"/>
    <x v="4"/>
    <n v="0"/>
    <m/>
  </r>
  <r>
    <x v="27"/>
    <x v="2"/>
    <x v="2"/>
    <x v="168"/>
    <x v="1"/>
    <x v="4"/>
    <n v="0"/>
    <m/>
  </r>
  <r>
    <x v="27"/>
    <x v="2"/>
    <x v="2"/>
    <x v="169"/>
    <x v="1"/>
    <x v="4"/>
    <n v="0"/>
    <m/>
  </r>
  <r>
    <x v="27"/>
    <x v="2"/>
    <x v="2"/>
    <x v="170"/>
    <x v="1"/>
    <x v="4"/>
    <n v="0"/>
    <m/>
  </r>
  <r>
    <x v="27"/>
    <x v="2"/>
    <x v="2"/>
    <x v="171"/>
    <x v="1"/>
    <x v="4"/>
    <n v="0"/>
    <m/>
  </r>
  <r>
    <x v="27"/>
    <x v="2"/>
    <x v="2"/>
    <x v="172"/>
    <x v="1"/>
    <x v="4"/>
    <n v="0"/>
    <m/>
  </r>
  <r>
    <x v="27"/>
    <x v="2"/>
    <x v="2"/>
    <x v="173"/>
    <x v="1"/>
    <x v="4"/>
    <n v="0"/>
    <m/>
  </r>
  <r>
    <x v="27"/>
    <x v="2"/>
    <x v="2"/>
    <x v="174"/>
    <x v="1"/>
    <x v="4"/>
    <n v="0"/>
    <m/>
  </r>
  <r>
    <x v="27"/>
    <x v="2"/>
    <x v="2"/>
    <x v="175"/>
    <x v="1"/>
    <x v="4"/>
    <n v="0"/>
    <m/>
  </r>
  <r>
    <x v="27"/>
    <x v="2"/>
    <x v="2"/>
    <x v="176"/>
    <x v="1"/>
    <x v="4"/>
    <n v="0"/>
    <m/>
  </r>
  <r>
    <x v="27"/>
    <x v="2"/>
    <x v="2"/>
    <x v="177"/>
    <x v="1"/>
    <x v="4"/>
    <n v="0"/>
    <m/>
  </r>
  <r>
    <x v="27"/>
    <x v="2"/>
    <x v="2"/>
    <x v="178"/>
    <x v="1"/>
    <x v="4"/>
    <n v="0"/>
    <m/>
  </r>
  <r>
    <x v="27"/>
    <x v="2"/>
    <x v="2"/>
    <x v="179"/>
    <x v="1"/>
    <x v="4"/>
    <n v="0"/>
    <m/>
  </r>
  <r>
    <x v="28"/>
    <x v="0"/>
    <x v="0"/>
    <x v="0"/>
    <x v="5"/>
    <x v="0"/>
    <n v="1"/>
    <s v=""/>
  </r>
  <r>
    <x v="28"/>
    <x v="0"/>
    <x v="0"/>
    <x v="16"/>
    <x v="5"/>
    <x v="0"/>
    <n v="2"/>
    <s v=""/>
  </r>
  <r>
    <x v="28"/>
    <x v="0"/>
    <x v="0"/>
    <x v="15"/>
    <x v="1"/>
    <x v="4"/>
    <n v="0"/>
    <m/>
  </r>
  <r>
    <x v="28"/>
    <x v="0"/>
    <x v="0"/>
    <x v="17"/>
    <x v="1"/>
    <x v="4"/>
    <n v="0"/>
    <m/>
  </r>
  <r>
    <x v="28"/>
    <x v="0"/>
    <x v="0"/>
    <x v="14"/>
    <x v="1"/>
    <x v="4"/>
    <n v="0"/>
    <m/>
  </r>
  <r>
    <x v="28"/>
    <x v="0"/>
    <x v="0"/>
    <x v="18"/>
    <x v="1"/>
    <x v="4"/>
    <n v="0"/>
    <m/>
  </r>
  <r>
    <x v="28"/>
    <x v="0"/>
    <x v="0"/>
    <x v="13"/>
    <x v="1"/>
    <x v="4"/>
    <n v="0"/>
    <m/>
  </r>
  <r>
    <x v="28"/>
    <x v="0"/>
    <x v="0"/>
    <x v="19"/>
    <x v="1"/>
    <x v="4"/>
    <n v="0"/>
    <m/>
  </r>
  <r>
    <x v="28"/>
    <x v="0"/>
    <x v="0"/>
    <x v="20"/>
    <x v="1"/>
    <x v="4"/>
    <n v="0"/>
    <m/>
  </r>
  <r>
    <x v="28"/>
    <x v="0"/>
    <x v="0"/>
    <x v="12"/>
    <x v="1"/>
    <x v="4"/>
    <n v="0"/>
    <m/>
  </r>
  <r>
    <x v="28"/>
    <x v="0"/>
    <x v="0"/>
    <x v="21"/>
    <x v="1"/>
    <x v="4"/>
    <n v="0"/>
    <m/>
  </r>
  <r>
    <x v="28"/>
    <x v="0"/>
    <x v="0"/>
    <x v="22"/>
    <x v="1"/>
    <x v="4"/>
    <n v="0"/>
    <m/>
  </r>
  <r>
    <x v="28"/>
    <x v="0"/>
    <x v="0"/>
    <x v="23"/>
    <x v="1"/>
    <x v="4"/>
    <n v="0"/>
    <m/>
  </r>
  <r>
    <x v="28"/>
    <x v="0"/>
    <x v="0"/>
    <x v="24"/>
    <x v="1"/>
    <x v="4"/>
    <n v="0"/>
    <m/>
  </r>
  <r>
    <x v="28"/>
    <x v="0"/>
    <x v="0"/>
    <x v="25"/>
    <x v="1"/>
    <x v="4"/>
    <n v="0"/>
    <m/>
  </r>
  <r>
    <x v="28"/>
    <x v="0"/>
    <x v="0"/>
    <x v="26"/>
    <x v="1"/>
    <x v="4"/>
    <n v="0"/>
    <m/>
  </r>
  <r>
    <x v="28"/>
    <x v="0"/>
    <x v="0"/>
    <x v="27"/>
    <x v="1"/>
    <x v="4"/>
    <n v="0"/>
    <m/>
  </r>
  <r>
    <x v="28"/>
    <x v="0"/>
    <x v="0"/>
    <x v="28"/>
    <x v="1"/>
    <x v="4"/>
    <n v="0"/>
    <m/>
  </r>
  <r>
    <x v="28"/>
    <x v="0"/>
    <x v="0"/>
    <x v="11"/>
    <x v="1"/>
    <x v="4"/>
    <n v="0"/>
    <m/>
  </r>
  <r>
    <x v="28"/>
    <x v="0"/>
    <x v="0"/>
    <x v="29"/>
    <x v="1"/>
    <x v="4"/>
    <n v="0"/>
    <m/>
  </r>
  <r>
    <x v="28"/>
    <x v="0"/>
    <x v="1"/>
    <x v="30"/>
    <x v="1"/>
    <x v="4"/>
    <n v="0"/>
    <m/>
  </r>
  <r>
    <x v="28"/>
    <x v="0"/>
    <x v="1"/>
    <x v="31"/>
    <x v="1"/>
    <x v="4"/>
    <n v="0"/>
    <m/>
  </r>
  <r>
    <x v="28"/>
    <x v="0"/>
    <x v="1"/>
    <x v="32"/>
    <x v="1"/>
    <x v="4"/>
    <n v="0"/>
    <m/>
  </r>
  <r>
    <x v="28"/>
    <x v="0"/>
    <x v="1"/>
    <x v="33"/>
    <x v="5"/>
    <x v="0"/>
    <n v="2"/>
    <s v=""/>
  </r>
  <r>
    <x v="28"/>
    <x v="0"/>
    <x v="1"/>
    <x v="10"/>
    <x v="5"/>
    <x v="0"/>
    <n v="1"/>
    <s v=""/>
  </r>
  <r>
    <x v="28"/>
    <x v="0"/>
    <x v="1"/>
    <x v="34"/>
    <x v="5"/>
    <x v="0"/>
    <n v="1"/>
    <s v=""/>
  </r>
  <r>
    <x v="28"/>
    <x v="0"/>
    <x v="1"/>
    <x v="35"/>
    <x v="5"/>
    <x v="0"/>
    <n v="1"/>
    <s v=""/>
  </r>
  <r>
    <x v="28"/>
    <x v="0"/>
    <x v="1"/>
    <x v="36"/>
    <x v="1"/>
    <x v="4"/>
    <n v="0"/>
    <m/>
  </r>
  <r>
    <x v="28"/>
    <x v="0"/>
    <x v="1"/>
    <x v="37"/>
    <x v="1"/>
    <x v="4"/>
    <n v="0"/>
    <m/>
  </r>
  <r>
    <x v="28"/>
    <x v="0"/>
    <x v="1"/>
    <x v="9"/>
    <x v="5"/>
    <x v="0"/>
    <n v="1"/>
    <s v=""/>
  </r>
  <r>
    <x v="28"/>
    <x v="0"/>
    <x v="1"/>
    <x v="38"/>
    <x v="1"/>
    <x v="4"/>
    <n v="0"/>
    <m/>
  </r>
  <r>
    <x v="28"/>
    <x v="0"/>
    <x v="1"/>
    <x v="8"/>
    <x v="1"/>
    <x v="4"/>
    <n v="0"/>
    <m/>
  </r>
  <r>
    <x v="28"/>
    <x v="0"/>
    <x v="1"/>
    <x v="39"/>
    <x v="1"/>
    <x v="4"/>
    <n v="0"/>
    <m/>
  </r>
  <r>
    <x v="28"/>
    <x v="0"/>
    <x v="1"/>
    <x v="7"/>
    <x v="4"/>
    <x v="3"/>
    <s v=""/>
    <s v="Plaque absente (cassé)"/>
  </r>
  <r>
    <x v="28"/>
    <x v="0"/>
    <x v="1"/>
    <x v="6"/>
    <x v="1"/>
    <x v="4"/>
    <n v="0"/>
    <m/>
  </r>
  <r>
    <x v="28"/>
    <x v="0"/>
    <x v="1"/>
    <x v="40"/>
    <x v="1"/>
    <x v="4"/>
    <n v="0"/>
    <m/>
  </r>
  <r>
    <x v="28"/>
    <x v="0"/>
    <x v="1"/>
    <x v="41"/>
    <x v="1"/>
    <x v="4"/>
    <n v="0"/>
    <m/>
  </r>
  <r>
    <x v="28"/>
    <x v="0"/>
    <x v="1"/>
    <x v="42"/>
    <x v="1"/>
    <x v="4"/>
    <n v="0"/>
    <m/>
  </r>
  <r>
    <x v="28"/>
    <x v="0"/>
    <x v="1"/>
    <x v="5"/>
    <x v="1"/>
    <x v="4"/>
    <n v="0"/>
    <m/>
  </r>
  <r>
    <x v="28"/>
    <x v="0"/>
    <x v="1"/>
    <x v="43"/>
    <x v="1"/>
    <x v="4"/>
    <n v="0"/>
    <m/>
  </r>
  <r>
    <x v="28"/>
    <x v="0"/>
    <x v="2"/>
    <x v="44"/>
    <x v="1"/>
    <x v="4"/>
    <n v="0"/>
    <m/>
  </r>
  <r>
    <x v="28"/>
    <x v="0"/>
    <x v="2"/>
    <x v="45"/>
    <x v="1"/>
    <x v="4"/>
    <n v="0"/>
    <m/>
  </r>
  <r>
    <x v="28"/>
    <x v="0"/>
    <x v="2"/>
    <x v="46"/>
    <x v="1"/>
    <x v="4"/>
    <n v="0"/>
    <m/>
  </r>
  <r>
    <x v="28"/>
    <x v="0"/>
    <x v="2"/>
    <x v="4"/>
    <x v="1"/>
    <x v="4"/>
    <n v="0"/>
    <m/>
  </r>
  <r>
    <x v="28"/>
    <x v="0"/>
    <x v="2"/>
    <x v="47"/>
    <x v="1"/>
    <x v="4"/>
    <n v="0"/>
    <m/>
  </r>
  <r>
    <x v="28"/>
    <x v="0"/>
    <x v="2"/>
    <x v="48"/>
    <x v="1"/>
    <x v="4"/>
    <n v="0"/>
    <m/>
  </r>
  <r>
    <x v="28"/>
    <x v="0"/>
    <x v="2"/>
    <x v="49"/>
    <x v="5"/>
    <x v="0"/>
    <n v="1"/>
    <s v=""/>
  </r>
  <r>
    <x v="28"/>
    <x v="0"/>
    <x v="2"/>
    <x v="50"/>
    <x v="2"/>
    <x v="0"/>
    <n v="1"/>
    <s v=""/>
  </r>
  <r>
    <x v="28"/>
    <x v="0"/>
    <x v="2"/>
    <x v="3"/>
    <x v="1"/>
    <x v="4"/>
    <n v="0"/>
    <m/>
  </r>
  <r>
    <x v="28"/>
    <x v="0"/>
    <x v="2"/>
    <x v="51"/>
    <x v="1"/>
    <x v="4"/>
    <n v="0"/>
    <m/>
  </r>
  <r>
    <x v="28"/>
    <x v="0"/>
    <x v="2"/>
    <x v="2"/>
    <x v="1"/>
    <x v="4"/>
    <n v="0"/>
    <m/>
  </r>
  <r>
    <x v="28"/>
    <x v="0"/>
    <x v="2"/>
    <x v="52"/>
    <x v="1"/>
    <x v="4"/>
    <n v="0"/>
    <m/>
  </r>
  <r>
    <x v="28"/>
    <x v="0"/>
    <x v="2"/>
    <x v="53"/>
    <x v="1"/>
    <x v="4"/>
    <n v="0"/>
    <m/>
  </r>
  <r>
    <x v="28"/>
    <x v="0"/>
    <x v="2"/>
    <x v="54"/>
    <x v="1"/>
    <x v="4"/>
    <n v="0"/>
    <m/>
  </r>
  <r>
    <x v="28"/>
    <x v="0"/>
    <x v="2"/>
    <x v="1"/>
    <x v="1"/>
    <x v="4"/>
    <n v="0"/>
    <m/>
  </r>
  <r>
    <x v="28"/>
    <x v="0"/>
    <x v="2"/>
    <x v="55"/>
    <x v="1"/>
    <x v="4"/>
    <n v="0"/>
    <m/>
  </r>
  <r>
    <x v="28"/>
    <x v="0"/>
    <x v="2"/>
    <x v="56"/>
    <x v="1"/>
    <x v="4"/>
    <n v="0"/>
    <m/>
  </r>
  <r>
    <x v="28"/>
    <x v="0"/>
    <x v="2"/>
    <x v="57"/>
    <x v="1"/>
    <x v="4"/>
    <n v="0"/>
    <m/>
  </r>
  <r>
    <x v="28"/>
    <x v="0"/>
    <x v="2"/>
    <x v="58"/>
    <x v="1"/>
    <x v="4"/>
    <n v="0"/>
    <m/>
  </r>
  <r>
    <x v="28"/>
    <x v="0"/>
    <x v="2"/>
    <x v="59"/>
    <x v="1"/>
    <x v="4"/>
    <n v="0"/>
    <m/>
  </r>
  <r>
    <x v="28"/>
    <x v="1"/>
    <x v="0"/>
    <x v="60"/>
    <x v="1"/>
    <x v="4"/>
    <n v="0"/>
    <m/>
  </r>
  <r>
    <x v="28"/>
    <x v="1"/>
    <x v="0"/>
    <x v="61"/>
    <x v="1"/>
    <x v="4"/>
    <n v="0"/>
    <m/>
  </r>
  <r>
    <x v="28"/>
    <x v="1"/>
    <x v="0"/>
    <x v="62"/>
    <x v="1"/>
    <x v="4"/>
    <n v="0"/>
    <m/>
  </r>
  <r>
    <x v="28"/>
    <x v="1"/>
    <x v="0"/>
    <x v="63"/>
    <x v="1"/>
    <x v="4"/>
    <n v="0"/>
    <m/>
  </r>
  <r>
    <x v="28"/>
    <x v="1"/>
    <x v="0"/>
    <x v="64"/>
    <x v="1"/>
    <x v="4"/>
    <n v="0"/>
    <m/>
  </r>
  <r>
    <x v="28"/>
    <x v="1"/>
    <x v="0"/>
    <x v="65"/>
    <x v="1"/>
    <x v="4"/>
    <n v="0"/>
    <m/>
  </r>
  <r>
    <x v="28"/>
    <x v="1"/>
    <x v="0"/>
    <x v="66"/>
    <x v="1"/>
    <x v="4"/>
    <n v="0"/>
    <m/>
  </r>
  <r>
    <x v="28"/>
    <x v="1"/>
    <x v="0"/>
    <x v="67"/>
    <x v="1"/>
    <x v="4"/>
    <n v="0"/>
    <m/>
  </r>
  <r>
    <x v="28"/>
    <x v="1"/>
    <x v="0"/>
    <x v="68"/>
    <x v="1"/>
    <x v="4"/>
    <n v="0"/>
    <m/>
  </r>
  <r>
    <x v="28"/>
    <x v="1"/>
    <x v="0"/>
    <x v="69"/>
    <x v="1"/>
    <x v="4"/>
    <n v="0"/>
    <m/>
  </r>
  <r>
    <x v="28"/>
    <x v="1"/>
    <x v="0"/>
    <x v="70"/>
    <x v="1"/>
    <x v="4"/>
    <n v="0"/>
    <m/>
  </r>
  <r>
    <x v="28"/>
    <x v="1"/>
    <x v="0"/>
    <x v="71"/>
    <x v="1"/>
    <x v="4"/>
    <n v="0"/>
    <m/>
  </r>
  <r>
    <x v="28"/>
    <x v="1"/>
    <x v="0"/>
    <x v="72"/>
    <x v="1"/>
    <x v="4"/>
    <n v="0"/>
    <m/>
  </r>
  <r>
    <x v="28"/>
    <x v="1"/>
    <x v="0"/>
    <x v="73"/>
    <x v="1"/>
    <x v="4"/>
    <n v="0"/>
    <m/>
  </r>
  <r>
    <x v="28"/>
    <x v="1"/>
    <x v="0"/>
    <x v="74"/>
    <x v="1"/>
    <x v="4"/>
    <n v="0"/>
    <m/>
  </r>
  <r>
    <x v="28"/>
    <x v="1"/>
    <x v="0"/>
    <x v="75"/>
    <x v="2"/>
    <x v="0"/>
    <n v="1"/>
    <s v=""/>
  </r>
  <r>
    <x v="28"/>
    <x v="1"/>
    <x v="0"/>
    <x v="76"/>
    <x v="1"/>
    <x v="4"/>
    <n v="0"/>
    <m/>
  </r>
  <r>
    <x v="28"/>
    <x v="1"/>
    <x v="0"/>
    <x v="77"/>
    <x v="1"/>
    <x v="4"/>
    <n v="0"/>
    <m/>
  </r>
  <r>
    <x v="28"/>
    <x v="1"/>
    <x v="0"/>
    <x v="78"/>
    <x v="1"/>
    <x v="4"/>
    <n v="0"/>
    <m/>
  </r>
  <r>
    <x v="28"/>
    <x v="1"/>
    <x v="0"/>
    <x v="79"/>
    <x v="1"/>
    <x v="4"/>
    <n v="0"/>
    <m/>
  </r>
  <r>
    <x v="28"/>
    <x v="1"/>
    <x v="1"/>
    <x v="80"/>
    <x v="1"/>
    <x v="4"/>
    <n v="0"/>
    <m/>
  </r>
  <r>
    <x v="28"/>
    <x v="1"/>
    <x v="1"/>
    <x v="81"/>
    <x v="1"/>
    <x v="4"/>
    <n v="0"/>
    <m/>
  </r>
  <r>
    <x v="28"/>
    <x v="1"/>
    <x v="1"/>
    <x v="82"/>
    <x v="1"/>
    <x v="4"/>
    <n v="0"/>
    <m/>
  </r>
  <r>
    <x v="28"/>
    <x v="1"/>
    <x v="1"/>
    <x v="83"/>
    <x v="1"/>
    <x v="4"/>
    <n v="0"/>
    <m/>
  </r>
  <r>
    <x v="28"/>
    <x v="1"/>
    <x v="1"/>
    <x v="84"/>
    <x v="1"/>
    <x v="4"/>
    <n v="0"/>
    <m/>
  </r>
  <r>
    <x v="28"/>
    <x v="1"/>
    <x v="1"/>
    <x v="85"/>
    <x v="1"/>
    <x v="4"/>
    <n v="0"/>
    <m/>
  </r>
  <r>
    <x v="28"/>
    <x v="1"/>
    <x v="1"/>
    <x v="86"/>
    <x v="1"/>
    <x v="4"/>
    <n v="0"/>
    <m/>
  </r>
  <r>
    <x v="28"/>
    <x v="1"/>
    <x v="1"/>
    <x v="87"/>
    <x v="5"/>
    <x v="0"/>
    <n v="2"/>
    <s v=""/>
  </r>
  <r>
    <x v="28"/>
    <x v="1"/>
    <x v="1"/>
    <x v="88"/>
    <x v="0"/>
    <x v="2"/>
    <n v="1"/>
    <s v=""/>
  </r>
  <r>
    <x v="28"/>
    <x v="1"/>
    <x v="1"/>
    <x v="89"/>
    <x v="1"/>
    <x v="4"/>
    <n v="0"/>
    <m/>
  </r>
  <r>
    <x v="28"/>
    <x v="1"/>
    <x v="1"/>
    <x v="90"/>
    <x v="1"/>
    <x v="4"/>
    <n v="0"/>
    <m/>
  </r>
  <r>
    <x v="28"/>
    <x v="1"/>
    <x v="1"/>
    <x v="91"/>
    <x v="1"/>
    <x v="4"/>
    <n v="0"/>
    <m/>
  </r>
  <r>
    <x v="28"/>
    <x v="1"/>
    <x v="1"/>
    <x v="92"/>
    <x v="1"/>
    <x v="4"/>
    <n v="0"/>
    <m/>
  </r>
  <r>
    <x v="28"/>
    <x v="1"/>
    <x v="1"/>
    <x v="93"/>
    <x v="1"/>
    <x v="4"/>
    <n v="0"/>
    <m/>
  </r>
  <r>
    <x v="28"/>
    <x v="1"/>
    <x v="1"/>
    <x v="94"/>
    <x v="1"/>
    <x v="4"/>
    <n v="0"/>
    <m/>
  </r>
  <r>
    <x v="28"/>
    <x v="1"/>
    <x v="1"/>
    <x v="95"/>
    <x v="1"/>
    <x v="4"/>
    <n v="0"/>
    <m/>
  </r>
  <r>
    <x v="28"/>
    <x v="1"/>
    <x v="1"/>
    <x v="96"/>
    <x v="1"/>
    <x v="4"/>
    <n v="0"/>
    <m/>
  </r>
  <r>
    <x v="28"/>
    <x v="1"/>
    <x v="1"/>
    <x v="97"/>
    <x v="1"/>
    <x v="4"/>
    <n v="0"/>
    <m/>
  </r>
  <r>
    <x v="28"/>
    <x v="1"/>
    <x v="1"/>
    <x v="98"/>
    <x v="1"/>
    <x v="4"/>
    <n v="0"/>
    <m/>
  </r>
  <r>
    <x v="28"/>
    <x v="1"/>
    <x v="1"/>
    <x v="99"/>
    <x v="1"/>
    <x v="4"/>
    <n v="0"/>
    <m/>
  </r>
  <r>
    <x v="28"/>
    <x v="1"/>
    <x v="2"/>
    <x v="100"/>
    <x v="5"/>
    <x v="0"/>
    <n v="1"/>
    <s v=""/>
  </r>
  <r>
    <x v="28"/>
    <x v="1"/>
    <x v="2"/>
    <x v="101"/>
    <x v="5"/>
    <x v="0"/>
    <n v="1"/>
    <s v=""/>
  </r>
  <r>
    <x v="28"/>
    <x v="1"/>
    <x v="2"/>
    <x v="102"/>
    <x v="5"/>
    <x v="0"/>
    <n v="1"/>
    <s v=""/>
  </r>
  <r>
    <x v="28"/>
    <x v="1"/>
    <x v="2"/>
    <x v="103"/>
    <x v="5"/>
    <x v="0"/>
    <n v="2"/>
    <s v=""/>
  </r>
  <r>
    <x v="28"/>
    <x v="1"/>
    <x v="2"/>
    <x v="104"/>
    <x v="5"/>
    <x v="1"/>
    <n v="2"/>
    <s v=""/>
  </r>
  <r>
    <x v="28"/>
    <x v="1"/>
    <x v="2"/>
    <x v="104"/>
    <x v="5"/>
    <x v="0"/>
    <n v="2"/>
    <s v=""/>
  </r>
  <r>
    <x v="28"/>
    <x v="1"/>
    <x v="2"/>
    <x v="105"/>
    <x v="5"/>
    <x v="0"/>
    <n v="2"/>
    <s v=""/>
  </r>
  <r>
    <x v="28"/>
    <x v="1"/>
    <x v="2"/>
    <x v="106"/>
    <x v="1"/>
    <x v="4"/>
    <n v="0"/>
    <m/>
  </r>
  <r>
    <x v="28"/>
    <x v="1"/>
    <x v="2"/>
    <x v="107"/>
    <x v="1"/>
    <x v="4"/>
    <n v="0"/>
    <m/>
  </r>
  <r>
    <x v="28"/>
    <x v="1"/>
    <x v="2"/>
    <x v="108"/>
    <x v="1"/>
    <x v="4"/>
    <n v="0"/>
    <m/>
  </r>
  <r>
    <x v="28"/>
    <x v="1"/>
    <x v="2"/>
    <x v="109"/>
    <x v="1"/>
    <x v="4"/>
    <n v="0"/>
    <m/>
  </r>
  <r>
    <x v="28"/>
    <x v="1"/>
    <x v="2"/>
    <x v="110"/>
    <x v="1"/>
    <x v="4"/>
    <n v="0"/>
    <m/>
  </r>
  <r>
    <x v="28"/>
    <x v="1"/>
    <x v="2"/>
    <x v="111"/>
    <x v="1"/>
    <x v="4"/>
    <n v="0"/>
    <m/>
  </r>
  <r>
    <x v="28"/>
    <x v="1"/>
    <x v="2"/>
    <x v="112"/>
    <x v="1"/>
    <x v="4"/>
    <n v="0"/>
    <m/>
  </r>
  <r>
    <x v="28"/>
    <x v="1"/>
    <x v="2"/>
    <x v="113"/>
    <x v="5"/>
    <x v="1"/>
    <n v="1"/>
    <s v=""/>
  </r>
  <r>
    <x v="28"/>
    <x v="1"/>
    <x v="2"/>
    <x v="114"/>
    <x v="1"/>
    <x v="4"/>
    <n v="0"/>
    <m/>
  </r>
  <r>
    <x v="28"/>
    <x v="1"/>
    <x v="2"/>
    <x v="115"/>
    <x v="5"/>
    <x v="0"/>
    <n v="1"/>
    <s v=""/>
  </r>
  <r>
    <x v="28"/>
    <x v="1"/>
    <x v="2"/>
    <x v="116"/>
    <x v="1"/>
    <x v="4"/>
    <n v="0"/>
    <m/>
  </r>
  <r>
    <x v="28"/>
    <x v="1"/>
    <x v="2"/>
    <x v="117"/>
    <x v="1"/>
    <x v="4"/>
    <n v="0"/>
    <m/>
  </r>
  <r>
    <x v="28"/>
    <x v="1"/>
    <x v="2"/>
    <x v="118"/>
    <x v="1"/>
    <x v="4"/>
    <n v="0"/>
    <m/>
  </r>
  <r>
    <x v="28"/>
    <x v="1"/>
    <x v="2"/>
    <x v="119"/>
    <x v="1"/>
    <x v="4"/>
    <n v="0"/>
    <m/>
  </r>
  <r>
    <x v="28"/>
    <x v="2"/>
    <x v="0"/>
    <x v="120"/>
    <x v="1"/>
    <x v="4"/>
    <n v="0"/>
    <m/>
  </r>
  <r>
    <x v="28"/>
    <x v="2"/>
    <x v="0"/>
    <x v="121"/>
    <x v="1"/>
    <x v="4"/>
    <n v="0"/>
    <m/>
  </r>
  <r>
    <x v="28"/>
    <x v="2"/>
    <x v="0"/>
    <x v="122"/>
    <x v="1"/>
    <x v="4"/>
    <n v="0"/>
    <m/>
  </r>
  <r>
    <x v="28"/>
    <x v="2"/>
    <x v="0"/>
    <x v="123"/>
    <x v="1"/>
    <x v="4"/>
    <n v="0"/>
    <m/>
  </r>
  <r>
    <x v="28"/>
    <x v="2"/>
    <x v="0"/>
    <x v="124"/>
    <x v="1"/>
    <x v="4"/>
    <n v="0"/>
    <m/>
  </r>
  <r>
    <x v="28"/>
    <x v="2"/>
    <x v="0"/>
    <x v="125"/>
    <x v="1"/>
    <x v="4"/>
    <n v="0"/>
    <m/>
  </r>
  <r>
    <x v="28"/>
    <x v="2"/>
    <x v="0"/>
    <x v="126"/>
    <x v="1"/>
    <x v="4"/>
    <n v="0"/>
    <m/>
  </r>
  <r>
    <x v="28"/>
    <x v="2"/>
    <x v="0"/>
    <x v="127"/>
    <x v="1"/>
    <x v="4"/>
    <n v="0"/>
    <m/>
  </r>
  <r>
    <x v="28"/>
    <x v="2"/>
    <x v="0"/>
    <x v="128"/>
    <x v="1"/>
    <x v="4"/>
    <n v="0"/>
    <m/>
  </r>
  <r>
    <x v="28"/>
    <x v="2"/>
    <x v="0"/>
    <x v="129"/>
    <x v="1"/>
    <x v="4"/>
    <n v="0"/>
    <m/>
  </r>
  <r>
    <x v="28"/>
    <x v="2"/>
    <x v="0"/>
    <x v="130"/>
    <x v="1"/>
    <x v="4"/>
    <n v="0"/>
    <m/>
  </r>
  <r>
    <x v="28"/>
    <x v="2"/>
    <x v="0"/>
    <x v="131"/>
    <x v="1"/>
    <x v="4"/>
    <n v="0"/>
    <m/>
  </r>
  <r>
    <x v="28"/>
    <x v="2"/>
    <x v="0"/>
    <x v="132"/>
    <x v="1"/>
    <x v="4"/>
    <n v="0"/>
    <m/>
  </r>
  <r>
    <x v="28"/>
    <x v="2"/>
    <x v="0"/>
    <x v="133"/>
    <x v="1"/>
    <x v="4"/>
    <n v="0"/>
    <m/>
  </r>
  <r>
    <x v="28"/>
    <x v="2"/>
    <x v="0"/>
    <x v="134"/>
    <x v="1"/>
    <x v="4"/>
    <n v="0"/>
    <m/>
  </r>
  <r>
    <x v="28"/>
    <x v="2"/>
    <x v="0"/>
    <x v="135"/>
    <x v="1"/>
    <x v="4"/>
    <n v="0"/>
    <m/>
  </r>
  <r>
    <x v="28"/>
    <x v="2"/>
    <x v="0"/>
    <x v="136"/>
    <x v="1"/>
    <x v="4"/>
    <n v="0"/>
    <m/>
  </r>
  <r>
    <x v="28"/>
    <x v="2"/>
    <x v="0"/>
    <x v="137"/>
    <x v="1"/>
    <x v="4"/>
    <n v="0"/>
    <m/>
  </r>
  <r>
    <x v="28"/>
    <x v="2"/>
    <x v="0"/>
    <x v="138"/>
    <x v="1"/>
    <x v="4"/>
    <n v="0"/>
    <m/>
  </r>
  <r>
    <x v="28"/>
    <x v="2"/>
    <x v="0"/>
    <x v="139"/>
    <x v="1"/>
    <x v="4"/>
    <n v="0"/>
    <m/>
  </r>
  <r>
    <x v="28"/>
    <x v="2"/>
    <x v="1"/>
    <x v="140"/>
    <x v="1"/>
    <x v="4"/>
    <n v="0"/>
    <m/>
  </r>
  <r>
    <x v="28"/>
    <x v="2"/>
    <x v="1"/>
    <x v="141"/>
    <x v="1"/>
    <x v="4"/>
    <n v="0"/>
    <m/>
  </r>
  <r>
    <x v="28"/>
    <x v="2"/>
    <x v="1"/>
    <x v="142"/>
    <x v="1"/>
    <x v="4"/>
    <n v="0"/>
    <m/>
  </r>
  <r>
    <x v="28"/>
    <x v="2"/>
    <x v="1"/>
    <x v="143"/>
    <x v="1"/>
    <x v="4"/>
    <n v="0"/>
    <m/>
  </r>
  <r>
    <x v="28"/>
    <x v="2"/>
    <x v="1"/>
    <x v="144"/>
    <x v="1"/>
    <x v="4"/>
    <n v="0"/>
    <m/>
  </r>
  <r>
    <x v="28"/>
    <x v="2"/>
    <x v="1"/>
    <x v="145"/>
    <x v="1"/>
    <x v="4"/>
    <n v="0"/>
    <m/>
  </r>
  <r>
    <x v="28"/>
    <x v="2"/>
    <x v="1"/>
    <x v="146"/>
    <x v="1"/>
    <x v="4"/>
    <n v="0"/>
    <m/>
  </r>
  <r>
    <x v="28"/>
    <x v="2"/>
    <x v="1"/>
    <x v="147"/>
    <x v="1"/>
    <x v="4"/>
    <n v="0"/>
    <m/>
  </r>
  <r>
    <x v="28"/>
    <x v="2"/>
    <x v="1"/>
    <x v="148"/>
    <x v="1"/>
    <x v="4"/>
    <n v="0"/>
    <m/>
  </r>
  <r>
    <x v="28"/>
    <x v="2"/>
    <x v="1"/>
    <x v="149"/>
    <x v="1"/>
    <x v="4"/>
    <n v="0"/>
    <m/>
  </r>
  <r>
    <x v="28"/>
    <x v="2"/>
    <x v="1"/>
    <x v="150"/>
    <x v="1"/>
    <x v="4"/>
    <n v="0"/>
    <m/>
  </r>
  <r>
    <x v="28"/>
    <x v="2"/>
    <x v="1"/>
    <x v="151"/>
    <x v="1"/>
    <x v="4"/>
    <n v="0"/>
    <m/>
  </r>
  <r>
    <x v="28"/>
    <x v="2"/>
    <x v="1"/>
    <x v="152"/>
    <x v="1"/>
    <x v="4"/>
    <n v="0"/>
    <m/>
  </r>
  <r>
    <x v="28"/>
    <x v="2"/>
    <x v="1"/>
    <x v="153"/>
    <x v="1"/>
    <x v="4"/>
    <n v="0"/>
    <m/>
  </r>
  <r>
    <x v="28"/>
    <x v="2"/>
    <x v="1"/>
    <x v="154"/>
    <x v="1"/>
    <x v="4"/>
    <n v="0"/>
    <m/>
  </r>
  <r>
    <x v="28"/>
    <x v="2"/>
    <x v="1"/>
    <x v="155"/>
    <x v="1"/>
    <x v="4"/>
    <n v="0"/>
    <m/>
  </r>
  <r>
    <x v="28"/>
    <x v="2"/>
    <x v="1"/>
    <x v="156"/>
    <x v="1"/>
    <x v="4"/>
    <n v="0"/>
    <m/>
  </r>
  <r>
    <x v="28"/>
    <x v="2"/>
    <x v="1"/>
    <x v="157"/>
    <x v="1"/>
    <x v="4"/>
    <n v="0"/>
    <m/>
  </r>
  <r>
    <x v="28"/>
    <x v="2"/>
    <x v="1"/>
    <x v="158"/>
    <x v="1"/>
    <x v="4"/>
    <n v="0"/>
    <m/>
  </r>
  <r>
    <x v="28"/>
    <x v="2"/>
    <x v="1"/>
    <x v="159"/>
    <x v="1"/>
    <x v="4"/>
    <n v="0"/>
    <m/>
  </r>
  <r>
    <x v="28"/>
    <x v="2"/>
    <x v="2"/>
    <x v="160"/>
    <x v="1"/>
    <x v="4"/>
    <n v="0"/>
    <m/>
  </r>
  <r>
    <x v="28"/>
    <x v="2"/>
    <x v="2"/>
    <x v="161"/>
    <x v="1"/>
    <x v="4"/>
    <n v="0"/>
    <m/>
  </r>
  <r>
    <x v="28"/>
    <x v="2"/>
    <x v="2"/>
    <x v="162"/>
    <x v="1"/>
    <x v="4"/>
    <n v="0"/>
    <m/>
  </r>
  <r>
    <x v="28"/>
    <x v="2"/>
    <x v="2"/>
    <x v="163"/>
    <x v="1"/>
    <x v="4"/>
    <n v="0"/>
    <m/>
  </r>
  <r>
    <x v="28"/>
    <x v="2"/>
    <x v="2"/>
    <x v="164"/>
    <x v="1"/>
    <x v="4"/>
    <n v="0"/>
    <m/>
  </r>
  <r>
    <x v="28"/>
    <x v="2"/>
    <x v="2"/>
    <x v="165"/>
    <x v="1"/>
    <x v="4"/>
    <n v="0"/>
    <m/>
  </r>
  <r>
    <x v="28"/>
    <x v="2"/>
    <x v="2"/>
    <x v="166"/>
    <x v="1"/>
    <x v="4"/>
    <n v="0"/>
    <m/>
  </r>
  <r>
    <x v="28"/>
    <x v="2"/>
    <x v="2"/>
    <x v="167"/>
    <x v="1"/>
    <x v="4"/>
    <n v="0"/>
    <m/>
  </r>
  <r>
    <x v="28"/>
    <x v="2"/>
    <x v="2"/>
    <x v="168"/>
    <x v="1"/>
    <x v="4"/>
    <n v="0"/>
    <m/>
  </r>
  <r>
    <x v="28"/>
    <x v="2"/>
    <x v="2"/>
    <x v="169"/>
    <x v="1"/>
    <x v="4"/>
    <n v="0"/>
    <m/>
  </r>
  <r>
    <x v="28"/>
    <x v="2"/>
    <x v="2"/>
    <x v="170"/>
    <x v="1"/>
    <x v="4"/>
    <n v="0"/>
    <m/>
  </r>
  <r>
    <x v="28"/>
    <x v="2"/>
    <x v="2"/>
    <x v="171"/>
    <x v="1"/>
    <x v="4"/>
    <n v="0"/>
    <m/>
  </r>
  <r>
    <x v="28"/>
    <x v="2"/>
    <x v="2"/>
    <x v="172"/>
    <x v="1"/>
    <x v="4"/>
    <n v="0"/>
    <m/>
  </r>
  <r>
    <x v="28"/>
    <x v="2"/>
    <x v="2"/>
    <x v="173"/>
    <x v="1"/>
    <x v="4"/>
    <n v="0"/>
    <m/>
  </r>
  <r>
    <x v="28"/>
    <x v="2"/>
    <x v="2"/>
    <x v="174"/>
    <x v="1"/>
    <x v="4"/>
    <n v="0"/>
    <m/>
  </r>
  <r>
    <x v="28"/>
    <x v="2"/>
    <x v="2"/>
    <x v="175"/>
    <x v="4"/>
    <x v="3"/>
    <s v=""/>
    <s v="plaque absente"/>
  </r>
  <r>
    <x v="28"/>
    <x v="2"/>
    <x v="2"/>
    <x v="176"/>
    <x v="1"/>
    <x v="4"/>
    <n v="0"/>
    <m/>
  </r>
  <r>
    <x v="28"/>
    <x v="2"/>
    <x v="2"/>
    <x v="177"/>
    <x v="1"/>
    <x v="4"/>
    <n v="0"/>
    <m/>
  </r>
  <r>
    <x v="28"/>
    <x v="2"/>
    <x v="2"/>
    <x v="178"/>
    <x v="1"/>
    <x v="4"/>
    <n v="0"/>
    <m/>
  </r>
  <r>
    <x v="28"/>
    <x v="2"/>
    <x v="2"/>
    <x v="179"/>
    <x v="1"/>
    <x v="4"/>
    <n v="0"/>
    <m/>
  </r>
  <r>
    <x v="29"/>
    <x v="0"/>
    <x v="0"/>
    <x v="0"/>
    <x v="1"/>
    <x v="4"/>
    <n v="0"/>
    <m/>
  </r>
  <r>
    <x v="29"/>
    <x v="0"/>
    <x v="0"/>
    <x v="16"/>
    <x v="2"/>
    <x v="0"/>
    <n v="1"/>
    <s v=""/>
  </r>
  <r>
    <x v="29"/>
    <x v="0"/>
    <x v="0"/>
    <x v="15"/>
    <x v="1"/>
    <x v="4"/>
    <n v="0"/>
    <m/>
  </r>
  <r>
    <x v="29"/>
    <x v="0"/>
    <x v="0"/>
    <x v="17"/>
    <x v="1"/>
    <x v="4"/>
    <n v="0"/>
    <m/>
  </r>
  <r>
    <x v="29"/>
    <x v="0"/>
    <x v="0"/>
    <x v="14"/>
    <x v="1"/>
    <x v="4"/>
    <n v="0"/>
    <m/>
  </r>
  <r>
    <x v="29"/>
    <x v="0"/>
    <x v="0"/>
    <x v="18"/>
    <x v="1"/>
    <x v="4"/>
    <n v="0"/>
    <m/>
  </r>
  <r>
    <x v="29"/>
    <x v="0"/>
    <x v="0"/>
    <x v="13"/>
    <x v="2"/>
    <x v="0"/>
    <n v="1"/>
    <s v=""/>
  </r>
  <r>
    <x v="29"/>
    <x v="0"/>
    <x v="0"/>
    <x v="19"/>
    <x v="1"/>
    <x v="4"/>
    <n v="0"/>
    <m/>
  </r>
  <r>
    <x v="29"/>
    <x v="0"/>
    <x v="0"/>
    <x v="20"/>
    <x v="2"/>
    <x v="0"/>
    <n v="1"/>
    <s v=""/>
  </r>
  <r>
    <x v="29"/>
    <x v="0"/>
    <x v="0"/>
    <x v="12"/>
    <x v="1"/>
    <x v="4"/>
    <n v="0"/>
    <m/>
  </r>
  <r>
    <x v="29"/>
    <x v="0"/>
    <x v="0"/>
    <x v="21"/>
    <x v="2"/>
    <x v="1"/>
    <n v="1"/>
    <s v=""/>
  </r>
  <r>
    <x v="29"/>
    <x v="0"/>
    <x v="0"/>
    <x v="22"/>
    <x v="1"/>
    <x v="4"/>
    <n v="0"/>
    <m/>
  </r>
  <r>
    <x v="29"/>
    <x v="0"/>
    <x v="0"/>
    <x v="23"/>
    <x v="6"/>
    <x v="4"/>
    <m/>
    <s v="plaque absente"/>
  </r>
  <r>
    <x v="29"/>
    <x v="0"/>
    <x v="0"/>
    <x v="24"/>
    <x v="1"/>
    <x v="4"/>
    <n v="0"/>
    <m/>
  </r>
  <r>
    <x v="29"/>
    <x v="0"/>
    <x v="0"/>
    <x v="25"/>
    <x v="2"/>
    <x v="1"/>
    <n v="2"/>
    <s v=""/>
  </r>
  <r>
    <x v="29"/>
    <x v="0"/>
    <x v="0"/>
    <x v="26"/>
    <x v="1"/>
    <x v="4"/>
    <n v="0"/>
    <m/>
  </r>
  <r>
    <x v="29"/>
    <x v="0"/>
    <x v="0"/>
    <x v="27"/>
    <x v="1"/>
    <x v="4"/>
    <n v="0"/>
    <m/>
  </r>
  <r>
    <x v="29"/>
    <x v="0"/>
    <x v="0"/>
    <x v="28"/>
    <x v="2"/>
    <x v="0"/>
    <n v="1"/>
    <s v=""/>
  </r>
  <r>
    <x v="29"/>
    <x v="0"/>
    <x v="0"/>
    <x v="11"/>
    <x v="1"/>
    <x v="4"/>
    <n v="0"/>
    <m/>
  </r>
  <r>
    <x v="29"/>
    <x v="0"/>
    <x v="0"/>
    <x v="29"/>
    <x v="1"/>
    <x v="4"/>
    <n v="0"/>
    <m/>
  </r>
  <r>
    <x v="29"/>
    <x v="0"/>
    <x v="1"/>
    <x v="30"/>
    <x v="1"/>
    <x v="4"/>
    <n v="0"/>
    <m/>
  </r>
  <r>
    <x v="29"/>
    <x v="0"/>
    <x v="1"/>
    <x v="31"/>
    <x v="2"/>
    <x v="1"/>
    <n v="1"/>
    <s v=""/>
  </r>
  <r>
    <x v="29"/>
    <x v="0"/>
    <x v="1"/>
    <x v="31"/>
    <x v="2"/>
    <x v="0"/>
    <n v="1"/>
    <s v=""/>
  </r>
  <r>
    <x v="29"/>
    <x v="0"/>
    <x v="1"/>
    <x v="32"/>
    <x v="1"/>
    <x v="4"/>
    <n v="0"/>
    <m/>
  </r>
  <r>
    <x v="29"/>
    <x v="0"/>
    <x v="1"/>
    <x v="33"/>
    <x v="0"/>
    <x v="2"/>
    <n v="1"/>
    <s v=""/>
  </r>
  <r>
    <x v="29"/>
    <x v="0"/>
    <x v="1"/>
    <x v="10"/>
    <x v="2"/>
    <x v="1"/>
    <n v="1"/>
    <s v=""/>
  </r>
  <r>
    <x v="29"/>
    <x v="0"/>
    <x v="1"/>
    <x v="34"/>
    <x v="2"/>
    <x v="0"/>
    <n v="2"/>
    <s v=""/>
  </r>
  <r>
    <x v="29"/>
    <x v="0"/>
    <x v="1"/>
    <x v="35"/>
    <x v="1"/>
    <x v="4"/>
    <n v="0"/>
    <m/>
  </r>
  <r>
    <x v="29"/>
    <x v="0"/>
    <x v="1"/>
    <x v="36"/>
    <x v="3"/>
    <x v="0"/>
    <n v="1"/>
    <s v=""/>
  </r>
  <r>
    <x v="29"/>
    <x v="0"/>
    <x v="1"/>
    <x v="36"/>
    <x v="5"/>
    <x v="0"/>
    <n v="1"/>
    <s v=""/>
  </r>
  <r>
    <x v="29"/>
    <x v="0"/>
    <x v="1"/>
    <x v="37"/>
    <x v="2"/>
    <x v="0"/>
    <n v="1"/>
    <s v=""/>
  </r>
  <r>
    <x v="29"/>
    <x v="0"/>
    <x v="1"/>
    <x v="9"/>
    <x v="3"/>
    <x v="0"/>
    <n v="1"/>
    <s v=""/>
  </r>
  <r>
    <x v="29"/>
    <x v="0"/>
    <x v="1"/>
    <x v="9"/>
    <x v="5"/>
    <x v="0"/>
    <n v="1"/>
    <s v=""/>
  </r>
  <r>
    <x v="29"/>
    <x v="0"/>
    <x v="1"/>
    <x v="38"/>
    <x v="0"/>
    <x v="1"/>
    <n v="1"/>
    <s v=""/>
  </r>
  <r>
    <x v="29"/>
    <x v="0"/>
    <x v="1"/>
    <x v="8"/>
    <x v="1"/>
    <x v="4"/>
    <n v="0"/>
    <m/>
  </r>
  <r>
    <x v="29"/>
    <x v="0"/>
    <x v="1"/>
    <x v="39"/>
    <x v="1"/>
    <x v="4"/>
    <n v="0"/>
    <m/>
  </r>
  <r>
    <x v="29"/>
    <x v="0"/>
    <x v="1"/>
    <x v="7"/>
    <x v="4"/>
    <x v="3"/>
    <s v=""/>
    <s v="plaque absente"/>
  </r>
  <r>
    <x v="29"/>
    <x v="0"/>
    <x v="1"/>
    <x v="6"/>
    <x v="3"/>
    <x v="0"/>
    <n v="1"/>
    <s v=""/>
  </r>
  <r>
    <x v="29"/>
    <x v="0"/>
    <x v="1"/>
    <x v="6"/>
    <x v="0"/>
    <x v="0"/>
    <n v="1"/>
    <s v=""/>
  </r>
  <r>
    <x v="29"/>
    <x v="0"/>
    <x v="1"/>
    <x v="6"/>
    <x v="2"/>
    <x v="0"/>
    <n v="1"/>
    <s v=""/>
  </r>
  <r>
    <x v="29"/>
    <x v="0"/>
    <x v="1"/>
    <x v="40"/>
    <x v="2"/>
    <x v="0"/>
    <n v="1"/>
    <s v=""/>
  </r>
  <r>
    <x v="29"/>
    <x v="0"/>
    <x v="1"/>
    <x v="41"/>
    <x v="5"/>
    <x v="0"/>
    <n v="1"/>
    <s v=""/>
  </r>
  <r>
    <x v="29"/>
    <x v="0"/>
    <x v="1"/>
    <x v="42"/>
    <x v="1"/>
    <x v="4"/>
    <n v="0"/>
    <m/>
  </r>
  <r>
    <x v="29"/>
    <x v="0"/>
    <x v="1"/>
    <x v="5"/>
    <x v="4"/>
    <x v="3"/>
    <s v=""/>
    <s v="plaque absente"/>
  </r>
  <r>
    <x v="29"/>
    <x v="0"/>
    <x v="1"/>
    <x v="43"/>
    <x v="1"/>
    <x v="4"/>
    <n v="0"/>
    <m/>
  </r>
  <r>
    <x v="29"/>
    <x v="0"/>
    <x v="2"/>
    <x v="44"/>
    <x v="4"/>
    <x v="3"/>
    <s v=""/>
    <s v="plaque absente"/>
  </r>
  <r>
    <x v="29"/>
    <x v="0"/>
    <x v="2"/>
    <x v="45"/>
    <x v="1"/>
    <x v="4"/>
    <n v="0"/>
    <m/>
  </r>
  <r>
    <x v="29"/>
    <x v="0"/>
    <x v="2"/>
    <x v="46"/>
    <x v="2"/>
    <x v="2"/>
    <n v="1"/>
    <s v=""/>
  </r>
  <r>
    <x v="29"/>
    <x v="0"/>
    <x v="2"/>
    <x v="4"/>
    <x v="1"/>
    <x v="4"/>
    <n v="0"/>
    <m/>
  </r>
  <r>
    <x v="29"/>
    <x v="0"/>
    <x v="2"/>
    <x v="47"/>
    <x v="2"/>
    <x v="0"/>
    <n v="1"/>
    <s v=""/>
  </r>
  <r>
    <x v="29"/>
    <x v="0"/>
    <x v="2"/>
    <x v="48"/>
    <x v="2"/>
    <x v="0"/>
    <n v="1"/>
    <s v=""/>
  </r>
  <r>
    <x v="29"/>
    <x v="0"/>
    <x v="2"/>
    <x v="49"/>
    <x v="1"/>
    <x v="4"/>
    <n v="0"/>
    <m/>
  </r>
  <r>
    <x v="29"/>
    <x v="0"/>
    <x v="2"/>
    <x v="50"/>
    <x v="2"/>
    <x v="0"/>
    <n v="1"/>
    <s v=""/>
  </r>
  <r>
    <x v="29"/>
    <x v="0"/>
    <x v="2"/>
    <x v="50"/>
    <x v="5"/>
    <x v="0"/>
    <n v="1"/>
    <s v=""/>
  </r>
  <r>
    <x v="29"/>
    <x v="0"/>
    <x v="2"/>
    <x v="3"/>
    <x v="1"/>
    <x v="4"/>
    <n v="0"/>
    <m/>
  </r>
  <r>
    <x v="29"/>
    <x v="0"/>
    <x v="2"/>
    <x v="51"/>
    <x v="1"/>
    <x v="4"/>
    <n v="0"/>
    <m/>
  </r>
  <r>
    <x v="29"/>
    <x v="0"/>
    <x v="2"/>
    <x v="2"/>
    <x v="1"/>
    <x v="4"/>
    <n v="0"/>
    <m/>
  </r>
  <r>
    <x v="29"/>
    <x v="0"/>
    <x v="2"/>
    <x v="52"/>
    <x v="1"/>
    <x v="4"/>
    <n v="0"/>
    <m/>
  </r>
  <r>
    <x v="29"/>
    <x v="0"/>
    <x v="2"/>
    <x v="53"/>
    <x v="1"/>
    <x v="4"/>
    <n v="0"/>
    <m/>
  </r>
  <r>
    <x v="29"/>
    <x v="0"/>
    <x v="2"/>
    <x v="54"/>
    <x v="1"/>
    <x v="4"/>
    <n v="0"/>
    <m/>
  </r>
  <r>
    <x v="29"/>
    <x v="0"/>
    <x v="2"/>
    <x v="1"/>
    <x v="3"/>
    <x v="0"/>
    <n v="1"/>
    <s v=""/>
  </r>
  <r>
    <x v="29"/>
    <x v="0"/>
    <x v="2"/>
    <x v="1"/>
    <x v="2"/>
    <x v="0"/>
    <n v="1"/>
    <s v=""/>
  </r>
  <r>
    <x v="29"/>
    <x v="0"/>
    <x v="2"/>
    <x v="55"/>
    <x v="1"/>
    <x v="4"/>
    <n v="0"/>
    <m/>
  </r>
  <r>
    <x v="29"/>
    <x v="0"/>
    <x v="2"/>
    <x v="56"/>
    <x v="1"/>
    <x v="4"/>
    <n v="0"/>
    <m/>
  </r>
  <r>
    <x v="29"/>
    <x v="0"/>
    <x v="2"/>
    <x v="57"/>
    <x v="1"/>
    <x v="4"/>
    <n v="0"/>
    <m/>
  </r>
  <r>
    <x v="29"/>
    <x v="0"/>
    <x v="2"/>
    <x v="58"/>
    <x v="1"/>
    <x v="4"/>
    <n v="0"/>
    <m/>
  </r>
  <r>
    <x v="29"/>
    <x v="0"/>
    <x v="2"/>
    <x v="59"/>
    <x v="1"/>
    <x v="4"/>
    <n v="0"/>
    <m/>
  </r>
  <r>
    <x v="29"/>
    <x v="1"/>
    <x v="0"/>
    <x v="60"/>
    <x v="4"/>
    <x v="3"/>
    <s v=""/>
    <s v="plaque absente"/>
  </r>
  <r>
    <x v="29"/>
    <x v="1"/>
    <x v="0"/>
    <x v="61"/>
    <x v="1"/>
    <x v="4"/>
    <n v="0"/>
    <m/>
  </r>
  <r>
    <x v="29"/>
    <x v="1"/>
    <x v="0"/>
    <x v="62"/>
    <x v="1"/>
    <x v="4"/>
    <n v="0"/>
    <m/>
  </r>
  <r>
    <x v="29"/>
    <x v="1"/>
    <x v="0"/>
    <x v="63"/>
    <x v="1"/>
    <x v="4"/>
    <n v="0"/>
    <m/>
  </r>
  <r>
    <x v="29"/>
    <x v="1"/>
    <x v="0"/>
    <x v="64"/>
    <x v="2"/>
    <x v="0"/>
    <n v="3"/>
    <s v=""/>
  </r>
  <r>
    <x v="29"/>
    <x v="1"/>
    <x v="0"/>
    <x v="65"/>
    <x v="1"/>
    <x v="4"/>
    <n v="0"/>
    <m/>
  </r>
  <r>
    <x v="29"/>
    <x v="1"/>
    <x v="0"/>
    <x v="66"/>
    <x v="1"/>
    <x v="4"/>
    <n v="0"/>
    <m/>
  </r>
  <r>
    <x v="29"/>
    <x v="1"/>
    <x v="0"/>
    <x v="67"/>
    <x v="2"/>
    <x v="0"/>
    <n v="1"/>
    <s v=""/>
  </r>
  <r>
    <x v="29"/>
    <x v="1"/>
    <x v="0"/>
    <x v="68"/>
    <x v="1"/>
    <x v="4"/>
    <n v="0"/>
    <m/>
  </r>
  <r>
    <x v="29"/>
    <x v="1"/>
    <x v="0"/>
    <x v="69"/>
    <x v="1"/>
    <x v="4"/>
    <n v="0"/>
    <m/>
  </r>
  <r>
    <x v="29"/>
    <x v="1"/>
    <x v="0"/>
    <x v="70"/>
    <x v="1"/>
    <x v="4"/>
    <n v="0"/>
    <m/>
  </r>
  <r>
    <x v="29"/>
    <x v="1"/>
    <x v="0"/>
    <x v="71"/>
    <x v="0"/>
    <x v="1"/>
    <n v="1"/>
    <s v=""/>
  </r>
  <r>
    <x v="29"/>
    <x v="1"/>
    <x v="0"/>
    <x v="71"/>
    <x v="2"/>
    <x v="1"/>
    <n v="1"/>
    <s v=""/>
  </r>
  <r>
    <x v="29"/>
    <x v="1"/>
    <x v="0"/>
    <x v="71"/>
    <x v="2"/>
    <x v="0"/>
    <n v="2"/>
    <s v=""/>
  </r>
  <r>
    <x v="29"/>
    <x v="1"/>
    <x v="0"/>
    <x v="72"/>
    <x v="0"/>
    <x v="0"/>
    <n v="2"/>
    <s v=""/>
  </r>
  <r>
    <x v="29"/>
    <x v="1"/>
    <x v="0"/>
    <x v="72"/>
    <x v="2"/>
    <x v="0"/>
    <n v="1"/>
    <s v=""/>
  </r>
  <r>
    <x v="29"/>
    <x v="1"/>
    <x v="0"/>
    <x v="73"/>
    <x v="2"/>
    <x v="0"/>
    <n v="1"/>
    <s v=""/>
  </r>
  <r>
    <x v="29"/>
    <x v="1"/>
    <x v="0"/>
    <x v="74"/>
    <x v="1"/>
    <x v="4"/>
    <n v="0"/>
    <m/>
  </r>
  <r>
    <x v="29"/>
    <x v="1"/>
    <x v="0"/>
    <x v="75"/>
    <x v="1"/>
    <x v="4"/>
    <n v="0"/>
    <m/>
  </r>
  <r>
    <x v="29"/>
    <x v="1"/>
    <x v="0"/>
    <x v="76"/>
    <x v="1"/>
    <x v="4"/>
    <n v="0"/>
    <m/>
  </r>
  <r>
    <x v="29"/>
    <x v="1"/>
    <x v="0"/>
    <x v="77"/>
    <x v="2"/>
    <x v="0"/>
    <n v="1"/>
    <s v=""/>
  </r>
  <r>
    <x v="29"/>
    <x v="1"/>
    <x v="0"/>
    <x v="78"/>
    <x v="1"/>
    <x v="4"/>
    <n v="0"/>
    <m/>
  </r>
  <r>
    <x v="29"/>
    <x v="1"/>
    <x v="0"/>
    <x v="79"/>
    <x v="1"/>
    <x v="4"/>
    <n v="0"/>
    <m/>
  </r>
  <r>
    <x v="29"/>
    <x v="1"/>
    <x v="1"/>
    <x v="80"/>
    <x v="2"/>
    <x v="0"/>
    <n v="1"/>
    <s v=""/>
  </r>
  <r>
    <x v="29"/>
    <x v="1"/>
    <x v="1"/>
    <x v="81"/>
    <x v="0"/>
    <x v="2"/>
    <n v="1"/>
    <s v=""/>
  </r>
  <r>
    <x v="29"/>
    <x v="1"/>
    <x v="1"/>
    <x v="82"/>
    <x v="1"/>
    <x v="4"/>
    <n v="0"/>
    <m/>
  </r>
  <r>
    <x v="29"/>
    <x v="1"/>
    <x v="1"/>
    <x v="83"/>
    <x v="2"/>
    <x v="0"/>
    <n v="1"/>
    <s v=""/>
  </r>
  <r>
    <x v="29"/>
    <x v="1"/>
    <x v="1"/>
    <x v="84"/>
    <x v="0"/>
    <x v="0"/>
    <n v="1"/>
    <s v=""/>
  </r>
  <r>
    <x v="29"/>
    <x v="1"/>
    <x v="1"/>
    <x v="84"/>
    <x v="5"/>
    <x v="0"/>
    <n v="2"/>
    <s v=""/>
  </r>
  <r>
    <x v="29"/>
    <x v="1"/>
    <x v="1"/>
    <x v="85"/>
    <x v="2"/>
    <x v="0"/>
    <n v="1"/>
    <s v=""/>
  </r>
  <r>
    <x v="29"/>
    <x v="1"/>
    <x v="1"/>
    <x v="86"/>
    <x v="1"/>
    <x v="4"/>
    <n v="0"/>
    <m/>
  </r>
  <r>
    <x v="29"/>
    <x v="1"/>
    <x v="1"/>
    <x v="87"/>
    <x v="3"/>
    <x v="0"/>
    <n v="1"/>
    <s v=""/>
  </r>
  <r>
    <x v="29"/>
    <x v="1"/>
    <x v="1"/>
    <x v="87"/>
    <x v="2"/>
    <x v="0"/>
    <n v="1"/>
    <s v=""/>
  </r>
  <r>
    <x v="29"/>
    <x v="1"/>
    <x v="1"/>
    <x v="87"/>
    <x v="5"/>
    <x v="0"/>
    <n v="2"/>
    <s v=""/>
  </r>
  <r>
    <x v="29"/>
    <x v="1"/>
    <x v="1"/>
    <x v="88"/>
    <x v="5"/>
    <x v="0"/>
    <n v="2"/>
    <s v=""/>
  </r>
  <r>
    <x v="29"/>
    <x v="1"/>
    <x v="1"/>
    <x v="88"/>
    <x v="5"/>
    <x v="2"/>
    <n v="1"/>
    <s v=""/>
  </r>
  <r>
    <x v="29"/>
    <x v="1"/>
    <x v="1"/>
    <x v="89"/>
    <x v="3"/>
    <x v="1"/>
    <n v="1"/>
    <s v=""/>
  </r>
  <r>
    <x v="29"/>
    <x v="1"/>
    <x v="1"/>
    <x v="89"/>
    <x v="5"/>
    <x v="0"/>
    <n v="1"/>
    <s v=""/>
  </r>
  <r>
    <x v="29"/>
    <x v="1"/>
    <x v="1"/>
    <x v="90"/>
    <x v="1"/>
    <x v="4"/>
    <n v="0"/>
    <m/>
  </r>
  <r>
    <x v="29"/>
    <x v="1"/>
    <x v="1"/>
    <x v="91"/>
    <x v="1"/>
    <x v="4"/>
    <n v="0"/>
    <m/>
  </r>
  <r>
    <x v="29"/>
    <x v="1"/>
    <x v="1"/>
    <x v="92"/>
    <x v="1"/>
    <x v="4"/>
    <n v="0"/>
    <m/>
  </r>
  <r>
    <x v="29"/>
    <x v="1"/>
    <x v="1"/>
    <x v="93"/>
    <x v="4"/>
    <x v="3"/>
    <s v=""/>
    <s v="plaque absente"/>
  </r>
  <r>
    <x v="29"/>
    <x v="1"/>
    <x v="1"/>
    <x v="94"/>
    <x v="5"/>
    <x v="0"/>
    <n v="2"/>
    <s v=""/>
  </r>
  <r>
    <x v="29"/>
    <x v="1"/>
    <x v="1"/>
    <x v="95"/>
    <x v="2"/>
    <x v="0"/>
    <n v="1"/>
    <s v=""/>
  </r>
  <r>
    <x v="29"/>
    <x v="1"/>
    <x v="1"/>
    <x v="95"/>
    <x v="5"/>
    <x v="0"/>
    <n v="2"/>
    <s v=""/>
  </r>
  <r>
    <x v="29"/>
    <x v="1"/>
    <x v="1"/>
    <x v="96"/>
    <x v="5"/>
    <x v="1"/>
    <n v="1"/>
    <s v=""/>
  </r>
  <r>
    <x v="29"/>
    <x v="1"/>
    <x v="1"/>
    <x v="97"/>
    <x v="2"/>
    <x v="0"/>
    <n v="1"/>
    <s v=""/>
  </r>
  <r>
    <x v="29"/>
    <x v="1"/>
    <x v="1"/>
    <x v="98"/>
    <x v="2"/>
    <x v="0"/>
    <n v="1"/>
    <s v=""/>
  </r>
  <r>
    <x v="29"/>
    <x v="1"/>
    <x v="1"/>
    <x v="98"/>
    <x v="5"/>
    <x v="0"/>
    <n v="1"/>
    <s v=""/>
  </r>
  <r>
    <x v="29"/>
    <x v="1"/>
    <x v="1"/>
    <x v="99"/>
    <x v="1"/>
    <x v="4"/>
    <n v="0"/>
    <m/>
  </r>
  <r>
    <x v="29"/>
    <x v="1"/>
    <x v="2"/>
    <x v="100"/>
    <x v="5"/>
    <x v="0"/>
    <n v="3"/>
    <s v=""/>
  </r>
  <r>
    <x v="29"/>
    <x v="1"/>
    <x v="2"/>
    <x v="101"/>
    <x v="5"/>
    <x v="0"/>
    <n v="1"/>
    <s v=""/>
  </r>
  <r>
    <x v="29"/>
    <x v="1"/>
    <x v="2"/>
    <x v="102"/>
    <x v="2"/>
    <x v="0"/>
    <n v="1"/>
    <s v=""/>
  </r>
  <r>
    <x v="29"/>
    <x v="1"/>
    <x v="2"/>
    <x v="102"/>
    <x v="5"/>
    <x v="0"/>
    <n v="4"/>
    <s v=""/>
  </r>
  <r>
    <x v="29"/>
    <x v="1"/>
    <x v="2"/>
    <x v="103"/>
    <x v="5"/>
    <x v="0"/>
    <n v="5"/>
    <s v=""/>
  </r>
  <r>
    <x v="29"/>
    <x v="1"/>
    <x v="2"/>
    <x v="104"/>
    <x v="5"/>
    <x v="1"/>
    <n v="1"/>
    <s v=""/>
  </r>
  <r>
    <x v="29"/>
    <x v="1"/>
    <x v="2"/>
    <x v="105"/>
    <x v="5"/>
    <x v="0"/>
    <n v="5"/>
    <s v=""/>
  </r>
  <r>
    <x v="29"/>
    <x v="1"/>
    <x v="2"/>
    <x v="106"/>
    <x v="5"/>
    <x v="0"/>
    <n v="1"/>
    <s v=""/>
  </r>
  <r>
    <x v="29"/>
    <x v="1"/>
    <x v="2"/>
    <x v="107"/>
    <x v="1"/>
    <x v="4"/>
    <n v="0"/>
    <m/>
  </r>
  <r>
    <x v="29"/>
    <x v="1"/>
    <x v="2"/>
    <x v="108"/>
    <x v="5"/>
    <x v="0"/>
    <n v="1"/>
    <s v=""/>
  </r>
  <r>
    <x v="29"/>
    <x v="1"/>
    <x v="2"/>
    <x v="109"/>
    <x v="1"/>
    <x v="4"/>
    <n v="0"/>
    <m/>
  </r>
  <r>
    <x v="29"/>
    <x v="1"/>
    <x v="2"/>
    <x v="110"/>
    <x v="5"/>
    <x v="1"/>
    <n v="1"/>
    <s v=""/>
  </r>
  <r>
    <x v="29"/>
    <x v="1"/>
    <x v="2"/>
    <x v="111"/>
    <x v="5"/>
    <x v="1"/>
    <n v="2"/>
    <s v=""/>
  </r>
  <r>
    <x v="29"/>
    <x v="1"/>
    <x v="2"/>
    <x v="111"/>
    <x v="5"/>
    <x v="2"/>
    <n v="1"/>
    <s v=""/>
  </r>
  <r>
    <x v="29"/>
    <x v="1"/>
    <x v="2"/>
    <x v="112"/>
    <x v="1"/>
    <x v="4"/>
    <n v="0"/>
    <m/>
  </r>
  <r>
    <x v="29"/>
    <x v="1"/>
    <x v="2"/>
    <x v="113"/>
    <x v="1"/>
    <x v="4"/>
    <n v="0"/>
    <m/>
  </r>
  <r>
    <x v="29"/>
    <x v="1"/>
    <x v="2"/>
    <x v="114"/>
    <x v="5"/>
    <x v="1"/>
    <n v="1"/>
    <s v=""/>
  </r>
  <r>
    <x v="29"/>
    <x v="1"/>
    <x v="2"/>
    <x v="114"/>
    <x v="5"/>
    <x v="0"/>
    <n v="1"/>
    <s v=""/>
  </r>
  <r>
    <x v="29"/>
    <x v="1"/>
    <x v="2"/>
    <x v="115"/>
    <x v="5"/>
    <x v="0"/>
    <n v="3"/>
    <s v=""/>
  </r>
  <r>
    <x v="29"/>
    <x v="1"/>
    <x v="2"/>
    <x v="116"/>
    <x v="2"/>
    <x v="2"/>
    <n v="1"/>
    <s v=""/>
  </r>
  <r>
    <x v="29"/>
    <x v="1"/>
    <x v="2"/>
    <x v="117"/>
    <x v="1"/>
    <x v="4"/>
    <n v="0"/>
    <m/>
  </r>
  <r>
    <x v="29"/>
    <x v="1"/>
    <x v="2"/>
    <x v="118"/>
    <x v="1"/>
    <x v="4"/>
    <n v="0"/>
    <m/>
  </r>
  <r>
    <x v="29"/>
    <x v="1"/>
    <x v="2"/>
    <x v="119"/>
    <x v="3"/>
    <x v="0"/>
    <n v="1"/>
    <s v=""/>
  </r>
  <r>
    <x v="29"/>
    <x v="2"/>
    <x v="0"/>
    <x v="120"/>
    <x v="1"/>
    <x v="4"/>
    <n v="0"/>
    <m/>
  </r>
  <r>
    <x v="29"/>
    <x v="2"/>
    <x v="0"/>
    <x v="121"/>
    <x v="2"/>
    <x v="0"/>
    <n v="1"/>
    <s v=""/>
  </r>
  <r>
    <x v="29"/>
    <x v="2"/>
    <x v="0"/>
    <x v="122"/>
    <x v="1"/>
    <x v="4"/>
    <n v="0"/>
    <m/>
  </r>
  <r>
    <x v="29"/>
    <x v="2"/>
    <x v="0"/>
    <x v="123"/>
    <x v="1"/>
    <x v="4"/>
    <n v="0"/>
    <m/>
  </r>
  <r>
    <x v="29"/>
    <x v="2"/>
    <x v="0"/>
    <x v="124"/>
    <x v="1"/>
    <x v="4"/>
    <n v="0"/>
    <m/>
  </r>
  <r>
    <x v="29"/>
    <x v="2"/>
    <x v="0"/>
    <x v="125"/>
    <x v="1"/>
    <x v="4"/>
    <n v="0"/>
    <m/>
  </r>
  <r>
    <x v="29"/>
    <x v="2"/>
    <x v="0"/>
    <x v="126"/>
    <x v="1"/>
    <x v="4"/>
    <n v="0"/>
    <m/>
  </r>
  <r>
    <x v="29"/>
    <x v="2"/>
    <x v="0"/>
    <x v="127"/>
    <x v="1"/>
    <x v="4"/>
    <n v="0"/>
    <m/>
  </r>
  <r>
    <x v="29"/>
    <x v="2"/>
    <x v="0"/>
    <x v="127"/>
    <x v="2"/>
    <x v="2"/>
    <n v="1"/>
    <s v=""/>
  </r>
  <r>
    <x v="29"/>
    <x v="2"/>
    <x v="0"/>
    <x v="128"/>
    <x v="1"/>
    <x v="4"/>
    <n v="0"/>
    <m/>
  </r>
  <r>
    <x v="29"/>
    <x v="2"/>
    <x v="0"/>
    <x v="129"/>
    <x v="1"/>
    <x v="4"/>
    <n v="0"/>
    <m/>
  </r>
  <r>
    <x v="29"/>
    <x v="2"/>
    <x v="0"/>
    <x v="130"/>
    <x v="1"/>
    <x v="4"/>
    <n v="0"/>
    <m/>
  </r>
  <r>
    <x v="29"/>
    <x v="2"/>
    <x v="0"/>
    <x v="131"/>
    <x v="1"/>
    <x v="4"/>
    <n v="0"/>
    <m/>
  </r>
  <r>
    <x v="29"/>
    <x v="2"/>
    <x v="0"/>
    <x v="132"/>
    <x v="2"/>
    <x v="1"/>
    <n v="1"/>
    <s v=""/>
  </r>
  <r>
    <x v="29"/>
    <x v="2"/>
    <x v="0"/>
    <x v="133"/>
    <x v="0"/>
    <x v="0"/>
    <n v="1"/>
    <s v=""/>
  </r>
  <r>
    <x v="29"/>
    <x v="2"/>
    <x v="0"/>
    <x v="134"/>
    <x v="1"/>
    <x v="4"/>
    <n v="0"/>
    <m/>
  </r>
  <r>
    <x v="29"/>
    <x v="2"/>
    <x v="0"/>
    <x v="135"/>
    <x v="1"/>
    <x v="4"/>
    <n v="0"/>
    <m/>
  </r>
  <r>
    <x v="29"/>
    <x v="2"/>
    <x v="0"/>
    <x v="136"/>
    <x v="1"/>
    <x v="4"/>
    <n v="0"/>
    <m/>
  </r>
  <r>
    <x v="29"/>
    <x v="2"/>
    <x v="0"/>
    <x v="137"/>
    <x v="1"/>
    <x v="4"/>
    <n v="0"/>
    <m/>
  </r>
  <r>
    <x v="29"/>
    <x v="2"/>
    <x v="0"/>
    <x v="138"/>
    <x v="1"/>
    <x v="4"/>
    <n v="0"/>
    <m/>
  </r>
  <r>
    <x v="29"/>
    <x v="2"/>
    <x v="0"/>
    <x v="139"/>
    <x v="1"/>
    <x v="4"/>
    <n v="0"/>
    <m/>
  </r>
  <r>
    <x v="29"/>
    <x v="2"/>
    <x v="1"/>
    <x v="140"/>
    <x v="1"/>
    <x v="4"/>
    <n v="0"/>
    <m/>
  </r>
  <r>
    <x v="29"/>
    <x v="2"/>
    <x v="1"/>
    <x v="141"/>
    <x v="5"/>
    <x v="0"/>
    <n v="1"/>
    <s v=""/>
  </r>
  <r>
    <x v="29"/>
    <x v="2"/>
    <x v="1"/>
    <x v="142"/>
    <x v="1"/>
    <x v="4"/>
    <n v="0"/>
    <m/>
  </r>
  <r>
    <x v="29"/>
    <x v="2"/>
    <x v="1"/>
    <x v="143"/>
    <x v="1"/>
    <x v="4"/>
    <n v="0"/>
    <m/>
  </r>
  <r>
    <x v="29"/>
    <x v="2"/>
    <x v="1"/>
    <x v="144"/>
    <x v="1"/>
    <x v="4"/>
    <n v="0"/>
    <m/>
  </r>
  <r>
    <x v="29"/>
    <x v="2"/>
    <x v="1"/>
    <x v="145"/>
    <x v="1"/>
    <x v="4"/>
    <n v="0"/>
    <m/>
  </r>
  <r>
    <x v="29"/>
    <x v="2"/>
    <x v="1"/>
    <x v="146"/>
    <x v="1"/>
    <x v="4"/>
    <n v="0"/>
    <m/>
  </r>
  <r>
    <x v="29"/>
    <x v="2"/>
    <x v="1"/>
    <x v="147"/>
    <x v="2"/>
    <x v="2"/>
    <n v="1"/>
    <s v=""/>
  </r>
  <r>
    <x v="29"/>
    <x v="2"/>
    <x v="1"/>
    <x v="148"/>
    <x v="2"/>
    <x v="1"/>
    <n v="1"/>
    <s v=""/>
  </r>
  <r>
    <x v="29"/>
    <x v="2"/>
    <x v="1"/>
    <x v="149"/>
    <x v="1"/>
    <x v="4"/>
    <n v="0"/>
    <m/>
  </r>
  <r>
    <x v="29"/>
    <x v="2"/>
    <x v="1"/>
    <x v="150"/>
    <x v="1"/>
    <x v="4"/>
    <n v="0"/>
    <m/>
  </r>
  <r>
    <x v="29"/>
    <x v="2"/>
    <x v="1"/>
    <x v="151"/>
    <x v="1"/>
    <x v="4"/>
    <n v="0"/>
    <m/>
  </r>
  <r>
    <x v="29"/>
    <x v="2"/>
    <x v="1"/>
    <x v="152"/>
    <x v="2"/>
    <x v="0"/>
    <n v="1"/>
    <s v=""/>
  </r>
  <r>
    <x v="29"/>
    <x v="2"/>
    <x v="1"/>
    <x v="152"/>
    <x v="5"/>
    <x v="0"/>
    <n v="2"/>
    <s v=""/>
  </r>
  <r>
    <x v="29"/>
    <x v="2"/>
    <x v="1"/>
    <x v="153"/>
    <x v="1"/>
    <x v="4"/>
    <n v="0"/>
    <m/>
  </r>
  <r>
    <x v="29"/>
    <x v="2"/>
    <x v="1"/>
    <x v="154"/>
    <x v="1"/>
    <x v="4"/>
    <n v="0"/>
    <m/>
  </r>
  <r>
    <x v="29"/>
    <x v="2"/>
    <x v="1"/>
    <x v="155"/>
    <x v="1"/>
    <x v="4"/>
    <n v="0"/>
    <m/>
  </r>
  <r>
    <x v="29"/>
    <x v="2"/>
    <x v="1"/>
    <x v="156"/>
    <x v="1"/>
    <x v="4"/>
    <n v="0"/>
    <m/>
  </r>
  <r>
    <x v="29"/>
    <x v="2"/>
    <x v="1"/>
    <x v="157"/>
    <x v="1"/>
    <x v="4"/>
    <n v="0"/>
    <m/>
  </r>
  <r>
    <x v="29"/>
    <x v="2"/>
    <x v="1"/>
    <x v="158"/>
    <x v="1"/>
    <x v="4"/>
    <n v="0"/>
    <m/>
  </r>
  <r>
    <x v="29"/>
    <x v="2"/>
    <x v="1"/>
    <x v="159"/>
    <x v="2"/>
    <x v="0"/>
    <n v="1"/>
    <s v=""/>
  </r>
  <r>
    <x v="29"/>
    <x v="2"/>
    <x v="2"/>
    <x v="160"/>
    <x v="1"/>
    <x v="4"/>
    <n v="0"/>
    <m/>
  </r>
  <r>
    <x v="29"/>
    <x v="2"/>
    <x v="2"/>
    <x v="161"/>
    <x v="1"/>
    <x v="4"/>
    <n v="0"/>
    <m/>
  </r>
  <r>
    <x v="29"/>
    <x v="2"/>
    <x v="2"/>
    <x v="162"/>
    <x v="1"/>
    <x v="4"/>
    <n v="0"/>
    <m/>
  </r>
  <r>
    <x v="29"/>
    <x v="2"/>
    <x v="2"/>
    <x v="163"/>
    <x v="1"/>
    <x v="4"/>
    <n v="0"/>
    <m/>
  </r>
  <r>
    <x v="29"/>
    <x v="2"/>
    <x v="2"/>
    <x v="164"/>
    <x v="1"/>
    <x v="4"/>
    <n v="0"/>
    <m/>
  </r>
  <r>
    <x v="29"/>
    <x v="2"/>
    <x v="2"/>
    <x v="165"/>
    <x v="1"/>
    <x v="4"/>
    <n v="0"/>
    <m/>
  </r>
  <r>
    <x v="29"/>
    <x v="2"/>
    <x v="2"/>
    <x v="166"/>
    <x v="4"/>
    <x v="3"/>
    <s v=""/>
    <s v="plaque absente"/>
  </r>
  <r>
    <x v="29"/>
    <x v="2"/>
    <x v="2"/>
    <x v="167"/>
    <x v="1"/>
    <x v="4"/>
    <n v="0"/>
    <m/>
  </r>
  <r>
    <x v="29"/>
    <x v="2"/>
    <x v="2"/>
    <x v="168"/>
    <x v="1"/>
    <x v="4"/>
    <n v="0"/>
    <m/>
  </r>
  <r>
    <x v="29"/>
    <x v="2"/>
    <x v="2"/>
    <x v="169"/>
    <x v="4"/>
    <x v="3"/>
    <s v=""/>
    <s v="plaque absente"/>
  </r>
  <r>
    <x v="29"/>
    <x v="2"/>
    <x v="2"/>
    <x v="170"/>
    <x v="1"/>
    <x v="4"/>
    <n v="0"/>
    <m/>
  </r>
  <r>
    <x v="29"/>
    <x v="2"/>
    <x v="2"/>
    <x v="171"/>
    <x v="1"/>
    <x v="4"/>
    <n v="0"/>
    <m/>
  </r>
  <r>
    <x v="29"/>
    <x v="2"/>
    <x v="2"/>
    <x v="172"/>
    <x v="1"/>
    <x v="4"/>
    <n v="0"/>
    <m/>
  </r>
  <r>
    <x v="29"/>
    <x v="2"/>
    <x v="2"/>
    <x v="173"/>
    <x v="1"/>
    <x v="4"/>
    <n v="0"/>
    <m/>
  </r>
  <r>
    <x v="29"/>
    <x v="2"/>
    <x v="2"/>
    <x v="174"/>
    <x v="2"/>
    <x v="2"/>
    <n v="1"/>
    <s v=""/>
  </r>
  <r>
    <x v="29"/>
    <x v="2"/>
    <x v="2"/>
    <x v="175"/>
    <x v="2"/>
    <x v="1"/>
    <n v="1"/>
    <s v=""/>
  </r>
  <r>
    <x v="29"/>
    <x v="2"/>
    <x v="2"/>
    <x v="176"/>
    <x v="1"/>
    <x v="4"/>
    <n v="0"/>
    <m/>
  </r>
  <r>
    <x v="29"/>
    <x v="2"/>
    <x v="2"/>
    <x v="177"/>
    <x v="2"/>
    <x v="0"/>
    <n v="1"/>
    <s v=""/>
  </r>
  <r>
    <x v="29"/>
    <x v="2"/>
    <x v="2"/>
    <x v="178"/>
    <x v="1"/>
    <x v="4"/>
    <n v="0"/>
    <m/>
  </r>
  <r>
    <x v="29"/>
    <x v="2"/>
    <x v="2"/>
    <x v="179"/>
    <x v="1"/>
    <x v="4"/>
    <n v="0"/>
    <m/>
  </r>
  <r>
    <x v="30"/>
    <x v="0"/>
    <x v="0"/>
    <x v="0"/>
    <x v="5"/>
    <x v="0"/>
    <n v="1"/>
    <s v=""/>
  </r>
  <r>
    <x v="30"/>
    <x v="0"/>
    <x v="0"/>
    <x v="16"/>
    <x v="1"/>
    <x v="4"/>
    <n v="0"/>
    <m/>
  </r>
  <r>
    <x v="30"/>
    <x v="0"/>
    <x v="0"/>
    <x v="15"/>
    <x v="1"/>
    <x v="4"/>
    <n v="0"/>
    <m/>
  </r>
  <r>
    <x v="30"/>
    <x v="0"/>
    <x v="0"/>
    <x v="17"/>
    <x v="1"/>
    <x v="4"/>
    <n v="0"/>
    <m/>
  </r>
  <r>
    <x v="30"/>
    <x v="0"/>
    <x v="0"/>
    <x v="14"/>
    <x v="1"/>
    <x v="4"/>
    <n v="0"/>
    <m/>
  </r>
  <r>
    <x v="30"/>
    <x v="0"/>
    <x v="0"/>
    <x v="18"/>
    <x v="1"/>
    <x v="4"/>
    <n v="0"/>
    <m/>
  </r>
  <r>
    <x v="30"/>
    <x v="0"/>
    <x v="0"/>
    <x v="13"/>
    <x v="4"/>
    <x v="3"/>
    <s v=""/>
    <s v="plaque absente"/>
  </r>
  <r>
    <x v="30"/>
    <x v="0"/>
    <x v="0"/>
    <x v="19"/>
    <x v="1"/>
    <x v="4"/>
    <n v="0"/>
    <m/>
  </r>
  <r>
    <x v="30"/>
    <x v="0"/>
    <x v="0"/>
    <x v="20"/>
    <x v="1"/>
    <x v="4"/>
    <n v="0"/>
    <m/>
  </r>
  <r>
    <x v="30"/>
    <x v="0"/>
    <x v="0"/>
    <x v="12"/>
    <x v="1"/>
    <x v="4"/>
    <n v="0"/>
    <m/>
  </r>
  <r>
    <x v="30"/>
    <x v="0"/>
    <x v="0"/>
    <x v="21"/>
    <x v="1"/>
    <x v="4"/>
    <n v="0"/>
    <m/>
  </r>
  <r>
    <x v="30"/>
    <x v="0"/>
    <x v="0"/>
    <x v="22"/>
    <x v="1"/>
    <x v="4"/>
    <n v="0"/>
    <m/>
  </r>
  <r>
    <x v="30"/>
    <x v="0"/>
    <x v="0"/>
    <x v="23"/>
    <x v="1"/>
    <x v="4"/>
    <n v="0"/>
    <m/>
  </r>
  <r>
    <x v="30"/>
    <x v="0"/>
    <x v="0"/>
    <x v="24"/>
    <x v="1"/>
    <x v="4"/>
    <n v="0"/>
    <m/>
  </r>
  <r>
    <x v="30"/>
    <x v="0"/>
    <x v="0"/>
    <x v="25"/>
    <x v="1"/>
    <x v="4"/>
    <n v="0"/>
    <m/>
  </r>
  <r>
    <x v="30"/>
    <x v="0"/>
    <x v="0"/>
    <x v="26"/>
    <x v="1"/>
    <x v="4"/>
    <n v="0"/>
    <m/>
  </r>
  <r>
    <x v="30"/>
    <x v="0"/>
    <x v="0"/>
    <x v="27"/>
    <x v="1"/>
    <x v="4"/>
    <n v="0"/>
    <m/>
  </r>
  <r>
    <x v="30"/>
    <x v="0"/>
    <x v="0"/>
    <x v="28"/>
    <x v="1"/>
    <x v="4"/>
    <n v="0"/>
    <m/>
  </r>
  <r>
    <x v="30"/>
    <x v="0"/>
    <x v="0"/>
    <x v="11"/>
    <x v="1"/>
    <x v="4"/>
    <n v="0"/>
    <m/>
  </r>
  <r>
    <x v="30"/>
    <x v="0"/>
    <x v="0"/>
    <x v="29"/>
    <x v="1"/>
    <x v="4"/>
    <n v="0"/>
    <m/>
  </r>
  <r>
    <x v="30"/>
    <x v="0"/>
    <x v="1"/>
    <x v="30"/>
    <x v="1"/>
    <x v="4"/>
    <n v="0"/>
    <m/>
  </r>
  <r>
    <x v="30"/>
    <x v="0"/>
    <x v="1"/>
    <x v="31"/>
    <x v="1"/>
    <x v="4"/>
    <n v="0"/>
    <m/>
  </r>
  <r>
    <x v="30"/>
    <x v="0"/>
    <x v="1"/>
    <x v="32"/>
    <x v="1"/>
    <x v="4"/>
    <n v="0"/>
    <m/>
  </r>
  <r>
    <x v="30"/>
    <x v="0"/>
    <x v="1"/>
    <x v="33"/>
    <x v="1"/>
    <x v="4"/>
    <n v="0"/>
    <m/>
  </r>
  <r>
    <x v="30"/>
    <x v="0"/>
    <x v="1"/>
    <x v="10"/>
    <x v="1"/>
    <x v="4"/>
    <n v="0"/>
    <m/>
  </r>
  <r>
    <x v="30"/>
    <x v="0"/>
    <x v="1"/>
    <x v="34"/>
    <x v="1"/>
    <x v="4"/>
    <n v="0"/>
    <m/>
  </r>
  <r>
    <x v="30"/>
    <x v="0"/>
    <x v="1"/>
    <x v="35"/>
    <x v="1"/>
    <x v="4"/>
    <n v="0"/>
    <m/>
  </r>
  <r>
    <x v="30"/>
    <x v="0"/>
    <x v="1"/>
    <x v="36"/>
    <x v="5"/>
    <x v="0"/>
    <n v="1"/>
    <s v=""/>
  </r>
  <r>
    <x v="30"/>
    <x v="0"/>
    <x v="1"/>
    <x v="37"/>
    <x v="5"/>
    <x v="0"/>
    <n v="1"/>
    <s v=""/>
  </r>
  <r>
    <x v="30"/>
    <x v="0"/>
    <x v="1"/>
    <x v="9"/>
    <x v="1"/>
    <x v="4"/>
    <n v="0"/>
    <m/>
  </r>
  <r>
    <x v="30"/>
    <x v="0"/>
    <x v="1"/>
    <x v="38"/>
    <x v="1"/>
    <x v="4"/>
    <n v="0"/>
    <m/>
  </r>
  <r>
    <x v="30"/>
    <x v="0"/>
    <x v="1"/>
    <x v="8"/>
    <x v="1"/>
    <x v="4"/>
    <n v="0"/>
    <m/>
  </r>
  <r>
    <x v="30"/>
    <x v="0"/>
    <x v="1"/>
    <x v="39"/>
    <x v="1"/>
    <x v="4"/>
    <n v="0"/>
    <m/>
  </r>
  <r>
    <x v="30"/>
    <x v="0"/>
    <x v="1"/>
    <x v="7"/>
    <x v="1"/>
    <x v="4"/>
    <n v="0"/>
    <m/>
  </r>
  <r>
    <x v="30"/>
    <x v="0"/>
    <x v="1"/>
    <x v="6"/>
    <x v="1"/>
    <x v="4"/>
    <n v="0"/>
    <m/>
  </r>
  <r>
    <x v="30"/>
    <x v="0"/>
    <x v="1"/>
    <x v="40"/>
    <x v="1"/>
    <x v="4"/>
    <n v="0"/>
    <m/>
  </r>
  <r>
    <x v="30"/>
    <x v="0"/>
    <x v="1"/>
    <x v="41"/>
    <x v="1"/>
    <x v="4"/>
    <n v="0"/>
    <m/>
  </r>
  <r>
    <x v="30"/>
    <x v="0"/>
    <x v="1"/>
    <x v="42"/>
    <x v="1"/>
    <x v="4"/>
    <n v="0"/>
    <m/>
  </r>
  <r>
    <x v="30"/>
    <x v="0"/>
    <x v="1"/>
    <x v="5"/>
    <x v="1"/>
    <x v="4"/>
    <n v="0"/>
    <m/>
  </r>
  <r>
    <x v="30"/>
    <x v="0"/>
    <x v="1"/>
    <x v="43"/>
    <x v="1"/>
    <x v="4"/>
    <n v="0"/>
    <m/>
  </r>
  <r>
    <x v="30"/>
    <x v="0"/>
    <x v="2"/>
    <x v="44"/>
    <x v="1"/>
    <x v="4"/>
    <n v="0"/>
    <m/>
  </r>
  <r>
    <x v="30"/>
    <x v="0"/>
    <x v="2"/>
    <x v="45"/>
    <x v="1"/>
    <x v="4"/>
    <n v="0"/>
    <m/>
  </r>
  <r>
    <x v="30"/>
    <x v="0"/>
    <x v="2"/>
    <x v="46"/>
    <x v="1"/>
    <x v="4"/>
    <n v="0"/>
    <m/>
  </r>
  <r>
    <x v="30"/>
    <x v="0"/>
    <x v="2"/>
    <x v="4"/>
    <x v="1"/>
    <x v="4"/>
    <n v="0"/>
    <m/>
  </r>
  <r>
    <x v="30"/>
    <x v="0"/>
    <x v="2"/>
    <x v="47"/>
    <x v="1"/>
    <x v="4"/>
    <n v="0"/>
    <m/>
  </r>
  <r>
    <x v="30"/>
    <x v="0"/>
    <x v="2"/>
    <x v="48"/>
    <x v="1"/>
    <x v="4"/>
    <n v="0"/>
    <m/>
  </r>
  <r>
    <x v="30"/>
    <x v="0"/>
    <x v="2"/>
    <x v="49"/>
    <x v="1"/>
    <x v="4"/>
    <n v="0"/>
    <m/>
  </r>
  <r>
    <x v="30"/>
    <x v="0"/>
    <x v="2"/>
    <x v="50"/>
    <x v="1"/>
    <x v="4"/>
    <n v="0"/>
    <m/>
  </r>
  <r>
    <x v="30"/>
    <x v="0"/>
    <x v="2"/>
    <x v="3"/>
    <x v="1"/>
    <x v="4"/>
    <n v="0"/>
    <m/>
  </r>
  <r>
    <x v="30"/>
    <x v="0"/>
    <x v="2"/>
    <x v="51"/>
    <x v="1"/>
    <x v="4"/>
    <n v="0"/>
    <m/>
  </r>
  <r>
    <x v="30"/>
    <x v="0"/>
    <x v="2"/>
    <x v="2"/>
    <x v="1"/>
    <x v="4"/>
    <n v="0"/>
    <m/>
  </r>
  <r>
    <x v="30"/>
    <x v="0"/>
    <x v="2"/>
    <x v="52"/>
    <x v="1"/>
    <x v="4"/>
    <n v="0"/>
    <m/>
  </r>
  <r>
    <x v="30"/>
    <x v="0"/>
    <x v="2"/>
    <x v="53"/>
    <x v="1"/>
    <x v="4"/>
    <n v="0"/>
    <m/>
  </r>
  <r>
    <x v="30"/>
    <x v="0"/>
    <x v="2"/>
    <x v="54"/>
    <x v="1"/>
    <x v="4"/>
    <n v="0"/>
    <m/>
  </r>
  <r>
    <x v="30"/>
    <x v="0"/>
    <x v="2"/>
    <x v="1"/>
    <x v="1"/>
    <x v="4"/>
    <n v="0"/>
    <m/>
  </r>
  <r>
    <x v="30"/>
    <x v="0"/>
    <x v="2"/>
    <x v="55"/>
    <x v="1"/>
    <x v="4"/>
    <n v="0"/>
    <m/>
  </r>
  <r>
    <x v="30"/>
    <x v="0"/>
    <x v="2"/>
    <x v="56"/>
    <x v="1"/>
    <x v="4"/>
    <n v="0"/>
    <m/>
  </r>
  <r>
    <x v="30"/>
    <x v="0"/>
    <x v="2"/>
    <x v="57"/>
    <x v="1"/>
    <x v="4"/>
    <n v="0"/>
    <m/>
  </r>
  <r>
    <x v="30"/>
    <x v="0"/>
    <x v="2"/>
    <x v="58"/>
    <x v="1"/>
    <x v="4"/>
    <n v="0"/>
    <m/>
  </r>
  <r>
    <x v="30"/>
    <x v="0"/>
    <x v="2"/>
    <x v="59"/>
    <x v="1"/>
    <x v="4"/>
    <n v="0"/>
    <m/>
  </r>
  <r>
    <x v="30"/>
    <x v="1"/>
    <x v="0"/>
    <x v="60"/>
    <x v="1"/>
    <x v="4"/>
    <n v="0"/>
    <m/>
  </r>
  <r>
    <x v="30"/>
    <x v="1"/>
    <x v="0"/>
    <x v="61"/>
    <x v="1"/>
    <x v="4"/>
    <n v="0"/>
    <m/>
  </r>
  <r>
    <x v="30"/>
    <x v="1"/>
    <x v="0"/>
    <x v="62"/>
    <x v="1"/>
    <x v="4"/>
    <n v="0"/>
    <m/>
  </r>
  <r>
    <x v="30"/>
    <x v="1"/>
    <x v="0"/>
    <x v="63"/>
    <x v="1"/>
    <x v="4"/>
    <n v="0"/>
    <m/>
  </r>
  <r>
    <x v="30"/>
    <x v="1"/>
    <x v="0"/>
    <x v="64"/>
    <x v="1"/>
    <x v="4"/>
    <n v="0"/>
    <m/>
  </r>
  <r>
    <x v="30"/>
    <x v="1"/>
    <x v="0"/>
    <x v="65"/>
    <x v="1"/>
    <x v="4"/>
    <n v="0"/>
    <m/>
  </r>
  <r>
    <x v="30"/>
    <x v="1"/>
    <x v="0"/>
    <x v="66"/>
    <x v="1"/>
    <x v="4"/>
    <n v="0"/>
    <m/>
  </r>
  <r>
    <x v="30"/>
    <x v="1"/>
    <x v="0"/>
    <x v="67"/>
    <x v="1"/>
    <x v="4"/>
    <n v="0"/>
    <m/>
  </r>
  <r>
    <x v="30"/>
    <x v="1"/>
    <x v="0"/>
    <x v="68"/>
    <x v="1"/>
    <x v="4"/>
    <n v="0"/>
    <m/>
  </r>
  <r>
    <x v="30"/>
    <x v="1"/>
    <x v="0"/>
    <x v="69"/>
    <x v="1"/>
    <x v="4"/>
    <n v="0"/>
    <m/>
  </r>
  <r>
    <x v="30"/>
    <x v="1"/>
    <x v="0"/>
    <x v="70"/>
    <x v="1"/>
    <x v="4"/>
    <n v="0"/>
    <m/>
  </r>
  <r>
    <x v="30"/>
    <x v="1"/>
    <x v="0"/>
    <x v="71"/>
    <x v="1"/>
    <x v="4"/>
    <n v="0"/>
    <m/>
  </r>
  <r>
    <x v="30"/>
    <x v="1"/>
    <x v="0"/>
    <x v="72"/>
    <x v="1"/>
    <x v="4"/>
    <n v="0"/>
    <m/>
  </r>
  <r>
    <x v="30"/>
    <x v="1"/>
    <x v="0"/>
    <x v="73"/>
    <x v="1"/>
    <x v="4"/>
    <n v="0"/>
    <m/>
  </r>
  <r>
    <x v="30"/>
    <x v="1"/>
    <x v="0"/>
    <x v="74"/>
    <x v="1"/>
    <x v="4"/>
    <n v="0"/>
    <m/>
  </r>
  <r>
    <x v="30"/>
    <x v="1"/>
    <x v="0"/>
    <x v="75"/>
    <x v="1"/>
    <x v="4"/>
    <n v="0"/>
    <m/>
  </r>
  <r>
    <x v="30"/>
    <x v="1"/>
    <x v="0"/>
    <x v="76"/>
    <x v="1"/>
    <x v="4"/>
    <n v="0"/>
    <m/>
  </r>
  <r>
    <x v="30"/>
    <x v="1"/>
    <x v="0"/>
    <x v="77"/>
    <x v="1"/>
    <x v="4"/>
    <n v="0"/>
    <m/>
  </r>
  <r>
    <x v="30"/>
    <x v="1"/>
    <x v="0"/>
    <x v="78"/>
    <x v="1"/>
    <x v="4"/>
    <n v="0"/>
    <m/>
  </r>
  <r>
    <x v="30"/>
    <x v="1"/>
    <x v="0"/>
    <x v="79"/>
    <x v="1"/>
    <x v="4"/>
    <n v="0"/>
    <m/>
  </r>
  <r>
    <x v="30"/>
    <x v="1"/>
    <x v="1"/>
    <x v="80"/>
    <x v="1"/>
    <x v="4"/>
    <n v="0"/>
    <m/>
  </r>
  <r>
    <x v="30"/>
    <x v="1"/>
    <x v="1"/>
    <x v="81"/>
    <x v="5"/>
    <x v="0"/>
    <n v="1"/>
    <s v=""/>
  </r>
  <r>
    <x v="30"/>
    <x v="1"/>
    <x v="1"/>
    <x v="82"/>
    <x v="1"/>
    <x v="4"/>
    <n v="0"/>
    <m/>
  </r>
  <r>
    <x v="30"/>
    <x v="1"/>
    <x v="1"/>
    <x v="82"/>
    <x v="5"/>
    <x v="0"/>
    <n v="1"/>
    <s v=""/>
  </r>
  <r>
    <x v="30"/>
    <x v="1"/>
    <x v="1"/>
    <x v="83"/>
    <x v="1"/>
    <x v="4"/>
    <n v="0"/>
    <m/>
  </r>
  <r>
    <x v="30"/>
    <x v="1"/>
    <x v="1"/>
    <x v="84"/>
    <x v="1"/>
    <x v="4"/>
    <n v="0"/>
    <m/>
  </r>
  <r>
    <x v="30"/>
    <x v="1"/>
    <x v="1"/>
    <x v="85"/>
    <x v="1"/>
    <x v="4"/>
    <n v="0"/>
    <m/>
  </r>
  <r>
    <x v="30"/>
    <x v="1"/>
    <x v="1"/>
    <x v="86"/>
    <x v="1"/>
    <x v="4"/>
    <n v="0"/>
    <m/>
  </r>
  <r>
    <x v="30"/>
    <x v="1"/>
    <x v="1"/>
    <x v="87"/>
    <x v="1"/>
    <x v="4"/>
    <n v="0"/>
    <m/>
  </r>
  <r>
    <x v="30"/>
    <x v="1"/>
    <x v="1"/>
    <x v="88"/>
    <x v="1"/>
    <x v="4"/>
    <n v="0"/>
    <m/>
  </r>
  <r>
    <x v="30"/>
    <x v="1"/>
    <x v="1"/>
    <x v="89"/>
    <x v="1"/>
    <x v="4"/>
    <n v="0"/>
    <m/>
  </r>
  <r>
    <x v="30"/>
    <x v="1"/>
    <x v="1"/>
    <x v="90"/>
    <x v="5"/>
    <x v="0"/>
    <n v="2"/>
    <s v=""/>
  </r>
  <r>
    <x v="30"/>
    <x v="1"/>
    <x v="1"/>
    <x v="91"/>
    <x v="5"/>
    <x v="0"/>
    <n v="1"/>
    <s v=""/>
  </r>
  <r>
    <x v="30"/>
    <x v="1"/>
    <x v="1"/>
    <x v="92"/>
    <x v="1"/>
    <x v="4"/>
    <n v="0"/>
    <m/>
  </r>
  <r>
    <x v="30"/>
    <x v="1"/>
    <x v="1"/>
    <x v="93"/>
    <x v="1"/>
    <x v="4"/>
    <n v="0"/>
    <m/>
  </r>
  <r>
    <x v="30"/>
    <x v="1"/>
    <x v="1"/>
    <x v="94"/>
    <x v="1"/>
    <x v="4"/>
    <n v="0"/>
    <m/>
  </r>
  <r>
    <x v="30"/>
    <x v="1"/>
    <x v="1"/>
    <x v="95"/>
    <x v="1"/>
    <x v="4"/>
    <n v="0"/>
    <m/>
  </r>
  <r>
    <x v="30"/>
    <x v="1"/>
    <x v="1"/>
    <x v="96"/>
    <x v="1"/>
    <x v="4"/>
    <n v="0"/>
    <m/>
  </r>
  <r>
    <x v="30"/>
    <x v="1"/>
    <x v="1"/>
    <x v="97"/>
    <x v="1"/>
    <x v="4"/>
    <n v="0"/>
    <m/>
  </r>
  <r>
    <x v="30"/>
    <x v="1"/>
    <x v="1"/>
    <x v="98"/>
    <x v="1"/>
    <x v="4"/>
    <n v="0"/>
    <m/>
  </r>
  <r>
    <x v="30"/>
    <x v="1"/>
    <x v="1"/>
    <x v="99"/>
    <x v="1"/>
    <x v="4"/>
    <n v="0"/>
    <m/>
  </r>
  <r>
    <x v="30"/>
    <x v="1"/>
    <x v="2"/>
    <x v="100"/>
    <x v="5"/>
    <x v="0"/>
    <n v="1"/>
    <s v=""/>
  </r>
  <r>
    <x v="30"/>
    <x v="1"/>
    <x v="2"/>
    <x v="101"/>
    <x v="1"/>
    <x v="4"/>
    <n v="0"/>
    <m/>
  </r>
  <r>
    <x v="30"/>
    <x v="1"/>
    <x v="2"/>
    <x v="102"/>
    <x v="5"/>
    <x v="0"/>
    <n v="1"/>
    <s v=""/>
  </r>
  <r>
    <x v="30"/>
    <x v="1"/>
    <x v="2"/>
    <x v="103"/>
    <x v="1"/>
    <x v="4"/>
    <n v="0"/>
    <m/>
  </r>
  <r>
    <x v="30"/>
    <x v="1"/>
    <x v="2"/>
    <x v="104"/>
    <x v="1"/>
    <x v="1"/>
    <n v="1"/>
    <s v=""/>
  </r>
  <r>
    <x v="30"/>
    <x v="1"/>
    <x v="2"/>
    <x v="104"/>
    <x v="5"/>
    <x v="1"/>
    <n v="2"/>
    <s v=""/>
  </r>
  <r>
    <x v="30"/>
    <x v="1"/>
    <x v="2"/>
    <x v="105"/>
    <x v="1"/>
    <x v="4"/>
    <n v="0"/>
    <m/>
  </r>
  <r>
    <x v="30"/>
    <x v="1"/>
    <x v="2"/>
    <x v="106"/>
    <x v="1"/>
    <x v="4"/>
    <n v="0"/>
    <m/>
  </r>
  <r>
    <x v="30"/>
    <x v="1"/>
    <x v="2"/>
    <x v="107"/>
    <x v="1"/>
    <x v="4"/>
    <n v="0"/>
    <m/>
  </r>
  <r>
    <x v="30"/>
    <x v="1"/>
    <x v="2"/>
    <x v="108"/>
    <x v="5"/>
    <x v="0"/>
    <n v="1"/>
    <s v=""/>
  </r>
  <r>
    <x v="30"/>
    <x v="1"/>
    <x v="2"/>
    <x v="109"/>
    <x v="1"/>
    <x v="4"/>
    <n v="0"/>
    <m/>
  </r>
  <r>
    <x v="30"/>
    <x v="1"/>
    <x v="2"/>
    <x v="110"/>
    <x v="1"/>
    <x v="4"/>
    <n v="0"/>
    <m/>
  </r>
  <r>
    <x v="30"/>
    <x v="1"/>
    <x v="2"/>
    <x v="111"/>
    <x v="1"/>
    <x v="4"/>
    <n v="0"/>
    <m/>
  </r>
  <r>
    <x v="30"/>
    <x v="1"/>
    <x v="2"/>
    <x v="112"/>
    <x v="5"/>
    <x v="1"/>
    <n v="1"/>
    <s v=""/>
  </r>
  <r>
    <x v="30"/>
    <x v="1"/>
    <x v="2"/>
    <x v="113"/>
    <x v="1"/>
    <x v="4"/>
    <n v="0"/>
    <m/>
  </r>
  <r>
    <x v="30"/>
    <x v="1"/>
    <x v="2"/>
    <x v="114"/>
    <x v="1"/>
    <x v="4"/>
    <n v="0"/>
    <m/>
  </r>
  <r>
    <x v="30"/>
    <x v="1"/>
    <x v="2"/>
    <x v="115"/>
    <x v="1"/>
    <x v="4"/>
    <n v="0"/>
    <m/>
  </r>
  <r>
    <x v="30"/>
    <x v="1"/>
    <x v="2"/>
    <x v="116"/>
    <x v="5"/>
    <x v="1"/>
    <n v="1"/>
    <s v=""/>
  </r>
  <r>
    <x v="30"/>
    <x v="1"/>
    <x v="2"/>
    <x v="117"/>
    <x v="5"/>
    <x v="0"/>
    <n v="1"/>
    <s v=""/>
  </r>
  <r>
    <x v="30"/>
    <x v="1"/>
    <x v="2"/>
    <x v="118"/>
    <x v="1"/>
    <x v="4"/>
    <n v="0"/>
    <m/>
  </r>
  <r>
    <x v="30"/>
    <x v="1"/>
    <x v="2"/>
    <x v="119"/>
    <x v="1"/>
    <x v="4"/>
    <n v="0"/>
    <m/>
  </r>
  <r>
    <x v="30"/>
    <x v="2"/>
    <x v="0"/>
    <x v="120"/>
    <x v="1"/>
    <x v="4"/>
    <n v="0"/>
    <m/>
  </r>
  <r>
    <x v="30"/>
    <x v="2"/>
    <x v="0"/>
    <x v="121"/>
    <x v="1"/>
    <x v="4"/>
    <n v="0"/>
    <m/>
  </r>
  <r>
    <x v="30"/>
    <x v="2"/>
    <x v="0"/>
    <x v="122"/>
    <x v="1"/>
    <x v="4"/>
    <n v="0"/>
    <m/>
  </r>
  <r>
    <x v="30"/>
    <x v="2"/>
    <x v="0"/>
    <x v="123"/>
    <x v="1"/>
    <x v="4"/>
    <n v="0"/>
    <m/>
  </r>
  <r>
    <x v="30"/>
    <x v="2"/>
    <x v="0"/>
    <x v="124"/>
    <x v="3"/>
    <x v="0"/>
    <n v="1"/>
    <s v=""/>
  </r>
  <r>
    <x v="30"/>
    <x v="2"/>
    <x v="0"/>
    <x v="125"/>
    <x v="1"/>
    <x v="4"/>
    <n v="0"/>
    <m/>
  </r>
  <r>
    <x v="30"/>
    <x v="2"/>
    <x v="0"/>
    <x v="126"/>
    <x v="1"/>
    <x v="4"/>
    <n v="0"/>
    <m/>
  </r>
  <r>
    <x v="30"/>
    <x v="2"/>
    <x v="0"/>
    <x v="127"/>
    <x v="1"/>
    <x v="4"/>
    <n v="0"/>
    <m/>
  </r>
  <r>
    <x v="30"/>
    <x v="2"/>
    <x v="0"/>
    <x v="128"/>
    <x v="1"/>
    <x v="4"/>
    <n v="0"/>
    <m/>
  </r>
  <r>
    <x v="30"/>
    <x v="2"/>
    <x v="0"/>
    <x v="129"/>
    <x v="1"/>
    <x v="4"/>
    <n v="0"/>
    <m/>
  </r>
  <r>
    <x v="30"/>
    <x v="2"/>
    <x v="0"/>
    <x v="130"/>
    <x v="1"/>
    <x v="4"/>
    <n v="0"/>
    <m/>
  </r>
  <r>
    <x v="30"/>
    <x v="2"/>
    <x v="0"/>
    <x v="131"/>
    <x v="1"/>
    <x v="4"/>
    <n v="0"/>
    <m/>
  </r>
  <r>
    <x v="30"/>
    <x v="2"/>
    <x v="0"/>
    <x v="132"/>
    <x v="1"/>
    <x v="4"/>
    <n v="0"/>
    <m/>
  </r>
  <r>
    <x v="30"/>
    <x v="2"/>
    <x v="0"/>
    <x v="133"/>
    <x v="1"/>
    <x v="4"/>
    <n v="0"/>
    <m/>
  </r>
  <r>
    <x v="30"/>
    <x v="2"/>
    <x v="0"/>
    <x v="134"/>
    <x v="4"/>
    <x v="3"/>
    <s v=""/>
    <s v="plaque absente"/>
  </r>
  <r>
    <x v="30"/>
    <x v="2"/>
    <x v="0"/>
    <x v="135"/>
    <x v="1"/>
    <x v="4"/>
    <n v="0"/>
    <m/>
  </r>
  <r>
    <x v="30"/>
    <x v="2"/>
    <x v="0"/>
    <x v="136"/>
    <x v="1"/>
    <x v="4"/>
    <n v="0"/>
    <m/>
  </r>
  <r>
    <x v="30"/>
    <x v="2"/>
    <x v="0"/>
    <x v="137"/>
    <x v="1"/>
    <x v="4"/>
    <n v="0"/>
    <m/>
  </r>
  <r>
    <x v="30"/>
    <x v="2"/>
    <x v="0"/>
    <x v="138"/>
    <x v="1"/>
    <x v="4"/>
    <n v="0"/>
    <m/>
  </r>
  <r>
    <x v="30"/>
    <x v="2"/>
    <x v="0"/>
    <x v="139"/>
    <x v="1"/>
    <x v="4"/>
    <n v="0"/>
    <m/>
  </r>
  <r>
    <x v="30"/>
    <x v="2"/>
    <x v="1"/>
    <x v="140"/>
    <x v="1"/>
    <x v="4"/>
    <n v="0"/>
    <m/>
  </r>
  <r>
    <x v="30"/>
    <x v="2"/>
    <x v="1"/>
    <x v="141"/>
    <x v="1"/>
    <x v="4"/>
    <n v="0"/>
    <m/>
  </r>
  <r>
    <x v="30"/>
    <x v="2"/>
    <x v="1"/>
    <x v="142"/>
    <x v="1"/>
    <x v="4"/>
    <n v="0"/>
    <m/>
  </r>
  <r>
    <x v="30"/>
    <x v="2"/>
    <x v="1"/>
    <x v="143"/>
    <x v="1"/>
    <x v="4"/>
    <n v="0"/>
    <m/>
  </r>
  <r>
    <x v="30"/>
    <x v="2"/>
    <x v="1"/>
    <x v="144"/>
    <x v="1"/>
    <x v="4"/>
    <n v="0"/>
    <m/>
  </r>
  <r>
    <x v="30"/>
    <x v="2"/>
    <x v="1"/>
    <x v="145"/>
    <x v="1"/>
    <x v="4"/>
    <n v="0"/>
    <m/>
  </r>
  <r>
    <x v="30"/>
    <x v="2"/>
    <x v="1"/>
    <x v="146"/>
    <x v="1"/>
    <x v="4"/>
    <n v="0"/>
    <m/>
  </r>
  <r>
    <x v="30"/>
    <x v="2"/>
    <x v="1"/>
    <x v="147"/>
    <x v="1"/>
    <x v="4"/>
    <n v="0"/>
    <m/>
  </r>
  <r>
    <x v="30"/>
    <x v="2"/>
    <x v="1"/>
    <x v="148"/>
    <x v="1"/>
    <x v="4"/>
    <n v="0"/>
    <m/>
  </r>
  <r>
    <x v="30"/>
    <x v="2"/>
    <x v="1"/>
    <x v="149"/>
    <x v="1"/>
    <x v="4"/>
    <n v="0"/>
    <m/>
  </r>
  <r>
    <x v="30"/>
    <x v="2"/>
    <x v="1"/>
    <x v="150"/>
    <x v="1"/>
    <x v="4"/>
    <n v="0"/>
    <m/>
  </r>
  <r>
    <x v="30"/>
    <x v="2"/>
    <x v="1"/>
    <x v="151"/>
    <x v="1"/>
    <x v="4"/>
    <n v="0"/>
    <m/>
  </r>
  <r>
    <x v="30"/>
    <x v="2"/>
    <x v="1"/>
    <x v="152"/>
    <x v="1"/>
    <x v="4"/>
    <n v="0"/>
    <m/>
  </r>
  <r>
    <x v="30"/>
    <x v="2"/>
    <x v="1"/>
    <x v="153"/>
    <x v="1"/>
    <x v="4"/>
    <n v="0"/>
    <m/>
  </r>
  <r>
    <x v="30"/>
    <x v="2"/>
    <x v="1"/>
    <x v="154"/>
    <x v="1"/>
    <x v="4"/>
    <n v="0"/>
    <m/>
  </r>
  <r>
    <x v="30"/>
    <x v="2"/>
    <x v="1"/>
    <x v="155"/>
    <x v="1"/>
    <x v="4"/>
    <n v="0"/>
    <m/>
  </r>
  <r>
    <x v="30"/>
    <x v="2"/>
    <x v="1"/>
    <x v="156"/>
    <x v="1"/>
    <x v="4"/>
    <n v="0"/>
    <m/>
  </r>
  <r>
    <x v="30"/>
    <x v="2"/>
    <x v="1"/>
    <x v="157"/>
    <x v="1"/>
    <x v="4"/>
    <n v="0"/>
    <m/>
  </r>
  <r>
    <x v="30"/>
    <x v="2"/>
    <x v="1"/>
    <x v="158"/>
    <x v="1"/>
    <x v="4"/>
    <n v="0"/>
    <m/>
  </r>
  <r>
    <x v="30"/>
    <x v="2"/>
    <x v="1"/>
    <x v="159"/>
    <x v="1"/>
    <x v="4"/>
    <n v="0"/>
    <m/>
  </r>
  <r>
    <x v="30"/>
    <x v="2"/>
    <x v="2"/>
    <x v="160"/>
    <x v="1"/>
    <x v="4"/>
    <n v="0"/>
    <m/>
  </r>
  <r>
    <x v="30"/>
    <x v="2"/>
    <x v="2"/>
    <x v="161"/>
    <x v="1"/>
    <x v="4"/>
    <n v="0"/>
    <m/>
  </r>
  <r>
    <x v="30"/>
    <x v="2"/>
    <x v="2"/>
    <x v="162"/>
    <x v="1"/>
    <x v="4"/>
    <n v="0"/>
    <m/>
  </r>
  <r>
    <x v="30"/>
    <x v="2"/>
    <x v="2"/>
    <x v="163"/>
    <x v="1"/>
    <x v="4"/>
    <n v="0"/>
    <m/>
  </r>
  <r>
    <x v="30"/>
    <x v="2"/>
    <x v="2"/>
    <x v="164"/>
    <x v="1"/>
    <x v="4"/>
    <n v="0"/>
    <m/>
  </r>
  <r>
    <x v="30"/>
    <x v="2"/>
    <x v="2"/>
    <x v="165"/>
    <x v="1"/>
    <x v="4"/>
    <n v="0"/>
    <m/>
  </r>
  <r>
    <x v="30"/>
    <x v="2"/>
    <x v="2"/>
    <x v="166"/>
    <x v="1"/>
    <x v="4"/>
    <n v="0"/>
    <m/>
  </r>
  <r>
    <x v="30"/>
    <x v="2"/>
    <x v="2"/>
    <x v="167"/>
    <x v="1"/>
    <x v="4"/>
    <n v="0"/>
    <m/>
  </r>
  <r>
    <x v="30"/>
    <x v="2"/>
    <x v="2"/>
    <x v="168"/>
    <x v="1"/>
    <x v="4"/>
    <n v="0"/>
    <m/>
  </r>
  <r>
    <x v="30"/>
    <x v="2"/>
    <x v="2"/>
    <x v="169"/>
    <x v="1"/>
    <x v="4"/>
    <n v="0"/>
    <m/>
  </r>
  <r>
    <x v="30"/>
    <x v="2"/>
    <x v="2"/>
    <x v="170"/>
    <x v="2"/>
    <x v="0"/>
    <n v="1"/>
    <s v=""/>
  </r>
  <r>
    <x v="30"/>
    <x v="2"/>
    <x v="2"/>
    <x v="171"/>
    <x v="1"/>
    <x v="4"/>
    <n v="0"/>
    <m/>
  </r>
  <r>
    <x v="30"/>
    <x v="2"/>
    <x v="2"/>
    <x v="172"/>
    <x v="1"/>
    <x v="4"/>
    <n v="0"/>
    <m/>
  </r>
  <r>
    <x v="30"/>
    <x v="2"/>
    <x v="2"/>
    <x v="173"/>
    <x v="1"/>
    <x v="4"/>
    <n v="0"/>
    <m/>
  </r>
  <r>
    <x v="30"/>
    <x v="2"/>
    <x v="2"/>
    <x v="174"/>
    <x v="1"/>
    <x v="4"/>
    <n v="0"/>
    <m/>
  </r>
  <r>
    <x v="30"/>
    <x v="2"/>
    <x v="2"/>
    <x v="175"/>
    <x v="1"/>
    <x v="4"/>
    <n v="0"/>
    <m/>
  </r>
  <r>
    <x v="30"/>
    <x v="2"/>
    <x v="2"/>
    <x v="176"/>
    <x v="1"/>
    <x v="4"/>
    <n v="0"/>
    <m/>
  </r>
  <r>
    <x v="30"/>
    <x v="2"/>
    <x v="2"/>
    <x v="177"/>
    <x v="1"/>
    <x v="4"/>
    <n v="0"/>
    <m/>
  </r>
  <r>
    <x v="30"/>
    <x v="2"/>
    <x v="2"/>
    <x v="178"/>
    <x v="1"/>
    <x v="4"/>
    <n v="0"/>
    <m/>
  </r>
  <r>
    <x v="30"/>
    <x v="2"/>
    <x v="2"/>
    <x v="179"/>
    <x v="1"/>
    <x v="4"/>
    <n v="0"/>
    <m/>
  </r>
  <r>
    <x v="31"/>
    <x v="0"/>
    <x v="0"/>
    <x v="0"/>
    <x v="1"/>
    <x v="3"/>
    <n v="0"/>
    <s v=""/>
  </r>
  <r>
    <x v="31"/>
    <x v="0"/>
    <x v="0"/>
    <x v="16"/>
    <x v="2"/>
    <x v="1"/>
    <n v="1"/>
    <s v=""/>
  </r>
  <r>
    <x v="31"/>
    <x v="0"/>
    <x v="0"/>
    <x v="15"/>
    <x v="1"/>
    <x v="3"/>
    <n v="0"/>
    <s v=""/>
  </r>
  <r>
    <x v="31"/>
    <x v="0"/>
    <x v="0"/>
    <x v="17"/>
    <x v="2"/>
    <x v="1"/>
    <n v="1"/>
    <s v=""/>
  </r>
  <r>
    <x v="31"/>
    <x v="0"/>
    <x v="0"/>
    <x v="17"/>
    <x v="2"/>
    <x v="0"/>
    <n v="3"/>
    <s v=""/>
  </r>
  <r>
    <x v="31"/>
    <x v="0"/>
    <x v="0"/>
    <x v="14"/>
    <x v="2"/>
    <x v="0"/>
    <n v="1"/>
    <s v=""/>
  </r>
  <r>
    <x v="31"/>
    <x v="0"/>
    <x v="0"/>
    <x v="18"/>
    <x v="2"/>
    <x v="0"/>
    <n v="1"/>
    <s v=""/>
  </r>
  <r>
    <x v="31"/>
    <x v="0"/>
    <x v="0"/>
    <x v="13"/>
    <x v="2"/>
    <x v="0"/>
    <n v="1"/>
    <s v=""/>
  </r>
  <r>
    <x v="31"/>
    <x v="0"/>
    <x v="0"/>
    <x v="13"/>
    <x v="2"/>
    <x v="2"/>
    <n v="1"/>
    <s v=""/>
  </r>
  <r>
    <x v="31"/>
    <x v="0"/>
    <x v="0"/>
    <x v="19"/>
    <x v="1"/>
    <x v="3"/>
    <n v="0"/>
    <s v=""/>
  </r>
  <r>
    <x v="31"/>
    <x v="0"/>
    <x v="0"/>
    <x v="20"/>
    <x v="2"/>
    <x v="0"/>
    <n v="1"/>
    <s v=""/>
  </r>
  <r>
    <x v="31"/>
    <x v="0"/>
    <x v="0"/>
    <x v="20"/>
    <x v="2"/>
    <x v="2"/>
    <n v="1"/>
    <s v=""/>
  </r>
  <r>
    <x v="31"/>
    <x v="0"/>
    <x v="0"/>
    <x v="12"/>
    <x v="1"/>
    <x v="3"/>
    <n v="0"/>
    <s v=""/>
  </r>
  <r>
    <x v="31"/>
    <x v="0"/>
    <x v="0"/>
    <x v="21"/>
    <x v="2"/>
    <x v="0"/>
    <n v="3"/>
    <s v=""/>
  </r>
  <r>
    <x v="31"/>
    <x v="0"/>
    <x v="0"/>
    <x v="22"/>
    <x v="2"/>
    <x v="0"/>
    <n v="1"/>
    <s v=""/>
  </r>
  <r>
    <x v="31"/>
    <x v="0"/>
    <x v="0"/>
    <x v="23"/>
    <x v="2"/>
    <x v="1"/>
    <n v="1"/>
    <s v=""/>
  </r>
  <r>
    <x v="31"/>
    <x v="0"/>
    <x v="0"/>
    <x v="24"/>
    <x v="3"/>
    <x v="0"/>
    <n v="1"/>
    <s v=""/>
  </r>
  <r>
    <x v="31"/>
    <x v="0"/>
    <x v="0"/>
    <x v="24"/>
    <x v="2"/>
    <x v="1"/>
    <n v="1"/>
    <s v=""/>
  </r>
  <r>
    <x v="31"/>
    <x v="0"/>
    <x v="0"/>
    <x v="24"/>
    <x v="2"/>
    <x v="0"/>
    <n v="3"/>
    <s v=""/>
  </r>
  <r>
    <x v="31"/>
    <x v="0"/>
    <x v="0"/>
    <x v="24"/>
    <x v="2"/>
    <x v="2"/>
    <n v="1"/>
    <s v=""/>
  </r>
  <r>
    <x v="31"/>
    <x v="0"/>
    <x v="0"/>
    <x v="25"/>
    <x v="2"/>
    <x v="1"/>
    <n v="1"/>
    <s v=""/>
  </r>
  <r>
    <x v="31"/>
    <x v="0"/>
    <x v="0"/>
    <x v="26"/>
    <x v="1"/>
    <x v="3"/>
    <n v="0"/>
    <s v=""/>
  </r>
  <r>
    <x v="31"/>
    <x v="0"/>
    <x v="0"/>
    <x v="27"/>
    <x v="1"/>
    <x v="3"/>
    <n v="0"/>
    <s v=""/>
  </r>
  <r>
    <x v="31"/>
    <x v="0"/>
    <x v="0"/>
    <x v="28"/>
    <x v="1"/>
    <x v="3"/>
    <n v="0"/>
    <s v=""/>
  </r>
  <r>
    <x v="31"/>
    <x v="0"/>
    <x v="0"/>
    <x v="11"/>
    <x v="1"/>
    <x v="3"/>
    <n v="0"/>
    <s v=""/>
  </r>
  <r>
    <x v="31"/>
    <x v="0"/>
    <x v="0"/>
    <x v="29"/>
    <x v="1"/>
    <x v="3"/>
    <n v="0"/>
    <s v=""/>
  </r>
  <r>
    <x v="31"/>
    <x v="0"/>
    <x v="1"/>
    <x v="30"/>
    <x v="0"/>
    <x v="0"/>
    <n v="1"/>
    <s v=""/>
  </r>
  <r>
    <x v="31"/>
    <x v="0"/>
    <x v="1"/>
    <x v="30"/>
    <x v="5"/>
    <x v="0"/>
    <n v="1"/>
    <s v=""/>
  </r>
  <r>
    <x v="31"/>
    <x v="0"/>
    <x v="1"/>
    <x v="31"/>
    <x v="2"/>
    <x v="0"/>
    <n v="6"/>
    <s v=""/>
  </r>
  <r>
    <x v="31"/>
    <x v="0"/>
    <x v="1"/>
    <x v="32"/>
    <x v="1"/>
    <x v="3"/>
    <n v="0"/>
    <s v=""/>
  </r>
  <r>
    <x v="31"/>
    <x v="0"/>
    <x v="1"/>
    <x v="33"/>
    <x v="1"/>
    <x v="3"/>
    <n v="0"/>
    <s v=""/>
  </r>
  <r>
    <x v="31"/>
    <x v="0"/>
    <x v="1"/>
    <x v="10"/>
    <x v="1"/>
    <x v="3"/>
    <n v="0"/>
    <s v=""/>
  </r>
  <r>
    <x v="31"/>
    <x v="0"/>
    <x v="1"/>
    <x v="34"/>
    <x v="2"/>
    <x v="0"/>
    <n v="2"/>
    <s v=""/>
  </r>
  <r>
    <x v="31"/>
    <x v="0"/>
    <x v="1"/>
    <x v="35"/>
    <x v="1"/>
    <x v="3"/>
    <n v="0"/>
    <s v=""/>
  </r>
  <r>
    <x v="31"/>
    <x v="0"/>
    <x v="1"/>
    <x v="36"/>
    <x v="1"/>
    <x v="3"/>
    <n v="0"/>
    <s v=""/>
  </r>
  <r>
    <x v="31"/>
    <x v="0"/>
    <x v="1"/>
    <x v="37"/>
    <x v="1"/>
    <x v="3"/>
    <n v="0"/>
    <s v=""/>
  </r>
  <r>
    <x v="31"/>
    <x v="0"/>
    <x v="1"/>
    <x v="9"/>
    <x v="2"/>
    <x v="0"/>
    <n v="4"/>
    <s v=""/>
  </r>
  <r>
    <x v="31"/>
    <x v="0"/>
    <x v="1"/>
    <x v="38"/>
    <x v="0"/>
    <x v="1"/>
    <n v="1"/>
    <s v=""/>
  </r>
  <r>
    <x v="31"/>
    <x v="0"/>
    <x v="1"/>
    <x v="8"/>
    <x v="2"/>
    <x v="1"/>
    <n v="2"/>
    <s v=""/>
  </r>
  <r>
    <x v="31"/>
    <x v="0"/>
    <x v="1"/>
    <x v="8"/>
    <x v="2"/>
    <x v="0"/>
    <n v="1"/>
    <s v=""/>
  </r>
  <r>
    <x v="31"/>
    <x v="0"/>
    <x v="1"/>
    <x v="39"/>
    <x v="1"/>
    <x v="3"/>
    <n v="0"/>
    <s v=""/>
  </r>
  <r>
    <x v="31"/>
    <x v="0"/>
    <x v="1"/>
    <x v="7"/>
    <x v="1"/>
    <x v="3"/>
    <n v="0"/>
    <s v=""/>
  </r>
  <r>
    <x v="31"/>
    <x v="0"/>
    <x v="1"/>
    <x v="6"/>
    <x v="1"/>
    <x v="3"/>
    <n v="0"/>
    <s v=""/>
  </r>
  <r>
    <x v="31"/>
    <x v="0"/>
    <x v="1"/>
    <x v="40"/>
    <x v="2"/>
    <x v="0"/>
    <n v="1"/>
    <s v=""/>
  </r>
  <r>
    <x v="31"/>
    <x v="0"/>
    <x v="1"/>
    <x v="41"/>
    <x v="1"/>
    <x v="3"/>
    <n v="0"/>
    <s v=""/>
  </r>
  <r>
    <x v="31"/>
    <x v="0"/>
    <x v="1"/>
    <x v="42"/>
    <x v="1"/>
    <x v="3"/>
    <n v="0"/>
    <s v=""/>
  </r>
  <r>
    <x v="31"/>
    <x v="0"/>
    <x v="1"/>
    <x v="5"/>
    <x v="1"/>
    <x v="3"/>
    <n v="0"/>
    <s v=""/>
  </r>
  <r>
    <x v="31"/>
    <x v="0"/>
    <x v="1"/>
    <x v="43"/>
    <x v="1"/>
    <x v="3"/>
    <n v="0"/>
    <s v=""/>
  </r>
  <r>
    <x v="31"/>
    <x v="0"/>
    <x v="2"/>
    <x v="44"/>
    <x v="2"/>
    <x v="0"/>
    <n v="1"/>
    <s v=""/>
  </r>
  <r>
    <x v="31"/>
    <x v="0"/>
    <x v="2"/>
    <x v="44"/>
    <x v="2"/>
    <x v="2"/>
    <n v="2"/>
    <s v=""/>
  </r>
  <r>
    <x v="31"/>
    <x v="0"/>
    <x v="2"/>
    <x v="45"/>
    <x v="0"/>
    <x v="0"/>
    <n v="2"/>
    <s v=""/>
  </r>
  <r>
    <x v="31"/>
    <x v="0"/>
    <x v="2"/>
    <x v="45"/>
    <x v="2"/>
    <x v="0"/>
    <n v="2"/>
    <s v=""/>
  </r>
  <r>
    <x v="31"/>
    <x v="0"/>
    <x v="2"/>
    <x v="46"/>
    <x v="1"/>
    <x v="3"/>
    <n v="0"/>
    <s v=""/>
  </r>
  <r>
    <x v="31"/>
    <x v="0"/>
    <x v="2"/>
    <x v="4"/>
    <x v="1"/>
    <x v="3"/>
    <n v="0"/>
    <s v=""/>
  </r>
  <r>
    <x v="31"/>
    <x v="0"/>
    <x v="2"/>
    <x v="47"/>
    <x v="1"/>
    <x v="3"/>
    <n v="0"/>
    <s v=""/>
  </r>
  <r>
    <x v="31"/>
    <x v="0"/>
    <x v="2"/>
    <x v="48"/>
    <x v="1"/>
    <x v="3"/>
    <n v="0"/>
    <s v=""/>
  </r>
  <r>
    <x v="31"/>
    <x v="0"/>
    <x v="2"/>
    <x v="49"/>
    <x v="1"/>
    <x v="3"/>
    <n v="0"/>
    <s v=""/>
  </r>
  <r>
    <x v="31"/>
    <x v="0"/>
    <x v="2"/>
    <x v="50"/>
    <x v="2"/>
    <x v="1"/>
    <n v="1"/>
    <s v=""/>
  </r>
  <r>
    <x v="31"/>
    <x v="0"/>
    <x v="2"/>
    <x v="3"/>
    <x v="1"/>
    <x v="3"/>
    <n v="0"/>
    <s v=""/>
  </r>
  <r>
    <x v="31"/>
    <x v="0"/>
    <x v="2"/>
    <x v="51"/>
    <x v="1"/>
    <x v="3"/>
    <n v="0"/>
    <s v=""/>
  </r>
  <r>
    <x v="31"/>
    <x v="0"/>
    <x v="2"/>
    <x v="2"/>
    <x v="0"/>
    <x v="0"/>
    <n v="1"/>
    <s v=""/>
  </r>
  <r>
    <x v="31"/>
    <x v="0"/>
    <x v="2"/>
    <x v="52"/>
    <x v="2"/>
    <x v="0"/>
    <n v="4"/>
    <s v=""/>
  </r>
  <r>
    <x v="31"/>
    <x v="0"/>
    <x v="2"/>
    <x v="53"/>
    <x v="2"/>
    <x v="0"/>
    <n v="1"/>
    <s v=""/>
  </r>
  <r>
    <x v="31"/>
    <x v="0"/>
    <x v="2"/>
    <x v="54"/>
    <x v="1"/>
    <x v="3"/>
    <n v="0"/>
    <s v=""/>
  </r>
  <r>
    <x v="31"/>
    <x v="0"/>
    <x v="2"/>
    <x v="1"/>
    <x v="1"/>
    <x v="3"/>
    <n v="0"/>
    <s v=""/>
  </r>
  <r>
    <x v="31"/>
    <x v="0"/>
    <x v="2"/>
    <x v="55"/>
    <x v="1"/>
    <x v="3"/>
    <n v="0"/>
    <s v=""/>
  </r>
  <r>
    <x v="31"/>
    <x v="0"/>
    <x v="2"/>
    <x v="56"/>
    <x v="2"/>
    <x v="1"/>
    <n v="1"/>
    <s v=""/>
  </r>
  <r>
    <x v="31"/>
    <x v="0"/>
    <x v="2"/>
    <x v="57"/>
    <x v="2"/>
    <x v="0"/>
    <n v="2"/>
    <s v=""/>
  </r>
  <r>
    <x v="31"/>
    <x v="0"/>
    <x v="2"/>
    <x v="58"/>
    <x v="1"/>
    <x v="3"/>
    <n v="0"/>
    <s v=""/>
  </r>
  <r>
    <x v="31"/>
    <x v="0"/>
    <x v="2"/>
    <x v="59"/>
    <x v="1"/>
    <x v="3"/>
    <n v="0"/>
    <s v=""/>
  </r>
  <r>
    <x v="31"/>
    <x v="1"/>
    <x v="0"/>
    <x v="60"/>
    <x v="2"/>
    <x v="1"/>
    <n v="1"/>
    <s v=""/>
  </r>
  <r>
    <x v="31"/>
    <x v="1"/>
    <x v="0"/>
    <x v="61"/>
    <x v="1"/>
    <x v="3"/>
    <n v="0"/>
    <s v=""/>
  </r>
  <r>
    <x v="31"/>
    <x v="1"/>
    <x v="0"/>
    <x v="62"/>
    <x v="1"/>
    <x v="3"/>
    <n v="0"/>
    <s v=""/>
  </r>
  <r>
    <x v="31"/>
    <x v="1"/>
    <x v="0"/>
    <x v="63"/>
    <x v="1"/>
    <x v="3"/>
    <n v="0"/>
    <s v=""/>
  </r>
  <r>
    <x v="31"/>
    <x v="1"/>
    <x v="0"/>
    <x v="64"/>
    <x v="1"/>
    <x v="3"/>
    <n v="0"/>
    <s v=""/>
  </r>
  <r>
    <x v="31"/>
    <x v="1"/>
    <x v="0"/>
    <x v="65"/>
    <x v="1"/>
    <x v="3"/>
    <n v="0"/>
    <s v=""/>
  </r>
  <r>
    <x v="31"/>
    <x v="1"/>
    <x v="0"/>
    <x v="66"/>
    <x v="2"/>
    <x v="2"/>
    <n v="1"/>
    <s v=""/>
  </r>
  <r>
    <x v="31"/>
    <x v="1"/>
    <x v="0"/>
    <x v="67"/>
    <x v="1"/>
    <x v="3"/>
    <n v="0"/>
    <s v=""/>
  </r>
  <r>
    <x v="31"/>
    <x v="1"/>
    <x v="0"/>
    <x v="68"/>
    <x v="1"/>
    <x v="3"/>
    <n v="0"/>
    <s v=""/>
  </r>
  <r>
    <x v="31"/>
    <x v="1"/>
    <x v="0"/>
    <x v="69"/>
    <x v="1"/>
    <x v="3"/>
    <n v="0"/>
    <s v=""/>
  </r>
  <r>
    <x v="31"/>
    <x v="1"/>
    <x v="0"/>
    <x v="70"/>
    <x v="1"/>
    <x v="3"/>
    <n v="0"/>
    <s v=""/>
  </r>
  <r>
    <x v="31"/>
    <x v="1"/>
    <x v="0"/>
    <x v="71"/>
    <x v="1"/>
    <x v="3"/>
    <n v="0"/>
    <s v=""/>
  </r>
  <r>
    <x v="31"/>
    <x v="1"/>
    <x v="0"/>
    <x v="72"/>
    <x v="2"/>
    <x v="2"/>
    <n v="2"/>
    <s v=""/>
  </r>
  <r>
    <x v="31"/>
    <x v="1"/>
    <x v="0"/>
    <x v="73"/>
    <x v="1"/>
    <x v="3"/>
    <n v="0"/>
    <s v=""/>
  </r>
  <r>
    <x v="31"/>
    <x v="1"/>
    <x v="0"/>
    <x v="74"/>
    <x v="1"/>
    <x v="3"/>
    <n v="0"/>
    <s v=""/>
  </r>
  <r>
    <x v="31"/>
    <x v="1"/>
    <x v="0"/>
    <x v="75"/>
    <x v="1"/>
    <x v="3"/>
    <n v="0"/>
    <s v=""/>
  </r>
  <r>
    <x v="31"/>
    <x v="1"/>
    <x v="0"/>
    <x v="76"/>
    <x v="2"/>
    <x v="1"/>
    <n v="1"/>
    <s v=""/>
  </r>
  <r>
    <x v="31"/>
    <x v="1"/>
    <x v="0"/>
    <x v="77"/>
    <x v="1"/>
    <x v="3"/>
    <n v="0"/>
    <s v=""/>
  </r>
  <r>
    <x v="31"/>
    <x v="1"/>
    <x v="0"/>
    <x v="78"/>
    <x v="2"/>
    <x v="1"/>
    <n v="1"/>
    <s v=""/>
  </r>
  <r>
    <x v="31"/>
    <x v="1"/>
    <x v="0"/>
    <x v="79"/>
    <x v="2"/>
    <x v="2"/>
    <n v="1"/>
    <s v=""/>
  </r>
  <r>
    <x v="31"/>
    <x v="1"/>
    <x v="1"/>
    <x v="80"/>
    <x v="2"/>
    <x v="0"/>
    <n v="1"/>
    <s v=""/>
  </r>
  <r>
    <x v="31"/>
    <x v="1"/>
    <x v="1"/>
    <x v="81"/>
    <x v="1"/>
    <x v="3"/>
    <n v="0"/>
    <s v=""/>
  </r>
  <r>
    <x v="31"/>
    <x v="1"/>
    <x v="1"/>
    <x v="82"/>
    <x v="2"/>
    <x v="0"/>
    <n v="3"/>
    <s v=""/>
  </r>
  <r>
    <x v="31"/>
    <x v="1"/>
    <x v="1"/>
    <x v="83"/>
    <x v="2"/>
    <x v="1"/>
    <n v="2"/>
    <s v=""/>
  </r>
  <r>
    <x v="31"/>
    <x v="1"/>
    <x v="1"/>
    <x v="84"/>
    <x v="1"/>
    <x v="3"/>
    <n v="0"/>
    <s v=""/>
  </r>
  <r>
    <x v="31"/>
    <x v="1"/>
    <x v="1"/>
    <x v="85"/>
    <x v="2"/>
    <x v="1"/>
    <n v="1"/>
    <s v=""/>
  </r>
  <r>
    <x v="31"/>
    <x v="1"/>
    <x v="1"/>
    <x v="86"/>
    <x v="5"/>
    <x v="1"/>
    <n v="1"/>
    <s v=""/>
  </r>
  <r>
    <x v="31"/>
    <x v="1"/>
    <x v="1"/>
    <x v="87"/>
    <x v="5"/>
    <x v="0"/>
    <n v="2"/>
    <s v=""/>
  </r>
  <r>
    <x v="31"/>
    <x v="1"/>
    <x v="1"/>
    <x v="88"/>
    <x v="1"/>
    <x v="3"/>
    <n v="0"/>
    <s v=""/>
  </r>
  <r>
    <x v="31"/>
    <x v="1"/>
    <x v="1"/>
    <x v="89"/>
    <x v="0"/>
    <x v="2"/>
    <n v="1"/>
    <s v=""/>
  </r>
  <r>
    <x v="31"/>
    <x v="1"/>
    <x v="1"/>
    <x v="90"/>
    <x v="1"/>
    <x v="3"/>
    <n v="0"/>
    <s v=""/>
  </r>
  <r>
    <x v="31"/>
    <x v="1"/>
    <x v="1"/>
    <x v="91"/>
    <x v="1"/>
    <x v="3"/>
    <n v="0"/>
    <s v=""/>
  </r>
  <r>
    <x v="31"/>
    <x v="1"/>
    <x v="1"/>
    <x v="92"/>
    <x v="1"/>
    <x v="3"/>
    <n v="0"/>
    <s v=""/>
  </r>
  <r>
    <x v="31"/>
    <x v="1"/>
    <x v="1"/>
    <x v="93"/>
    <x v="2"/>
    <x v="2"/>
    <n v="1"/>
    <s v=""/>
  </r>
  <r>
    <x v="31"/>
    <x v="1"/>
    <x v="1"/>
    <x v="94"/>
    <x v="1"/>
    <x v="3"/>
    <n v="0"/>
    <s v=""/>
  </r>
  <r>
    <x v="31"/>
    <x v="1"/>
    <x v="1"/>
    <x v="95"/>
    <x v="1"/>
    <x v="3"/>
    <n v="0"/>
    <s v=""/>
  </r>
  <r>
    <x v="31"/>
    <x v="1"/>
    <x v="1"/>
    <x v="96"/>
    <x v="1"/>
    <x v="3"/>
    <n v="0"/>
    <s v=""/>
  </r>
  <r>
    <x v="31"/>
    <x v="1"/>
    <x v="1"/>
    <x v="97"/>
    <x v="1"/>
    <x v="3"/>
    <n v="0"/>
    <s v=""/>
  </r>
  <r>
    <x v="31"/>
    <x v="1"/>
    <x v="1"/>
    <x v="98"/>
    <x v="1"/>
    <x v="3"/>
    <n v="0"/>
    <s v=""/>
  </r>
  <r>
    <x v="31"/>
    <x v="1"/>
    <x v="1"/>
    <x v="99"/>
    <x v="2"/>
    <x v="0"/>
    <n v="3"/>
    <s v=""/>
  </r>
  <r>
    <x v="31"/>
    <x v="1"/>
    <x v="2"/>
    <x v="100"/>
    <x v="5"/>
    <x v="0"/>
    <n v="3"/>
    <s v=""/>
  </r>
  <r>
    <x v="31"/>
    <x v="1"/>
    <x v="2"/>
    <x v="101"/>
    <x v="6"/>
    <x v="4"/>
    <m/>
    <s v="plaque absente"/>
  </r>
  <r>
    <x v="31"/>
    <x v="1"/>
    <x v="2"/>
    <x v="102"/>
    <x v="5"/>
    <x v="1"/>
    <n v="1"/>
    <s v=""/>
  </r>
  <r>
    <x v="31"/>
    <x v="1"/>
    <x v="2"/>
    <x v="102"/>
    <x v="5"/>
    <x v="0"/>
    <n v="1"/>
    <s v=""/>
  </r>
  <r>
    <x v="31"/>
    <x v="1"/>
    <x v="2"/>
    <x v="103"/>
    <x v="1"/>
    <x v="3"/>
    <n v="0"/>
    <s v=""/>
  </r>
  <r>
    <x v="31"/>
    <x v="1"/>
    <x v="2"/>
    <x v="104"/>
    <x v="5"/>
    <x v="1"/>
    <n v="3"/>
    <s v=""/>
  </r>
  <r>
    <x v="31"/>
    <x v="1"/>
    <x v="2"/>
    <x v="105"/>
    <x v="1"/>
    <x v="3"/>
    <n v="0"/>
    <s v=""/>
  </r>
  <r>
    <x v="31"/>
    <x v="1"/>
    <x v="2"/>
    <x v="106"/>
    <x v="1"/>
    <x v="3"/>
    <n v="0"/>
    <s v=""/>
  </r>
  <r>
    <x v="31"/>
    <x v="1"/>
    <x v="2"/>
    <x v="107"/>
    <x v="1"/>
    <x v="3"/>
    <n v="0"/>
    <s v=""/>
  </r>
  <r>
    <x v="31"/>
    <x v="1"/>
    <x v="2"/>
    <x v="108"/>
    <x v="1"/>
    <x v="3"/>
    <n v="0"/>
    <s v=""/>
  </r>
  <r>
    <x v="31"/>
    <x v="1"/>
    <x v="2"/>
    <x v="109"/>
    <x v="1"/>
    <x v="3"/>
    <n v="0"/>
    <s v=""/>
  </r>
  <r>
    <x v="31"/>
    <x v="1"/>
    <x v="2"/>
    <x v="110"/>
    <x v="1"/>
    <x v="3"/>
    <n v="0"/>
    <s v=""/>
  </r>
  <r>
    <x v="31"/>
    <x v="1"/>
    <x v="2"/>
    <x v="111"/>
    <x v="5"/>
    <x v="1"/>
    <n v="1"/>
    <s v=""/>
  </r>
  <r>
    <x v="31"/>
    <x v="1"/>
    <x v="2"/>
    <x v="112"/>
    <x v="1"/>
    <x v="3"/>
    <n v="0"/>
    <s v=""/>
  </r>
  <r>
    <x v="31"/>
    <x v="1"/>
    <x v="2"/>
    <x v="113"/>
    <x v="2"/>
    <x v="1"/>
    <n v="2"/>
    <s v=""/>
  </r>
  <r>
    <x v="31"/>
    <x v="1"/>
    <x v="2"/>
    <x v="114"/>
    <x v="5"/>
    <x v="1"/>
    <n v="1"/>
    <s v=""/>
  </r>
  <r>
    <x v="31"/>
    <x v="1"/>
    <x v="2"/>
    <x v="115"/>
    <x v="1"/>
    <x v="3"/>
    <n v="0"/>
    <s v=""/>
  </r>
  <r>
    <x v="31"/>
    <x v="1"/>
    <x v="2"/>
    <x v="116"/>
    <x v="1"/>
    <x v="3"/>
    <n v="0"/>
    <s v=""/>
  </r>
  <r>
    <x v="31"/>
    <x v="1"/>
    <x v="2"/>
    <x v="117"/>
    <x v="1"/>
    <x v="3"/>
    <n v="0"/>
    <s v=""/>
  </r>
  <r>
    <x v="31"/>
    <x v="1"/>
    <x v="2"/>
    <x v="118"/>
    <x v="2"/>
    <x v="2"/>
    <n v="1"/>
    <s v=""/>
  </r>
  <r>
    <x v="31"/>
    <x v="1"/>
    <x v="2"/>
    <x v="119"/>
    <x v="5"/>
    <x v="0"/>
    <n v="1"/>
    <s v=""/>
  </r>
  <r>
    <x v="31"/>
    <x v="2"/>
    <x v="0"/>
    <x v="120"/>
    <x v="1"/>
    <x v="3"/>
    <n v="0"/>
    <s v=""/>
  </r>
  <r>
    <x v="31"/>
    <x v="2"/>
    <x v="0"/>
    <x v="121"/>
    <x v="2"/>
    <x v="0"/>
    <n v="1"/>
    <s v=""/>
  </r>
  <r>
    <x v="31"/>
    <x v="2"/>
    <x v="0"/>
    <x v="122"/>
    <x v="1"/>
    <x v="3"/>
    <n v="0"/>
    <s v=""/>
  </r>
  <r>
    <x v="31"/>
    <x v="2"/>
    <x v="0"/>
    <x v="123"/>
    <x v="1"/>
    <x v="3"/>
    <n v="0"/>
    <s v=""/>
  </r>
  <r>
    <x v="31"/>
    <x v="2"/>
    <x v="0"/>
    <x v="124"/>
    <x v="1"/>
    <x v="3"/>
    <n v="0"/>
    <s v=""/>
  </r>
  <r>
    <x v="31"/>
    <x v="2"/>
    <x v="0"/>
    <x v="125"/>
    <x v="1"/>
    <x v="3"/>
    <n v="0"/>
    <s v=""/>
  </r>
  <r>
    <x v="31"/>
    <x v="2"/>
    <x v="0"/>
    <x v="126"/>
    <x v="1"/>
    <x v="3"/>
    <n v="0"/>
    <s v=""/>
  </r>
  <r>
    <x v="31"/>
    <x v="2"/>
    <x v="0"/>
    <x v="127"/>
    <x v="1"/>
    <x v="3"/>
    <n v="0"/>
    <s v=""/>
  </r>
  <r>
    <x v="31"/>
    <x v="2"/>
    <x v="0"/>
    <x v="128"/>
    <x v="1"/>
    <x v="3"/>
    <n v="0"/>
    <s v=""/>
  </r>
  <r>
    <x v="31"/>
    <x v="2"/>
    <x v="0"/>
    <x v="129"/>
    <x v="4"/>
    <x v="3"/>
    <s v=""/>
    <s v="plaque absente"/>
  </r>
  <r>
    <x v="31"/>
    <x v="2"/>
    <x v="0"/>
    <x v="130"/>
    <x v="1"/>
    <x v="3"/>
    <n v="0"/>
    <s v=""/>
  </r>
  <r>
    <x v="31"/>
    <x v="2"/>
    <x v="0"/>
    <x v="131"/>
    <x v="1"/>
    <x v="3"/>
    <n v="0"/>
    <s v=""/>
  </r>
  <r>
    <x v="31"/>
    <x v="2"/>
    <x v="0"/>
    <x v="132"/>
    <x v="1"/>
    <x v="3"/>
    <n v="0"/>
    <s v=""/>
  </r>
  <r>
    <x v="31"/>
    <x v="2"/>
    <x v="0"/>
    <x v="133"/>
    <x v="1"/>
    <x v="3"/>
    <n v="0"/>
    <s v=""/>
  </r>
  <r>
    <x v="31"/>
    <x v="2"/>
    <x v="0"/>
    <x v="134"/>
    <x v="4"/>
    <x v="3"/>
    <s v=""/>
    <s v="plaque absente"/>
  </r>
  <r>
    <x v="31"/>
    <x v="2"/>
    <x v="0"/>
    <x v="135"/>
    <x v="1"/>
    <x v="3"/>
    <n v="0"/>
    <s v=""/>
  </r>
  <r>
    <x v="31"/>
    <x v="2"/>
    <x v="0"/>
    <x v="136"/>
    <x v="1"/>
    <x v="3"/>
    <n v="0"/>
    <s v=""/>
  </r>
  <r>
    <x v="31"/>
    <x v="2"/>
    <x v="0"/>
    <x v="137"/>
    <x v="1"/>
    <x v="3"/>
    <n v="0"/>
    <s v=""/>
  </r>
  <r>
    <x v="31"/>
    <x v="2"/>
    <x v="0"/>
    <x v="138"/>
    <x v="1"/>
    <x v="3"/>
    <n v="0"/>
    <s v=""/>
  </r>
  <r>
    <x v="31"/>
    <x v="2"/>
    <x v="0"/>
    <x v="139"/>
    <x v="1"/>
    <x v="3"/>
    <n v="0"/>
    <s v=""/>
  </r>
  <r>
    <x v="31"/>
    <x v="2"/>
    <x v="1"/>
    <x v="140"/>
    <x v="1"/>
    <x v="3"/>
    <n v="0"/>
    <s v=""/>
  </r>
  <r>
    <x v="31"/>
    <x v="2"/>
    <x v="1"/>
    <x v="141"/>
    <x v="1"/>
    <x v="3"/>
    <n v="0"/>
    <s v=""/>
  </r>
  <r>
    <x v="31"/>
    <x v="2"/>
    <x v="1"/>
    <x v="142"/>
    <x v="1"/>
    <x v="3"/>
    <n v="0"/>
    <s v=""/>
  </r>
  <r>
    <x v="31"/>
    <x v="2"/>
    <x v="1"/>
    <x v="143"/>
    <x v="1"/>
    <x v="3"/>
    <n v="0"/>
    <s v=""/>
  </r>
  <r>
    <x v="31"/>
    <x v="2"/>
    <x v="1"/>
    <x v="144"/>
    <x v="1"/>
    <x v="3"/>
    <n v="0"/>
    <s v=""/>
  </r>
  <r>
    <x v="31"/>
    <x v="2"/>
    <x v="1"/>
    <x v="145"/>
    <x v="1"/>
    <x v="3"/>
    <n v="0"/>
    <s v=""/>
  </r>
  <r>
    <x v="31"/>
    <x v="2"/>
    <x v="1"/>
    <x v="146"/>
    <x v="2"/>
    <x v="0"/>
    <n v="1"/>
    <s v=""/>
  </r>
  <r>
    <x v="31"/>
    <x v="2"/>
    <x v="1"/>
    <x v="147"/>
    <x v="1"/>
    <x v="3"/>
    <n v="0"/>
    <s v=""/>
  </r>
  <r>
    <x v="31"/>
    <x v="2"/>
    <x v="1"/>
    <x v="148"/>
    <x v="2"/>
    <x v="0"/>
    <n v="1"/>
    <s v=""/>
  </r>
  <r>
    <x v="31"/>
    <x v="2"/>
    <x v="1"/>
    <x v="149"/>
    <x v="2"/>
    <x v="2"/>
    <n v="1"/>
    <s v=""/>
  </r>
  <r>
    <x v="31"/>
    <x v="2"/>
    <x v="1"/>
    <x v="150"/>
    <x v="1"/>
    <x v="3"/>
    <n v="0"/>
    <s v=""/>
  </r>
  <r>
    <x v="31"/>
    <x v="2"/>
    <x v="1"/>
    <x v="151"/>
    <x v="1"/>
    <x v="3"/>
    <n v="0"/>
    <s v=""/>
  </r>
  <r>
    <x v="31"/>
    <x v="2"/>
    <x v="1"/>
    <x v="152"/>
    <x v="2"/>
    <x v="2"/>
    <n v="1"/>
    <s v=""/>
  </r>
  <r>
    <x v="31"/>
    <x v="2"/>
    <x v="1"/>
    <x v="153"/>
    <x v="1"/>
    <x v="3"/>
    <n v="0"/>
    <s v=""/>
  </r>
  <r>
    <x v="31"/>
    <x v="2"/>
    <x v="1"/>
    <x v="154"/>
    <x v="1"/>
    <x v="3"/>
    <n v="0"/>
    <s v=""/>
  </r>
  <r>
    <x v="31"/>
    <x v="2"/>
    <x v="1"/>
    <x v="155"/>
    <x v="1"/>
    <x v="3"/>
    <n v="0"/>
    <s v=""/>
  </r>
  <r>
    <x v="31"/>
    <x v="2"/>
    <x v="1"/>
    <x v="156"/>
    <x v="2"/>
    <x v="1"/>
    <n v="1"/>
    <s v=""/>
  </r>
  <r>
    <x v="31"/>
    <x v="2"/>
    <x v="1"/>
    <x v="157"/>
    <x v="2"/>
    <x v="0"/>
    <n v="2"/>
    <s v=""/>
  </r>
  <r>
    <x v="31"/>
    <x v="2"/>
    <x v="1"/>
    <x v="158"/>
    <x v="1"/>
    <x v="3"/>
    <n v="0"/>
    <s v=""/>
  </r>
  <r>
    <x v="31"/>
    <x v="2"/>
    <x v="1"/>
    <x v="159"/>
    <x v="1"/>
    <x v="3"/>
    <n v="0"/>
    <s v=""/>
  </r>
  <r>
    <x v="31"/>
    <x v="2"/>
    <x v="2"/>
    <x v="160"/>
    <x v="2"/>
    <x v="2"/>
    <n v="1"/>
    <s v=""/>
  </r>
  <r>
    <x v="31"/>
    <x v="2"/>
    <x v="2"/>
    <x v="161"/>
    <x v="2"/>
    <x v="0"/>
    <n v="1"/>
    <s v=""/>
  </r>
  <r>
    <x v="31"/>
    <x v="2"/>
    <x v="2"/>
    <x v="162"/>
    <x v="1"/>
    <x v="3"/>
    <n v="0"/>
    <s v=""/>
  </r>
  <r>
    <x v="31"/>
    <x v="2"/>
    <x v="2"/>
    <x v="163"/>
    <x v="2"/>
    <x v="2"/>
    <n v="2"/>
    <s v=""/>
  </r>
  <r>
    <x v="31"/>
    <x v="2"/>
    <x v="2"/>
    <x v="164"/>
    <x v="2"/>
    <x v="0"/>
    <n v="5"/>
    <s v=""/>
  </r>
  <r>
    <x v="31"/>
    <x v="2"/>
    <x v="2"/>
    <x v="165"/>
    <x v="1"/>
    <x v="3"/>
    <n v="0"/>
    <s v=""/>
  </r>
  <r>
    <x v="31"/>
    <x v="2"/>
    <x v="2"/>
    <x v="166"/>
    <x v="2"/>
    <x v="0"/>
    <n v="7"/>
    <s v=""/>
  </r>
  <r>
    <x v="31"/>
    <x v="2"/>
    <x v="2"/>
    <x v="167"/>
    <x v="1"/>
    <x v="3"/>
    <n v="0"/>
    <s v=""/>
  </r>
  <r>
    <x v="31"/>
    <x v="2"/>
    <x v="2"/>
    <x v="168"/>
    <x v="1"/>
    <x v="3"/>
    <n v="0"/>
    <s v=""/>
  </r>
  <r>
    <x v="31"/>
    <x v="2"/>
    <x v="2"/>
    <x v="169"/>
    <x v="2"/>
    <x v="1"/>
    <n v="1"/>
    <s v=""/>
  </r>
  <r>
    <x v="31"/>
    <x v="2"/>
    <x v="2"/>
    <x v="170"/>
    <x v="1"/>
    <x v="3"/>
    <n v="0"/>
    <s v=""/>
  </r>
  <r>
    <x v="31"/>
    <x v="2"/>
    <x v="2"/>
    <x v="171"/>
    <x v="1"/>
    <x v="3"/>
    <n v="0"/>
    <s v=""/>
  </r>
  <r>
    <x v="31"/>
    <x v="2"/>
    <x v="2"/>
    <x v="172"/>
    <x v="1"/>
    <x v="3"/>
    <n v="0"/>
    <s v=""/>
  </r>
  <r>
    <x v="31"/>
    <x v="2"/>
    <x v="2"/>
    <x v="173"/>
    <x v="1"/>
    <x v="3"/>
    <n v="0"/>
    <s v=""/>
  </r>
  <r>
    <x v="31"/>
    <x v="2"/>
    <x v="2"/>
    <x v="174"/>
    <x v="2"/>
    <x v="1"/>
    <n v="1"/>
    <s v=""/>
  </r>
  <r>
    <x v="31"/>
    <x v="2"/>
    <x v="2"/>
    <x v="174"/>
    <x v="2"/>
    <x v="0"/>
    <n v="3"/>
    <s v=""/>
  </r>
  <r>
    <x v="31"/>
    <x v="2"/>
    <x v="2"/>
    <x v="175"/>
    <x v="1"/>
    <x v="3"/>
    <n v="0"/>
    <s v=""/>
  </r>
  <r>
    <x v="31"/>
    <x v="2"/>
    <x v="2"/>
    <x v="176"/>
    <x v="1"/>
    <x v="3"/>
    <n v="0"/>
    <s v=""/>
  </r>
  <r>
    <x v="31"/>
    <x v="2"/>
    <x v="2"/>
    <x v="177"/>
    <x v="1"/>
    <x v="3"/>
    <n v="0"/>
    <s v=""/>
  </r>
  <r>
    <x v="31"/>
    <x v="2"/>
    <x v="2"/>
    <x v="178"/>
    <x v="1"/>
    <x v="3"/>
    <n v="0"/>
    <s v=""/>
  </r>
  <r>
    <x v="31"/>
    <x v="2"/>
    <x v="2"/>
    <x v="179"/>
    <x v="2"/>
    <x v="2"/>
    <n v="2"/>
    <s v=""/>
  </r>
  <r>
    <x v="32"/>
    <x v="0"/>
    <x v="0"/>
    <x v="0"/>
    <x v="1"/>
    <x v="3"/>
    <n v="0"/>
    <s v=""/>
  </r>
  <r>
    <x v="32"/>
    <x v="0"/>
    <x v="0"/>
    <x v="16"/>
    <x v="1"/>
    <x v="3"/>
    <n v="0"/>
    <s v=""/>
  </r>
  <r>
    <x v="32"/>
    <x v="0"/>
    <x v="0"/>
    <x v="15"/>
    <x v="5"/>
    <x v="0"/>
    <n v="1"/>
    <s v=""/>
  </r>
  <r>
    <x v="32"/>
    <x v="0"/>
    <x v="0"/>
    <x v="17"/>
    <x v="1"/>
    <x v="3"/>
    <n v="0"/>
    <s v=""/>
  </r>
  <r>
    <x v="32"/>
    <x v="0"/>
    <x v="0"/>
    <x v="14"/>
    <x v="1"/>
    <x v="3"/>
    <n v="0"/>
    <s v=""/>
  </r>
  <r>
    <x v="32"/>
    <x v="0"/>
    <x v="0"/>
    <x v="18"/>
    <x v="1"/>
    <x v="3"/>
    <n v="0"/>
    <s v=""/>
  </r>
  <r>
    <x v="32"/>
    <x v="0"/>
    <x v="0"/>
    <x v="13"/>
    <x v="1"/>
    <x v="3"/>
    <n v="0"/>
    <s v=""/>
  </r>
  <r>
    <x v="32"/>
    <x v="0"/>
    <x v="0"/>
    <x v="19"/>
    <x v="1"/>
    <x v="3"/>
    <n v="0"/>
    <s v=""/>
  </r>
  <r>
    <x v="32"/>
    <x v="0"/>
    <x v="0"/>
    <x v="20"/>
    <x v="1"/>
    <x v="3"/>
    <n v="0"/>
    <s v=""/>
  </r>
  <r>
    <x v="32"/>
    <x v="0"/>
    <x v="0"/>
    <x v="12"/>
    <x v="1"/>
    <x v="3"/>
    <n v="0"/>
    <s v=""/>
  </r>
  <r>
    <x v="32"/>
    <x v="0"/>
    <x v="0"/>
    <x v="21"/>
    <x v="1"/>
    <x v="3"/>
    <n v="0"/>
    <s v=""/>
  </r>
  <r>
    <x v="32"/>
    <x v="0"/>
    <x v="0"/>
    <x v="22"/>
    <x v="1"/>
    <x v="3"/>
    <n v="0"/>
    <s v=""/>
  </r>
  <r>
    <x v="32"/>
    <x v="0"/>
    <x v="0"/>
    <x v="23"/>
    <x v="1"/>
    <x v="3"/>
    <n v="0"/>
    <s v=""/>
  </r>
  <r>
    <x v="32"/>
    <x v="0"/>
    <x v="0"/>
    <x v="24"/>
    <x v="1"/>
    <x v="3"/>
    <n v="0"/>
    <s v=""/>
  </r>
  <r>
    <x v="32"/>
    <x v="0"/>
    <x v="0"/>
    <x v="25"/>
    <x v="1"/>
    <x v="3"/>
    <n v="0"/>
    <s v=""/>
  </r>
  <r>
    <x v="32"/>
    <x v="0"/>
    <x v="0"/>
    <x v="26"/>
    <x v="1"/>
    <x v="3"/>
    <n v="0"/>
    <s v=""/>
  </r>
  <r>
    <x v="32"/>
    <x v="0"/>
    <x v="0"/>
    <x v="27"/>
    <x v="1"/>
    <x v="3"/>
    <n v="0"/>
    <s v=""/>
  </r>
  <r>
    <x v="32"/>
    <x v="0"/>
    <x v="0"/>
    <x v="28"/>
    <x v="1"/>
    <x v="3"/>
    <n v="0"/>
    <s v=""/>
  </r>
  <r>
    <x v="32"/>
    <x v="0"/>
    <x v="0"/>
    <x v="11"/>
    <x v="1"/>
    <x v="3"/>
    <n v="0"/>
    <s v=""/>
  </r>
  <r>
    <x v="32"/>
    <x v="0"/>
    <x v="0"/>
    <x v="29"/>
    <x v="2"/>
    <x v="0"/>
    <n v="1"/>
    <s v=""/>
  </r>
  <r>
    <x v="32"/>
    <x v="0"/>
    <x v="1"/>
    <x v="30"/>
    <x v="1"/>
    <x v="3"/>
    <n v="0"/>
    <s v=""/>
  </r>
  <r>
    <x v="32"/>
    <x v="0"/>
    <x v="1"/>
    <x v="31"/>
    <x v="1"/>
    <x v="3"/>
    <n v="0"/>
    <s v=""/>
  </r>
  <r>
    <x v="32"/>
    <x v="0"/>
    <x v="1"/>
    <x v="32"/>
    <x v="1"/>
    <x v="3"/>
    <n v="0"/>
    <s v=""/>
  </r>
  <r>
    <x v="32"/>
    <x v="0"/>
    <x v="1"/>
    <x v="33"/>
    <x v="5"/>
    <x v="0"/>
    <n v="2"/>
    <s v=""/>
  </r>
  <r>
    <x v="32"/>
    <x v="0"/>
    <x v="1"/>
    <x v="10"/>
    <x v="1"/>
    <x v="3"/>
    <n v="0"/>
    <s v=""/>
  </r>
  <r>
    <x v="32"/>
    <x v="0"/>
    <x v="1"/>
    <x v="34"/>
    <x v="1"/>
    <x v="3"/>
    <n v="0"/>
    <s v=""/>
  </r>
  <r>
    <x v="32"/>
    <x v="0"/>
    <x v="1"/>
    <x v="35"/>
    <x v="1"/>
    <x v="3"/>
    <n v="0"/>
    <s v=""/>
  </r>
  <r>
    <x v="32"/>
    <x v="0"/>
    <x v="1"/>
    <x v="36"/>
    <x v="1"/>
    <x v="3"/>
    <n v="0"/>
    <s v=""/>
  </r>
  <r>
    <x v="32"/>
    <x v="0"/>
    <x v="1"/>
    <x v="37"/>
    <x v="1"/>
    <x v="3"/>
    <n v="0"/>
    <s v=""/>
  </r>
  <r>
    <x v="32"/>
    <x v="0"/>
    <x v="1"/>
    <x v="9"/>
    <x v="1"/>
    <x v="3"/>
    <n v="0"/>
    <s v=""/>
  </r>
  <r>
    <x v="32"/>
    <x v="0"/>
    <x v="1"/>
    <x v="38"/>
    <x v="5"/>
    <x v="2"/>
    <n v="1"/>
    <s v=""/>
  </r>
  <r>
    <x v="32"/>
    <x v="0"/>
    <x v="1"/>
    <x v="8"/>
    <x v="1"/>
    <x v="3"/>
    <n v="0"/>
    <s v=""/>
  </r>
  <r>
    <x v="32"/>
    <x v="0"/>
    <x v="1"/>
    <x v="39"/>
    <x v="1"/>
    <x v="3"/>
    <n v="0"/>
    <s v=""/>
  </r>
  <r>
    <x v="32"/>
    <x v="0"/>
    <x v="1"/>
    <x v="7"/>
    <x v="1"/>
    <x v="3"/>
    <n v="0"/>
    <s v=""/>
  </r>
  <r>
    <x v="32"/>
    <x v="0"/>
    <x v="1"/>
    <x v="6"/>
    <x v="1"/>
    <x v="3"/>
    <n v="0"/>
    <s v=""/>
  </r>
  <r>
    <x v="32"/>
    <x v="0"/>
    <x v="1"/>
    <x v="40"/>
    <x v="1"/>
    <x v="3"/>
    <n v="0"/>
    <s v=""/>
  </r>
  <r>
    <x v="32"/>
    <x v="0"/>
    <x v="1"/>
    <x v="41"/>
    <x v="1"/>
    <x v="3"/>
    <n v="0"/>
    <s v=""/>
  </r>
  <r>
    <x v="32"/>
    <x v="0"/>
    <x v="1"/>
    <x v="42"/>
    <x v="1"/>
    <x v="3"/>
    <n v="0"/>
    <s v=""/>
  </r>
  <r>
    <x v="32"/>
    <x v="0"/>
    <x v="1"/>
    <x v="5"/>
    <x v="1"/>
    <x v="3"/>
    <n v="0"/>
    <s v=""/>
  </r>
  <r>
    <x v="32"/>
    <x v="0"/>
    <x v="1"/>
    <x v="43"/>
    <x v="1"/>
    <x v="3"/>
    <n v="0"/>
    <s v=""/>
  </r>
  <r>
    <x v="32"/>
    <x v="0"/>
    <x v="2"/>
    <x v="44"/>
    <x v="1"/>
    <x v="3"/>
    <n v="0"/>
    <s v=""/>
  </r>
  <r>
    <x v="32"/>
    <x v="0"/>
    <x v="2"/>
    <x v="45"/>
    <x v="3"/>
    <x v="0"/>
    <n v="1"/>
    <s v=""/>
  </r>
  <r>
    <x v="32"/>
    <x v="0"/>
    <x v="2"/>
    <x v="46"/>
    <x v="1"/>
    <x v="3"/>
    <n v="0"/>
    <s v=""/>
  </r>
  <r>
    <x v="32"/>
    <x v="0"/>
    <x v="2"/>
    <x v="4"/>
    <x v="1"/>
    <x v="3"/>
    <n v="0"/>
    <s v=""/>
  </r>
  <r>
    <x v="32"/>
    <x v="0"/>
    <x v="2"/>
    <x v="47"/>
    <x v="1"/>
    <x v="3"/>
    <n v="0"/>
    <s v=""/>
  </r>
  <r>
    <x v="32"/>
    <x v="0"/>
    <x v="2"/>
    <x v="48"/>
    <x v="1"/>
    <x v="3"/>
    <n v="0"/>
    <s v=""/>
  </r>
  <r>
    <x v="32"/>
    <x v="0"/>
    <x v="2"/>
    <x v="49"/>
    <x v="1"/>
    <x v="3"/>
    <n v="0"/>
    <s v=""/>
  </r>
  <r>
    <x v="32"/>
    <x v="0"/>
    <x v="2"/>
    <x v="50"/>
    <x v="1"/>
    <x v="3"/>
    <n v="0"/>
    <s v=""/>
  </r>
  <r>
    <x v="32"/>
    <x v="0"/>
    <x v="2"/>
    <x v="3"/>
    <x v="1"/>
    <x v="3"/>
    <n v="0"/>
    <s v=""/>
  </r>
  <r>
    <x v="32"/>
    <x v="0"/>
    <x v="2"/>
    <x v="51"/>
    <x v="1"/>
    <x v="3"/>
    <n v="0"/>
    <s v=""/>
  </r>
  <r>
    <x v="32"/>
    <x v="0"/>
    <x v="2"/>
    <x v="2"/>
    <x v="1"/>
    <x v="3"/>
    <n v="0"/>
    <s v=""/>
  </r>
  <r>
    <x v="32"/>
    <x v="0"/>
    <x v="2"/>
    <x v="52"/>
    <x v="1"/>
    <x v="3"/>
    <n v="0"/>
    <s v=""/>
  </r>
  <r>
    <x v="32"/>
    <x v="0"/>
    <x v="2"/>
    <x v="53"/>
    <x v="1"/>
    <x v="3"/>
    <n v="0"/>
    <s v=""/>
  </r>
  <r>
    <x v="32"/>
    <x v="0"/>
    <x v="2"/>
    <x v="54"/>
    <x v="1"/>
    <x v="3"/>
    <n v="0"/>
    <s v=""/>
  </r>
  <r>
    <x v="32"/>
    <x v="0"/>
    <x v="2"/>
    <x v="1"/>
    <x v="1"/>
    <x v="3"/>
    <n v="0"/>
    <s v=""/>
  </r>
  <r>
    <x v="32"/>
    <x v="0"/>
    <x v="2"/>
    <x v="55"/>
    <x v="1"/>
    <x v="3"/>
    <n v="0"/>
    <s v=""/>
  </r>
  <r>
    <x v="32"/>
    <x v="0"/>
    <x v="2"/>
    <x v="56"/>
    <x v="1"/>
    <x v="3"/>
    <n v="0"/>
    <s v=""/>
  </r>
  <r>
    <x v="32"/>
    <x v="0"/>
    <x v="2"/>
    <x v="57"/>
    <x v="1"/>
    <x v="3"/>
    <n v="0"/>
    <s v=""/>
  </r>
  <r>
    <x v="32"/>
    <x v="0"/>
    <x v="2"/>
    <x v="58"/>
    <x v="1"/>
    <x v="3"/>
    <n v="0"/>
    <s v=""/>
  </r>
  <r>
    <x v="32"/>
    <x v="0"/>
    <x v="2"/>
    <x v="59"/>
    <x v="1"/>
    <x v="3"/>
    <n v="0"/>
    <s v=""/>
  </r>
  <r>
    <x v="32"/>
    <x v="1"/>
    <x v="0"/>
    <x v="60"/>
    <x v="0"/>
    <x v="0"/>
    <n v="1"/>
    <s v=""/>
  </r>
  <r>
    <x v="32"/>
    <x v="1"/>
    <x v="0"/>
    <x v="61"/>
    <x v="3"/>
    <x v="0"/>
    <n v="2"/>
    <s v=""/>
  </r>
  <r>
    <x v="32"/>
    <x v="1"/>
    <x v="0"/>
    <x v="62"/>
    <x v="1"/>
    <x v="3"/>
    <n v="0"/>
    <s v=""/>
  </r>
  <r>
    <x v="32"/>
    <x v="1"/>
    <x v="0"/>
    <x v="63"/>
    <x v="1"/>
    <x v="3"/>
    <n v="0"/>
    <s v=""/>
  </r>
  <r>
    <x v="32"/>
    <x v="1"/>
    <x v="0"/>
    <x v="64"/>
    <x v="1"/>
    <x v="3"/>
    <n v="0"/>
    <s v=""/>
  </r>
  <r>
    <x v="32"/>
    <x v="1"/>
    <x v="0"/>
    <x v="65"/>
    <x v="1"/>
    <x v="3"/>
    <n v="0"/>
    <s v=""/>
  </r>
  <r>
    <x v="32"/>
    <x v="1"/>
    <x v="0"/>
    <x v="66"/>
    <x v="1"/>
    <x v="3"/>
    <n v="0"/>
    <s v=""/>
  </r>
  <r>
    <x v="32"/>
    <x v="1"/>
    <x v="0"/>
    <x v="67"/>
    <x v="1"/>
    <x v="3"/>
    <n v="0"/>
    <s v=""/>
  </r>
  <r>
    <x v="32"/>
    <x v="1"/>
    <x v="0"/>
    <x v="68"/>
    <x v="1"/>
    <x v="3"/>
    <n v="0"/>
    <s v=""/>
  </r>
  <r>
    <x v="32"/>
    <x v="1"/>
    <x v="0"/>
    <x v="69"/>
    <x v="1"/>
    <x v="3"/>
    <n v="0"/>
    <s v=""/>
  </r>
  <r>
    <x v="32"/>
    <x v="1"/>
    <x v="0"/>
    <x v="70"/>
    <x v="1"/>
    <x v="3"/>
    <n v="0"/>
    <s v=""/>
  </r>
  <r>
    <x v="32"/>
    <x v="1"/>
    <x v="0"/>
    <x v="71"/>
    <x v="1"/>
    <x v="3"/>
    <n v="0"/>
    <s v=""/>
  </r>
  <r>
    <x v="32"/>
    <x v="1"/>
    <x v="0"/>
    <x v="72"/>
    <x v="1"/>
    <x v="3"/>
    <n v="0"/>
    <s v=""/>
  </r>
  <r>
    <x v="32"/>
    <x v="1"/>
    <x v="0"/>
    <x v="73"/>
    <x v="1"/>
    <x v="3"/>
    <n v="0"/>
    <s v=""/>
  </r>
  <r>
    <x v="32"/>
    <x v="1"/>
    <x v="0"/>
    <x v="74"/>
    <x v="3"/>
    <x v="1"/>
    <n v="1"/>
    <s v=""/>
  </r>
  <r>
    <x v="32"/>
    <x v="1"/>
    <x v="0"/>
    <x v="75"/>
    <x v="1"/>
    <x v="3"/>
    <n v="0"/>
    <s v=""/>
  </r>
  <r>
    <x v="32"/>
    <x v="1"/>
    <x v="0"/>
    <x v="76"/>
    <x v="1"/>
    <x v="3"/>
    <n v="0"/>
    <s v=""/>
  </r>
  <r>
    <x v="32"/>
    <x v="1"/>
    <x v="0"/>
    <x v="77"/>
    <x v="1"/>
    <x v="3"/>
    <n v="0"/>
    <s v=""/>
  </r>
  <r>
    <x v="32"/>
    <x v="1"/>
    <x v="0"/>
    <x v="78"/>
    <x v="1"/>
    <x v="3"/>
    <n v="0"/>
    <s v=""/>
  </r>
  <r>
    <x v="32"/>
    <x v="1"/>
    <x v="0"/>
    <x v="79"/>
    <x v="1"/>
    <x v="3"/>
    <n v="0"/>
    <s v=""/>
  </r>
  <r>
    <x v="32"/>
    <x v="1"/>
    <x v="1"/>
    <x v="80"/>
    <x v="1"/>
    <x v="3"/>
    <n v="0"/>
    <s v=""/>
  </r>
  <r>
    <x v="32"/>
    <x v="1"/>
    <x v="1"/>
    <x v="81"/>
    <x v="1"/>
    <x v="3"/>
    <n v="0"/>
    <s v=""/>
  </r>
  <r>
    <x v="32"/>
    <x v="1"/>
    <x v="1"/>
    <x v="82"/>
    <x v="5"/>
    <x v="0"/>
    <n v="1"/>
    <s v=""/>
  </r>
  <r>
    <x v="32"/>
    <x v="1"/>
    <x v="1"/>
    <x v="83"/>
    <x v="1"/>
    <x v="3"/>
    <n v="0"/>
    <s v=""/>
  </r>
  <r>
    <x v="32"/>
    <x v="1"/>
    <x v="1"/>
    <x v="84"/>
    <x v="1"/>
    <x v="3"/>
    <n v="1"/>
    <s v=""/>
  </r>
  <r>
    <x v="32"/>
    <x v="1"/>
    <x v="1"/>
    <x v="85"/>
    <x v="1"/>
    <x v="3"/>
    <n v="0"/>
    <s v=""/>
  </r>
  <r>
    <x v="32"/>
    <x v="1"/>
    <x v="1"/>
    <x v="86"/>
    <x v="1"/>
    <x v="3"/>
    <n v="1"/>
    <s v=""/>
  </r>
  <r>
    <x v="32"/>
    <x v="1"/>
    <x v="1"/>
    <x v="87"/>
    <x v="5"/>
    <x v="0"/>
    <n v="2"/>
    <s v=""/>
  </r>
  <r>
    <x v="32"/>
    <x v="1"/>
    <x v="1"/>
    <x v="88"/>
    <x v="5"/>
    <x v="1"/>
    <n v="1"/>
    <s v=""/>
  </r>
  <r>
    <x v="32"/>
    <x v="1"/>
    <x v="1"/>
    <x v="89"/>
    <x v="5"/>
    <x v="0"/>
    <n v="1"/>
    <s v=""/>
  </r>
  <r>
    <x v="32"/>
    <x v="1"/>
    <x v="1"/>
    <x v="90"/>
    <x v="5"/>
    <x v="0"/>
    <n v="3"/>
    <s v=""/>
  </r>
  <r>
    <x v="32"/>
    <x v="1"/>
    <x v="1"/>
    <x v="91"/>
    <x v="1"/>
    <x v="3"/>
    <n v="0"/>
    <s v=""/>
  </r>
  <r>
    <x v="32"/>
    <x v="1"/>
    <x v="1"/>
    <x v="92"/>
    <x v="1"/>
    <x v="3"/>
    <n v="0"/>
    <s v=""/>
  </r>
  <r>
    <x v="32"/>
    <x v="1"/>
    <x v="1"/>
    <x v="93"/>
    <x v="1"/>
    <x v="3"/>
    <n v="0"/>
    <s v=""/>
  </r>
  <r>
    <x v="32"/>
    <x v="1"/>
    <x v="1"/>
    <x v="94"/>
    <x v="5"/>
    <x v="0"/>
    <n v="2"/>
    <s v=""/>
  </r>
  <r>
    <x v="32"/>
    <x v="1"/>
    <x v="1"/>
    <x v="95"/>
    <x v="5"/>
    <x v="0"/>
    <n v="2"/>
    <s v=""/>
  </r>
  <r>
    <x v="32"/>
    <x v="1"/>
    <x v="1"/>
    <x v="96"/>
    <x v="1"/>
    <x v="3"/>
    <n v="0"/>
    <s v=""/>
  </r>
  <r>
    <x v="32"/>
    <x v="1"/>
    <x v="1"/>
    <x v="97"/>
    <x v="2"/>
    <x v="0"/>
    <n v="1"/>
    <s v=""/>
  </r>
  <r>
    <x v="32"/>
    <x v="1"/>
    <x v="1"/>
    <x v="97"/>
    <x v="5"/>
    <x v="1"/>
    <n v="1"/>
    <s v=""/>
  </r>
  <r>
    <x v="32"/>
    <x v="1"/>
    <x v="1"/>
    <x v="98"/>
    <x v="3"/>
    <x v="0"/>
    <n v="1"/>
    <s v=""/>
  </r>
  <r>
    <x v="32"/>
    <x v="1"/>
    <x v="1"/>
    <x v="99"/>
    <x v="1"/>
    <x v="3"/>
    <n v="0"/>
    <s v=""/>
  </r>
  <r>
    <x v="32"/>
    <x v="1"/>
    <x v="2"/>
    <x v="100"/>
    <x v="1"/>
    <x v="3"/>
    <n v="0"/>
    <s v=""/>
  </r>
  <r>
    <x v="32"/>
    <x v="1"/>
    <x v="2"/>
    <x v="101"/>
    <x v="5"/>
    <x v="0"/>
    <n v="2"/>
    <s v=""/>
  </r>
  <r>
    <x v="32"/>
    <x v="1"/>
    <x v="2"/>
    <x v="102"/>
    <x v="1"/>
    <x v="3"/>
    <n v="0"/>
    <s v=""/>
  </r>
  <r>
    <x v="32"/>
    <x v="1"/>
    <x v="2"/>
    <x v="103"/>
    <x v="2"/>
    <x v="0"/>
    <n v="1"/>
    <s v=""/>
  </r>
  <r>
    <x v="32"/>
    <x v="1"/>
    <x v="2"/>
    <x v="103"/>
    <x v="5"/>
    <x v="0"/>
    <n v="2"/>
    <s v=""/>
  </r>
  <r>
    <x v="32"/>
    <x v="1"/>
    <x v="2"/>
    <x v="104"/>
    <x v="5"/>
    <x v="0"/>
    <n v="4"/>
    <s v=""/>
  </r>
  <r>
    <x v="32"/>
    <x v="1"/>
    <x v="2"/>
    <x v="105"/>
    <x v="1"/>
    <x v="3"/>
    <n v="0"/>
    <s v=""/>
  </r>
  <r>
    <x v="32"/>
    <x v="1"/>
    <x v="2"/>
    <x v="106"/>
    <x v="1"/>
    <x v="3"/>
    <n v="0"/>
    <s v=""/>
  </r>
  <r>
    <x v="32"/>
    <x v="1"/>
    <x v="2"/>
    <x v="107"/>
    <x v="1"/>
    <x v="3"/>
    <n v="0"/>
    <s v=""/>
  </r>
  <r>
    <x v="32"/>
    <x v="1"/>
    <x v="2"/>
    <x v="108"/>
    <x v="2"/>
    <x v="1"/>
    <n v="1"/>
    <s v=""/>
  </r>
  <r>
    <x v="32"/>
    <x v="1"/>
    <x v="2"/>
    <x v="109"/>
    <x v="1"/>
    <x v="3"/>
    <n v="0"/>
    <s v=""/>
  </r>
  <r>
    <x v="32"/>
    <x v="1"/>
    <x v="2"/>
    <x v="110"/>
    <x v="3"/>
    <x v="1"/>
    <n v="1"/>
    <s v=""/>
  </r>
  <r>
    <x v="32"/>
    <x v="1"/>
    <x v="2"/>
    <x v="111"/>
    <x v="5"/>
    <x v="1"/>
    <n v="1"/>
    <s v=""/>
  </r>
  <r>
    <x v="32"/>
    <x v="1"/>
    <x v="2"/>
    <x v="112"/>
    <x v="1"/>
    <x v="3"/>
    <n v="0"/>
    <s v=""/>
  </r>
  <r>
    <x v="32"/>
    <x v="1"/>
    <x v="2"/>
    <x v="113"/>
    <x v="3"/>
    <x v="1"/>
    <n v="1"/>
    <s v=""/>
  </r>
  <r>
    <x v="32"/>
    <x v="1"/>
    <x v="2"/>
    <x v="114"/>
    <x v="1"/>
    <x v="3"/>
    <n v="0"/>
    <s v=""/>
  </r>
  <r>
    <x v="32"/>
    <x v="1"/>
    <x v="2"/>
    <x v="115"/>
    <x v="5"/>
    <x v="0"/>
    <n v="2"/>
    <s v=""/>
  </r>
  <r>
    <x v="32"/>
    <x v="1"/>
    <x v="2"/>
    <x v="116"/>
    <x v="1"/>
    <x v="3"/>
    <n v="0"/>
    <s v=""/>
  </r>
  <r>
    <x v="32"/>
    <x v="1"/>
    <x v="2"/>
    <x v="117"/>
    <x v="1"/>
    <x v="3"/>
    <n v="0"/>
    <s v=""/>
  </r>
  <r>
    <x v="32"/>
    <x v="1"/>
    <x v="2"/>
    <x v="118"/>
    <x v="5"/>
    <x v="0"/>
    <n v="3"/>
    <s v=""/>
  </r>
  <r>
    <x v="32"/>
    <x v="1"/>
    <x v="2"/>
    <x v="119"/>
    <x v="1"/>
    <x v="3"/>
    <n v="0"/>
    <s v=""/>
  </r>
  <r>
    <x v="32"/>
    <x v="2"/>
    <x v="0"/>
    <x v="120"/>
    <x v="1"/>
    <x v="3"/>
    <n v="0"/>
    <s v=""/>
  </r>
  <r>
    <x v="32"/>
    <x v="2"/>
    <x v="0"/>
    <x v="121"/>
    <x v="1"/>
    <x v="3"/>
    <n v="0"/>
    <s v=""/>
  </r>
  <r>
    <x v="32"/>
    <x v="2"/>
    <x v="0"/>
    <x v="122"/>
    <x v="1"/>
    <x v="3"/>
    <n v="0"/>
    <s v=""/>
  </r>
  <r>
    <x v="32"/>
    <x v="2"/>
    <x v="0"/>
    <x v="123"/>
    <x v="1"/>
    <x v="3"/>
    <n v="0"/>
    <s v=""/>
  </r>
  <r>
    <x v="32"/>
    <x v="2"/>
    <x v="0"/>
    <x v="124"/>
    <x v="1"/>
    <x v="3"/>
    <n v="0"/>
    <s v=""/>
  </r>
  <r>
    <x v="32"/>
    <x v="2"/>
    <x v="0"/>
    <x v="125"/>
    <x v="1"/>
    <x v="3"/>
    <n v="0"/>
    <s v=""/>
  </r>
  <r>
    <x v="32"/>
    <x v="2"/>
    <x v="0"/>
    <x v="126"/>
    <x v="1"/>
    <x v="3"/>
    <n v="0"/>
    <s v=""/>
  </r>
  <r>
    <x v="32"/>
    <x v="2"/>
    <x v="0"/>
    <x v="127"/>
    <x v="1"/>
    <x v="3"/>
    <n v="0"/>
    <s v=""/>
  </r>
  <r>
    <x v="32"/>
    <x v="2"/>
    <x v="0"/>
    <x v="128"/>
    <x v="1"/>
    <x v="3"/>
    <n v="0"/>
    <s v=""/>
  </r>
  <r>
    <x v="32"/>
    <x v="2"/>
    <x v="0"/>
    <x v="129"/>
    <x v="1"/>
    <x v="3"/>
    <n v="0"/>
    <s v=""/>
  </r>
  <r>
    <x v="32"/>
    <x v="2"/>
    <x v="0"/>
    <x v="130"/>
    <x v="1"/>
    <x v="3"/>
    <n v="0"/>
    <s v=""/>
  </r>
  <r>
    <x v="32"/>
    <x v="2"/>
    <x v="0"/>
    <x v="131"/>
    <x v="1"/>
    <x v="3"/>
    <n v="0"/>
    <s v=""/>
  </r>
  <r>
    <x v="32"/>
    <x v="2"/>
    <x v="0"/>
    <x v="132"/>
    <x v="1"/>
    <x v="3"/>
    <n v="0"/>
    <s v=""/>
  </r>
  <r>
    <x v="32"/>
    <x v="2"/>
    <x v="0"/>
    <x v="133"/>
    <x v="1"/>
    <x v="3"/>
    <n v="0"/>
    <s v=""/>
  </r>
  <r>
    <x v="32"/>
    <x v="2"/>
    <x v="0"/>
    <x v="134"/>
    <x v="1"/>
    <x v="3"/>
    <n v="0"/>
    <s v=""/>
  </r>
  <r>
    <x v="32"/>
    <x v="2"/>
    <x v="0"/>
    <x v="135"/>
    <x v="1"/>
    <x v="3"/>
    <n v="0"/>
    <s v=""/>
  </r>
  <r>
    <x v="32"/>
    <x v="2"/>
    <x v="0"/>
    <x v="136"/>
    <x v="1"/>
    <x v="3"/>
    <n v="0"/>
    <s v=""/>
  </r>
  <r>
    <x v="32"/>
    <x v="2"/>
    <x v="0"/>
    <x v="137"/>
    <x v="1"/>
    <x v="3"/>
    <n v="0"/>
    <s v=""/>
  </r>
  <r>
    <x v="32"/>
    <x v="2"/>
    <x v="0"/>
    <x v="138"/>
    <x v="1"/>
    <x v="3"/>
    <n v="0"/>
    <s v=""/>
  </r>
  <r>
    <x v="32"/>
    <x v="2"/>
    <x v="0"/>
    <x v="139"/>
    <x v="1"/>
    <x v="3"/>
    <n v="0"/>
    <s v=""/>
  </r>
  <r>
    <x v="32"/>
    <x v="2"/>
    <x v="1"/>
    <x v="140"/>
    <x v="1"/>
    <x v="3"/>
    <n v="0"/>
    <s v=""/>
  </r>
  <r>
    <x v="32"/>
    <x v="2"/>
    <x v="1"/>
    <x v="141"/>
    <x v="1"/>
    <x v="3"/>
    <n v="0"/>
    <s v=""/>
  </r>
  <r>
    <x v="32"/>
    <x v="2"/>
    <x v="1"/>
    <x v="142"/>
    <x v="0"/>
    <x v="0"/>
    <n v="1"/>
    <s v=""/>
  </r>
  <r>
    <x v="32"/>
    <x v="2"/>
    <x v="1"/>
    <x v="143"/>
    <x v="1"/>
    <x v="3"/>
    <n v="0"/>
    <s v=""/>
  </r>
  <r>
    <x v="32"/>
    <x v="2"/>
    <x v="1"/>
    <x v="144"/>
    <x v="1"/>
    <x v="3"/>
    <n v="0"/>
    <s v=""/>
  </r>
  <r>
    <x v="32"/>
    <x v="2"/>
    <x v="1"/>
    <x v="145"/>
    <x v="1"/>
    <x v="3"/>
    <n v="0"/>
    <s v=""/>
  </r>
  <r>
    <x v="32"/>
    <x v="2"/>
    <x v="1"/>
    <x v="146"/>
    <x v="1"/>
    <x v="3"/>
    <n v="0"/>
    <s v=""/>
  </r>
  <r>
    <x v="32"/>
    <x v="2"/>
    <x v="1"/>
    <x v="147"/>
    <x v="5"/>
    <x v="0"/>
    <n v="2"/>
    <s v=""/>
  </r>
  <r>
    <x v="32"/>
    <x v="2"/>
    <x v="1"/>
    <x v="148"/>
    <x v="1"/>
    <x v="3"/>
    <n v="0"/>
    <s v=""/>
  </r>
  <r>
    <x v="32"/>
    <x v="2"/>
    <x v="1"/>
    <x v="149"/>
    <x v="1"/>
    <x v="3"/>
    <n v="0"/>
    <s v=""/>
  </r>
  <r>
    <x v="32"/>
    <x v="2"/>
    <x v="1"/>
    <x v="150"/>
    <x v="1"/>
    <x v="3"/>
    <n v="0"/>
    <s v=""/>
  </r>
  <r>
    <x v="32"/>
    <x v="2"/>
    <x v="1"/>
    <x v="151"/>
    <x v="1"/>
    <x v="3"/>
    <n v="0"/>
    <s v=""/>
  </r>
  <r>
    <x v="32"/>
    <x v="2"/>
    <x v="1"/>
    <x v="152"/>
    <x v="1"/>
    <x v="3"/>
    <n v="0"/>
    <s v=""/>
  </r>
  <r>
    <x v="32"/>
    <x v="2"/>
    <x v="1"/>
    <x v="153"/>
    <x v="1"/>
    <x v="3"/>
    <n v="0"/>
    <s v=""/>
  </r>
  <r>
    <x v="32"/>
    <x v="2"/>
    <x v="1"/>
    <x v="154"/>
    <x v="1"/>
    <x v="3"/>
    <n v="0"/>
    <s v=""/>
  </r>
  <r>
    <x v="32"/>
    <x v="2"/>
    <x v="1"/>
    <x v="155"/>
    <x v="1"/>
    <x v="3"/>
    <n v="0"/>
    <s v=""/>
  </r>
  <r>
    <x v="32"/>
    <x v="2"/>
    <x v="1"/>
    <x v="156"/>
    <x v="1"/>
    <x v="3"/>
    <n v="0"/>
    <s v=""/>
  </r>
  <r>
    <x v="32"/>
    <x v="2"/>
    <x v="1"/>
    <x v="157"/>
    <x v="1"/>
    <x v="3"/>
    <n v="0"/>
    <s v=""/>
  </r>
  <r>
    <x v="32"/>
    <x v="2"/>
    <x v="1"/>
    <x v="158"/>
    <x v="1"/>
    <x v="3"/>
    <n v="0"/>
    <s v=""/>
  </r>
  <r>
    <x v="32"/>
    <x v="2"/>
    <x v="1"/>
    <x v="159"/>
    <x v="1"/>
    <x v="3"/>
    <n v="0"/>
    <s v=""/>
  </r>
  <r>
    <x v="32"/>
    <x v="2"/>
    <x v="2"/>
    <x v="160"/>
    <x v="1"/>
    <x v="3"/>
    <n v="0"/>
    <s v=""/>
  </r>
  <r>
    <x v="32"/>
    <x v="2"/>
    <x v="2"/>
    <x v="161"/>
    <x v="1"/>
    <x v="3"/>
    <n v="0"/>
    <s v=""/>
  </r>
  <r>
    <x v="32"/>
    <x v="2"/>
    <x v="2"/>
    <x v="162"/>
    <x v="1"/>
    <x v="3"/>
    <n v="0"/>
    <s v=""/>
  </r>
  <r>
    <x v="32"/>
    <x v="2"/>
    <x v="2"/>
    <x v="163"/>
    <x v="1"/>
    <x v="3"/>
    <n v="0"/>
    <s v=""/>
  </r>
  <r>
    <x v="32"/>
    <x v="2"/>
    <x v="2"/>
    <x v="164"/>
    <x v="1"/>
    <x v="3"/>
    <n v="0"/>
    <s v=""/>
  </r>
  <r>
    <x v="32"/>
    <x v="2"/>
    <x v="2"/>
    <x v="165"/>
    <x v="1"/>
    <x v="3"/>
    <n v="0"/>
    <s v=""/>
  </r>
  <r>
    <x v="32"/>
    <x v="2"/>
    <x v="2"/>
    <x v="166"/>
    <x v="1"/>
    <x v="3"/>
    <n v="0"/>
    <s v=""/>
  </r>
  <r>
    <x v="32"/>
    <x v="2"/>
    <x v="2"/>
    <x v="167"/>
    <x v="1"/>
    <x v="3"/>
    <n v="0"/>
    <s v=""/>
  </r>
  <r>
    <x v="32"/>
    <x v="2"/>
    <x v="2"/>
    <x v="168"/>
    <x v="1"/>
    <x v="3"/>
    <n v="0"/>
    <s v=""/>
  </r>
  <r>
    <x v="32"/>
    <x v="2"/>
    <x v="2"/>
    <x v="169"/>
    <x v="1"/>
    <x v="3"/>
    <n v="0"/>
    <s v=""/>
  </r>
  <r>
    <x v="32"/>
    <x v="2"/>
    <x v="2"/>
    <x v="170"/>
    <x v="1"/>
    <x v="3"/>
    <n v="0"/>
    <s v=""/>
  </r>
  <r>
    <x v="32"/>
    <x v="2"/>
    <x v="2"/>
    <x v="171"/>
    <x v="1"/>
    <x v="3"/>
    <n v="0"/>
    <s v=""/>
  </r>
  <r>
    <x v="32"/>
    <x v="2"/>
    <x v="2"/>
    <x v="172"/>
    <x v="1"/>
    <x v="3"/>
    <n v="0"/>
    <s v=""/>
  </r>
  <r>
    <x v="32"/>
    <x v="2"/>
    <x v="2"/>
    <x v="173"/>
    <x v="1"/>
    <x v="3"/>
    <n v="0"/>
    <s v=""/>
  </r>
  <r>
    <x v="32"/>
    <x v="2"/>
    <x v="2"/>
    <x v="174"/>
    <x v="1"/>
    <x v="3"/>
    <n v="0"/>
    <s v=""/>
  </r>
  <r>
    <x v="32"/>
    <x v="2"/>
    <x v="2"/>
    <x v="175"/>
    <x v="1"/>
    <x v="3"/>
    <n v="0"/>
    <s v=""/>
  </r>
  <r>
    <x v="32"/>
    <x v="2"/>
    <x v="2"/>
    <x v="176"/>
    <x v="1"/>
    <x v="3"/>
    <n v="0"/>
    <s v=""/>
  </r>
  <r>
    <x v="32"/>
    <x v="2"/>
    <x v="2"/>
    <x v="177"/>
    <x v="1"/>
    <x v="3"/>
    <n v="0"/>
    <s v=""/>
  </r>
  <r>
    <x v="32"/>
    <x v="2"/>
    <x v="2"/>
    <x v="178"/>
    <x v="1"/>
    <x v="3"/>
    <n v="0"/>
    <s v=""/>
  </r>
  <r>
    <x v="32"/>
    <x v="2"/>
    <x v="2"/>
    <x v="179"/>
    <x v="1"/>
    <x v="3"/>
    <n v="0"/>
    <s v=""/>
  </r>
  <r>
    <x v="33"/>
    <x v="0"/>
    <x v="0"/>
    <x v="0"/>
    <x v="2"/>
    <x v="0"/>
    <n v="1"/>
    <s v=""/>
  </r>
  <r>
    <x v="33"/>
    <x v="0"/>
    <x v="0"/>
    <x v="0"/>
    <x v="2"/>
    <x v="2"/>
    <n v="1"/>
    <s v=""/>
  </r>
  <r>
    <x v="33"/>
    <x v="0"/>
    <x v="0"/>
    <x v="16"/>
    <x v="1"/>
    <x v="3"/>
    <n v="0"/>
    <s v=""/>
  </r>
  <r>
    <x v="33"/>
    <x v="0"/>
    <x v="0"/>
    <x v="15"/>
    <x v="1"/>
    <x v="3"/>
    <n v="0"/>
    <s v=""/>
  </r>
  <r>
    <x v="33"/>
    <x v="0"/>
    <x v="0"/>
    <x v="17"/>
    <x v="1"/>
    <x v="3"/>
    <n v="0"/>
    <s v=""/>
  </r>
  <r>
    <x v="33"/>
    <x v="0"/>
    <x v="0"/>
    <x v="14"/>
    <x v="1"/>
    <x v="3"/>
    <n v="0"/>
    <s v=""/>
  </r>
  <r>
    <x v="33"/>
    <x v="0"/>
    <x v="0"/>
    <x v="18"/>
    <x v="0"/>
    <x v="0"/>
    <n v="1"/>
    <s v=""/>
  </r>
  <r>
    <x v="33"/>
    <x v="0"/>
    <x v="0"/>
    <x v="18"/>
    <x v="2"/>
    <x v="0"/>
    <n v="1"/>
    <s v=""/>
  </r>
  <r>
    <x v="33"/>
    <x v="0"/>
    <x v="0"/>
    <x v="13"/>
    <x v="1"/>
    <x v="3"/>
    <n v="0"/>
    <s v=""/>
  </r>
  <r>
    <x v="33"/>
    <x v="0"/>
    <x v="0"/>
    <x v="19"/>
    <x v="1"/>
    <x v="3"/>
    <n v="0"/>
    <s v=""/>
  </r>
  <r>
    <x v="33"/>
    <x v="0"/>
    <x v="0"/>
    <x v="20"/>
    <x v="0"/>
    <x v="1"/>
    <n v="1"/>
    <s v=""/>
  </r>
  <r>
    <x v="33"/>
    <x v="0"/>
    <x v="0"/>
    <x v="20"/>
    <x v="2"/>
    <x v="1"/>
    <n v="1"/>
    <s v=""/>
  </r>
  <r>
    <x v="33"/>
    <x v="0"/>
    <x v="0"/>
    <x v="20"/>
    <x v="2"/>
    <x v="0"/>
    <n v="5"/>
    <s v=""/>
  </r>
  <r>
    <x v="33"/>
    <x v="0"/>
    <x v="0"/>
    <x v="20"/>
    <x v="5"/>
    <x v="0"/>
    <n v="1"/>
    <s v=""/>
  </r>
  <r>
    <x v="33"/>
    <x v="0"/>
    <x v="0"/>
    <x v="12"/>
    <x v="2"/>
    <x v="1"/>
    <n v="1"/>
    <s v=""/>
  </r>
  <r>
    <x v="33"/>
    <x v="0"/>
    <x v="0"/>
    <x v="12"/>
    <x v="2"/>
    <x v="0"/>
    <n v="1"/>
    <s v=""/>
  </r>
  <r>
    <x v="33"/>
    <x v="0"/>
    <x v="0"/>
    <x v="21"/>
    <x v="1"/>
    <x v="3"/>
    <n v="0"/>
    <s v=""/>
  </r>
  <r>
    <x v="33"/>
    <x v="0"/>
    <x v="0"/>
    <x v="22"/>
    <x v="2"/>
    <x v="1"/>
    <n v="1"/>
    <s v=""/>
  </r>
  <r>
    <x v="33"/>
    <x v="0"/>
    <x v="0"/>
    <x v="23"/>
    <x v="1"/>
    <x v="3"/>
    <n v="0"/>
    <s v=""/>
  </r>
  <r>
    <x v="33"/>
    <x v="0"/>
    <x v="0"/>
    <x v="24"/>
    <x v="2"/>
    <x v="1"/>
    <n v="5"/>
    <s v=""/>
  </r>
  <r>
    <x v="33"/>
    <x v="0"/>
    <x v="0"/>
    <x v="24"/>
    <x v="2"/>
    <x v="0"/>
    <n v="1"/>
    <s v=""/>
  </r>
  <r>
    <x v="33"/>
    <x v="0"/>
    <x v="0"/>
    <x v="25"/>
    <x v="2"/>
    <x v="1"/>
    <n v="1"/>
    <s v=""/>
  </r>
  <r>
    <x v="33"/>
    <x v="0"/>
    <x v="0"/>
    <x v="26"/>
    <x v="1"/>
    <x v="3"/>
    <n v="0"/>
    <s v=""/>
  </r>
  <r>
    <x v="33"/>
    <x v="0"/>
    <x v="0"/>
    <x v="27"/>
    <x v="1"/>
    <x v="3"/>
    <n v="0"/>
    <s v=""/>
  </r>
  <r>
    <x v="33"/>
    <x v="0"/>
    <x v="0"/>
    <x v="28"/>
    <x v="2"/>
    <x v="0"/>
    <n v="1"/>
    <s v=""/>
  </r>
  <r>
    <x v="33"/>
    <x v="0"/>
    <x v="0"/>
    <x v="11"/>
    <x v="1"/>
    <x v="3"/>
    <n v="0"/>
    <s v=""/>
  </r>
  <r>
    <x v="33"/>
    <x v="0"/>
    <x v="0"/>
    <x v="29"/>
    <x v="1"/>
    <x v="3"/>
    <n v="0"/>
    <s v=""/>
  </r>
  <r>
    <x v="33"/>
    <x v="0"/>
    <x v="1"/>
    <x v="30"/>
    <x v="1"/>
    <x v="3"/>
    <n v="0"/>
    <s v=""/>
  </r>
  <r>
    <x v="33"/>
    <x v="0"/>
    <x v="1"/>
    <x v="31"/>
    <x v="0"/>
    <x v="0"/>
    <n v="2"/>
    <s v=""/>
  </r>
  <r>
    <x v="33"/>
    <x v="0"/>
    <x v="1"/>
    <x v="31"/>
    <x v="2"/>
    <x v="1"/>
    <n v="1"/>
    <s v=""/>
  </r>
  <r>
    <x v="33"/>
    <x v="0"/>
    <x v="1"/>
    <x v="31"/>
    <x v="2"/>
    <x v="0"/>
    <n v="1"/>
    <s v=""/>
  </r>
  <r>
    <x v="33"/>
    <x v="0"/>
    <x v="1"/>
    <x v="32"/>
    <x v="1"/>
    <x v="3"/>
    <n v="0"/>
    <s v=""/>
  </r>
  <r>
    <x v="33"/>
    <x v="0"/>
    <x v="1"/>
    <x v="33"/>
    <x v="2"/>
    <x v="0"/>
    <n v="2"/>
    <s v=""/>
  </r>
  <r>
    <x v="33"/>
    <x v="0"/>
    <x v="1"/>
    <x v="10"/>
    <x v="1"/>
    <x v="3"/>
    <n v="0"/>
    <s v=""/>
  </r>
  <r>
    <x v="33"/>
    <x v="0"/>
    <x v="1"/>
    <x v="34"/>
    <x v="1"/>
    <x v="3"/>
    <n v="0"/>
    <s v=""/>
  </r>
  <r>
    <x v="33"/>
    <x v="0"/>
    <x v="1"/>
    <x v="35"/>
    <x v="2"/>
    <x v="1"/>
    <n v="1"/>
    <s v=""/>
  </r>
  <r>
    <x v="33"/>
    <x v="0"/>
    <x v="1"/>
    <x v="36"/>
    <x v="1"/>
    <x v="3"/>
    <n v="0"/>
    <s v=""/>
  </r>
  <r>
    <x v="33"/>
    <x v="0"/>
    <x v="1"/>
    <x v="37"/>
    <x v="1"/>
    <x v="3"/>
    <n v="0"/>
    <s v=""/>
  </r>
  <r>
    <x v="33"/>
    <x v="0"/>
    <x v="1"/>
    <x v="9"/>
    <x v="1"/>
    <x v="3"/>
    <n v="0"/>
    <s v=""/>
  </r>
  <r>
    <x v="33"/>
    <x v="0"/>
    <x v="1"/>
    <x v="38"/>
    <x v="5"/>
    <x v="1"/>
    <n v="1"/>
    <s v=""/>
  </r>
  <r>
    <x v="33"/>
    <x v="0"/>
    <x v="1"/>
    <x v="8"/>
    <x v="1"/>
    <x v="3"/>
    <n v="0"/>
    <s v=""/>
  </r>
  <r>
    <x v="33"/>
    <x v="0"/>
    <x v="1"/>
    <x v="39"/>
    <x v="2"/>
    <x v="0"/>
    <n v="1"/>
    <s v=""/>
  </r>
  <r>
    <x v="33"/>
    <x v="0"/>
    <x v="1"/>
    <x v="7"/>
    <x v="1"/>
    <x v="3"/>
    <n v="0"/>
    <s v=""/>
  </r>
  <r>
    <x v="33"/>
    <x v="0"/>
    <x v="1"/>
    <x v="6"/>
    <x v="0"/>
    <x v="1"/>
    <n v="1"/>
    <s v=""/>
  </r>
  <r>
    <x v="33"/>
    <x v="0"/>
    <x v="1"/>
    <x v="6"/>
    <x v="2"/>
    <x v="1"/>
    <n v="2"/>
    <s v=""/>
  </r>
  <r>
    <x v="33"/>
    <x v="0"/>
    <x v="1"/>
    <x v="40"/>
    <x v="2"/>
    <x v="0"/>
    <n v="2"/>
    <s v=""/>
  </r>
  <r>
    <x v="33"/>
    <x v="0"/>
    <x v="1"/>
    <x v="41"/>
    <x v="1"/>
    <x v="3"/>
    <n v="0"/>
    <s v=""/>
  </r>
  <r>
    <x v="33"/>
    <x v="0"/>
    <x v="1"/>
    <x v="42"/>
    <x v="1"/>
    <x v="3"/>
    <n v="0"/>
    <s v=""/>
  </r>
  <r>
    <x v="33"/>
    <x v="0"/>
    <x v="1"/>
    <x v="5"/>
    <x v="3"/>
    <x v="0"/>
    <n v="2"/>
    <s v=""/>
  </r>
  <r>
    <x v="33"/>
    <x v="0"/>
    <x v="1"/>
    <x v="5"/>
    <x v="2"/>
    <x v="0"/>
    <n v="1"/>
    <s v=""/>
  </r>
  <r>
    <x v="33"/>
    <x v="0"/>
    <x v="1"/>
    <x v="43"/>
    <x v="1"/>
    <x v="3"/>
    <n v="0"/>
    <s v=""/>
  </r>
  <r>
    <x v="33"/>
    <x v="0"/>
    <x v="2"/>
    <x v="44"/>
    <x v="1"/>
    <x v="3"/>
    <n v="0"/>
    <s v=""/>
  </r>
  <r>
    <x v="33"/>
    <x v="0"/>
    <x v="2"/>
    <x v="45"/>
    <x v="1"/>
    <x v="3"/>
    <n v="0"/>
    <s v=""/>
  </r>
  <r>
    <x v="33"/>
    <x v="0"/>
    <x v="2"/>
    <x v="46"/>
    <x v="4"/>
    <x v="3"/>
    <s v=""/>
    <s v="plaque absente"/>
  </r>
  <r>
    <x v="33"/>
    <x v="0"/>
    <x v="2"/>
    <x v="4"/>
    <x v="1"/>
    <x v="3"/>
    <n v="0"/>
    <s v=""/>
  </r>
  <r>
    <x v="33"/>
    <x v="0"/>
    <x v="2"/>
    <x v="47"/>
    <x v="1"/>
    <x v="3"/>
    <n v="0"/>
    <s v=""/>
  </r>
  <r>
    <x v="33"/>
    <x v="0"/>
    <x v="2"/>
    <x v="48"/>
    <x v="3"/>
    <x v="0"/>
    <n v="1"/>
    <s v=""/>
  </r>
  <r>
    <x v="33"/>
    <x v="0"/>
    <x v="2"/>
    <x v="48"/>
    <x v="2"/>
    <x v="0"/>
    <n v="2"/>
    <s v=""/>
  </r>
  <r>
    <x v="33"/>
    <x v="0"/>
    <x v="2"/>
    <x v="49"/>
    <x v="2"/>
    <x v="0"/>
    <n v="2"/>
    <s v=""/>
  </r>
  <r>
    <x v="33"/>
    <x v="0"/>
    <x v="2"/>
    <x v="50"/>
    <x v="2"/>
    <x v="0"/>
    <n v="1"/>
    <s v=""/>
  </r>
  <r>
    <x v="33"/>
    <x v="0"/>
    <x v="2"/>
    <x v="3"/>
    <x v="1"/>
    <x v="3"/>
    <n v="0"/>
    <s v=""/>
  </r>
  <r>
    <x v="33"/>
    <x v="0"/>
    <x v="2"/>
    <x v="51"/>
    <x v="1"/>
    <x v="3"/>
    <n v="0"/>
    <s v=""/>
  </r>
  <r>
    <x v="33"/>
    <x v="0"/>
    <x v="2"/>
    <x v="2"/>
    <x v="5"/>
    <x v="1"/>
    <n v="1"/>
    <s v=""/>
  </r>
  <r>
    <x v="33"/>
    <x v="0"/>
    <x v="2"/>
    <x v="52"/>
    <x v="1"/>
    <x v="3"/>
    <n v="0"/>
    <s v=""/>
  </r>
  <r>
    <x v="33"/>
    <x v="0"/>
    <x v="2"/>
    <x v="53"/>
    <x v="0"/>
    <x v="0"/>
    <n v="1"/>
    <s v=""/>
  </r>
  <r>
    <x v="33"/>
    <x v="0"/>
    <x v="2"/>
    <x v="54"/>
    <x v="0"/>
    <x v="1"/>
    <n v="1"/>
    <s v=""/>
  </r>
  <r>
    <x v="33"/>
    <x v="0"/>
    <x v="2"/>
    <x v="54"/>
    <x v="2"/>
    <x v="0"/>
    <n v="2"/>
    <s v=""/>
  </r>
  <r>
    <x v="33"/>
    <x v="0"/>
    <x v="2"/>
    <x v="1"/>
    <x v="2"/>
    <x v="0"/>
    <n v="2"/>
    <s v=""/>
  </r>
  <r>
    <x v="33"/>
    <x v="0"/>
    <x v="2"/>
    <x v="55"/>
    <x v="2"/>
    <x v="0"/>
    <n v="1"/>
    <s v=""/>
  </r>
  <r>
    <x v="33"/>
    <x v="0"/>
    <x v="2"/>
    <x v="56"/>
    <x v="0"/>
    <x v="0"/>
    <n v="1"/>
    <s v=""/>
  </r>
  <r>
    <x v="33"/>
    <x v="0"/>
    <x v="2"/>
    <x v="57"/>
    <x v="2"/>
    <x v="0"/>
    <n v="1"/>
    <s v=""/>
  </r>
  <r>
    <x v="33"/>
    <x v="0"/>
    <x v="2"/>
    <x v="58"/>
    <x v="1"/>
    <x v="3"/>
    <n v="0"/>
    <s v=""/>
  </r>
  <r>
    <x v="33"/>
    <x v="0"/>
    <x v="2"/>
    <x v="59"/>
    <x v="0"/>
    <x v="1"/>
    <n v="1"/>
    <m/>
  </r>
  <r>
    <x v="33"/>
    <x v="1"/>
    <x v="0"/>
    <x v="60"/>
    <x v="2"/>
    <x v="1"/>
    <n v="2"/>
    <s v=""/>
  </r>
  <r>
    <x v="33"/>
    <x v="1"/>
    <x v="0"/>
    <x v="61"/>
    <x v="2"/>
    <x v="1"/>
    <n v="2"/>
    <s v=""/>
  </r>
  <r>
    <x v="33"/>
    <x v="1"/>
    <x v="0"/>
    <x v="61"/>
    <x v="2"/>
    <x v="0"/>
    <n v="2"/>
    <s v=""/>
  </r>
  <r>
    <x v="33"/>
    <x v="1"/>
    <x v="0"/>
    <x v="62"/>
    <x v="2"/>
    <x v="1"/>
    <n v="1"/>
    <s v=""/>
  </r>
  <r>
    <x v="33"/>
    <x v="1"/>
    <x v="0"/>
    <x v="63"/>
    <x v="2"/>
    <x v="0"/>
    <n v="1"/>
    <s v=""/>
  </r>
  <r>
    <x v="33"/>
    <x v="1"/>
    <x v="0"/>
    <x v="64"/>
    <x v="0"/>
    <x v="1"/>
    <n v="2"/>
    <s v=""/>
  </r>
  <r>
    <x v="33"/>
    <x v="1"/>
    <x v="0"/>
    <x v="64"/>
    <x v="2"/>
    <x v="0"/>
    <n v="1"/>
    <s v=""/>
  </r>
  <r>
    <x v="33"/>
    <x v="1"/>
    <x v="0"/>
    <x v="65"/>
    <x v="2"/>
    <x v="1"/>
    <n v="1"/>
    <s v=""/>
  </r>
  <r>
    <x v="33"/>
    <x v="1"/>
    <x v="0"/>
    <x v="65"/>
    <x v="2"/>
    <x v="0"/>
    <n v="1"/>
    <s v=""/>
  </r>
  <r>
    <x v="33"/>
    <x v="1"/>
    <x v="0"/>
    <x v="66"/>
    <x v="1"/>
    <x v="3"/>
    <n v="0"/>
    <s v=""/>
  </r>
  <r>
    <x v="33"/>
    <x v="1"/>
    <x v="0"/>
    <x v="67"/>
    <x v="1"/>
    <x v="3"/>
    <n v="0"/>
    <s v=""/>
  </r>
  <r>
    <x v="33"/>
    <x v="1"/>
    <x v="0"/>
    <x v="68"/>
    <x v="1"/>
    <x v="3"/>
    <n v="0"/>
    <s v=""/>
  </r>
  <r>
    <x v="33"/>
    <x v="1"/>
    <x v="0"/>
    <x v="69"/>
    <x v="3"/>
    <x v="1"/>
    <n v="1"/>
    <s v=""/>
  </r>
  <r>
    <x v="33"/>
    <x v="1"/>
    <x v="0"/>
    <x v="69"/>
    <x v="2"/>
    <x v="0"/>
    <n v="1"/>
    <s v=""/>
  </r>
  <r>
    <x v="33"/>
    <x v="1"/>
    <x v="0"/>
    <x v="70"/>
    <x v="1"/>
    <x v="3"/>
    <n v="0"/>
    <s v=""/>
  </r>
  <r>
    <x v="33"/>
    <x v="1"/>
    <x v="0"/>
    <x v="71"/>
    <x v="2"/>
    <x v="1"/>
    <n v="1"/>
    <s v=""/>
  </r>
  <r>
    <x v="33"/>
    <x v="1"/>
    <x v="0"/>
    <x v="72"/>
    <x v="2"/>
    <x v="1"/>
    <n v="3"/>
    <s v=""/>
  </r>
  <r>
    <x v="33"/>
    <x v="1"/>
    <x v="0"/>
    <x v="73"/>
    <x v="1"/>
    <x v="3"/>
    <n v="0"/>
    <s v=""/>
  </r>
  <r>
    <x v="33"/>
    <x v="1"/>
    <x v="0"/>
    <x v="74"/>
    <x v="1"/>
    <x v="3"/>
    <n v="0"/>
    <s v=""/>
  </r>
  <r>
    <x v="33"/>
    <x v="1"/>
    <x v="0"/>
    <x v="75"/>
    <x v="1"/>
    <x v="3"/>
    <n v="0"/>
    <s v=""/>
  </r>
  <r>
    <x v="33"/>
    <x v="1"/>
    <x v="0"/>
    <x v="76"/>
    <x v="1"/>
    <x v="3"/>
    <n v="0"/>
    <s v=""/>
  </r>
  <r>
    <x v="33"/>
    <x v="1"/>
    <x v="0"/>
    <x v="77"/>
    <x v="0"/>
    <x v="1"/>
    <n v="1"/>
    <s v=""/>
  </r>
  <r>
    <x v="33"/>
    <x v="1"/>
    <x v="0"/>
    <x v="77"/>
    <x v="2"/>
    <x v="1"/>
    <n v="1"/>
    <s v=""/>
  </r>
  <r>
    <x v="33"/>
    <x v="1"/>
    <x v="0"/>
    <x v="78"/>
    <x v="2"/>
    <x v="0"/>
    <n v="1"/>
    <s v=""/>
  </r>
  <r>
    <x v="33"/>
    <x v="1"/>
    <x v="0"/>
    <x v="79"/>
    <x v="2"/>
    <x v="1"/>
    <n v="2"/>
    <s v=""/>
  </r>
  <r>
    <x v="33"/>
    <x v="1"/>
    <x v="1"/>
    <x v="80"/>
    <x v="1"/>
    <x v="3"/>
    <n v="0"/>
    <s v=""/>
  </r>
  <r>
    <x v="33"/>
    <x v="1"/>
    <x v="1"/>
    <x v="81"/>
    <x v="1"/>
    <x v="3"/>
    <n v="0"/>
    <s v=""/>
  </r>
  <r>
    <x v="33"/>
    <x v="1"/>
    <x v="1"/>
    <x v="82"/>
    <x v="1"/>
    <x v="3"/>
    <n v="0"/>
    <s v=""/>
  </r>
  <r>
    <x v="33"/>
    <x v="1"/>
    <x v="1"/>
    <x v="83"/>
    <x v="2"/>
    <x v="1"/>
    <n v="1"/>
    <s v=""/>
  </r>
  <r>
    <x v="33"/>
    <x v="1"/>
    <x v="1"/>
    <x v="84"/>
    <x v="1"/>
    <x v="3"/>
    <n v="0"/>
    <s v=""/>
  </r>
  <r>
    <x v="33"/>
    <x v="1"/>
    <x v="1"/>
    <x v="85"/>
    <x v="1"/>
    <x v="3"/>
    <n v="0"/>
    <s v=""/>
  </r>
  <r>
    <x v="33"/>
    <x v="1"/>
    <x v="1"/>
    <x v="86"/>
    <x v="2"/>
    <x v="0"/>
    <n v="2"/>
    <s v=""/>
  </r>
  <r>
    <x v="33"/>
    <x v="1"/>
    <x v="1"/>
    <x v="86"/>
    <x v="5"/>
    <x v="0"/>
    <n v="2"/>
    <s v=""/>
  </r>
  <r>
    <x v="33"/>
    <x v="1"/>
    <x v="1"/>
    <x v="87"/>
    <x v="5"/>
    <x v="0"/>
    <n v="2"/>
    <s v=""/>
  </r>
  <r>
    <x v="33"/>
    <x v="1"/>
    <x v="1"/>
    <x v="88"/>
    <x v="1"/>
    <x v="3"/>
    <n v="0"/>
    <s v=""/>
  </r>
  <r>
    <x v="33"/>
    <x v="1"/>
    <x v="1"/>
    <x v="89"/>
    <x v="1"/>
    <x v="3"/>
    <n v="0"/>
    <s v=""/>
  </r>
  <r>
    <x v="33"/>
    <x v="1"/>
    <x v="1"/>
    <x v="90"/>
    <x v="1"/>
    <x v="3"/>
    <n v="0"/>
    <s v=""/>
  </r>
  <r>
    <x v="33"/>
    <x v="1"/>
    <x v="1"/>
    <x v="91"/>
    <x v="2"/>
    <x v="0"/>
    <n v="1"/>
    <s v=""/>
  </r>
  <r>
    <x v="33"/>
    <x v="1"/>
    <x v="1"/>
    <x v="91"/>
    <x v="2"/>
    <x v="2"/>
    <n v="2"/>
    <s v=""/>
  </r>
  <r>
    <x v="33"/>
    <x v="1"/>
    <x v="1"/>
    <x v="92"/>
    <x v="2"/>
    <x v="0"/>
    <n v="1"/>
    <s v=""/>
  </r>
  <r>
    <x v="33"/>
    <x v="1"/>
    <x v="1"/>
    <x v="93"/>
    <x v="1"/>
    <x v="3"/>
    <n v="0"/>
    <s v=""/>
  </r>
  <r>
    <x v="33"/>
    <x v="1"/>
    <x v="1"/>
    <x v="94"/>
    <x v="0"/>
    <x v="0"/>
    <n v="1"/>
    <s v=""/>
  </r>
  <r>
    <x v="33"/>
    <x v="1"/>
    <x v="1"/>
    <x v="95"/>
    <x v="1"/>
    <x v="3"/>
    <n v="0"/>
    <s v=""/>
  </r>
  <r>
    <x v="33"/>
    <x v="1"/>
    <x v="1"/>
    <x v="96"/>
    <x v="2"/>
    <x v="1"/>
    <n v="1"/>
    <s v=""/>
  </r>
  <r>
    <x v="33"/>
    <x v="1"/>
    <x v="1"/>
    <x v="96"/>
    <x v="2"/>
    <x v="2"/>
    <n v="1"/>
    <s v=""/>
  </r>
  <r>
    <x v="33"/>
    <x v="1"/>
    <x v="1"/>
    <x v="97"/>
    <x v="2"/>
    <x v="1"/>
    <n v="1"/>
    <s v=""/>
  </r>
  <r>
    <x v="33"/>
    <x v="1"/>
    <x v="1"/>
    <x v="97"/>
    <x v="2"/>
    <x v="0"/>
    <n v="1"/>
    <s v=""/>
  </r>
  <r>
    <x v="33"/>
    <x v="1"/>
    <x v="1"/>
    <x v="98"/>
    <x v="2"/>
    <x v="1"/>
    <n v="2"/>
    <s v=""/>
  </r>
  <r>
    <x v="33"/>
    <x v="1"/>
    <x v="1"/>
    <x v="98"/>
    <x v="5"/>
    <x v="1"/>
    <n v="2"/>
    <s v=""/>
  </r>
  <r>
    <x v="33"/>
    <x v="1"/>
    <x v="1"/>
    <x v="99"/>
    <x v="2"/>
    <x v="0"/>
    <n v="1"/>
    <s v=""/>
  </r>
  <r>
    <x v="33"/>
    <x v="1"/>
    <x v="2"/>
    <x v="100"/>
    <x v="1"/>
    <x v="3"/>
    <n v="0"/>
    <s v=""/>
  </r>
  <r>
    <x v="33"/>
    <x v="1"/>
    <x v="2"/>
    <x v="101"/>
    <x v="1"/>
    <x v="3"/>
    <n v="0"/>
    <s v=""/>
  </r>
  <r>
    <x v="33"/>
    <x v="1"/>
    <x v="2"/>
    <x v="102"/>
    <x v="1"/>
    <x v="3"/>
    <n v="0"/>
    <s v=""/>
  </r>
  <r>
    <x v="33"/>
    <x v="1"/>
    <x v="2"/>
    <x v="103"/>
    <x v="1"/>
    <x v="3"/>
    <n v="0"/>
    <s v=""/>
  </r>
  <r>
    <x v="33"/>
    <x v="1"/>
    <x v="2"/>
    <x v="104"/>
    <x v="1"/>
    <x v="3"/>
    <n v="0"/>
    <s v=""/>
  </r>
  <r>
    <x v="33"/>
    <x v="1"/>
    <x v="2"/>
    <x v="105"/>
    <x v="2"/>
    <x v="0"/>
    <n v="1"/>
    <s v=""/>
  </r>
  <r>
    <x v="33"/>
    <x v="1"/>
    <x v="2"/>
    <x v="106"/>
    <x v="1"/>
    <x v="3"/>
    <n v="0"/>
    <s v=""/>
  </r>
  <r>
    <x v="33"/>
    <x v="1"/>
    <x v="2"/>
    <x v="107"/>
    <x v="2"/>
    <x v="1"/>
    <n v="2"/>
    <s v=""/>
  </r>
  <r>
    <x v="33"/>
    <x v="1"/>
    <x v="2"/>
    <x v="108"/>
    <x v="1"/>
    <x v="3"/>
    <n v="0"/>
    <s v=""/>
  </r>
  <r>
    <x v="33"/>
    <x v="1"/>
    <x v="2"/>
    <x v="109"/>
    <x v="2"/>
    <x v="1"/>
    <n v="1"/>
    <s v=""/>
  </r>
  <r>
    <x v="33"/>
    <x v="1"/>
    <x v="2"/>
    <x v="109"/>
    <x v="2"/>
    <x v="0"/>
    <n v="1"/>
    <s v=""/>
  </r>
  <r>
    <x v="33"/>
    <x v="1"/>
    <x v="2"/>
    <x v="110"/>
    <x v="2"/>
    <x v="1"/>
    <n v="1"/>
    <s v=""/>
  </r>
  <r>
    <x v="33"/>
    <x v="1"/>
    <x v="2"/>
    <x v="111"/>
    <x v="1"/>
    <x v="3"/>
    <n v="0"/>
    <s v=""/>
  </r>
  <r>
    <x v="33"/>
    <x v="1"/>
    <x v="2"/>
    <x v="112"/>
    <x v="1"/>
    <x v="3"/>
    <n v="0"/>
    <s v=""/>
  </r>
  <r>
    <x v="33"/>
    <x v="1"/>
    <x v="2"/>
    <x v="113"/>
    <x v="5"/>
    <x v="1"/>
    <n v="1"/>
    <s v=""/>
  </r>
  <r>
    <x v="33"/>
    <x v="1"/>
    <x v="2"/>
    <x v="114"/>
    <x v="2"/>
    <x v="1"/>
    <n v="1"/>
    <s v=""/>
  </r>
  <r>
    <x v="33"/>
    <x v="1"/>
    <x v="2"/>
    <x v="114"/>
    <x v="5"/>
    <x v="1"/>
    <n v="1"/>
    <s v=""/>
  </r>
  <r>
    <x v="33"/>
    <x v="1"/>
    <x v="2"/>
    <x v="114"/>
    <x v="5"/>
    <x v="0"/>
    <n v="1"/>
    <s v=""/>
  </r>
  <r>
    <x v="33"/>
    <x v="1"/>
    <x v="2"/>
    <x v="115"/>
    <x v="5"/>
    <x v="1"/>
    <n v="4"/>
    <s v=""/>
  </r>
  <r>
    <x v="33"/>
    <x v="1"/>
    <x v="2"/>
    <x v="116"/>
    <x v="1"/>
    <x v="3"/>
    <n v="0"/>
    <s v=""/>
  </r>
  <r>
    <x v="33"/>
    <x v="1"/>
    <x v="2"/>
    <x v="117"/>
    <x v="1"/>
    <x v="3"/>
    <n v="0"/>
    <s v=""/>
  </r>
  <r>
    <x v="33"/>
    <x v="1"/>
    <x v="2"/>
    <x v="118"/>
    <x v="1"/>
    <x v="3"/>
    <n v="0"/>
    <s v=""/>
  </r>
  <r>
    <x v="33"/>
    <x v="1"/>
    <x v="2"/>
    <x v="119"/>
    <x v="1"/>
    <x v="3"/>
    <n v="0"/>
    <s v=""/>
  </r>
  <r>
    <x v="33"/>
    <x v="2"/>
    <x v="0"/>
    <x v="120"/>
    <x v="1"/>
    <x v="3"/>
    <n v="0"/>
    <s v=""/>
  </r>
  <r>
    <x v="33"/>
    <x v="2"/>
    <x v="0"/>
    <x v="121"/>
    <x v="1"/>
    <x v="3"/>
    <n v="0"/>
    <s v=""/>
  </r>
  <r>
    <x v="33"/>
    <x v="2"/>
    <x v="0"/>
    <x v="122"/>
    <x v="1"/>
    <x v="3"/>
    <n v="0"/>
    <s v=""/>
  </r>
  <r>
    <x v="33"/>
    <x v="2"/>
    <x v="0"/>
    <x v="123"/>
    <x v="1"/>
    <x v="3"/>
    <n v="0"/>
    <s v=""/>
  </r>
  <r>
    <x v="33"/>
    <x v="2"/>
    <x v="0"/>
    <x v="124"/>
    <x v="1"/>
    <x v="3"/>
    <n v="0"/>
    <s v=""/>
  </r>
  <r>
    <x v="33"/>
    <x v="2"/>
    <x v="0"/>
    <x v="125"/>
    <x v="1"/>
    <x v="3"/>
    <n v="0"/>
    <s v=""/>
  </r>
  <r>
    <x v="33"/>
    <x v="2"/>
    <x v="0"/>
    <x v="126"/>
    <x v="1"/>
    <x v="3"/>
    <n v="0"/>
    <s v=""/>
  </r>
  <r>
    <x v="33"/>
    <x v="2"/>
    <x v="0"/>
    <x v="127"/>
    <x v="1"/>
    <x v="3"/>
    <n v="0"/>
    <s v=""/>
  </r>
  <r>
    <x v="33"/>
    <x v="2"/>
    <x v="0"/>
    <x v="128"/>
    <x v="1"/>
    <x v="3"/>
    <n v="0"/>
    <s v=""/>
  </r>
  <r>
    <x v="33"/>
    <x v="2"/>
    <x v="0"/>
    <x v="129"/>
    <x v="1"/>
    <x v="3"/>
    <n v="0"/>
    <s v=""/>
  </r>
  <r>
    <x v="33"/>
    <x v="2"/>
    <x v="0"/>
    <x v="130"/>
    <x v="2"/>
    <x v="0"/>
    <n v="1"/>
    <s v=""/>
  </r>
  <r>
    <x v="33"/>
    <x v="2"/>
    <x v="0"/>
    <x v="131"/>
    <x v="1"/>
    <x v="3"/>
    <n v="0"/>
    <s v=""/>
  </r>
  <r>
    <x v="33"/>
    <x v="2"/>
    <x v="0"/>
    <x v="132"/>
    <x v="1"/>
    <x v="3"/>
    <n v="0"/>
    <s v=""/>
  </r>
  <r>
    <x v="33"/>
    <x v="2"/>
    <x v="0"/>
    <x v="133"/>
    <x v="1"/>
    <x v="3"/>
    <n v="0"/>
    <s v=""/>
  </r>
  <r>
    <x v="33"/>
    <x v="2"/>
    <x v="0"/>
    <x v="134"/>
    <x v="1"/>
    <x v="3"/>
    <n v="0"/>
    <s v=""/>
  </r>
  <r>
    <x v="33"/>
    <x v="2"/>
    <x v="0"/>
    <x v="135"/>
    <x v="1"/>
    <x v="3"/>
    <n v="0"/>
    <s v=""/>
  </r>
  <r>
    <x v="33"/>
    <x v="2"/>
    <x v="0"/>
    <x v="136"/>
    <x v="1"/>
    <x v="3"/>
    <n v="0"/>
    <s v=""/>
  </r>
  <r>
    <x v="33"/>
    <x v="2"/>
    <x v="0"/>
    <x v="137"/>
    <x v="1"/>
    <x v="3"/>
    <n v="0"/>
    <s v=""/>
  </r>
  <r>
    <x v="33"/>
    <x v="2"/>
    <x v="0"/>
    <x v="138"/>
    <x v="1"/>
    <x v="3"/>
    <n v="0"/>
    <s v=""/>
  </r>
  <r>
    <x v="33"/>
    <x v="2"/>
    <x v="0"/>
    <x v="139"/>
    <x v="1"/>
    <x v="3"/>
    <n v="0"/>
    <s v=""/>
  </r>
  <r>
    <x v="33"/>
    <x v="2"/>
    <x v="1"/>
    <x v="140"/>
    <x v="1"/>
    <x v="3"/>
    <n v="0"/>
    <s v=""/>
  </r>
  <r>
    <x v="33"/>
    <x v="2"/>
    <x v="1"/>
    <x v="141"/>
    <x v="1"/>
    <x v="3"/>
    <n v="0"/>
    <s v=""/>
  </r>
  <r>
    <x v="33"/>
    <x v="2"/>
    <x v="1"/>
    <x v="142"/>
    <x v="1"/>
    <x v="3"/>
    <n v="0"/>
    <s v=""/>
  </r>
  <r>
    <x v="33"/>
    <x v="2"/>
    <x v="1"/>
    <x v="143"/>
    <x v="1"/>
    <x v="3"/>
    <n v="0"/>
    <s v=""/>
  </r>
  <r>
    <x v="33"/>
    <x v="2"/>
    <x v="1"/>
    <x v="144"/>
    <x v="1"/>
    <x v="3"/>
    <n v="0"/>
    <s v=""/>
  </r>
  <r>
    <x v="33"/>
    <x v="2"/>
    <x v="1"/>
    <x v="145"/>
    <x v="1"/>
    <x v="3"/>
    <n v="0"/>
    <s v=""/>
  </r>
  <r>
    <x v="33"/>
    <x v="2"/>
    <x v="1"/>
    <x v="146"/>
    <x v="1"/>
    <x v="3"/>
    <n v="0"/>
    <s v=""/>
  </r>
  <r>
    <x v="33"/>
    <x v="2"/>
    <x v="1"/>
    <x v="147"/>
    <x v="1"/>
    <x v="3"/>
    <n v="0"/>
    <s v=""/>
  </r>
  <r>
    <x v="33"/>
    <x v="2"/>
    <x v="1"/>
    <x v="148"/>
    <x v="1"/>
    <x v="3"/>
    <n v="0"/>
    <s v=""/>
  </r>
  <r>
    <x v="33"/>
    <x v="2"/>
    <x v="1"/>
    <x v="149"/>
    <x v="1"/>
    <x v="3"/>
    <n v="0"/>
    <s v=""/>
  </r>
  <r>
    <x v="33"/>
    <x v="2"/>
    <x v="1"/>
    <x v="150"/>
    <x v="1"/>
    <x v="3"/>
    <n v="0"/>
    <s v=""/>
  </r>
  <r>
    <x v="33"/>
    <x v="2"/>
    <x v="1"/>
    <x v="151"/>
    <x v="1"/>
    <x v="3"/>
    <n v="0"/>
    <s v=""/>
  </r>
  <r>
    <x v="33"/>
    <x v="2"/>
    <x v="1"/>
    <x v="152"/>
    <x v="1"/>
    <x v="3"/>
    <n v="0"/>
    <s v=""/>
  </r>
  <r>
    <x v="33"/>
    <x v="2"/>
    <x v="1"/>
    <x v="153"/>
    <x v="2"/>
    <x v="0"/>
    <n v="1"/>
    <s v=""/>
  </r>
  <r>
    <x v="33"/>
    <x v="2"/>
    <x v="1"/>
    <x v="154"/>
    <x v="1"/>
    <x v="3"/>
    <n v="0"/>
    <s v=""/>
  </r>
  <r>
    <x v="33"/>
    <x v="2"/>
    <x v="1"/>
    <x v="155"/>
    <x v="1"/>
    <x v="3"/>
    <n v="0"/>
    <s v=""/>
  </r>
  <r>
    <x v="33"/>
    <x v="2"/>
    <x v="1"/>
    <x v="156"/>
    <x v="2"/>
    <x v="0"/>
    <n v="2"/>
    <s v=""/>
  </r>
  <r>
    <x v="33"/>
    <x v="2"/>
    <x v="1"/>
    <x v="157"/>
    <x v="2"/>
    <x v="0"/>
    <n v="2"/>
    <s v=""/>
  </r>
  <r>
    <x v="33"/>
    <x v="2"/>
    <x v="1"/>
    <x v="158"/>
    <x v="1"/>
    <x v="3"/>
    <n v="0"/>
    <s v=""/>
  </r>
  <r>
    <x v="33"/>
    <x v="2"/>
    <x v="1"/>
    <x v="159"/>
    <x v="2"/>
    <x v="0"/>
    <n v="2"/>
    <s v=""/>
  </r>
  <r>
    <x v="33"/>
    <x v="2"/>
    <x v="2"/>
    <x v="160"/>
    <x v="1"/>
    <x v="3"/>
    <n v="0"/>
    <s v=""/>
  </r>
  <r>
    <x v="33"/>
    <x v="2"/>
    <x v="2"/>
    <x v="161"/>
    <x v="1"/>
    <x v="3"/>
    <n v="0"/>
    <s v=""/>
  </r>
  <r>
    <x v="33"/>
    <x v="2"/>
    <x v="2"/>
    <x v="162"/>
    <x v="1"/>
    <x v="3"/>
    <n v="0"/>
    <s v=""/>
  </r>
  <r>
    <x v="33"/>
    <x v="2"/>
    <x v="2"/>
    <x v="163"/>
    <x v="2"/>
    <x v="0"/>
    <n v="1"/>
    <s v=""/>
  </r>
  <r>
    <x v="33"/>
    <x v="2"/>
    <x v="2"/>
    <x v="164"/>
    <x v="2"/>
    <x v="1"/>
    <n v="1"/>
    <s v=""/>
  </r>
  <r>
    <x v="33"/>
    <x v="2"/>
    <x v="2"/>
    <x v="165"/>
    <x v="1"/>
    <x v="3"/>
    <n v="0"/>
    <s v=""/>
  </r>
  <r>
    <x v="33"/>
    <x v="2"/>
    <x v="2"/>
    <x v="166"/>
    <x v="1"/>
    <x v="3"/>
    <n v="0"/>
    <s v=""/>
  </r>
  <r>
    <x v="33"/>
    <x v="2"/>
    <x v="2"/>
    <x v="167"/>
    <x v="1"/>
    <x v="3"/>
    <n v="0"/>
    <s v=""/>
  </r>
  <r>
    <x v="33"/>
    <x v="2"/>
    <x v="2"/>
    <x v="168"/>
    <x v="2"/>
    <x v="1"/>
    <n v="1"/>
    <s v=""/>
  </r>
  <r>
    <x v="33"/>
    <x v="2"/>
    <x v="2"/>
    <x v="169"/>
    <x v="2"/>
    <x v="1"/>
    <n v="1"/>
    <s v=""/>
  </r>
  <r>
    <x v="33"/>
    <x v="2"/>
    <x v="2"/>
    <x v="170"/>
    <x v="4"/>
    <x v="3"/>
    <s v=""/>
    <s v="plaque absente"/>
  </r>
  <r>
    <x v="33"/>
    <x v="2"/>
    <x v="2"/>
    <x v="171"/>
    <x v="2"/>
    <x v="2"/>
    <n v="1"/>
    <s v=""/>
  </r>
  <r>
    <x v="33"/>
    <x v="2"/>
    <x v="2"/>
    <x v="172"/>
    <x v="2"/>
    <x v="0"/>
    <n v="1"/>
    <s v=""/>
  </r>
  <r>
    <x v="33"/>
    <x v="2"/>
    <x v="2"/>
    <x v="173"/>
    <x v="2"/>
    <x v="0"/>
    <n v="2"/>
    <s v=""/>
  </r>
  <r>
    <x v="33"/>
    <x v="2"/>
    <x v="2"/>
    <x v="173"/>
    <x v="2"/>
    <x v="2"/>
    <n v="1"/>
    <s v=""/>
  </r>
  <r>
    <x v="33"/>
    <x v="2"/>
    <x v="2"/>
    <x v="174"/>
    <x v="0"/>
    <x v="0"/>
    <n v="1"/>
    <s v=""/>
  </r>
  <r>
    <x v="33"/>
    <x v="2"/>
    <x v="2"/>
    <x v="174"/>
    <x v="2"/>
    <x v="0"/>
    <n v="3"/>
    <s v=""/>
  </r>
  <r>
    <x v="33"/>
    <x v="2"/>
    <x v="2"/>
    <x v="174"/>
    <x v="2"/>
    <x v="2"/>
    <n v="1"/>
    <s v=""/>
  </r>
  <r>
    <x v="33"/>
    <x v="2"/>
    <x v="2"/>
    <x v="175"/>
    <x v="1"/>
    <x v="3"/>
    <n v="0"/>
    <s v=""/>
  </r>
  <r>
    <x v="33"/>
    <x v="2"/>
    <x v="2"/>
    <x v="176"/>
    <x v="2"/>
    <x v="0"/>
    <n v="1"/>
    <s v=""/>
  </r>
  <r>
    <x v="33"/>
    <x v="2"/>
    <x v="2"/>
    <x v="177"/>
    <x v="1"/>
    <x v="3"/>
    <n v="0"/>
    <s v=""/>
  </r>
  <r>
    <x v="33"/>
    <x v="2"/>
    <x v="2"/>
    <x v="178"/>
    <x v="1"/>
    <x v="3"/>
    <n v="0"/>
    <s v=""/>
  </r>
  <r>
    <x v="33"/>
    <x v="2"/>
    <x v="2"/>
    <x v="179"/>
    <x v="1"/>
    <x v="3"/>
    <n v="0"/>
    <s v=""/>
  </r>
  <r>
    <x v="34"/>
    <x v="0"/>
    <x v="0"/>
    <x v="0"/>
    <x v="1"/>
    <x v="3"/>
    <n v="0"/>
    <s v=""/>
  </r>
  <r>
    <x v="34"/>
    <x v="0"/>
    <x v="0"/>
    <x v="16"/>
    <x v="1"/>
    <x v="3"/>
    <n v="0"/>
    <s v=""/>
  </r>
  <r>
    <x v="34"/>
    <x v="0"/>
    <x v="0"/>
    <x v="15"/>
    <x v="1"/>
    <x v="3"/>
    <n v="0"/>
    <s v=""/>
  </r>
  <r>
    <x v="34"/>
    <x v="0"/>
    <x v="0"/>
    <x v="17"/>
    <x v="1"/>
    <x v="3"/>
    <n v="0"/>
    <s v=""/>
  </r>
  <r>
    <x v="34"/>
    <x v="0"/>
    <x v="0"/>
    <x v="14"/>
    <x v="1"/>
    <x v="3"/>
    <n v="0"/>
    <s v=""/>
  </r>
  <r>
    <x v="34"/>
    <x v="0"/>
    <x v="0"/>
    <x v="18"/>
    <x v="5"/>
    <x v="0"/>
    <n v="5"/>
    <m/>
  </r>
  <r>
    <x v="34"/>
    <x v="0"/>
    <x v="0"/>
    <x v="13"/>
    <x v="1"/>
    <x v="3"/>
    <n v="0"/>
    <s v=""/>
  </r>
  <r>
    <x v="34"/>
    <x v="0"/>
    <x v="0"/>
    <x v="19"/>
    <x v="1"/>
    <x v="3"/>
    <n v="0"/>
    <s v=""/>
  </r>
  <r>
    <x v="34"/>
    <x v="0"/>
    <x v="0"/>
    <x v="20"/>
    <x v="5"/>
    <x v="1"/>
    <n v="1"/>
    <m/>
  </r>
  <r>
    <x v="34"/>
    <x v="0"/>
    <x v="0"/>
    <x v="20"/>
    <x v="5"/>
    <x v="0"/>
    <n v="1"/>
    <m/>
  </r>
  <r>
    <x v="34"/>
    <x v="0"/>
    <x v="0"/>
    <x v="12"/>
    <x v="1"/>
    <x v="3"/>
    <n v="0"/>
    <s v=""/>
  </r>
  <r>
    <x v="34"/>
    <x v="0"/>
    <x v="0"/>
    <x v="21"/>
    <x v="1"/>
    <x v="3"/>
    <n v="0"/>
    <s v=""/>
  </r>
  <r>
    <x v="34"/>
    <x v="0"/>
    <x v="0"/>
    <x v="22"/>
    <x v="1"/>
    <x v="3"/>
    <n v="0"/>
    <s v=""/>
  </r>
  <r>
    <x v="34"/>
    <x v="0"/>
    <x v="0"/>
    <x v="23"/>
    <x v="1"/>
    <x v="3"/>
    <n v="0"/>
    <s v=""/>
  </r>
  <r>
    <x v="34"/>
    <x v="0"/>
    <x v="0"/>
    <x v="24"/>
    <x v="1"/>
    <x v="3"/>
    <n v="0"/>
    <s v=""/>
  </r>
  <r>
    <x v="34"/>
    <x v="0"/>
    <x v="0"/>
    <x v="25"/>
    <x v="1"/>
    <x v="3"/>
    <n v="0"/>
    <m/>
  </r>
  <r>
    <x v="34"/>
    <x v="0"/>
    <x v="0"/>
    <x v="26"/>
    <x v="5"/>
    <x v="0"/>
    <n v="1"/>
    <m/>
  </r>
  <r>
    <x v="34"/>
    <x v="0"/>
    <x v="0"/>
    <x v="27"/>
    <x v="1"/>
    <x v="3"/>
    <n v="0"/>
    <m/>
  </r>
  <r>
    <x v="34"/>
    <x v="0"/>
    <x v="0"/>
    <x v="28"/>
    <x v="1"/>
    <x v="3"/>
    <n v="0"/>
    <m/>
  </r>
  <r>
    <x v="34"/>
    <x v="0"/>
    <x v="0"/>
    <x v="11"/>
    <x v="1"/>
    <x v="3"/>
    <n v="0"/>
    <m/>
  </r>
  <r>
    <x v="34"/>
    <x v="0"/>
    <x v="0"/>
    <x v="29"/>
    <x v="1"/>
    <x v="3"/>
    <n v="0"/>
    <m/>
  </r>
  <r>
    <x v="34"/>
    <x v="0"/>
    <x v="1"/>
    <x v="30"/>
    <x v="5"/>
    <x v="0"/>
    <n v="1"/>
    <m/>
  </r>
  <r>
    <x v="34"/>
    <x v="0"/>
    <x v="1"/>
    <x v="31"/>
    <x v="1"/>
    <x v="4"/>
    <n v="0"/>
    <m/>
  </r>
  <r>
    <x v="34"/>
    <x v="0"/>
    <x v="1"/>
    <x v="32"/>
    <x v="1"/>
    <x v="4"/>
    <n v="0"/>
    <m/>
  </r>
  <r>
    <x v="34"/>
    <x v="0"/>
    <x v="1"/>
    <x v="33"/>
    <x v="1"/>
    <x v="4"/>
    <n v="0"/>
    <m/>
  </r>
  <r>
    <x v="34"/>
    <x v="0"/>
    <x v="1"/>
    <x v="10"/>
    <x v="1"/>
    <x v="4"/>
    <n v="0"/>
    <m/>
  </r>
  <r>
    <x v="34"/>
    <x v="0"/>
    <x v="1"/>
    <x v="34"/>
    <x v="1"/>
    <x v="4"/>
    <n v="0"/>
    <m/>
  </r>
  <r>
    <x v="34"/>
    <x v="0"/>
    <x v="1"/>
    <x v="35"/>
    <x v="1"/>
    <x v="4"/>
    <n v="0"/>
    <m/>
  </r>
  <r>
    <x v="34"/>
    <x v="0"/>
    <x v="1"/>
    <x v="36"/>
    <x v="1"/>
    <x v="4"/>
    <n v="0"/>
    <m/>
  </r>
  <r>
    <x v="34"/>
    <x v="0"/>
    <x v="1"/>
    <x v="37"/>
    <x v="1"/>
    <x v="4"/>
    <n v="0"/>
    <m/>
  </r>
  <r>
    <x v="34"/>
    <x v="0"/>
    <x v="1"/>
    <x v="9"/>
    <x v="1"/>
    <x v="4"/>
    <n v="0"/>
    <m/>
  </r>
  <r>
    <x v="34"/>
    <x v="0"/>
    <x v="1"/>
    <x v="38"/>
    <x v="1"/>
    <x v="4"/>
    <n v="0"/>
    <m/>
  </r>
  <r>
    <x v="34"/>
    <x v="0"/>
    <x v="1"/>
    <x v="8"/>
    <x v="1"/>
    <x v="4"/>
    <n v="0"/>
    <m/>
  </r>
  <r>
    <x v="34"/>
    <x v="0"/>
    <x v="1"/>
    <x v="39"/>
    <x v="1"/>
    <x v="4"/>
    <n v="0"/>
    <m/>
  </r>
  <r>
    <x v="34"/>
    <x v="0"/>
    <x v="1"/>
    <x v="7"/>
    <x v="1"/>
    <x v="4"/>
    <n v="0"/>
    <m/>
  </r>
  <r>
    <x v="34"/>
    <x v="0"/>
    <x v="1"/>
    <x v="6"/>
    <x v="1"/>
    <x v="4"/>
    <n v="0"/>
    <m/>
  </r>
  <r>
    <x v="34"/>
    <x v="0"/>
    <x v="1"/>
    <x v="40"/>
    <x v="1"/>
    <x v="4"/>
    <n v="0"/>
    <m/>
  </r>
  <r>
    <x v="34"/>
    <x v="0"/>
    <x v="1"/>
    <x v="41"/>
    <x v="1"/>
    <x v="4"/>
    <n v="0"/>
    <m/>
  </r>
  <r>
    <x v="34"/>
    <x v="0"/>
    <x v="1"/>
    <x v="42"/>
    <x v="1"/>
    <x v="4"/>
    <n v="0"/>
    <m/>
  </r>
  <r>
    <x v="34"/>
    <x v="0"/>
    <x v="1"/>
    <x v="5"/>
    <x v="1"/>
    <x v="4"/>
    <n v="0"/>
    <m/>
  </r>
  <r>
    <x v="34"/>
    <x v="0"/>
    <x v="1"/>
    <x v="43"/>
    <x v="1"/>
    <x v="4"/>
    <n v="0"/>
    <m/>
  </r>
  <r>
    <x v="34"/>
    <x v="0"/>
    <x v="2"/>
    <x v="44"/>
    <x v="1"/>
    <x v="4"/>
    <n v="0"/>
    <m/>
  </r>
  <r>
    <x v="34"/>
    <x v="0"/>
    <x v="2"/>
    <x v="45"/>
    <x v="1"/>
    <x v="4"/>
    <n v="0"/>
    <m/>
  </r>
  <r>
    <x v="34"/>
    <x v="0"/>
    <x v="2"/>
    <x v="46"/>
    <x v="1"/>
    <x v="4"/>
    <n v="0"/>
    <m/>
  </r>
  <r>
    <x v="34"/>
    <x v="0"/>
    <x v="2"/>
    <x v="4"/>
    <x v="1"/>
    <x v="4"/>
    <n v="0"/>
    <m/>
  </r>
  <r>
    <x v="34"/>
    <x v="0"/>
    <x v="2"/>
    <x v="47"/>
    <x v="1"/>
    <x v="4"/>
    <n v="0"/>
    <m/>
  </r>
  <r>
    <x v="34"/>
    <x v="0"/>
    <x v="2"/>
    <x v="48"/>
    <x v="1"/>
    <x v="4"/>
    <n v="0"/>
    <m/>
  </r>
  <r>
    <x v="34"/>
    <x v="0"/>
    <x v="2"/>
    <x v="49"/>
    <x v="1"/>
    <x v="4"/>
    <n v="0"/>
    <m/>
  </r>
  <r>
    <x v="34"/>
    <x v="0"/>
    <x v="2"/>
    <x v="50"/>
    <x v="1"/>
    <x v="4"/>
    <n v="0"/>
    <m/>
  </r>
  <r>
    <x v="34"/>
    <x v="0"/>
    <x v="2"/>
    <x v="3"/>
    <x v="1"/>
    <x v="4"/>
    <n v="0"/>
    <m/>
  </r>
  <r>
    <x v="34"/>
    <x v="0"/>
    <x v="2"/>
    <x v="51"/>
    <x v="1"/>
    <x v="4"/>
    <n v="0"/>
    <m/>
  </r>
  <r>
    <x v="34"/>
    <x v="0"/>
    <x v="2"/>
    <x v="2"/>
    <x v="1"/>
    <x v="4"/>
    <n v="0"/>
    <m/>
  </r>
  <r>
    <x v="34"/>
    <x v="0"/>
    <x v="2"/>
    <x v="52"/>
    <x v="1"/>
    <x v="4"/>
    <n v="0"/>
    <m/>
  </r>
  <r>
    <x v="34"/>
    <x v="0"/>
    <x v="2"/>
    <x v="53"/>
    <x v="1"/>
    <x v="4"/>
    <n v="0"/>
    <m/>
  </r>
  <r>
    <x v="34"/>
    <x v="0"/>
    <x v="2"/>
    <x v="54"/>
    <x v="1"/>
    <x v="4"/>
    <n v="0"/>
    <m/>
  </r>
  <r>
    <x v="34"/>
    <x v="0"/>
    <x v="2"/>
    <x v="1"/>
    <x v="1"/>
    <x v="4"/>
    <n v="0"/>
    <m/>
  </r>
  <r>
    <x v="34"/>
    <x v="0"/>
    <x v="2"/>
    <x v="55"/>
    <x v="1"/>
    <x v="4"/>
    <n v="0"/>
    <m/>
  </r>
  <r>
    <x v="34"/>
    <x v="0"/>
    <x v="2"/>
    <x v="56"/>
    <x v="1"/>
    <x v="4"/>
    <n v="0"/>
    <m/>
  </r>
  <r>
    <x v="34"/>
    <x v="0"/>
    <x v="2"/>
    <x v="57"/>
    <x v="1"/>
    <x v="4"/>
    <n v="0"/>
    <m/>
  </r>
  <r>
    <x v="34"/>
    <x v="0"/>
    <x v="2"/>
    <x v="58"/>
    <x v="1"/>
    <x v="4"/>
    <n v="0"/>
    <m/>
  </r>
  <r>
    <x v="34"/>
    <x v="0"/>
    <x v="2"/>
    <x v="59"/>
    <x v="1"/>
    <x v="4"/>
    <n v="0"/>
    <m/>
  </r>
  <r>
    <x v="34"/>
    <x v="1"/>
    <x v="0"/>
    <x v="60"/>
    <x v="1"/>
    <x v="4"/>
    <n v="0"/>
    <m/>
  </r>
  <r>
    <x v="34"/>
    <x v="1"/>
    <x v="0"/>
    <x v="61"/>
    <x v="1"/>
    <x v="4"/>
    <n v="0"/>
    <m/>
  </r>
  <r>
    <x v="34"/>
    <x v="1"/>
    <x v="0"/>
    <x v="62"/>
    <x v="1"/>
    <x v="4"/>
    <n v="0"/>
    <m/>
  </r>
  <r>
    <x v="34"/>
    <x v="1"/>
    <x v="0"/>
    <x v="63"/>
    <x v="1"/>
    <x v="4"/>
    <n v="0"/>
    <m/>
  </r>
  <r>
    <x v="34"/>
    <x v="1"/>
    <x v="0"/>
    <x v="64"/>
    <x v="1"/>
    <x v="4"/>
    <n v="0"/>
    <m/>
  </r>
  <r>
    <x v="34"/>
    <x v="1"/>
    <x v="0"/>
    <x v="65"/>
    <x v="1"/>
    <x v="4"/>
    <n v="0"/>
    <m/>
  </r>
  <r>
    <x v="34"/>
    <x v="1"/>
    <x v="0"/>
    <x v="66"/>
    <x v="1"/>
    <x v="4"/>
    <n v="0"/>
    <m/>
  </r>
  <r>
    <x v="34"/>
    <x v="1"/>
    <x v="0"/>
    <x v="67"/>
    <x v="1"/>
    <x v="4"/>
    <n v="0"/>
    <m/>
  </r>
  <r>
    <x v="34"/>
    <x v="1"/>
    <x v="0"/>
    <x v="68"/>
    <x v="1"/>
    <x v="4"/>
    <n v="0"/>
    <m/>
  </r>
  <r>
    <x v="34"/>
    <x v="1"/>
    <x v="0"/>
    <x v="69"/>
    <x v="1"/>
    <x v="4"/>
    <n v="0"/>
    <m/>
  </r>
  <r>
    <x v="34"/>
    <x v="1"/>
    <x v="0"/>
    <x v="70"/>
    <x v="1"/>
    <x v="4"/>
    <n v="0"/>
    <m/>
  </r>
  <r>
    <x v="34"/>
    <x v="1"/>
    <x v="0"/>
    <x v="71"/>
    <x v="1"/>
    <x v="4"/>
    <n v="0"/>
    <m/>
  </r>
  <r>
    <x v="34"/>
    <x v="1"/>
    <x v="0"/>
    <x v="72"/>
    <x v="1"/>
    <x v="4"/>
    <n v="0"/>
    <m/>
  </r>
  <r>
    <x v="34"/>
    <x v="1"/>
    <x v="0"/>
    <x v="73"/>
    <x v="1"/>
    <x v="4"/>
    <n v="0"/>
    <m/>
  </r>
  <r>
    <x v="34"/>
    <x v="1"/>
    <x v="0"/>
    <x v="74"/>
    <x v="1"/>
    <x v="4"/>
    <n v="0"/>
    <m/>
  </r>
  <r>
    <x v="34"/>
    <x v="1"/>
    <x v="0"/>
    <x v="75"/>
    <x v="1"/>
    <x v="4"/>
    <n v="0"/>
    <m/>
  </r>
  <r>
    <x v="34"/>
    <x v="1"/>
    <x v="0"/>
    <x v="76"/>
    <x v="1"/>
    <x v="4"/>
    <n v="0"/>
    <m/>
  </r>
  <r>
    <x v="34"/>
    <x v="1"/>
    <x v="0"/>
    <x v="77"/>
    <x v="1"/>
    <x v="4"/>
    <n v="0"/>
    <m/>
  </r>
  <r>
    <x v="34"/>
    <x v="1"/>
    <x v="0"/>
    <x v="78"/>
    <x v="1"/>
    <x v="4"/>
    <n v="0"/>
    <m/>
  </r>
  <r>
    <x v="34"/>
    <x v="1"/>
    <x v="0"/>
    <x v="79"/>
    <x v="1"/>
    <x v="4"/>
    <n v="0"/>
    <m/>
  </r>
  <r>
    <x v="34"/>
    <x v="1"/>
    <x v="1"/>
    <x v="80"/>
    <x v="1"/>
    <x v="4"/>
    <n v="0"/>
    <m/>
  </r>
  <r>
    <x v="34"/>
    <x v="1"/>
    <x v="1"/>
    <x v="81"/>
    <x v="1"/>
    <x v="4"/>
    <n v="0"/>
    <m/>
  </r>
  <r>
    <x v="34"/>
    <x v="1"/>
    <x v="1"/>
    <x v="82"/>
    <x v="1"/>
    <x v="4"/>
    <n v="0"/>
    <m/>
  </r>
  <r>
    <x v="34"/>
    <x v="1"/>
    <x v="1"/>
    <x v="83"/>
    <x v="1"/>
    <x v="4"/>
    <n v="0"/>
    <m/>
  </r>
  <r>
    <x v="34"/>
    <x v="1"/>
    <x v="1"/>
    <x v="84"/>
    <x v="1"/>
    <x v="4"/>
    <n v="0"/>
    <m/>
  </r>
  <r>
    <x v="34"/>
    <x v="1"/>
    <x v="1"/>
    <x v="85"/>
    <x v="1"/>
    <x v="4"/>
    <n v="0"/>
    <m/>
  </r>
  <r>
    <x v="34"/>
    <x v="1"/>
    <x v="1"/>
    <x v="86"/>
    <x v="1"/>
    <x v="4"/>
    <n v="0"/>
    <m/>
  </r>
  <r>
    <x v="34"/>
    <x v="1"/>
    <x v="1"/>
    <x v="87"/>
    <x v="1"/>
    <x v="4"/>
    <n v="0"/>
    <m/>
  </r>
  <r>
    <x v="34"/>
    <x v="1"/>
    <x v="1"/>
    <x v="88"/>
    <x v="1"/>
    <x v="4"/>
    <n v="0"/>
    <m/>
  </r>
  <r>
    <x v="34"/>
    <x v="1"/>
    <x v="1"/>
    <x v="89"/>
    <x v="1"/>
    <x v="4"/>
    <n v="0"/>
    <m/>
  </r>
  <r>
    <x v="34"/>
    <x v="1"/>
    <x v="1"/>
    <x v="90"/>
    <x v="1"/>
    <x v="4"/>
    <n v="0"/>
    <m/>
  </r>
  <r>
    <x v="34"/>
    <x v="1"/>
    <x v="1"/>
    <x v="91"/>
    <x v="1"/>
    <x v="4"/>
    <n v="0"/>
    <m/>
  </r>
  <r>
    <x v="34"/>
    <x v="1"/>
    <x v="1"/>
    <x v="92"/>
    <x v="1"/>
    <x v="4"/>
    <n v="0"/>
    <m/>
  </r>
  <r>
    <x v="34"/>
    <x v="1"/>
    <x v="1"/>
    <x v="93"/>
    <x v="1"/>
    <x v="4"/>
    <n v="0"/>
    <m/>
  </r>
  <r>
    <x v="34"/>
    <x v="1"/>
    <x v="1"/>
    <x v="94"/>
    <x v="1"/>
    <x v="4"/>
    <n v="0"/>
    <m/>
  </r>
  <r>
    <x v="34"/>
    <x v="1"/>
    <x v="1"/>
    <x v="95"/>
    <x v="1"/>
    <x v="4"/>
    <n v="0"/>
    <m/>
  </r>
  <r>
    <x v="34"/>
    <x v="1"/>
    <x v="1"/>
    <x v="96"/>
    <x v="1"/>
    <x v="4"/>
    <n v="0"/>
    <m/>
  </r>
  <r>
    <x v="34"/>
    <x v="1"/>
    <x v="1"/>
    <x v="97"/>
    <x v="1"/>
    <x v="4"/>
    <n v="0"/>
    <m/>
  </r>
  <r>
    <x v="34"/>
    <x v="1"/>
    <x v="1"/>
    <x v="98"/>
    <x v="1"/>
    <x v="4"/>
    <n v="0"/>
    <m/>
  </r>
  <r>
    <x v="34"/>
    <x v="1"/>
    <x v="1"/>
    <x v="99"/>
    <x v="1"/>
    <x v="4"/>
    <n v="0"/>
    <m/>
  </r>
  <r>
    <x v="34"/>
    <x v="1"/>
    <x v="2"/>
    <x v="100"/>
    <x v="1"/>
    <x v="4"/>
    <n v="0"/>
    <m/>
  </r>
  <r>
    <x v="34"/>
    <x v="1"/>
    <x v="2"/>
    <x v="101"/>
    <x v="1"/>
    <x v="4"/>
    <n v="0"/>
    <m/>
  </r>
  <r>
    <x v="34"/>
    <x v="1"/>
    <x v="2"/>
    <x v="102"/>
    <x v="1"/>
    <x v="4"/>
    <n v="0"/>
    <m/>
  </r>
  <r>
    <x v="34"/>
    <x v="1"/>
    <x v="2"/>
    <x v="103"/>
    <x v="1"/>
    <x v="4"/>
    <n v="0"/>
    <m/>
  </r>
  <r>
    <x v="34"/>
    <x v="1"/>
    <x v="2"/>
    <x v="104"/>
    <x v="1"/>
    <x v="4"/>
    <n v="0"/>
    <m/>
  </r>
  <r>
    <x v="34"/>
    <x v="1"/>
    <x v="2"/>
    <x v="105"/>
    <x v="5"/>
    <x v="0"/>
    <n v="2"/>
    <m/>
  </r>
  <r>
    <x v="34"/>
    <x v="1"/>
    <x v="2"/>
    <x v="106"/>
    <x v="1"/>
    <x v="4"/>
    <n v="0"/>
    <m/>
  </r>
  <r>
    <x v="34"/>
    <x v="1"/>
    <x v="2"/>
    <x v="107"/>
    <x v="1"/>
    <x v="4"/>
    <n v="0"/>
    <m/>
  </r>
  <r>
    <x v="34"/>
    <x v="1"/>
    <x v="2"/>
    <x v="108"/>
    <x v="1"/>
    <x v="4"/>
    <n v="0"/>
    <m/>
  </r>
  <r>
    <x v="34"/>
    <x v="1"/>
    <x v="2"/>
    <x v="109"/>
    <x v="1"/>
    <x v="4"/>
    <n v="0"/>
    <m/>
  </r>
  <r>
    <x v="34"/>
    <x v="1"/>
    <x v="2"/>
    <x v="110"/>
    <x v="5"/>
    <x v="0"/>
    <n v="1"/>
    <m/>
  </r>
  <r>
    <x v="34"/>
    <x v="1"/>
    <x v="2"/>
    <x v="111"/>
    <x v="1"/>
    <x v="4"/>
    <n v="0"/>
    <m/>
  </r>
  <r>
    <x v="34"/>
    <x v="1"/>
    <x v="2"/>
    <x v="112"/>
    <x v="1"/>
    <x v="4"/>
    <n v="0"/>
    <m/>
  </r>
  <r>
    <x v="34"/>
    <x v="1"/>
    <x v="2"/>
    <x v="113"/>
    <x v="1"/>
    <x v="4"/>
    <n v="0"/>
    <m/>
  </r>
  <r>
    <x v="34"/>
    <x v="1"/>
    <x v="2"/>
    <x v="114"/>
    <x v="1"/>
    <x v="4"/>
    <n v="0"/>
    <m/>
  </r>
  <r>
    <x v="34"/>
    <x v="1"/>
    <x v="2"/>
    <x v="115"/>
    <x v="5"/>
    <x v="1"/>
    <n v="1"/>
    <m/>
  </r>
  <r>
    <x v="34"/>
    <x v="1"/>
    <x v="2"/>
    <x v="115"/>
    <x v="5"/>
    <x v="0"/>
    <n v="1"/>
    <m/>
  </r>
  <r>
    <x v="34"/>
    <x v="1"/>
    <x v="2"/>
    <x v="116"/>
    <x v="1"/>
    <x v="4"/>
    <n v="0"/>
    <m/>
  </r>
  <r>
    <x v="34"/>
    <x v="1"/>
    <x v="2"/>
    <x v="117"/>
    <x v="1"/>
    <x v="4"/>
    <n v="0"/>
    <m/>
  </r>
  <r>
    <x v="34"/>
    <x v="1"/>
    <x v="2"/>
    <x v="118"/>
    <x v="1"/>
    <x v="4"/>
    <n v="0"/>
    <m/>
  </r>
  <r>
    <x v="34"/>
    <x v="1"/>
    <x v="2"/>
    <x v="119"/>
    <x v="1"/>
    <x v="4"/>
    <n v="0"/>
    <m/>
  </r>
  <r>
    <x v="34"/>
    <x v="2"/>
    <x v="0"/>
    <x v="120"/>
    <x v="1"/>
    <x v="3"/>
    <n v="0"/>
    <m/>
  </r>
  <r>
    <x v="34"/>
    <x v="2"/>
    <x v="0"/>
    <x v="121"/>
    <x v="1"/>
    <x v="3"/>
    <n v="0"/>
    <m/>
  </r>
  <r>
    <x v="34"/>
    <x v="2"/>
    <x v="0"/>
    <x v="122"/>
    <x v="1"/>
    <x v="3"/>
    <n v="0"/>
    <m/>
  </r>
  <r>
    <x v="34"/>
    <x v="2"/>
    <x v="0"/>
    <x v="123"/>
    <x v="1"/>
    <x v="3"/>
    <n v="0"/>
    <m/>
  </r>
  <r>
    <x v="34"/>
    <x v="2"/>
    <x v="0"/>
    <x v="124"/>
    <x v="1"/>
    <x v="3"/>
    <n v="0"/>
    <m/>
  </r>
  <r>
    <x v="34"/>
    <x v="2"/>
    <x v="0"/>
    <x v="125"/>
    <x v="1"/>
    <x v="3"/>
    <n v="0"/>
    <m/>
  </r>
  <r>
    <x v="34"/>
    <x v="2"/>
    <x v="0"/>
    <x v="126"/>
    <x v="1"/>
    <x v="3"/>
    <n v="0"/>
    <m/>
  </r>
  <r>
    <x v="34"/>
    <x v="2"/>
    <x v="0"/>
    <x v="127"/>
    <x v="1"/>
    <x v="3"/>
    <n v="0"/>
    <m/>
  </r>
  <r>
    <x v="34"/>
    <x v="2"/>
    <x v="0"/>
    <x v="128"/>
    <x v="6"/>
    <x v="3"/>
    <m/>
    <s v="plaque absente"/>
  </r>
  <r>
    <x v="34"/>
    <x v="2"/>
    <x v="0"/>
    <x v="129"/>
    <x v="1"/>
    <x v="3"/>
    <n v="0"/>
    <m/>
  </r>
  <r>
    <x v="34"/>
    <x v="2"/>
    <x v="0"/>
    <x v="130"/>
    <x v="1"/>
    <x v="3"/>
    <n v="0"/>
    <m/>
  </r>
  <r>
    <x v="34"/>
    <x v="2"/>
    <x v="0"/>
    <x v="131"/>
    <x v="1"/>
    <x v="3"/>
    <n v="0"/>
    <m/>
  </r>
  <r>
    <x v="34"/>
    <x v="2"/>
    <x v="0"/>
    <x v="132"/>
    <x v="1"/>
    <x v="3"/>
    <n v="0"/>
    <m/>
  </r>
  <r>
    <x v="34"/>
    <x v="2"/>
    <x v="0"/>
    <x v="133"/>
    <x v="1"/>
    <x v="3"/>
    <n v="0"/>
    <m/>
  </r>
  <r>
    <x v="34"/>
    <x v="2"/>
    <x v="0"/>
    <x v="134"/>
    <x v="1"/>
    <x v="3"/>
    <n v="0"/>
    <m/>
  </r>
  <r>
    <x v="34"/>
    <x v="2"/>
    <x v="0"/>
    <x v="135"/>
    <x v="1"/>
    <x v="3"/>
    <n v="0"/>
    <m/>
  </r>
  <r>
    <x v="34"/>
    <x v="2"/>
    <x v="0"/>
    <x v="136"/>
    <x v="1"/>
    <x v="3"/>
    <n v="0"/>
    <m/>
  </r>
  <r>
    <x v="34"/>
    <x v="2"/>
    <x v="0"/>
    <x v="137"/>
    <x v="1"/>
    <x v="3"/>
    <n v="0"/>
    <m/>
  </r>
  <r>
    <x v="34"/>
    <x v="2"/>
    <x v="0"/>
    <x v="138"/>
    <x v="1"/>
    <x v="3"/>
    <n v="0"/>
    <m/>
  </r>
  <r>
    <x v="34"/>
    <x v="2"/>
    <x v="0"/>
    <x v="139"/>
    <x v="1"/>
    <x v="3"/>
    <n v="0"/>
    <m/>
  </r>
  <r>
    <x v="34"/>
    <x v="2"/>
    <x v="1"/>
    <x v="140"/>
    <x v="2"/>
    <x v="0"/>
    <n v="2"/>
    <m/>
  </r>
  <r>
    <x v="34"/>
    <x v="2"/>
    <x v="1"/>
    <x v="141"/>
    <x v="1"/>
    <x v="3"/>
    <n v="0"/>
    <m/>
  </r>
  <r>
    <x v="34"/>
    <x v="2"/>
    <x v="1"/>
    <x v="142"/>
    <x v="1"/>
    <x v="4"/>
    <n v="0"/>
    <m/>
  </r>
  <r>
    <x v="34"/>
    <x v="2"/>
    <x v="1"/>
    <x v="143"/>
    <x v="1"/>
    <x v="3"/>
    <n v="0"/>
    <m/>
  </r>
  <r>
    <x v="34"/>
    <x v="2"/>
    <x v="1"/>
    <x v="144"/>
    <x v="1"/>
    <x v="3"/>
    <n v="0"/>
    <m/>
  </r>
  <r>
    <x v="34"/>
    <x v="2"/>
    <x v="1"/>
    <x v="145"/>
    <x v="1"/>
    <x v="3"/>
    <n v="0"/>
    <m/>
  </r>
  <r>
    <x v="34"/>
    <x v="2"/>
    <x v="1"/>
    <x v="146"/>
    <x v="1"/>
    <x v="3"/>
    <n v="0"/>
    <m/>
  </r>
  <r>
    <x v="34"/>
    <x v="2"/>
    <x v="1"/>
    <x v="147"/>
    <x v="1"/>
    <x v="4"/>
    <n v="0"/>
    <m/>
  </r>
  <r>
    <x v="34"/>
    <x v="2"/>
    <x v="1"/>
    <x v="148"/>
    <x v="5"/>
    <x v="1"/>
    <n v="1"/>
    <m/>
  </r>
  <r>
    <x v="34"/>
    <x v="2"/>
    <x v="1"/>
    <x v="149"/>
    <x v="1"/>
    <x v="3"/>
    <n v="0"/>
    <m/>
  </r>
  <r>
    <x v="34"/>
    <x v="2"/>
    <x v="1"/>
    <x v="150"/>
    <x v="1"/>
    <x v="3"/>
    <n v="0"/>
    <m/>
  </r>
  <r>
    <x v="34"/>
    <x v="2"/>
    <x v="1"/>
    <x v="151"/>
    <x v="1"/>
    <x v="3"/>
    <n v="0"/>
    <m/>
  </r>
  <r>
    <x v="34"/>
    <x v="2"/>
    <x v="1"/>
    <x v="152"/>
    <x v="1"/>
    <x v="3"/>
    <n v="0"/>
    <m/>
  </r>
  <r>
    <x v="34"/>
    <x v="2"/>
    <x v="1"/>
    <x v="153"/>
    <x v="1"/>
    <x v="3"/>
    <n v="0"/>
    <m/>
  </r>
  <r>
    <x v="34"/>
    <x v="2"/>
    <x v="1"/>
    <x v="154"/>
    <x v="1"/>
    <x v="3"/>
    <n v="0"/>
    <m/>
  </r>
  <r>
    <x v="34"/>
    <x v="2"/>
    <x v="1"/>
    <x v="155"/>
    <x v="1"/>
    <x v="3"/>
    <n v="0"/>
    <m/>
  </r>
  <r>
    <x v="34"/>
    <x v="2"/>
    <x v="1"/>
    <x v="156"/>
    <x v="1"/>
    <x v="3"/>
    <n v="0"/>
    <m/>
  </r>
  <r>
    <x v="34"/>
    <x v="2"/>
    <x v="1"/>
    <x v="157"/>
    <x v="1"/>
    <x v="3"/>
    <n v="0"/>
    <m/>
  </r>
  <r>
    <x v="34"/>
    <x v="2"/>
    <x v="1"/>
    <x v="158"/>
    <x v="1"/>
    <x v="3"/>
    <n v="0"/>
    <m/>
  </r>
  <r>
    <x v="34"/>
    <x v="2"/>
    <x v="1"/>
    <x v="159"/>
    <x v="1"/>
    <x v="3"/>
    <n v="0"/>
    <m/>
  </r>
  <r>
    <x v="34"/>
    <x v="2"/>
    <x v="2"/>
    <x v="160"/>
    <x v="1"/>
    <x v="3"/>
    <n v="0"/>
    <m/>
  </r>
  <r>
    <x v="34"/>
    <x v="2"/>
    <x v="2"/>
    <x v="161"/>
    <x v="1"/>
    <x v="3"/>
    <n v="0"/>
    <m/>
  </r>
  <r>
    <x v="34"/>
    <x v="2"/>
    <x v="2"/>
    <x v="162"/>
    <x v="1"/>
    <x v="3"/>
    <n v="0"/>
    <m/>
  </r>
  <r>
    <x v="34"/>
    <x v="2"/>
    <x v="2"/>
    <x v="163"/>
    <x v="1"/>
    <x v="3"/>
    <n v="0"/>
    <m/>
  </r>
  <r>
    <x v="34"/>
    <x v="2"/>
    <x v="2"/>
    <x v="164"/>
    <x v="1"/>
    <x v="3"/>
    <n v="0"/>
    <m/>
  </r>
  <r>
    <x v="34"/>
    <x v="2"/>
    <x v="2"/>
    <x v="165"/>
    <x v="1"/>
    <x v="3"/>
    <n v="0"/>
    <m/>
  </r>
  <r>
    <x v="34"/>
    <x v="2"/>
    <x v="2"/>
    <x v="166"/>
    <x v="1"/>
    <x v="3"/>
    <n v="0"/>
    <m/>
  </r>
  <r>
    <x v="34"/>
    <x v="2"/>
    <x v="2"/>
    <x v="167"/>
    <x v="1"/>
    <x v="3"/>
    <n v="0"/>
    <m/>
  </r>
  <r>
    <x v="34"/>
    <x v="2"/>
    <x v="2"/>
    <x v="168"/>
    <x v="1"/>
    <x v="3"/>
    <n v="0"/>
    <m/>
  </r>
  <r>
    <x v="34"/>
    <x v="2"/>
    <x v="2"/>
    <x v="169"/>
    <x v="1"/>
    <x v="3"/>
    <n v="0"/>
    <m/>
  </r>
  <r>
    <x v="34"/>
    <x v="2"/>
    <x v="2"/>
    <x v="170"/>
    <x v="1"/>
    <x v="3"/>
    <n v="0"/>
    <m/>
  </r>
  <r>
    <x v="34"/>
    <x v="2"/>
    <x v="2"/>
    <x v="171"/>
    <x v="1"/>
    <x v="3"/>
    <n v="0"/>
    <m/>
  </r>
  <r>
    <x v="34"/>
    <x v="2"/>
    <x v="2"/>
    <x v="172"/>
    <x v="1"/>
    <x v="3"/>
    <n v="0"/>
    <m/>
  </r>
  <r>
    <x v="34"/>
    <x v="2"/>
    <x v="2"/>
    <x v="173"/>
    <x v="1"/>
    <x v="3"/>
    <n v="0"/>
    <m/>
  </r>
  <r>
    <x v="34"/>
    <x v="2"/>
    <x v="2"/>
    <x v="174"/>
    <x v="1"/>
    <x v="3"/>
    <n v="0"/>
    <m/>
  </r>
  <r>
    <x v="34"/>
    <x v="2"/>
    <x v="2"/>
    <x v="175"/>
    <x v="1"/>
    <x v="3"/>
    <n v="0"/>
    <m/>
  </r>
  <r>
    <x v="34"/>
    <x v="2"/>
    <x v="2"/>
    <x v="176"/>
    <x v="1"/>
    <x v="3"/>
    <n v="0"/>
    <m/>
  </r>
  <r>
    <x v="34"/>
    <x v="2"/>
    <x v="2"/>
    <x v="177"/>
    <x v="1"/>
    <x v="3"/>
    <n v="0"/>
    <m/>
  </r>
  <r>
    <x v="34"/>
    <x v="2"/>
    <x v="2"/>
    <x v="178"/>
    <x v="1"/>
    <x v="3"/>
    <n v="0"/>
    <m/>
  </r>
  <r>
    <x v="34"/>
    <x v="2"/>
    <x v="2"/>
    <x v="179"/>
    <x v="1"/>
    <x v="3"/>
    <n v="0"/>
    <m/>
  </r>
  <r>
    <x v="35"/>
    <x v="0"/>
    <x v="0"/>
    <x v="0"/>
    <x v="1"/>
    <x v="4"/>
    <n v="0"/>
    <m/>
  </r>
  <r>
    <x v="35"/>
    <x v="0"/>
    <x v="0"/>
    <x v="16"/>
    <x v="2"/>
    <x v="0"/>
    <n v="2"/>
    <m/>
  </r>
  <r>
    <x v="35"/>
    <x v="0"/>
    <x v="0"/>
    <x v="15"/>
    <x v="2"/>
    <x v="0"/>
    <n v="1"/>
    <m/>
  </r>
  <r>
    <x v="35"/>
    <x v="0"/>
    <x v="0"/>
    <x v="17"/>
    <x v="2"/>
    <x v="1"/>
    <n v="1"/>
    <m/>
  </r>
  <r>
    <x v="35"/>
    <x v="0"/>
    <x v="0"/>
    <x v="17"/>
    <x v="2"/>
    <x v="0"/>
    <n v="3"/>
    <m/>
  </r>
  <r>
    <x v="35"/>
    <x v="0"/>
    <x v="0"/>
    <x v="14"/>
    <x v="1"/>
    <x v="4"/>
    <n v="0"/>
    <m/>
  </r>
  <r>
    <x v="35"/>
    <x v="0"/>
    <x v="0"/>
    <x v="18"/>
    <x v="1"/>
    <x v="4"/>
    <n v="0"/>
    <m/>
  </r>
  <r>
    <x v="35"/>
    <x v="0"/>
    <x v="0"/>
    <x v="13"/>
    <x v="7"/>
    <x v="2"/>
    <n v="1"/>
    <m/>
  </r>
  <r>
    <x v="35"/>
    <x v="0"/>
    <x v="0"/>
    <x v="19"/>
    <x v="1"/>
    <x v="4"/>
    <n v="0"/>
    <m/>
  </r>
  <r>
    <x v="35"/>
    <x v="0"/>
    <x v="0"/>
    <x v="20"/>
    <x v="2"/>
    <x v="1"/>
    <n v="1"/>
    <m/>
  </r>
  <r>
    <x v="35"/>
    <x v="0"/>
    <x v="0"/>
    <x v="12"/>
    <x v="2"/>
    <x v="1"/>
    <n v="3"/>
    <m/>
  </r>
  <r>
    <x v="35"/>
    <x v="0"/>
    <x v="0"/>
    <x v="12"/>
    <x v="2"/>
    <x v="0"/>
    <n v="1"/>
    <m/>
  </r>
  <r>
    <x v="35"/>
    <x v="0"/>
    <x v="0"/>
    <x v="21"/>
    <x v="1"/>
    <x v="4"/>
    <n v="0"/>
    <m/>
  </r>
  <r>
    <x v="35"/>
    <x v="0"/>
    <x v="0"/>
    <x v="22"/>
    <x v="2"/>
    <x v="1"/>
    <n v="4"/>
    <m/>
  </r>
  <r>
    <x v="35"/>
    <x v="0"/>
    <x v="0"/>
    <x v="22"/>
    <x v="2"/>
    <x v="0"/>
    <n v="1"/>
    <m/>
  </r>
  <r>
    <x v="35"/>
    <x v="0"/>
    <x v="0"/>
    <x v="23"/>
    <x v="7"/>
    <x v="2"/>
    <n v="1"/>
    <m/>
  </r>
  <r>
    <x v="35"/>
    <x v="0"/>
    <x v="0"/>
    <x v="24"/>
    <x v="2"/>
    <x v="0"/>
    <n v="1"/>
    <m/>
  </r>
  <r>
    <x v="35"/>
    <x v="0"/>
    <x v="0"/>
    <x v="25"/>
    <x v="2"/>
    <x v="2"/>
    <n v="1"/>
    <m/>
  </r>
  <r>
    <x v="35"/>
    <x v="0"/>
    <x v="0"/>
    <x v="26"/>
    <x v="7"/>
    <x v="1"/>
    <n v="1"/>
    <m/>
  </r>
  <r>
    <x v="35"/>
    <x v="0"/>
    <x v="0"/>
    <x v="26"/>
    <x v="7"/>
    <x v="2"/>
    <n v="1"/>
    <m/>
  </r>
  <r>
    <x v="35"/>
    <x v="0"/>
    <x v="0"/>
    <x v="26"/>
    <x v="2"/>
    <x v="0"/>
    <n v="2"/>
    <m/>
  </r>
  <r>
    <x v="35"/>
    <x v="0"/>
    <x v="0"/>
    <x v="26"/>
    <x v="2"/>
    <x v="2"/>
    <n v="2"/>
    <m/>
  </r>
  <r>
    <x v="35"/>
    <x v="0"/>
    <x v="0"/>
    <x v="27"/>
    <x v="7"/>
    <x v="0"/>
    <n v="1"/>
    <m/>
  </r>
  <r>
    <x v="35"/>
    <x v="0"/>
    <x v="0"/>
    <x v="27"/>
    <x v="2"/>
    <x v="0"/>
    <n v="4"/>
    <m/>
  </r>
  <r>
    <x v="35"/>
    <x v="0"/>
    <x v="0"/>
    <x v="28"/>
    <x v="1"/>
    <x v="4"/>
    <n v="0"/>
    <m/>
  </r>
  <r>
    <x v="35"/>
    <x v="0"/>
    <x v="0"/>
    <x v="11"/>
    <x v="1"/>
    <x v="4"/>
    <n v="0"/>
    <m/>
  </r>
  <r>
    <x v="35"/>
    <x v="0"/>
    <x v="0"/>
    <x v="29"/>
    <x v="7"/>
    <x v="1"/>
    <n v="1"/>
    <m/>
  </r>
  <r>
    <x v="35"/>
    <x v="0"/>
    <x v="0"/>
    <x v="29"/>
    <x v="2"/>
    <x v="1"/>
    <n v="2"/>
    <m/>
  </r>
  <r>
    <x v="35"/>
    <x v="0"/>
    <x v="1"/>
    <x v="30"/>
    <x v="1"/>
    <x v="4"/>
    <n v="0"/>
    <m/>
  </r>
  <r>
    <x v="35"/>
    <x v="0"/>
    <x v="1"/>
    <x v="31"/>
    <x v="2"/>
    <x v="0"/>
    <n v="7"/>
    <m/>
  </r>
  <r>
    <x v="35"/>
    <x v="0"/>
    <x v="1"/>
    <x v="32"/>
    <x v="2"/>
    <x v="1"/>
    <n v="1"/>
    <m/>
  </r>
  <r>
    <x v="35"/>
    <x v="0"/>
    <x v="1"/>
    <x v="32"/>
    <x v="2"/>
    <x v="0"/>
    <n v="1"/>
    <m/>
  </r>
  <r>
    <x v="35"/>
    <x v="0"/>
    <x v="1"/>
    <x v="33"/>
    <x v="7"/>
    <x v="1"/>
    <n v="1"/>
    <m/>
  </r>
  <r>
    <x v="35"/>
    <x v="0"/>
    <x v="1"/>
    <x v="10"/>
    <x v="1"/>
    <x v="4"/>
    <n v="0"/>
    <m/>
  </r>
  <r>
    <x v="35"/>
    <x v="0"/>
    <x v="1"/>
    <x v="34"/>
    <x v="1"/>
    <x v="4"/>
    <n v="0"/>
    <m/>
  </r>
  <r>
    <x v="35"/>
    <x v="0"/>
    <x v="1"/>
    <x v="35"/>
    <x v="5"/>
    <x v="2"/>
    <n v="1"/>
    <m/>
  </r>
  <r>
    <x v="35"/>
    <x v="0"/>
    <x v="1"/>
    <x v="36"/>
    <x v="7"/>
    <x v="1"/>
    <n v="1"/>
    <m/>
  </r>
  <r>
    <x v="35"/>
    <x v="0"/>
    <x v="1"/>
    <x v="37"/>
    <x v="7"/>
    <x v="2"/>
    <n v="1"/>
    <m/>
  </r>
  <r>
    <x v="35"/>
    <x v="0"/>
    <x v="1"/>
    <x v="37"/>
    <x v="2"/>
    <x v="1"/>
    <n v="1"/>
    <m/>
  </r>
  <r>
    <x v="35"/>
    <x v="0"/>
    <x v="1"/>
    <x v="9"/>
    <x v="7"/>
    <x v="1"/>
    <n v="1"/>
    <m/>
  </r>
  <r>
    <x v="35"/>
    <x v="0"/>
    <x v="1"/>
    <x v="9"/>
    <x v="2"/>
    <x v="1"/>
    <n v="2"/>
    <m/>
  </r>
  <r>
    <x v="35"/>
    <x v="0"/>
    <x v="1"/>
    <x v="9"/>
    <x v="2"/>
    <x v="0"/>
    <n v="2"/>
    <m/>
  </r>
  <r>
    <x v="35"/>
    <x v="0"/>
    <x v="1"/>
    <x v="38"/>
    <x v="2"/>
    <x v="1"/>
    <n v="1"/>
    <m/>
  </r>
  <r>
    <x v="35"/>
    <x v="0"/>
    <x v="1"/>
    <x v="38"/>
    <x v="5"/>
    <x v="0"/>
    <n v="5"/>
    <m/>
  </r>
  <r>
    <x v="35"/>
    <x v="0"/>
    <x v="1"/>
    <x v="8"/>
    <x v="1"/>
    <x v="4"/>
    <n v="0"/>
    <m/>
  </r>
  <r>
    <x v="35"/>
    <x v="0"/>
    <x v="1"/>
    <x v="39"/>
    <x v="1"/>
    <x v="4"/>
    <n v="0"/>
    <m/>
  </r>
  <r>
    <x v="35"/>
    <x v="0"/>
    <x v="1"/>
    <x v="7"/>
    <x v="1"/>
    <x v="4"/>
    <n v="0"/>
    <m/>
  </r>
  <r>
    <x v="35"/>
    <x v="0"/>
    <x v="1"/>
    <x v="6"/>
    <x v="7"/>
    <x v="1"/>
    <n v="3"/>
    <m/>
  </r>
  <r>
    <x v="35"/>
    <x v="0"/>
    <x v="1"/>
    <x v="6"/>
    <x v="2"/>
    <x v="1"/>
    <n v="2"/>
    <m/>
  </r>
  <r>
    <x v="35"/>
    <x v="0"/>
    <x v="1"/>
    <x v="40"/>
    <x v="7"/>
    <x v="0"/>
    <n v="3"/>
    <m/>
  </r>
  <r>
    <x v="35"/>
    <x v="0"/>
    <x v="1"/>
    <x v="40"/>
    <x v="2"/>
    <x v="0"/>
    <n v="10"/>
    <m/>
  </r>
  <r>
    <x v="35"/>
    <x v="0"/>
    <x v="1"/>
    <x v="41"/>
    <x v="1"/>
    <x v="4"/>
    <n v="0"/>
    <m/>
  </r>
  <r>
    <x v="35"/>
    <x v="0"/>
    <x v="1"/>
    <x v="42"/>
    <x v="1"/>
    <x v="4"/>
    <n v="0"/>
    <m/>
  </r>
  <r>
    <x v="35"/>
    <x v="0"/>
    <x v="1"/>
    <x v="5"/>
    <x v="2"/>
    <x v="2"/>
    <n v="1"/>
    <m/>
  </r>
  <r>
    <x v="35"/>
    <x v="0"/>
    <x v="1"/>
    <x v="5"/>
    <x v="5"/>
    <x v="1"/>
    <n v="1"/>
    <m/>
  </r>
  <r>
    <x v="35"/>
    <x v="0"/>
    <x v="1"/>
    <x v="43"/>
    <x v="1"/>
    <x v="4"/>
    <n v="0"/>
    <m/>
  </r>
  <r>
    <x v="35"/>
    <x v="0"/>
    <x v="2"/>
    <x v="44"/>
    <x v="1"/>
    <x v="4"/>
    <n v="0"/>
    <m/>
  </r>
  <r>
    <x v="35"/>
    <x v="0"/>
    <x v="2"/>
    <x v="45"/>
    <x v="2"/>
    <x v="0"/>
    <n v="1"/>
    <m/>
  </r>
  <r>
    <x v="35"/>
    <x v="0"/>
    <x v="2"/>
    <x v="46"/>
    <x v="2"/>
    <x v="1"/>
    <n v="1"/>
    <m/>
  </r>
  <r>
    <x v="35"/>
    <x v="0"/>
    <x v="2"/>
    <x v="4"/>
    <x v="1"/>
    <x v="4"/>
    <n v="0"/>
    <m/>
  </r>
  <r>
    <x v="35"/>
    <x v="0"/>
    <x v="2"/>
    <x v="47"/>
    <x v="2"/>
    <x v="1"/>
    <n v="4"/>
    <m/>
  </r>
  <r>
    <x v="35"/>
    <x v="0"/>
    <x v="2"/>
    <x v="47"/>
    <x v="2"/>
    <x v="0"/>
    <n v="2"/>
    <m/>
  </r>
  <r>
    <x v="35"/>
    <x v="0"/>
    <x v="2"/>
    <x v="48"/>
    <x v="2"/>
    <x v="1"/>
    <n v="1"/>
    <m/>
  </r>
  <r>
    <x v="35"/>
    <x v="0"/>
    <x v="2"/>
    <x v="49"/>
    <x v="8"/>
    <x v="0"/>
    <n v="1"/>
    <m/>
  </r>
  <r>
    <x v="35"/>
    <x v="0"/>
    <x v="2"/>
    <x v="49"/>
    <x v="2"/>
    <x v="0"/>
    <n v="3"/>
    <m/>
  </r>
  <r>
    <x v="35"/>
    <x v="0"/>
    <x v="2"/>
    <x v="50"/>
    <x v="2"/>
    <x v="1"/>
    <n v="1"/>
    <m/>
  </r>
  <r>
    <x v="35"/>
    <x v="0"/>
    <x v="2"/>
    <x v="3"/>
    <x v="2"/>
    <x v="0"/>
    <n v="1"/>
    <m/>
  </r>
  <r>
    <x v="35"/>
    <x v="0"/>
    <x v="2"/>
    <x v="51"/>
    <x v="8"/>
    <x v="1"/>
    <n v="1"/>
    <m/>
  </r>
  <r>
    <x v="35"/>
    <x v="0"/>
    <x v="2"/>
    <x v="51"/>
    <x v="7"/>
    <x v="1"/>
    <n v="1"/>
    <m/>
  </r>
  <r>
    <x v="35"/>
    <x v="0"/>
    <x v="2"/>
    <x v="51"/>
    <x v="5"/>
    <x v="1"/>
    <n v="1"/>
    <m/>
  </r>
  <r>
    <x v="35"/>
    <x v="0"/>
    <x v="2"/>
    <x v="2"/>
    <x v="1"/>
    <x v="4"/>
    <m/>
    <m/>
  </r>
  <r>
    <x v="35"/>
    <x v="0"/>
    <x v="2"/>
    <x v="52"/>
    <x v="2"/>
    <x v="1"/>
    <n v="1"/>
    <m/>
  </r>
  <r>
    <x v="35"/>
    <x v="0"/>
    <x v="2"/>
    <x v="52"/>
    <x v="2"/>
    <x v="0"/>
    <n v="5"/>
    <m/>
  </r>
  <r>
    <x v="35"/>
    <x v="0"/>
    <x v="2"/>
    <x v="52"/>
    <x v="2"/>
    <x v="2"/>
    <n v="1"/>
    <m/>
  </r>
  <r>
    <x v="35"/>
    <x v="0"/>
    <x v="2"/>
    <x v="53"/>
    <x v="1"/>
    <x v="4"/>
    <n v="0"/>
    <m/>
  </r>
  <r>
    <x v="35"/>
    <x v="0"/>
    <x v="2"/>
    <x v="54"/>
    <x v="1"/>
    <x v="4"/>
    <n v="0"/>
    <m/>
  </r>
  <r>
    <x v="35"/>
    <x v="0"/>
    <x v="2"/>
    <x v="1"/>
    <x v="7"/>
    <x v="1"/>
    <n v="1"/>
    <m/>
  </r>
  <r>
    <x v="35"/>
    <x v="0"/>
    <x v="2"/>
    <x v="55"/>
    <x v="1"/>
    <x v="4"/>
    <n v="0"/>
    <m/>
  </r>
  <r>
    <x v="35"/>
    <x v="0"/>
    <x v="2"/>
    <x v="56"/>
    <x v="7"/>
    <x v="0"/>
    <n v="1"/>
    <m/>
  </r>
  <r>
    <x v="35"/>
    <x v="0"/>
    <x v="2"/>
    <x v="56"/>
    <x v="7"/>
    <x v="0"/>
    <n v="1"/>
    <m/>
  </r>
  <r>
    <x v="35"/>
    <x v="0"/>
    <x v="2"/>
    <x v="56"/>
    <x v="2"/>
    <x v="1"/>
    <n v="1"/>
    <m/>
  </r>
  <r>
    <x v="35"/>
    <x v="0"/>
    <x v="2"/>
    <x v="56"/>
    <x v="2"/>
    <x v="0"/>
    <n v="2"/>
    <m/>
  </r>
  <r>
    <x v="35"/>
    <x v="0"/>
    <x v="2"/>
    <x v="57"/>
    <x v="2"/>
    <x v="0"/>
    <n v="2"/>
    <m/>
  </r>
  <r>
    <x v="35"/>
    <x v="0"/>
    <x v="2"/>
    <x v="58"/>
    <x v="7"/>
    <x v="0"/>
    <n v="1"/>
    <m/>
  </r>
  <r>
    <x v="35"/>
    <x v="0"/>
    <x v="2"/>
    <x v="58"/>
    <x v="2"/>
    <x v="1"/>
    <n v="3"/>
    <m/>
  </r>
  <r>
    <x v="35"/>
    <x v="0"/>
    <x v="2"/>
    <x v="58"/>
    <x v="2"/>
    <x v="0"/>
    <n v="2"/>
    <m/>
  </r>
  <r>
    <x v="35"/>
    <x v="0"/>
    <x v="2"/>
    <x v="59"/>
    <x v="1"/>
    <x v="4"/>
    <n v="0"/>
    <m/>
  </r>
  <r>
    <x v="35"/>
    <x v="1"/>
    <x v="0"/>
    <x v="60"/>
    <x v="2"/>
    <x v="1"/>
    <n v="3"/>
    <m/>
  </r>
  <r>
    <x v="35"/>
    <x v="1"/>
    <x v="0"/>
    <x v="60"/>
    <x v="5"/>
    <x v="0"/>
    <n v="1"/>
    <m/>
  </r>
  <r>
    <x v="35"/>
    <x v="1"/>
    <x v="0"/>
    <x v="61"/>
    <x v="1"/>
    <x v="4"/>
    <n v="0"/>
    <m/>
  </r>
  <r>
    <x v="35"/>
    <x v="1"/>
    <x v="0"/>
    <x v="62"/>
    <x v="1"/>
    <x v="4"/>
    <n v="0"/>
    <m/>
  </r>
  <r>
    <x v="35"/>
    <x v="1"/>
    <x v="0"/>
    <x v="63"/>
    <x v="2"/>
    <x v="2"/>
    <n v="1"/>
    <m/>
  </r>
  <r>
    <x v="35"/>
    <x v="1"/>
    <x v="0"/>
    <x v="63"/>
    <x v="5"/>
    <x v="0"/>
    <n v="2"/>
    <m/>
  </r>
  <r>
    <x v="35"/>
    <x v="1"/>
    <x v="0"/>
    <x v="64"/>
    <x v="7"/>
    <x v="1"/>
    <n v="1"/>
    <m/>
  </r>
  <r>
    <x v="35"/>
    <x v="1"/>
    <x v="0"/>
    <x v="64"/>
    <x v="2"/>
    <x v="1"/>
    <n v="1"/>
    <m/>
  </r>
  <r>
    <x v="35"/>
    <x v="1"/>
    <x v="0"/>
    <x v="65"/>
    <x v="8"/>
    <x v="1"/>
    <n v="1"/>
    <m/>
  </r>
  <r>
    <x v="35"/>
    <x v="1"/>
    <x v="0"/>
    <x v="65"/>
    <x v="7"/>
    <x v="0"/>
    <n v="2"/>
    <m/>
  </r>
  <r>
    <x v="35"/>
    <x v="1"/>
    <x v="0"/>
    <x v="65"/>
    <x v="2"/>
    <x v="0"/>
    <n v="6"/>
    <m/>
  </r>
  <r>
    <x v="35"/>
    <x v="1"/>
    <x v="0"/>
    <x v="65"/>
    <x v="2"/>
    <x v="0"/>
    <n v="3"/>
    <m/>
  </r>
  <r>
    <x v="35"/>
    <x v="1"/>
    <x v="0"/>
    <x v="65"/>
    <x v="5"/>
    <x v="0"/>
    <n v="1"/>
    <m/>
  </r>
  <r>
    <x v="35"/>
    <x v="1"/>
    <x v="0"/>
    <x v="66"/>
    <x v="5"/>
    <x v="1"/>
    <n v="1"/>
    <m/>
  </r>
  <r>
    <x v="35"/>
    <x v="1"/>
    <x v="0"/>
    <x v="67"/>
    <x v="1"/>
    <x v="4"/>
    <n v="0"/>
    <m/>
  </r>
  <r>
    <x v="35"/>
    <x v="1"/>
    <x v="0"/>
    <x v="68"/>
    <x v="8"/>
    <x v="2"/>
    <n v="1"/>
    <m/>
  </r>
  <r>
    <x v="35"/>
    <x v="1"/>
    <x v="0"/>
    <x v="69"/>
    <x v="1"/>
    <x v="4"/>
    <n v="0"/>
    <m/>
  </r>
  <r>
    <x v="35"/>
    <x v="1"/>
    <x v="0"/>
    <x v="70"/>
    <x v="1"/>
    <x v="4"/>
    <n v="0"/>
    <m/>
  </r>
  <r>
    <x v="35"/>
    <x v="1"/>
    <x v="0"/>
    <x v="71"/>
    <x v="1"/>
    <x v="4"/>
    <n v="0"/>
    <m/>
  </r>
  <r>
    <x v="35"/>
    <x v="1"/>
    <x v="0"/>
    <x v="72"/>
    <x v="6"/>
    <x v="4"/>
    <m/>
    <s v="plaque absente"/>
  </r>
  <r>
    <x v="35"/>
    <x v="1"/>
    <x v="0"/>
    <x v="73"/>
    <x v="7"/>
    <x v="1"/>
    <n v="4"/>
    <m/>
  </r>
  <r>
    <x v="35"/>
    <x v="1"/>
    <x v="0"/>
    <x v="73"/>
    <x v="2"/>
    <x v="1"/>
    <n v="3"/>
    <m/>
  </r>
  <r>
    <x v="35"/>
    <x v="1"/>
    <x v="0"/>
    <x v="73"/>
    <x v="5"/>
    <x v="0"/>
    <n v="2"/>
    <m/>
  </r>
  <r>
    <x v="35"/>
    <x v="1"/>
    <x v="0"/>
    <x v="74"/>
    <x v="1"/>
    <x v="4"/>
    <n v="0"/>
    <m/>
  </r>
  <r>
    <x v="35"/>
    <x v="1"/>
    <x v="0"/>
    <x v="75"/>
    <x v="2"/>
    <x v="2"/>
    <n v="1"/>
    <m/>
  </r>
  <r>
    <x v="35"/>
    <x v="1"/>
    <x v="0"/>
    <x v="75"/>
    <x v="5"/>
    <x v="1"/>
    <n v="1"/>
    <m/>
  </r>
  <r>
    <x v="35"/>
    <x v="1"/>
    <x v="0"/>
    <x v="76"/>
    <x v="1"/>
    <x v="4"/>
    <n v="0"/>
    <m/>
  </r>
  <r>
    <x v="35"/>
    <x v="1"/>
    <x v="0"/>
    <x v="77"/>
    <x v="5"/>
    <x v="1"/>
    <n v="1"/>
    <m/>
  </r>
  <r>
    <x v="35"/>
    <x v="1"/>
    <x v="0"/>
    <x v="78"/>
    <x v="2"/>
    <x v="0"/>
    <n v="2"/>
    <m/>
  </r>
  <r>
    <x v="35"/>
    <x v="1"/>
    <x v="0"/>
    <x v="79"/>
    <x v="1"/>
    <x v="4"/>
    <n v="0"/>
    <m/>
  </r>
  <r>
    <x v="35"/>
    <x v="1"/>
    <x v="1"/>
    <x v="80"/>
    <x v="2"/>
    <x v="1"/>
    <n v="2"/>
    <m/>
  </r>
  <r>
    <x v="35"/>
    <x v="1"/>
    <x v="1"/>
    <x v="81"/>
    <x v="2"/>
    <x v="0"/>
    <n v="1"/>
    <m/>
  </r>
  <r>
    <x v="35"/>
    <x v="1"/>
    <x v="1"/>
    <x v="82"/>
    <x v="8"/>
    <x v="2"/>
    <n v="1"/>
    <m/>
  </r>
  <r>
    <x v="35"/>
    <x v="1"/>
    <x v="1"/>
    <x v="82"/>
    <x v="5"/>
    <x v="1"/>
    <n v="1"/>
    <m/>
  </r>
  <r>
    <x v="35"/>
    <x v="1"/>
    <x v="1"/>
    <x v="83"/>
    <x v="1"/>
    <x v="4"/>
    <n v="0"/>
    <m/>
  </r>
  <r>
    <x v="35"/>
    <x v="1"/>
    <x v="1"/>
    <x v="84"/>
    <x v="1"/>
    <x v="4"/>
    <n v="0"/>
    <m/>
  </r>
  <r>
    <x v="35"/>
    <x v="1"/>
    <x v="1"/>
    <x v="85"/>
    <x v="1"/>
    <x v="4"/>
    <n v="0"/>
    <m/>
  </r>
  <r>
    <x v="35"/>
    <x v="1"/>
    <x v="1"/>
    <x v="86"/>
    <x v="1"/>
    <x v="4"/>
    <n v="0"/>
    <m/>
  </r>
  <r>
    <x v="35"/>
    <x v="1"/>
    <x v="1"/>
    <x v="87"/>
    <x v="6"/>
    <x v="4"/>
    <m/>
    <s v="plaque absente"/>
  </r>
  <r>
    <x v="35"/>
    <x v="1"/>
    <x v="1"/>
    <x v="88"/>
    <x v="1"/>
    <x v="4"/>
    <n v="0"/>
    <m/>
  </r>
  <r>
    <x v="35"/>
    <x v="1"/>
    <x v="1"/>
    <x v="89"/>
    <x v="1"/>
    <x v="4"/>
    <n v="0"/>
    <m/>
  </r>
  <r>
    <x v="35"/>
    <x v="1"/>
    <x v="1"/>
    <x v="90"/>
    <x v="1"/>
    <x v="4"/>
    <n v="0"/>
    <m/>
  </r>
  <r>
    <x v="35"/>
    <x v="1"/>
    <x v="1"/>
    <x v="91"/>
    <x v="1"/>
    <x v="4"/>
    <n v="0"/>
    <m/>
  </r>
  <r>
    <x v="35"/>
    <x v="1"/>
    <x v="1"/>
    <x v="92"/>
    <x v="6"/>
    <x v="4"/>
    <m/>
    <s v="plaque absente"/>
  </r>
  <r>
    <x v="35"/>
    <x v="1"/>
    <x v="1"/>
    <x v="93"/>
    <x v="2"/>
    <x v="1"/>
    <n v="1"/>
    <m/>
  </r>
  <r>
    <x v="35"/>
    <x v="1"/>
    <x v="1"/>
    <x v="94"/>
    <x v="1"/>
    <x v="4"/>
    <n v="0"/>
    <m/>
  </r>
  <r>
    <x v="35"/>
    <x v="1"/>
    <x v="1"/>
    <x v="95"/>
    <x v="2"/>
    <x v="0"/>
    <n v="2"/>
    <m/>
  </r>
  <r>
    <x v="35"/>
    <x v="1"/>
    <x v="1"/>
    <x v="96"/>
    <x v="7"/>
    <x v="1"/>
    <n v="1"/>
    <m/>
  </r>
  <r>
    <x v="35"/>
    <x v="1"/>
    <x v="1"/>
    <x v="96"/>
    <x v="7"/>
    <x v="0"/>
    <n v="1"/>
    <m/>
  </r>
  <r>
    <x v="35"/>
    <x v="1"/>
    <x v="1"/>
    <x v="97"/>
    <x v="1"/>
    <x v="4"/>
    <n v="0"/>
    <m/>
  </r>
  <r>
    <x v="35"/>
    <x v="1"/>
    <x v="1"/>
    <x v="98"/>
    <x v="1"/>
    <x v="4"/>
    <n v="0"/>
    <m/>
  </r>
  <r>
    <x v="35"/>
    <x v="1"/>
    <x v="1"/>
    <x v="99"/>
    <x v="1"/>
    <x v="4"/>
    <n v="0"/>
    <m/>
  </r>
  <r>
    <x v="35"/>
    <x v="1"/>
    <x v="2"/>
    <x v="100"/>
    <x v="2"/>
    <x v="0"/>
    <n v="1"/>
    <m/>
  </r>
  <r>
    <x v="35"/>
    <x v="1"/>
    <x v="2"/>
    <x v="101"/>
    <x v="2"/>
    <x v="1"/>
    <n v="1"/>
    <m/>
  </r>
  <r>
    <x v="35"/>
    <x v="1"/>
    <x v="2"/>
    <x v="102"/>
    <x v="1"/>
    <x v="4"/>
    <n v="0"/>
    <m/>
  </r>
  <r>
    <x v="35"/>
    <x v="1"/>
    <x v="2"/>
    <x v="103"/>
    <x v="1"/>
    <x v="4"/>
    <n v="0"/>
    <m/>
  </r>
  <r>
    <x v="35"/>
    <x v="1"/>
    <x v="2"/>
    <x v="104"/>
    <x v="1"/>
    <x v="4"/>
    <n v="0"/>
    <m/>
  </r>
  <r>
    <x v="35"/>
    <x v="1"/>
    <x v="2"/>
    <x v="105"/>
    <x v="1"/>
    <x v="4"/>
    <n v="0"/>
    <m/>
  </r>
  <r>
    <x v="35"/>
    <x v="1"/>
    <x v="2"/>
    <x v="106"/>
    <x v="1"/>
    <x v="4"/>
    <n v="0"/>
    <m/>
  </r>
  <r>
    <x v="35"/>
    <x v="1"/>
    <x v="2"/>
    <x v="107"/>
    <x v="1"/>
    <x v="4"/>
    <n v="0"/>
    <m/>
  </r>
  <r>
    <x v="35"/>
    <x v="1"/>
    <x v="2"/>
    <x v="108"/>
    <x v="1"/>
    <x v="4"/>
    <n v="0"/>
    <m/>
  </r>
  <r>
    <x v="35"/>
    <x v="1"/>
    <x v="2"/>
    <x v="109"/>
    <x v="1"/>
    <x v="4"/>
    <n v="0"/>
    <m/>
  </r>
  <r>
    <x v="35"/>
    <x v="1"/>
    <x v="2"/>
    <x v="110"/>
    <x v="6"/>
    <x v="4"/>
    <m/>
    <s v="plaque absente"/>
  </r>
  <r>
    <x v="35"/>
    <x v="1"/>
    <x v="2"/>
    <x v="111"/>
    <x v="2"/>
    <x v="1"/>
    <n v="1"/>
    <m/>
  </r>
  <r>
    <x v="35"/>
    <x v="1"/>
    <x v="2"/>
    <x v="112"/>
    <x v="7"/>
    <x v="0"/>
    <n v="1"/>
    <m/>
  </r>
  <r>
    <x v="35"/>
    <x v="1"/>
    <x v="2"/>
    <x v="113"/>
    <x v="2"/>
    <x v="1"/>
    <n v="2"/>
    <m/>
  </r>
  <r>
    <x v="35"/>
    <x v="1"/>
    <x v="2"/>
    <x v="114"/>
    <x v="2"/>
    <x v="0"/>
    <n v="1"/>
    <m/>
  </r>
  <r>
    <x v="35"/>
    <x v="1"/>
    <x v="2"/>
    <x v="115"/>
    <x v="6"/>
    <x v="4"/>
    <m/>
    <s v="plaque absente"/>
  </r>
  <r>
    <x v="35"/>
    <x v="1"/>
    <x v="2"/>
    <x v="116"/>
    <x v="8"/>
    <x v="0"/>
    <n v="1"/>
    <m/>
  </r>
  <r>
    <x v="35"/>
    <x v="1"/>
    <x v="2"/>
    <x v="116"/>
    <x v="7"/>
    <x v="1"/>
    <n v="1"/>
    <m/>
  </r>
  <r>
    <x v="35"/>
    <x v="1"/>
    <x v="2"/>
    <x v="116"/>
    <x v="2"/>
    <x v="1"/>
    <n v="2"/>
    <m/>
  </r>
  <r>
    <x v="35"/>
    <x v="1"/>
    <x v="2"/>
    <x v="117"/>
    <x v="6"/>
    <x v="4"/>
    <m/>
    <s v="plaque absente"/>
  </r>
  <r>
    <x v="35"/>
    <x v="1"/>
    <x v="2"/>
    <x v="118"/>
    <x v="2"/>
    <x v="0"/>
    <n v="1"/>
    <m/>
  </r>
  <r>
    <x v="35"/>
    <x v="1"/>
    <x v="2"/>
    <x v="119"/>
    <x v="6"/>
    <x v="4"/>
    <m/>
    <s v="plaque absente"/>
  </r>
  <r>
    <x v="35"/>
    <x v="2"/>
    <x v="0"/>
    <x v="120"/>
    <x v="1"/>
    <x v="3"/>
    <n v="0"/>
    <m/>
  </r>
  <r>
    <x v="35"/>
    <x v="2"/>
    <x v="0"/>
    <x v="121"/>
    <x v="1"/>
    <x v="3"/>
    <n v="0"/>
    <m/>
  </r>
  <r>
    <x v="35"/>
    <x v="2"/>
    <x v="0"/>
    <x v="122"/>
    <x v="1"/>
    <x v="3"/>
    <n v="0"/>
    <m/>
  </r>
  <r>
    <x v="35"/>
    <x v="2"/>
    <x v="0"/>
    <x v="123"/>
    <x v="1"/>
    <x v="3"/>
    <n v="0"/>
    <m/>
  </r>
  <r>
    <x v="35"/>
    <x v="2"/>
    <x v="0"/>
    <x v="124"/>
    <x v="2"/>
    <x v="0"/>
    <n v="2"/>
    <m/>
  </r>
  <r>
    <x v="35"/>
    <x v="2"/>
    <x v="0"/>
    <x v="125"/>
    <x v="1"/>
    <x v="3"/>
    <n v="0"/>
    <m/>
  </r>
  <r>
    <x v="35"/>
    <x v="2"/>
    <x v="0"/>
    <x v="126"/>
    <x v="1"/>
    <x v="3"/>
    <n v="0"/>
    <m/>
  </r>
  <r>
    <x v="35"/>
    <x v="2"/>
    <x v="0"/>
    <x v="127"/>
    <x v="1"/>
    <x v="3"/>
    <n v="0"/>
    <m/>
  </r>
  <r>
    <x v="35"/>
    <x v="2"/>
    <x v="0"/>
    <x v="128"/>
    <x v="6"/>
    <x v="3"/>
    <m/>
    <s v="plaque absente"/>
  </r>
  <r>
    <x v="35"/>
    <x v="2"/>
    <x v="0"/>
    <x v="129"/>
    <x v="1"/>
    <x v="3"/>
    <n v="0"/>
    <m/>
  </r>
  <r>
    <x v="35"/>
    <x v="2"/>
    <x v="0"/>
    <x v="130"/>
    <x v="1"/>
    <x v="4"/>
    <n v="0"/>
    <m/>
  </r>
  <r>
    <x v="35"/>
    <x v="2"/>
    <x v="0"/>
    <x v="131"/>
    <x v="1"/>
    <x v="3"/>
    <n v="0"/>
    <m/>
  </r>
  <r>
    <x v="35"/>
    <x v="2"/>
    <x v="0"/>
    <x v="132"/>
    <x v="1"/>
    <x v="3"/>
    <n v="0"/>
    <m/>
  </r>
  <r>
    <x v="35"/>
    <x v="2"/>
    <x v="0"/>
    <x v="133"/>
    <x v="1"/>
    <x v="3"/>
    <n v="0"/>
    <m/>
  </r>
  <r>
    <x v="35"/>
    <x v="2"/>
    <x v="0"/>
    <x v="134"/>
    <x v="1"/>
    <x v="3"/>
    <n v="0"/>
    <m/>
  </r>
  <r>
    <x v="35"/>
    <x v="2"/>
    <x v="0"/>
    <x v="135"/>
    <x v="1"/>
    <x v="3"/>
    <n v="0"/>
    <m/>
  </r>
  <r>
    <x v="35"/>
    <x v="2"/>
    <x v="0"/>
    <x v="136"/>
    <x v="1"/>
    <x v="3"/>
    <n v="0"/>
    <m/>
  </r>
  <r>
    <x v="35"/>
    <x v="2"/>
    <x v="0"/>
    <x v="137"/>
    <x v="1"/>
    <x v="3"/>
    <n v="0"/>
    <m/>
  </r>
  <r>
    <x v="35"/>
    <x v="2"/>
    <x v="0"/>
    <x v="138"/>
    <x v="1"/>
    <x v="3"/>
    <n v="0"/>
    <m/>
  </r>
  <r>
    <x v="35"/>
    <x v="2"/>
    <x v="0"/>
    <x v="139"/>
    <x v="1"/>
    <x v="3"/>
    <n v="0"/>
    <m/>
  </r>
  <r>
    <x v="35"/>
    <x v="2"/>
    <x v="1"/>
    <x v="140"/>
    <x v="1"/>
    <x v="3"/>
    <n v="0"/>
    <m/>
  </r>
  <r>
    <x v="35"/>
    <x v="2"/>
    <x v="1"/>
    <x v="141"/>
    <x v="1"/>
    <x v="3"/>
    <n v="0"/>
    <m/>
  </r>
  <r>
    <x v="35"/>
    <x v="2"/>
    <x v="1"/>
    <x v="142"/>
    <x v="1"/>
    <x v="3"/>
    <n v="0"/>
    <m/>
  </r>
  <r>
    <x v="35"/>
    <x v="2"/>
    <x v="1"/>
    <x v="143"/>
    <x v="1"/>
    <x v="3"/>
    <n v="0"/>
    <m/>
  </r>
  <r>
    <x v="35"/>
    <x v="2"/>
    <x v="1"/>
    <x v="144"/>
    <x v="1"/>
    <x v="3"/>
    <n v="0"/>
    <m/>
  </r>
  <r>
    <x v="35"/>
    <x v="2"/>
    <x v="1"/>
    <x v="145"/>
    <x v="1"/>
    <x v="3"/>
    <n v="0"/>
    <m/>
  </r>
  <r>
    <x v="35"/>
    <x v="2"/>
    <x v="1"/>
    <x v="146"/>
    <x v="2"/>
    <x v="0"/>
    <n v="1"/>
    <m/>
  </r>
  <r>
    <x v="35"/>
    <x v="2"/>
    <x v="1"/>
    <x v="147"/>
    <x v="2"/>
    <x v="0"/>
    <n v="1"/>
    <m/>
  </r>
  <r>
    <x v="35"/>
    <x v="2"/>
    <x v="1"/>
    <x v="148"/>
    <x v="1"/>
    <x v="3"/>
    <n v="0"/>
    <m/>
  </r>
  <r>
    <x v="35"/>
    <x v="2"/>
    <x v="1"/>
    <x v="149"/>
    <x v="1"/>
    <x v="3"/>
    <n v="0"/>
    <m/>
  </r>
  <r>
    <x v="35"/>
    <x v="2"/>
    <x v="1"/>
    <x v="150"/>
    <x v="1"/>
    <x v="3"/>
    <n v="0"/>
    <m/>
  </r>
  <r>
    <x v="35"/>
    <x v="2"/>
    <x v="1"/>
    <x v="151"/>
    <x v="1"/>
    <x v="3"/>
    <n v="0"/>
    <m/>
  </r>
  <r>
    <x v="35"/>
    <x v="2"/>
    <x v="1"/>
    <x v="152"/>
    <x v="2"/>
    <x v="0"/>
    <n v="2"/>
    <m/>
  </r>
  <r>
    <x v="35"/>
    <x v="2"/>
    <x v="1"/>
    <x v="153"/>
    <x v="1"/>
    <x v="4"/>
    <n v="0"/>
    <m/>
  </r>
  <r>
    <x v="35"/>
    <x v="2"/>
    <x v="1"/>
    <x v="154"/>
    <x v="1"/>
    <x v="3"/>
    <n v="0"/>
    <m/>
  </r>
  <r>
    <x v="35"/>
    <x v="2"/>
    <x v="1"/>
    <x v="155"/>
    <x v="1"/>
    <x v="3"/>
    <n v="0"/>
    <m/>
  </r>
  <r>
    <x v="35"/>
    <x v="2"/>
    <x v="1"/>
    <x v="156"/>
    <x v="1"/>
    <x v="4"/>
    <n v="0"/>
    <m/>
  </r>
  <r>
    <x v="35"/>
    <x v="2"/>
    <x v="1"/>
    <x v="157"/>
    <x v="1"/>
    <x v="4"/>
    <n v="0"/>
    <m/>
  </r>
  <r>
    <x v="35"/>
    <x v="2"/>
    <x v="1"/>
    <x v="158"/>
    <x v="1"/>
    <x v="3"/>
    <n v="0"/>
    <m/>
  </r>
  <r>
    <x v="35"/>
    <x v="2"/>
    <x v="1"/>
    <x v="159"/>
    <x v="1"/>
    <x v="4"/>
    <n v="0"/>
    <m/>
  </r>
  <r>
    <x v="35"/>
    <x v="2"/>
    <x v="2"/>
    <x v="160"/>
    <x v="1"/>
    <x v="3"/>
    <n v="0"/>
    <m/>
  </r>
  <r>
    <x v="35"/>
    <x v="2"/>
    <x v="2"/>
    <x v="161"/>
    <x v="2"/>
    <x v="1"/>
    <n v="2"/>
    <m/>
  </r>
  <r>
    <x v="35"/>
    <x v="2"/>
    <x v="2"/>
    <x v="162"/>
    <x v="2"/>
    <x v="2"/>
    <n v="1"/>
    <m/>
  </r>
  <r>
    <x v="35"/>
    <x v="2"/>
    <x v="2"/>
    <x v="163"/>
    <x v="2"/>
    <x v="0"/>
    <n v="2"/>
    <m/>
  </r>
  <r>
    <x v="35"/>
    <x v="2"/>
    <x v="2"/>
    <x v="164"/>
    <x v="1"/>
    <x v="4"/>
    <n v="0"/>
    <m/>
  </r>
  <r>
    <x v="35"/>
    <x v="2"/>
    <x v="2"/>
    <x v="165"/>
    <x v="1"/>
    <x v="3"/>
    <n v="0"/>
    <m/>
  </r>
  <r>
    <x v="35"/>
    <x v="2"/>
    <x v="2"/>
    <x v="166"/>
    <x v="1"/>
    <x v="3"/>
    <n v="0"/>
    <m/>
  </r>
  <r>
    <x v="35"/>
    <x v="2"/>
    <x v="2"/>
    <x v="167"/>
    <x v="1"/>
    <x v="3"/>
    <n v="0"/>
    <m/>
  </r>
  <r>
    <x v="35"/>
    <x v="2"/>
    <x v="2"/>
    <x v="168"/>
    <x v="2"/>
    <x v="0"/>
    <n v="1"/>
    <m/>
  </r>
  <r>
    <x v="35"/>
    <x v="2"/>
    <x v="2"/>
    <x v="169"/>
    <x v="2"/>
    <x v="1"/>
    <n v="2"/>
    <m/>
  </r>
  <r>
    <x v="35"/>
    <x v="2"/>
    <x v="2"/>
    <x v="170"/>
    <x v="1"/>
    <x v="3"/>
    <n v="0"/>
    <m/>
  </r>
  <r>
    <x v="35"/>
    <x v="2"/>
    <x v="2"/>
    <x v="171"/>
    <x v="2"/>
    <x v="2"/>
    <n v="1"/>
    <m/>
  </r>
  <r>
    <x v="35"/>
    <x v="2"/>
    <x v="2"/>
    <x v="172"/>
    <x v="1"/>
    <x v="4"/>
    <n v="0"/>
    <m/>
  </r>
  <r>
    <x v="35"/>
    <x v="2"/>
    <x v="2"/>
    <x v="173"/>
    <x v="2"/>
    <x v="0"/>
    <n v="3"/>
    <m/>
  </r>
  <r>
    <x v="35"/>
    <x v="2"/>
    <x v="2"/>
    <x v="173"/>
    <x v="2"/>
    <x v="2"/>
    <n v="1"/>
    <m/>
  </r>
  <r>
    <x v="35"/>
    <x v="2"/>
    <x v="2"/>
    <x v="174"/>
    <x v="0"/>
    <x v="0"/>
    <n v="1"/>
    <m/>
  </r>
  <r>
    <x v="35"/>
    <x v="2"/>
    <x v="2"/>
    <x v="174"/>
    <x v="2"/>
    <x v="0"/>
    <n v="3"/>
    <m/>
  </r>
  <r>
    <x v="35"/>
    <x v="2"/>
    <x v="2"/>
    <x v="175"/>
    <x v="1"/>
    <x v="3"/>
    <n v="0"/>
    <m/>
  </r>
  <r>
    <x v="35"/>
    <x v="2"/>
    <x v="2"/>
    <x v="176"/>
    <x v="2"/>
    <x v="0"/>
    <n v="2"/>
    <m/>
  </r>
  <r>
    <x v="35"/>
    <x v="2"/>
    <x v="2"/>
    <x v="177"/>
    <x v="0"/>
    <x v="0"/>
    <n v="1"/>
    <m/>
  </r>
  <r>
    <x v="35"/>
    <x v="2"/>
    <x v="2"/>
    <x v="178"/>
    <x v="1"/>
    <x v="3"/>
    <n v="0"/>
    <m/>
  </r>
  <r>
    <x v="35"/>
    <x v="2"/>
    <x v="2"/>
    <x v="179"/>
    <x v="1"/>
    <x v="3"/>
    <n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leau croisé dynamique1" cacheId="4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outline="1" outlineData="1" gridDropZones="1" multipleFieldFilters="0">
  <location ref="A3:G404" firstHeaderRow="1" firstDataRow="2" firstDataCol="1" rowPageCount="1" colPageCount="1"/>
  <pivotFields count="8">
    <pivotField axis="axisPage" numFmtId="17" multipleItemSelectionAllowed="1" showAll="0">
      <items count="37">
        <item h="1" x="16"/>
        <item x="17"/>
        <item h="1" x="21"/>
        <item h="1" x="19"/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8"/>
        <item h="1" x="20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t="default"/>
      </items>
    </pivotField>
    <pivotField axis="axisRow" showAll="0">
      <items count="4">
        <item x="1"/>
        <item x="2"/>
        <item x="0"/>
        <item t="default"/>
      </items>
    </pivotField>
    <pivotField axis="axisRow" showAll="0">
      <items count="4">
        <item x="0"/>
        <item x="1"/>
        <item x="2"/>
        <item t="default"/>
      </items>
    </pivotField>
    <pivotField axis="axisRow" showAll="0">
      <items count="202">
        <item x="14"/>
        <item x="24"/>
        <item x="27"/>
        <item x="28"/>
        <item x="10"/>
        <item x="46"/>
        <item x="59"/>
        <item x="54"/>
        <item x="5"/>
        <item x="36"/>
        <item x="31"/>
        <item x="23"/>
        <item x="20"/>
        <item x="19"/>
        <item x="119"/>
        <item x="117"/>
        <item x="116"/>
        <item x="113"/>
        <item x="111"/>
        <item x="110"/>
        <item x="106"/>
        <item x="104"/>
        <item x="99"/>
        <item x="98"/>
        <item x="97"/>
        <item x="96"/>
        <item x="95"/>
        <item x="94"/>
        <item x="93"/>
        <item x="92"/>
        <item x="91"/>
        <item x="90"/>
        <item x="87"/>
        <item x="85"/>
        <item x="84"/>
        <item x="81"/>
        <item x="80"/>
        <item x="79"/>
        <item x="78"/>
        <item x="77"/>
        <item x="75"/>
        <item x="73"/>
        <item x="72"/>
        <item x="69"/>
        <item x="68"/>
        <item x="67"/>
        <item x="64"/>
        <item x="62"/>
        <item x="26"/>
        <item x="25"/>
        <item x="22"/>
        <item x="21"/>
        <item x="12"/>
        <item x="13"/>
        <item x="18"/>
        <item x="17"/>
        <item x="15"/>
        <item x="16"/>
        <item x="0"/>
        <item x="58"/>
        <item x="55"/>
        <item x="1"/>
        <item x="52"/>
        <item x="3"/>
        <item x="44"/>
        <item x="43"/>
        <item x="42"/>
        <item x="6"/>
        <item x="7"/>
        <item x="39"/>
        <item x="8"/>
        <item x="37"/>
        <item x="35"/>
        <item x="33"/>
        <item x="29"/>
        <item x="11"/>
        <item x="57"/>
        <item x="53"/>
        <item x="50"/>
        <item x="49"/>
        <item x="47"/>
        <item x="45"/>
        <item x="38"/>
        <item x="9"/>
        <item x="32"/>
        <item x="30"/>
        <item x="178"/>
        <item x="175"/>
        <item x="174"/>
        <item x="171"/>
        <item x="170"/>
        <item x="168"/>
        <item x="167"/>
        <item x="165"/>
        <item x="164"/>
        <item x="163"/>
        <item x="160"/>
        <item x="159"/>
        <item x="156"/>
        <item x="147"/>
        <item x="146"/>
        <item x="145"/>
        <item x="144"/>
        <item x="143"/>
        <item x="140"/>
        <item x="137"/>
        <item x="136"/>
        <item x="133"/>
        <item x="132"/>
        <item x="131"/>
        <item x="127"/>
        <item x="125"/>
        <item x="123"/>
        <item x="121"/>
        <item x="56"/>
        <item x="51"/>
        <item x="48"/>
        <item x="4"/>
        <item x="41"/>
        <item x="40"/>
        <item x="34"/>
        <item x="2"/>
        <item x="60"/>
        <item x="61"/>
        <item x="63"/>
        <item x="65"/>
        <item x="66"/>
        <item x="70"/>
        <item x="71"/>
        <item x="74"/>
        <item x="76"/>
        <item x="82"/>
        <item x="83"/>
        <item x="86"/>
        <item x="88"/>
        <item x="89"/>
        <item x="100"/>
        <item x="101"/>
        <item x="102"/>
        <item x="103"/>
        <item x="105"/>
        <item x="107"/>
        <item x="108"/>
        <item x="109"/>
        <item x="112"/>
        <item x="114"/>
        <item x="115"/>
        <item x="118"/>
        <item x="120"/>
        <item x="122"/>
        <item x="124"/>
        <item x="126"/>
        <item x="128"/>
        <item x="129"/>
        <item x="130"/>
        <item x="134"/>
        <item x="135"/>
        <item x="138"/>
        <item x="139"/>
        <item x="141"/>
        <item x="142"/>
        <item x="148"/>
        <item x="149"/>
        <item x="150"/>
        <item x="151"/>
        <item x="152"/>
        <item x="153"/>
        <item x="154"/>
        <item x="155"/>
        <item x="157"/>
        <item x="158"/>
        <item x="161"/>
        <item x="162"/>
        <item x="166"/>
        <item x="169"/>
        <item x="172"/>
        <item x="173"/>
        <item x="176"/>
        <item x="177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t="default"/>
      </items>
    </pivotField>
    <pivotField axis="axisRow" showAll="0">
      <items count="10">
        <item x="1"/>
        <item x="0"/>
        <item x="2"/>
        <item x="5"/>
        <item x="6"/>
        <item x="3"/>
        <item x="4"/>
        <item x="7"/>
        <item x="8"/>
        <item t="default"/>
      </items>
    </pivotField>
    <pivotField axis="axisCol" showAll="0">
      <items count="6">
        <item x="1"/>
        <item x="0"/>
        <item x="2"/>
        <item x="4"/>
        <item x="3"/>
        <item t="default"/>
      </items>
    </pivotField>
    <pivotField dataField="1" showAll="0"/>
    <pivotField showAll="0"/>
  </pivotFields>
  <rowFields count="4">
    <field x="1"/>
    <field x="2"/>
    <field x="3"/>
    <field x="4"/>
  </rowFields>
  <rowItems count="400">
    <i>
      <x/>
    </i>
    <i r="1">
      <x/>
    </i>
    <i r="2">
      <x v="37"/>
    </i>
    <i r="3">
      <x v="2"/>
    </i>
    <i r="2">
      <x v="38"/>
    </i>
    <i r="3">
      <x v="2"/>
    </i>
    <i r="2">
      <x v="39"/>
    </i>
    <i r="3">
      <x v="3"/>
    </i>
    <i r="2">
      <x v="40"/>
    </i>
    <i r="3">
      <x v="2"/>
    </i>
    <i r="2">
      <x v="41"/>
    </i>
    <i r="3">
      <x v="1"/>
    </i>
    <i r="3">
      <x v="2"/>
    </i>
    <i r="3">
      <x v="3"/>
    </i>
    <i r="2">
      <x v="42"/>
    </i>
    <i r="3">
      <x v="2"/>
    </i>
    <i r="2">
      <x v="43"/>
    </i>
    <i r="3">
      <x v="2"/>
    </i>
    <i r="2">
      <x v="44"/>
    </i>
    <i r="3">
      <x v="2"/>
    </i>
    <i r="2">
      <x v="45"/>
    </i>
    <i r="3">
      <x v="2"/>
    </i>
    <i r="2">
      <x v="46"/>
    </i>
    <i r="3">
      <x v="2"/>
    </i>
    <i r="2">
      <x v="47"/>
    </i>
    <i r="3">
      <x v="2"/>
    </i>
    <i r="2">
      <x v="122"/>
    </i>
    <i r="3">
      <x/>
    </i>
    <i r="2">
      <x v="123"/>
    </i>
    <i r="3">
      <x/>
    </i>
    <i r="2">
      <x v="124"/>
    </i>
    <i r="3">
      <x/>
    </i>
    <i r="2">
      <x v="125"/>
    </i>
    <i r="3">
      <x/>
    </i>
    <i r="2">
      <x v="126"/>
    </i>
    <i r="3">
      <x/>
    </i>
    <i r="2">
      <x v="127"/>
    </i>
    <i r="3">
      <x/>
    </i>
    <i r="2">
      <x v="128"/>
    </i>
    <i r="3">
      <x/>
    </i>
    <i r="2">
      <x v="129"/>
    </i>
    <i r="3">
      <x/>
    </i>
    <i r="2">
      <x v="130"/>
    </i>
    <i r="3">
      <x/>
    </i>
    <i r="1">
      <x v="1"/>
    </i>
    <i r="2">
      <x v="22"/>
    </i>
    <i r="3">
      <x v="2"/>
    </i>
    <i r="2">
      <x v="23"/>
    </i>
    <i r="3">
      <x v="2"/>
    </i>
    <i r="2">
      <x v="24"/>
    </i>
    <i r="3">
      <x v="2"/>
    </i>
    <i r="2">
      <x v="25"/>
    </i>
    <i r="3">
      <x v="3"/>
    </i>
    <i r="2">
      <x v="26"/>
    </i>
    <i r="3">
      <x v="2"/>
    </i>
    <i r="2">
      <x v="27"/>
    </i>
    <i r="3">
      <x v="2"/>
    </i>
    <i r="2">
      <x v="28"/>
    </i>
    <i r="3">
      <x v="2"/>
    </i>
    <i r="2">
      <x v="29"/>
    </i>
    <i r="3">
      <x v="2"/>
    </i>
    <i r="2">
      <x v="30"/>
    </i>
    <i r="3">
      <x v="5"/>
    </i>
    <i r="2">
      <x v="31"/>
    </i>
    <i r="3">
      <x v="2"/>
    </i>
    <i r="2">
      <x v="32"/>
    </i>
    <i r="3">
      <x v="2"/>
    </i>
    <i r="3">
      <x v="3"/>
    </i>
    <i r="2">
      <x v="33"/>
    </i>
    <i r="3">
      <x v="2"/>
    </i>
    <i r="2">
      <x v="34"/>
    </i>
    <i r="3">
      <x v="2"/>
    </i>
    <i r="2">
      <x v="35"/>
    </i>
    <i r="3">
      <x v="2"/>
    </i>
    <i r="2">
      <x v="36"/>
    </i>
    <i r="3">
      <x v="3"/>
    </i>
    <i r="2">
      <x v="131"/>
    </i>
    <i r="3">
      <x/>
    </i>
    <i r="2">
      <x v="132"/>
    </i>
    <i r="3">
      <x/>
    </i>
    <i r="2">
      <x v="133"/>
    </i>
    <i r="3">
      <x/>
    </i>
    <i r="2">
      <x v="134"/>
    </i>
    <i r="3">
      <x/>
    </i>
    <i r="2">
      <x v="135"/>
    </i>
    <i r="3">
      <x/>
    </i>
    <i r="1">
      <x v="2"/>
    </i>
    <i r="2">
      <x v="14"/>
    </i>
    <i r="3">
      <x v="2"/>
    </i>
    <i r="2">
      <x v="15"/>
    </i>
    <i r="3">
      <x v="2"/>
    </i>
    <i r="2">
      <x v="16"/>
    </i>
    <i r="3">
      <x v="2"/>
    </i>
    <i r="2">
      <x v="17"/>
    </i>
    <i r="3">
      <x v="2"/>
    </i>
    <i r="2">
      <x v="18"/>
    </i>
    <i r="3">
      <x v="2"/>
    </i>
    <i r="2">
      <x v="19"/>
    </i>
    <i r="3">
      <x v="2"/>
    </i>
    <i r="2">
      <x v="20"/>
    </i>
    <i r="3">
      <x v="2"/>
    </i>
    <i r="2">
      <x v="21"/>
    </i>
    <i r="3">
      <x v="2"/>
    </i>
    <i r="2">
      <x v="136"/>
    </i>
    <i r="3">
      <x/>
    </i>
    <i r="2">
      <x v="137"/>
    </i>
    <i r="3">
      <x v="2"/>
    </i>
    <i r="2">
      <x v="138"/>
    </i>
    <i r="3">
      <x/>
    </i>
    <i r="2">
      <x v="139"/>
    </i>
    <i r="3">
      <x/>
    </i>
    <i r="2">
      <x v="140"/>
    </i>
    <i r="3">
      <x/>
    </i>
    <i r="2">
      <x v="141"/>
    </i>
    <i r="3">
      <x/>
    </i>
    <i r="2">
      <x v="142"/>
    </i>
    <i r="3">
      <x/>
    </i>
    <i r="2">
      <x v="143"/>
    </i>
    <i r="3">
      <x/>
    </i>
    <i r="2">
      <x v="144"/>
    </i>
    <i r="3">
      <x/>
    </i>
    <i r="2">
      <x v="145"/>
    </i>
    <i r="3">
      <x/>
    </i>
    <i r="2">
      <x v="146"/>
    </i>
    <i r="3">
      <x/>
    </i>
    <i r="2">
      <x v="147"/>
    </i>
    <i r="3">
      <x/>
    </i>
    <i>
      <x v="1"/>
    </i>
    <i r="1">
      <x/>
    </i>
    <i r="2">
      <x v="105"/>
    </i>
    <i r="3">
      <x v="2"/>
    </i>
    <i r="2">
      <x v="106"/>
    </i>
    <i r="3">
      <x v="3"/>
    </i>
    <i r="2">
      <x v="107"/>
    </i>
    <i r="3">
      <x v="2"/>
    </i>
    <i r="2">
      <x v="108"/>
    </i>
    <i r="3">
      <x/>
    </i>
    <i r="2">
      <x v="109"/>
    </i>
    <i r="3">
      <x v="2"/>
    </i>
    <i r="2">
      <x v="110"/>
    </i>
    <i r="3">
      <x v="2"/>
    </i>
    <i r="2">
      <x v="111"/>
    </i>
    <i r="3">
      <x v="2"/>
    </i>
    <i r="2">
      <x v="112"/>
    </i>
    <i r="3">
      <x v="2"/>
    </i>
    <i r="2">
      <x v="113"/>
    </i>
    <i r="3">
      <x v="2"/>
    </i>
    <i r="2">
      <x v="148"/>
    </i>
    <i r="3">
      <x/>
    </i>
    <i r="2">
      <x v="149"/>
    </i>
    <i r="3">
      <x/>
    </i>
    <i r="2">
      <x v="150"/>
    </i>
    <i r="3">
      <x/>
    </i>
    <i r="2">
      <x v="151"/>
    </i>
    <i r="3">
      <x/>
    </i>
    <i r="2">
      <x v="152"/>
    </i>
    <i r="3">
      <x/>
    </i>
    <i r="2">
      <x v="153"/>
    </i>
    <i r="3">
      <x/>
    </i>
    <i r="2">
      <x v="154"/>
    </i>
    <i r="3">
      <x/>
    </i>
    <i r="2">
      <x v="155"/>
    </i>
    <i r="3">
      <x/>
    </i>
    <i r="2">
      <x v="156"/>
    </i>
    <i r="3">
      <x/>
    </i>
    <i r="2">
      <x v="157"/>
    </i>
    <i r="3">
      <x/>
    </i>
    <i r="2">
      <x v="158"/>
    </i>
    <i r="3">
      <x/>
    </i>
    <i r="1">
      <x v="1"/>
    </i>
    <i r="2">
      <x v="97"/>
    </i>
    <i r="3">
      <x v="2"/>
    </i>
    <i r="2">
      <x v="98"/>
    </i>
    <i r="3">
      <x v="2"/>
    </i>
    <i r="2">
      <x v="99"/>
    </i>
    <i r="3">
      <x v="3"/>
    </i>
    <i r="2">
      <x v="100"/>
    </i>
    <i r="3">
      <x v="2"/>
    </i>
    <i r="2">
      <x v="101"/>
    </i>
    <i r="3">
      <x v="2"/>
    </i>
    <i r="2">
      <x v="102"/>
    </i>
    <i r="3">
      <x v="2"/>
    </i>
    <i r="2">
      <x v="103"/>
    </i>
    <i r="3">
      <x v="2"/>
    </i>
    <i r="2">
      <x v="104"/>
    </i>
    <i r="3">
      <x v="2"/>
    </i>
    <i r="2">
      <x v="159"/>
    </i>
    <i r="3">
      <x/>
    </i>
    <i r="2">
      <x v="160"/>
    </i>
    <i r="3">
      <x/>
    </i>
    <i r="2">
      <x v="161"/>
    </i>
    <i r="3">
      <x/>
    </i>
    <i r="2">
      <x v="162"/>
    </i>
    <i r="3">
      <x/>
    </i>
    <i r="2">
      <x v="163"/>
    </i>
    <i r="3">
      <x/>
    </i>
    <i r="2">
      <x v="164"/>
    </i>
    <i r="3">
      <x/>
    </i>
    <i r="2">
      <x v="165"/>
    </i>
    <i r="3">
      <x/>
    </i>
    <i r="2">
      <x v="166"/>
    </i>
    <i r="3">
      <x/>
    </i>
    <i r="2">
      <x v="167"/>
    </i>
    <i r="3">
      <x/>
    </i>
    <i r="2">
      <x v="168"/>
    </i>
    <i r="3">
      <x/>
    </i>
    <i r="2">
      <x v="169"/>
    </i>
    <i r="3">
      <x/>
    </i>
    <i r="2">
      <x v="170"/>
    </i>
    <i r="3">
      <x/>
    </i>
    <i r="1">
      <x v="2"/>
    </i>
    <i r="2">
      <x v="86"/>
    </i>
    <i r="3">
      <x v="3"/>
    </i>
    <i r="2">
      <x v="87"/>
    </i>
    <i r="3">
      <x v="2"/>
    </i>
    <i r="2">
      <x v="88"/>
    </i>
    <i r="3">
      <x v="2"/>
    </i>
    <i r="2">
      <x v="89"/>
    </i>
    <i r="3">
      <x v="2"/>
    </i>
    <i r="2">
      <x v="90"/>
    </i>
    <i r="3">
      <x v="2"/>
    </i>
    <i r="2">
      <x v="91"/>
    </i>
    <i r="3">
      <x v="2"/>
    </i>
    <i r="2">
      <x v="92"/>
    </i>
    <i r="3">
      <x v="2"/>
    </i>
    <i r="2">
      <x v="93"/>
    </i>
    <i r="3">
      <x v="1"/>
    </i>
    <i r="3">
      <x v="2"/>
    </i>
    <i r="2">
      <x v="94"/>
    </i>
    <i r="3">
      <x v="2"/>
    </i>
    <i r="2">
      <x v="95"/>
    </i>
    <i r="3">
      <x v="2"/>
    </i>
    <i r="3">
      <x v="3"/>
    </i>
    <i r="2">
      <x v="96"/>
    </i>
    <i r="3">
      <x v="2"/>
    </i>
    <i r="2">
      <x v="171"/>
    </i>
    <i r="3">
      <x/>
    </i>
    <i r="2">
      <x v="172"/>
    </i>
    <i r="3">
      <x/>
    </i>
    <i r="2">
      <x v="173"/>
    </i>
    <i r="3">
      <x/>
    </i>
    <i r="2">
      <x v="174"/>
    </i>
    <i r="3">
      <x/>
    </i>
    <i r="2">
      <x v="175"/>
    </i>
    <i r="3">
      <x/>
    </i>
    <i r="2">
      <x v="176"/>
    </i>
    <i r="3">
      <x/>
    </i>
    <i r="2">
      <x v="177"/>
    </i>
    <i r="3">
      <x/>
    </i>
    <i r="2">
      <x v="178"/>
    </i>
    <i r="3">
      <x/>
    </i>
    <i r="2">
      <x v="179"/>
    </i>
    <i r="3">
      <x/>
    </i>
    <i>
      <x v="2"/>
    </i>
    <i r="1">
      <x/>
    </i>
    <i r="2">
      <x/>
    </i>
    <i r="3">
      <x v="6"/>
    </i>
    <i r="2">
      <x v="1"/>
    </i>
    <i r="3">
      <x v="2"/>
    </i>
    <i r="2">
      <x v="2"/>
    </i>
    <i r="3">
      <x v="2"/>
    </i>
    <i r="3">
      <x v="3"/>
    </i>
    <i r="3">
      <x v="5"/>
    </i>
    <i r="2">
      <x v="3"/>
    </i>
    <i r="3">
      <x v="2"/>
    </i>
    <i r="3">
      <x v="3"/>
    </i>
    <i r="2">
      <x v="11"/>
    </i>
    <i r="3">
      <x v="2"/>
    </i>
    <i r="3">
      <x v="3"/>
    </i>
    <i r="3">
      <x v="5"/>
    </i>
    <i r="2">
      <x v="12"/>
    </i>
    <i r="3">
      <x v="2"/>
    </i>
    <i r="2">
      <x v="13"/>
    </i>
    <i r="3">
      <x/>
    </i>
    <i r="2">
      <x v="48"/>
    </i>
    <i r="3">
      <x/>
    </i>
    <i r="2">
      <x v="49"/>
    </i>
    <i r="3">
      <x v="2"/>
    </i>
    <i r="3">
      <x v="3"/>
    </i>
    <i r="2">
      <x v="50"/>
    </i>
    <i r="3">
      <x/>
    </i>
    <i r="3">
      <x v="2"/>
    </i>
    <i r="2">
      <x v="51"/>
    </i>
    <i r="3">
      <x v="2"/>
    </i>
    <i r="2">
      <x v="52"/>
    </i>
    <i r="3">
      <x v="3"/>
    </i>
    <i r="2">
      <x v="53"/>
    </i>
    <i r="3">
      <x/>
    </i>
    <i r="2">
      <x v="54"/>
    </i>
    <i r="3">
      <x v="2"/>
    </i>
    <i r="2">
      <x v="55"/>
    </i>
    <i r="3">
      <x/>
    </i>
    <i r="2">
      <x v="56"/>
    </i>
    <i r="3">
      <x v="1"/>
    </i>
    <i r="3">
      <x v="2"/>
    </i>
    <i r="2">
      <x v="57"/>
    </i>
    <i r="3">
      <x v="1"/>
    </i>
    <i r="3">
      <x v="2"/>
    </i>
    <i r="2">
      <x v="58"/>
    </i>
    <i r="3">
      <x v="2"/>
    </i>
    <i r="2">
      <x v="74"/>
    </i>
    <i r="3">
      <x v="2"/>
    </i>
    <i r="2">
      <x v="75"/>
    </i>
    <i r="3">
      <x v="2"/>
    </i>
    <i r="1">
      <x v="1"/>
    </i>
    <i r="2">
      <x v="4"/>
    </i>
    <i r="3">
      <x v="2"/>
    </i>
    <i r="2">
      <x v="8"/>
    </i>
    <i r="3">
      <x v="6"/>
    </i>
    <i r="2">
      <x v="9"/>
    </i>
    <i r="3">
      <x v="2"/>
    </i>
    <i r="3">
      <x v="3"/>
    </i>
    <i r="2">
      <x v="10"/>
    </i>
    <i r="3">
      <x v="2"/>
    </i>
    <i r="3">
      <x v="3"/>
    </i>
    <i r="2">
      <x v="65"/>
    </i>
    <i r="3">
      <x v="2"/>
    </i>
    <i r="3">
      <x v="3"/>
    </i>
    <i r="2">
      <x v="66"/>
    </i>
    <i r="3">
      <x v="2"/>
    </i>
    <i r="3">
      <x v="3"/>
    </i>
    <i r="2">
      <x v="67"/>
    </i>
    <i r="3">
      <x/>
    </i>
    <i r="2">
      <x v="68"/>
    </i>
    <i r="3">
      <x v="2"/>
    </i>
    <i r="2">
      <x v="69"/>
    </i>
    <i r="3">
      <x/>
    </i>
    <i r="2">
      <x v="70"/>
    </i>
    <i r="3">
      <x v="2"/>
    </i>
    <i r="2">
      <x v="71"/>
    </i>
    <i r="3">
      <x v="2"/>
    </i>
    <i r="3">
      <x v="3"/>
    </i>
    <i r="2">
      <x v="72"/>
    </i>
    <i r="3">
      <x/>
    </i>
    <i r="2">
      <x v="73"/>
    </i>
    <i r="3">
      <x v="2"/>
    </i>
    <i r="2">
      <x v="82"/>
    </i>
    <i r="3">
      <x/>
    </i>
    <i r="2">
      <x v="83"/>
    </i>
    <i r="3">
      <x v="2"/>
    </i>
    <i r="2">
      <x v="84"/>
    </i>
    <i r="3">
      <x v="2"/>
    </i>
    <i r="2">
      <x v="85"/>
    </i>
    <i r="3">
      <x v="2"/>
    </i>
    <i r="2">
      <x v="118"/>
    </i>
    <i r="3">
      <x v="2"/>
    </i>
    <i r="2">
      <x v="119"/>
    </i>
    <i r="3">
      <x v="2"/>
    </i>
    <i r="3">
      <x v="3"/>
    </i>
    <i r="2">
      <x v="120"/>
    </i>
    <i r="3">
      <x v="2"/>
    </i>
    <i r="1">
      <x v="2"/>
    </i>
    <i r="2">
      <x v="5"/>
    </i>
    <i r="3">
      <x/>
    </i>
    <i r="2">
      <x v="6"/>
    </i>
    <i r="3">
      <x v="2"/>
    </i>
    <i r="2">
      <x v="7"/>
    </i>
    <i r="3">
      <x v="2"/>
    </i>
    <i r="2">
      <x v="59"/>
    </i>
    <i r="3">
      <x/>
    </i>
    <i r="2">
      <x v="60"/>
    </i>
    <i r="3">
      <x v="2"/>
    </i>
    <i r="2">
      <x v="61"/>
    </i>
    <i r="3">
      <x/>
    </i>
    <i r="2">
      <x v="62"/>
    </i>
    <i r="3">
      <x v="2"/>
    </i>
    <i r="3">
      <x v="3"/>
    </i>
    <i r="2">
      <x v="63"/>
    </i>
    <i r="3">
      <x/>
    </i>
    <i r="2">
      <x v="64"/>
    </i>
    <i r="3">
      <x v="6"/>
    </i>
    <i r="2">
      <x v="76"/>
    </i>
    <i r="3">
      <x v="2"/>
    </i>
    <i r="3">
      <x v="3"/>
    </i>
    <i r="2">
      <x v="77"/>
    </i>
    <i r="3">
      <x v="3"/>
    </i>
    <i r="2">
      <x v="78"/>
    </i>
    <i r="3">
      <x v="2"/>
    </i>
    <i r="2">
      <x v="79"/>
    </i>
    <i r="3">
      <x v="2"/>
    </i>
    <i r="3">
      <x v="3"/>
    </i>
    <i r="2">
      <x v="80"/>
    </i>
    <i r="3">
      <x v="2"/>
    </i>
    <i r="2">
      <x v="81"/>
    </i>
    <i r="3">
      <x v="2"/>
    </i>
    <i r="2">
      <x v="114"/>
    </i>
    <i r="3">
      <x v="2"/>
    </i>
    <i r="3">
      <x v="3"/>
    </i>
    <i r="2">
      <x v="115"/>
    </i>
    <i r="3">
      <x v="2"/>
    </i>
    <i r="3">
      <x v="3"/>
    </i>
    <i r="2">
      <x v="116"/>
    </i>
    <i r="3">
      <x v="2"/>
    </i>
    <i r="2">
      <x v="117"/>
    </i>
    <i r="3">
      <x v="2"/>
    </i>
    <i r="3">
      <x v="3"/>
    </i>
    <i r="3">
      <x v="5"/>
    </i>
    <i r="2">
      <x v="121"/>
    </i>
    <i r="3">
      <x/>
    </i>
    <i t="grand">
      <x/>
    </i>
  </rowItems>
  <colFields count="1">
    <field x="5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omme sur Nombre" fld="6" baseField="0" baseItem="0"/>
  </dataFields>
  <formats count="1">
    <format dxfId="0">
      <pivotArea dataOnly="0" labelOnly="1" fieldPosition="0">
        <references count="1">
          <reference field="2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Spectrum">
      <a:dk1>
        <a:sysClr val="windowText" lastClr="000000"/>
      </a:dk1>
      <a:lt1>
        <a:sysClr val="window" lastClr="FFFFFF"/>
      </a:lt1>
      <a:dk2>
        <a:srgbClr val="252731"/>
      </a:dk2>
      <a:lt2>
        <a:srgbClr val="EAE7E4"/>
      </a:lt2>
      <a:accent1>
        <a:srgbClr val="990000"/>
      </a:accent1>
      <a:accent2>
        <a:srgbClr val="FF6600"/>
      </a:accent2>
      <a:accent3>
        <a:srgbClr val="FFBA00"/>
      </a:accent3>
      <a:accent4>
        <a:srgbClr val="99CC00"/>
      </a:accent4>
      <a:accent5>
        <a:srgbClr val="528A02"/>
      </a:accent5>
      <a:accent6>
        <a:srgbClr val="333333"/>
      </a:accent6>
      <a:hlink>
        <a:srgbClr val="660000"/>
      </a:hlink>
      <a:folHlink>
        <a:srgbClr val="CC3300"/>
      </a:folHlink>
    </a:clrScheme>
    <a:fontScheme name="Bureau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Bureau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2:S48"/>
  <sheetViews>
    <sheetView tabSelected="1" zoomScale="75" zoomScaleNormal="75" zoomScalePageLayoutView="75" workbookViewId="0">
      <selection activeCell="G47" sqref="G47"/>
    </sheetView>
  </sheetViews>
  <sheetFormatPr baseColWidth="10" defaultRowHeight="24" outlineLevelRow="2" x14ac:dyDescent="0.3"/>
  <cols>
    <col min="1" max="1" width="10.83203125" style="15"/>
    <col min="2" max="2" width="24.83203125" style="15" customWidth="1"/>
    <col min="3" max="3" width="19.6640625" style="15" customWidth="1"/>
    <col min="4" max="4" width="2.5" style="15" customWidth="1"/>
    <col min="5" max="5" width="10.83203125" style="15" customWidth="1"/>
    <col min="6" max="7" width="10.83203125" style="15"/>
    <col min="8" max="8" width="39.33203125" style="15" customWidth="1"/>
    <col min="9" max="11" width="10.83203125" style="15"/>
    <col min="12" max="12" width="15.1640625" style="15" bestFit="1" customWidth="1"/>
    <col min="13" max="13" width="6.1640625" style="15" bestFit="1" customWidth="1"/>
    <col min="14" max="14" width="10.83203125" style="15"/>
    <col min="15" max="15" width="9.83203125" style="15" bestFit="1" customWidth="1"/>
    <col min="16" max="16" width="10.33203125" style="15" bestFit="1" customWidth="1"/>
    <col min="17" max="17" width="24.83203125" style="15" bestFit="1" customWidth="1"/>
    <col min="18" max="18" width="11.5" style="15" bestFit="1" customWidth="1"/>
    <col min="19" max="19" width="16.5" style="15" bestFit="1" customWidth="1"/>
    <col min="20" max="16384" width="10.83203125" style="15"/>
  </cols>
  <sheetData>
    <row r="2" spans="2:19" ht="32" thickBot="1" x14ac:dyDescent="0.4">
      <c r="B2" s="66" t="s">
        <v>26</v>
      </c>
      <c r="C2" s="67"/>
      <c r="D2" s="68"/>
      <c r="L2" s="20" t="s">
        <v>0</v>
      </c>
      <c r="M2" s="20" t="s">
        <v>1</v>
      </c>
      <c r="N2" s="20" t="s">
        <v>2</v>
      </c>
      <c r="O2" s="20" t="s">
        <v>9</v>
      </c>
      <c r="P2" s="20" t="s">
        <v>3</v>
      </c>
      <c r="Q2" s="20" t="s">
        <v>4</v>
      </c>
      <c r="R2" s="20" t="s">
        <v>5</v>
      </c>
      <c r="S2" s="20" t="s">
        <v>6</v>
      </c>
    </row>
    <row r="3" spans="2:19" ht="25" thickTop="1" x14ac:dyDescent="0.3">
      <c r="L3" s="21">
        <f>IF(ISBLANK(C4),"",C4)</f>
        <v>44440</v>
      </c>
      <c r="M3" s="20" t="str">
        <f>IF(ISBLANK(C8),"",C8)</f>
        <v>Haapiti</v>
      </c>
      <c r="N3" s="22">
        <f>IF(ISBLANK(C13),"",C13)</f>
        <v>18</v>
      </c>
      <c r="O3" s="20">
        <f>IF(ISBLANK(C15),"",C15)</f>
        <v>164</v>
      </c>
      <c r="P3" s="20" t="str">
        <f>IF(ISBLANK(C22),"",C22)</f>
        <v/>
      </c>
      <c r="Q3" s="20" t="str">
        <f>IF(ISBLANK(C27),"",C27)</f>
        <v/>
      </c>
      <c r="R3" s="20" t="str">
        <f>IF(ISBLANK(C28),"",C28)</f>
        <v/>
      </c>
      <c r="S3" s="20" t="str">
        <f>IF(ISBLANK(C30),"",C30)</f>
        <v/>
      </c>
    </row>
    <row r="4" spans="2:19" x14ac:dyDescent="0.3">
      <c r="B4" s="31" t="s">
        <v>19</v>
      </c>
      <c r="C4" s="23">
        <v>44440</v>
      </c>
      <c r="E4" s="16" t="s">
        <v>20</v>
      </c>
    </row>
    <row r="5" spans="2:19" hidden="1" outlineLevel="1" x14ac:dyDescent="0.3">
      <c r="B5" s="31"/>
      <c r="C5" s="24" t="str">
        <f t="array" ref="C5:C7">sites</f>
        <v>Tiahura</v>
      </c>
      <c r="E5" s="16"/>
    </row>
    <row r="6" spans="2:19" hidden="1" outlineLevel="1" x14ac:dyDescent="0.3">
      <c r="B6" s="31"/>
      <c r="C6" s="24" t="str">
        <v>Vaipahu</v>
      </c>
      <c r="E6" s="16"/>
    </row>
    <row r="7" spans="2:19" hidden="1" outlineLevel="1" x14ac:dyDescent="0.3">
      <c r="B7" s="31"/>
      <c r="C7" s="24" t="str">
        <v>Haapiti</v>
      </c>
      <c r="E7" s="16"/>
    </row>
    <row r="8" spans="2:19" collapsed="1" x14ac:dyDescent="0.3">
      <c r="B8" s="31" t="s">
        <v>1</v>
      </c>
      <c r="C8" s="24" t="s">
        <v>25</v>
      </c>
    </row>
    <row r="9" spans="2:19" hidden="1" outlineLevel="1" x14ac:dyDescent="0.3">
      <c r="B9" s="32"/>
      <c r="C9" s="25"/>
    </row>
    <row r="10" spans="2:19" hidden="1" outlineLevel="2" x14ac:dyDescent="0.3">
      <c r="B10" s="32"/>
      <c r="C10" s="25">
        <f t="array" ref="C10:C12">profondeurs</f>
        <v>6</v>
      </c>
    </row>
    <row r="11" spans="2:19" hidden="1" outlineLevel="2" x14ac:dyDescent="0.3">
      <c r="B11" s="32"/>
      <c r="C11" s="25">
        <v>12</v>
      </c>
    </row>
    <row r="12" spans="2:19" hidden="1" outlineLevel="2" x14ac:dyDescent="0.3">
      <c r="B12" s="32"/>
      <c r="C12" s="25">
        <v>18</v>
      </c>
    </row>
    <row r="13" spans="2:19" ht="25" collapsed="1" thickBot="1" x14ac:dyDescent="0.35">
      <c r="B13" s="33" t="s">
        <v>2</v>
      </c>
      <c r="C13" s="26">
        <v>18</v>
      </c>
    </row>
    <row r="14" spans="2:19" ht="25" thickTop="1" x14ac:dyDescent="0.3">
      <c r="B14" s="17"/>
      <c r="C14" s="17"/>
    </row>
    <row r="15" spans="2:19" ht="25" thickBot="1" x14ac:dyDescent="0.35">
      <c r="B15" s="34" t="s">
        <v>9</v>
      </c>
      <c r="C15" s="30">
        <v>164</v>
      </c>
    </row>
    <row r="16" spans="2:19" ht="25" thickTop="1" x14ac:dyDescent="0.3">
      <c r="B16" s="17"/>
      <c r="C16" s="17" t="s">
        <v>48</v>
      </c>
    </row>
    <row r="17" spans="2:3" hidden="1" outlineLevel="1" x14ac:dyDescent="0.3">
      <c r="B17" s="17"/>
      <c r="C17" s="17" t="str">
        <f t="array" ref="C17:C21">familles</f>
        <v>Pocilloporidae</v>
      </c>
    </row>
    <row r="18" spans="2:3" hidden="1" outlineLevel="1" x14ac:dyDescent="0.3">
      <c r="B18" s="17"/>
      <c r="C18" s="17" t="str">
        <v>Acroporidae</v>
      </c>
    </row>
    <row r="19" spans="2:3" hidden="1" outlineLevel="1" x14ac:dyDescent="0.3">
      <c r="B19" s="17"/>
      <c r="C19" s="17" t="str">
        <v>Poritidae</v>
      </c>
    </row>
    <row r="20" spans="2:3" hidden="1" outlineLevel="1" x14ac:dyDescent="0.3">
      <c r="B20" s="17"/>
      <c r="C20" s="17" t="str">
        <v>Autres</v>
      </c>
    </row>
    <row r="21" spans="2:3" hidden="1" outlineLevel="1" x14ac:dyDescent="0.3">
      <c r="B21" s="17"/>
      <c r="C21" s="17" t="str">
        <v>Cassés</v>
      </c>
    </row>
    <row r="22" spans="2:3" collapsed="1" x14ac:dyDescent="0.3">
      <c r="B22" s="35" t="s">
        <v>3</v>
      </c>
      <c r="C22" s="27"/>
    </row>
    <row r="23" spans="2:3" hidden="1" outlineLevel="1" x14ac:dyDescent="0.3">
      <c r="B23" s="35"/>
      <c r="C23" s="27"/>
    </row>
    <row r="24" spans="2:3" hidden="1" outlineLevel="2" x14ac:dyDescent="0.3">
      <c r="B24" s="35"/>
      <c r="C24" s="27" t="str">
        <f t="array" ref="C24:C26">positions</f>
        <v>Dessus</v>
      </c>
    </row>
    <row r="25" spans="2:3" hidden="1" outlineLevel="2" x14ac:dyDescent="0.3">
      <c r="B25" s="35"/>
      <c r="C25" s="27" t="str">
        <v>Bords</v>
      </c>
    </row>
    <row r="26" spans="2:3" hidden="1" outlineLevel="2" x14ac:dyDescent="0.3">
      <c r="B26" s="35"/>
      <c r="C26" s="27" t="str">
        <v>Dessous</v>
      </c>
    </row>
    <row r="27" spans="2:3" collapsed="1" x14ac:dyDescent="0.3">
      <c r="B27" s="35" t="s">
        <v>4</v>
      </c>
      <c r="C27" s="27"/>
    </row>
    <row r="28" spans="2:3" ht="25" thickBot="1" x14ac:dyDescent="0.35">
      <c r="B28" s="36" t="s">
        <v>5</v>
      </c>
      <c r="C28" s="28"/>
    </row>
    <row r="29" spans="2:3" ht="25" thickTop="1" x14ac:dyDescent="0.3">
      <c r="B29" s="17"/>
      <c r="C29" s="17"/>
    </row>
    <row r="30" spans="2:3" ht="25" thickBot="1" x14ac:dyDescent="0.35">
      <c r="B30" s="37" t="s">
        <v>6</v>
      </c>
      <c r="C30" s="29"/>
    </row>
    <row r="31" spans="2:3" ht="25" thickTop="1" x14ac:dyDescent="0.3"/>
    <row r="33" spans="2:9" x14ac:dyDescent="0.3">
      <c r="B33" s="40" t="s">
        <v>9</v>
      </c>
      <c r="C33" s="42"/>
      <c r="D33" s="44"/>
      <c r="E33" s="41" t="s">
        <v>11</v>
      </c>
      <c r="F33" s="41" t="s">
        <v>13</v>
      </c>
      <c r="G33" s="41" t="s">
        <v>8</v>
      </c>
      <c r="H33" s="42" t="s">
        <v>6</v>
      </c>
      <c r="I33" s="43"/>
    </row>
    <row r="34" spans="2:9" x14ac:dyDescent="0.3">
      <c r="B34" s="40">
        <f>C15</f>
        <v>164</v>
      </c>
      <c r="C34" s="41"/>
      <c r="D34" s="40" t="s">
        <v>10</v>
      </c>
      <c r="E34" s="45"/>
      <c r="F34" s="45"/>
      <c r="G34" s="45"/>
      <c r="H34" s="50" t="str">
        <f>IF(ISNA(VLOOKUP($C$4&amp;$C$8&amp;$C$13&amp;$B$34&amp;D34&amp;$E$33, Data!$A:$I,9,FALSE)),"",VLOOKUP($C$4&amp;$C$8&amp;$C$13&amp;$B$34&amp;D34&amp;$E$33, Data!$A:$I,9,FALSE)) &amp; IF(ISNA(VLOOKUP($C$4&amp;$C$8&amp;$C$13&amp;$B$34&amp;D34&amp;$F$33, Data!$A:$I,9,FALSE)),"",VLOOKUP($C$4&amp;$C$8&amp;$C$13&amp;$B$34&amp;D34&amp;$F$33, Data!$A:$I,9,FALSE)) &amp; IF(ISNA(VLOOKUP($C$4&amp;$C$8&amp;$C$13&amp;$B$34&amp;D34&amp;$G$33, Data!$A:$I,9,FALSE)),"",VLOOKUP($C$4&amp;$C$8&amp;$C$13&amp;$B$34&amp;D34&amp;$G$33, Data!$A:$I,9,FALSE))</f>
        <v/>
      </c>
      <c r="I34" s="43"/>
    </row>
    <row r="35" spans="2:9" x14ac:dyDescent="0.3">
      <c r="B35" s="41"/>
      <c r="C35" s="41"/>
      <c r="D35" s="40" t="s">
        <v>17</v>
      </c>
      <c r="E35" s="45" t="str">
        <f>IF(ISNA(VLOOKUP($C$4&amp;$C$8&amp;$C$13&amp;$B$34&amp;D35&amp;E$33, Data!$A:$I,8,FALSE)),"",VLOOKUP($C$4&amp;$C$8&amp;$C$13&amp;$B$34&amp;D35&amp;E$33, Data!$A:$I,8,FALSE))</f>
        <v/>
      </c>
      <c r="F35" s="45"/>
      <c r="G35" s="45"/>
      <c r="H35" s="50" t="str">
        <f>IF(ISNA(VLOOKUP($C$4&amp;$C$8&amp;$C$13&amp;$B$34&amp;D35&amp;$E$33, Data!$A:$I,9,FALSE)),"",VLOOKUP($C$4&amp;$C$8&amp;$C$13&amp;$B$34&amp;D35&amp;$E$33, Data!$A:$I,9,FALSE)) &amp; IF(ISNA(VLOOKUP($C$4&amp;$C$8&amp;$C$13&amp;$B$34&amp;D35&amp;$F$33, Data!$A:$I,9,FALSE)),"",VLOOKUP($C$4&amp;$C$8&amp;$C$13&amp;$B$34&amp;D35&amp;$F$33, Data!$A:$I,9,FALSE)) &amp; IF(ISNA(VLOOKUP($C$4&amp;$C$8&amp;$C$13&amp;$B$34&amp;D35&amp;$G$33, Data!$A:$I,9,FALSE)),"",VLOOKUP($C$4&amp;$C$8&amp;$C$13&amp;$B$34&amp;D35&amp;$G$33, Data!$A:$I,9,FALSE))</f>
        <v/>
      </c>
      <c r="I35" s="43"/>
    </row>
    <row r="36" spans="2:9" x14ac:dyDescent="0.3">
      <c r="B36" s="41"/>
      <c r="C36" s="41"/>
      <c r="D36" s="40" t="s">
        <v>7</v>
      </c>
      <c r="E36" s="45" t="str">
        <f>IF(ISNA(VLOOKUP($C$4&amp;$C$8&amp;$C$13&amp;$B$34&amp;D36&amp;E$33, Data!$A:$I,8,FALSE)),"",VLOOKUP($C$4&amp;$C$8&amp;$C$13&amp;$B$34&amp;D36&amp;E$33, Data!$A:$I,8,FALSE))</f>
        <v/>
      </c>
      <c r="F36" s="45"/>
      <c r="G36" s="45"/>
      <c r="H36" s="50" t="str">
        <f>IF(ISNA(VLOOKUP($C$4&amp;$C$8&amp;$C$13&amp;$B$34&amp;D36&amp;$E$33, Data!$A:$I,9,FALSE)),"",VLOOKUP($C$4&amp;$C$8&amp;$C$13&amp;$B$34&amp;D36&amp;$E$33, Data!$A:$I,9,FALSE)) &amp; IF(ISNA(VLOOKUP($C$4&amp;$C$8&amp;$C$13&amp;$B$34&amp;D36&amp;$F$33, Data!$A:$I,9,FALSE)),"",VLOOKUP($C$4&amp;$C$8&amp;$C$13&amp;$B$34&amp;D36&amp;$F$33, Data!$A:$I,9,FALSE)) &amp; IF(ISNA(VLOOKUP($C$4&amp;$C$8&amp;$C$13&amp;$B$34&amp;D36&amp;$G$33, Data!$A:$I,9,FALSE)),"",VLOOKUP($C$4&amp;$C$8&amp;$C$13&amp;$B$34&amp;D36&amp;$G$33, Data!$A:$I,9,FALSE))</f>
        <v/>
      </c>
      <c r="I36" s="43"/>
    </row>
    <row r="37" spans="2:9" x14ac:dyDescent="0.3">
      <c r="B37" s="41"/>
      <c r="C37" s="41"/>
      <c r="D37" s="40" t="s">
        <v>14</v>
      </c>
      <c r="E37" s="45"/>
      <c r="F37" s="45"/>
      <c r="G37" s="45"/>
      <c r="H37" s="50" t="str">
        <f>IF(ISNA(VLOOKUP($C$4&amp;$C$8&amp;$C$13&amp;$B$34&amp;D37&amp;$E$33, Data!$A:$I,9,FALSE)),"",VLOOKUP($C$4&amp;$C$8&amp;$C$13&amp;$B$34&amp;D37&amp;$E$33, Data!$A:$I,9,FALSE)) &amp; IF(ISNA(VLOOKUP($C$4&amp;$C$8&amp;$C$13&amp;$B$34&amp;D37&amp;$F$33, Data!$A:$I,9,FALSE)),"",VLOOKUP($C$4&amp;$C$8&amp;$C$13&amp;$B$34&amp;D37&amp;$F$33, Data!$A:$I,9,FALSE)) &amp; IF(ISNA(VLOOKUP($C$4&amp;$C$8&amp;$C$13&amp;$B$34&amp;D37&amp;$G$33, Data!$A:$I,9,FALSE)),"",VLOOKUP($C$4&amp;$C$8&amp;$C$13&amp;$B$34&amp;D37&amp;$G$33, Data!$A:$I,9,FALSE))</f>
        <v/>
      </c>
      <c r="I37" s="43"/>
    </row>
    <row r="38" spans="2:9" x14ac:dyDescent="0.3">
      <c r="B38" s="41"/>
      <c r="C38" s="41"/>
      <c r="D38" s="40" t="s">
        <v>12</v>
      </c>
      <c r="E38" s="45" t="str">
        <f>IF(ISNA(VLOOKUP($C$4&amp;$C$8&amp;$C$13&amp;$B$34&amp;D38&amp;E$33, Data!$A:$I,8,FALSE)),"",VLOOKUP($C$4&amp;$C$8&amp;$C$13&amp;$B$34&amp;D38&amp;E$33, Data!$A:$I,8,FALSE))</f>
        <v/>
      </c>
      <c r="F38" s="45" t="str">
        <f>IF(ISNA(VLOOKUP($C$4&amp;$C$8&amp;$C$13&amp;$B$34&amp;D38&amp;F$33, Data!$A:$I,8,FALSE)),"",VLOOKUP($C$4&amp;$C$8&amp;$C$13&amp;$B$34&amp;D38&amp;F$33, Data!$A:$I,8,FALSE))</f>
        <v/>
      </c>
      <c r="G38" s="45" t="str">
        <f>IF(ISNA(VLOOKUP($C$4&amp;$C$8&amp;$C$13&amp;$B$34&amp;D38&amp;G$33, Data!$A:$I,8,FALSE)),"",VLOOKUP($C$4&amp;$C$8&amp;$C$13&amp;$B$34&amp;D38&amp;G$33, Data!$A:$I,8,FALSE))</f>
        <v/>
      </c>
      <c r="H38" s="50" t="str">
        <f>IF(ISNA(VLOOKUP($C$4&amp;$C$8&amp;$C$13&amp;$B$34&amp;D38&amp;$E$33, Data!$A:$I,9,FALSE)),"",VLOOKUP($C$4&amp;$C$8&amp;$C$13&amp;$B$34&amp;D38&amp;$E$33, Data!$A:$I,9,FALSE)) &amp; IF(ISNA(VLOOKUP($C$4&amp;$C$8&amp;$C$13&amp;$B$34&amp;D38&amp;$F$33, Data!$A:$I,9,FALSE)),"",VLOOKUP($C$4&amp;$C$8&amp;$C$13&amp;$B$34&amp;D38&amp;$F$33, Data!$A:$I,9,FALSE)) &amp; IF(ISNA(VLOOKUP($C$4&amp;$C$8&amp;$C$13&amp;$B$34&amp;D38&amp;$G$33, Data!$A:$I,9,FALSE)),"",VLOOKUP($C$4&amp;$C$8&amp;$C$13&amp;$B$34&amp;D38&amp;$G$33, Data!$A:$I,9,FALSE))</f>
        <v/>
      </c>
      <c r="I38" s="43"/>
    </row>
    <row r="39" spans="2:9" x14ac:dyDescent="0.3">
      <c r="B39" s="41" t="s">
        <v>29</v>
      </c>
      <c r="C39" s="69" t="str">
        <f>IF(ISNA(VLOOKUP($C$4&amp;$C$8&amp;$C$13&amp;$B$34, Data!$A:$I,9,FALSE)),"",VLOOKUP($C$4&amp;$C$8&amp;$C$13&amp;$B$34, Data!$A:$I,9,FALSE))</f>
        <v>marques de perroquets</v>
      </c>
      <c r="D39" s="70"/>
      <c r="E39" s="70"/>
      <c r="F39" s="70"/>
      <c r="G39" s="70"/>
      <c r="H39" s="71"/>
    </row>
    <row r="42" spans="2:9" x14ac:dyDescent="0.3">
      <c r="B42" s="40" t="s">
        <v>9</v>
      </c>
      <c r="C42" s="42"/>
      <c r="D42" s="44"/>
      <c r="E42" s="46" t="s">
        <v>11</v>
      </c>
      <c r="F42" s="46" t="s">
        <v>13</v>
      </c>
      <c r="G42" s="46" t="s">
        <v>8</v>
      </c>
      <c r="H42" s="48" t="s">
        <v>6</v>
      </c>
    </row>
    <row r="43" spans="2:9" x14ac:dyDescent="0.3">
      <c r="B43" s="49">
        <f>C15</f>
        <v>164</v>
      </c>
      <c r="C43" s="46"/>
      <c r="D43" s="47" t="s">
        <v>10</v>
      </c>
      <c r="E43" s="57"/>
      <c r="F43" s="56"/>
      <c r="G43" s="55"/>
      <c r="H43" s="53"/>
    </row>
    <row r="44" spans="2:9" x14ac:dyDescent="0.3">
      <c r="B44" s="41"/>
      <c r="C44" s="46"/>
      <c r="D44" s="47" t="s">
        <v>17</v>
      </c>
      <c r="E44" s="51"/>
      <c r="F44" s="52"/>
      <c r="G44" s="52"/>
      <c r="H44" s="54"/>
    </row>
    <row r="45" spans="2:9" x14ac:dyDescent="0.3">
      <c r="B45" s="41"/>
      <c r="C45" s="46"/>
      <c r="D45" s="47" t="s">
        <v>7</v>
      </c>
      <c r="E45" s="51"/>
      <c r="F45" s="52"/>
      <c r="G45" s="52"/>
      <c r="H45" s="54"/>
    </row>
    <row r="46" spans="2:9" x14ac:dyDescent="0.3">
      <c r="B46" s="41"/>
      <c r="C46" s="46"/>
      <c r="D46" s="47" t="s">
        <v>14</v>
      </c>
      <c r="E46" s="51"/>
      <c r="F46" s="52"/>
      <c r="G46" s="52"/>
      <c r="H46" s="54"/>
    </row>
    <row r="47" spans="2:9" x14ac:dyDescent="0.3">
      <c r="B47" s="41"/>
      <c r="C47" s="46"/>
      <c r="D47" s="47" t="s">
        <v>12</v>
      </c>
      <c r="E47" s="51"/>
      <c r="F47" s="52"/>
      <c r="G47" s="52"/>
      <c r="H47" s="54"/>
    </row>
    <row r="48" spans="2:9" x14ac:dyDescent="0.3">
      <c r="B48" s="48" t="s">
        <v>29</v>
      </c>
      <c r="C48" s="72"/>
      <c r="D48" s="73"/>
      <c r="E48" s="73"/>
      <c r="F48" s="73"/>
      <c r="G48" s="73"/>
      <c r="H48" s="74"/>
    </row>
  </sheetData>
  <mergeCells count="3">
    <mergeCell ref="B2:D2"/>
    <mergeCell ref="C39:H39"/>
    <mergeCell ref="C48:H48"/>
  </mergeCells>
  <dataValidations count="5">
    <dataValidation type="list" allowBlank="1" showInputMessage="1" showErrorMessage="1" sqref="C8:C9" xr:uid="{00000000-0002-0000-0000-000000000000}">
      <formula1>sites</formula1>
    </dataValidation>
    <dataValidation type="list" allowBlank="1" showInputMessage="1" showErrorMessage="1" sqref="C13" xr:uid="{00000000-0002-0000-0000-000001000000}">
      <formula1>profondeurs</formula1>
    </dataValidation>
    <dataValidation type="list" allowBlank="1" showInputMessage="1" showErrorMessage="1" sqref="C22:C23" xr:uid="{00000000-0002-0000-0000-000002000000}">
      <formula1>familles</formula1>
    </dataValidation>
    <dataValidation type="list" allowBlank="1" showInputMessage="1" showErrorMessage="1" sqref="C27" xr:uid="{00000000-0002-0000-0000-000003000000}">
      <formula1>positions</formula1>
    </dataValidation>
    <dataValidation type="whole" allowBlank="1" showInputMessage="1" showErrorMessage="1" sqref="C28" xr:uid="{00000000-0002-0000-0000-000004000000}">
      <formula1>0</formula1>
      <formula2>1000</formula2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4" r:id="rId3" name="Button 12">
              <controlPr defaultSize="0" print="0" autoFill="0" autoPict="0" macro="[0]!PlaqueSuivante">
                <anchor moveWithCells="1" sizeWithCells="1">
                  <from>
                    <xdr:col>4</xdr:col>
                    <xdr:colOff>114300</xdr:colOff>
                    <xdr:row>13</xdr:row>
                    <xdr:rowOff>292100</xdr:rowOff>
                  </from>
                  <to>
                    <xdr:col>5</xdr:col>
                    <xdr:colOff>596900</xdr:colOff>
                    <xdr:row>15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4" name="Button 14">
              <controlPr defaultSize="0" print="0" autoFill="0" autoPict="0" macro="[0]!NouvelleSaison">
                <anchor moveWithCells="1" sizeWithCells="1">
                  <from>
                    <xdr:col>4</xdr:col>
                    <xdr:colOff>495300</xdr:colOff>
                    <xdr:row>1</xdr:row>
                    <xdr:rowOff>25400</xdr:rowOff>
                  </from>
                  <to>
                    <xdr:col>6</xdr:col>
                    <xdr:colOff>508000</xdr:colOff>
                    <xdr:row>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5" name="Button 17">
              <controlPr defaultSize="0" print="0" autoFill="0" autoPict="0" macro="[0]!valideEtReste">
                <anchor moveWithCells="1" sizeWithCells="1">
                  <from>
                    <xdr:col>4</xdr:col>
                    <xdr:colOff>114300</xdr:colOff>
                    <xdr:row>16</xdr:row>
                    <xdr:rowOff>0</xdr:rowOff>
                  </from>
                  <to>
                    <xdr:col>6</xdr:col>
                    <xdr:colOff>292100</xdr:colOff>
                    <xdr:row>26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6" name="Button 18">
              <controlPr defaultSize="0" print="0" autoFill="0" autoPict="0" macro="[0]!valideEtChange">
                <anchor moveWithCells="1" sizeWithCells="1">
                  <from>
                    <xdr:col>5</xdr:col>
                    <xdr:colOff>698500</xdr:colOff>
                    <xdr:row>13</xdr:row>
                    <xdr:rowOff>292100</xdr:rowOff>
                  </from>
                  <to>
                    <xdr:col>7</xdr:col>
                    <xdr:colOff>876300</xdr:colOff>
                    <xdr:row>15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7" name="Button 41">
              <controlPr defaultSize="0" print="0" autoFill="0" autoPict="0" macro="[0]!valideEtToutReste">
                <anchor moveWithCells="1" sizeWithCells="1">
                  <from>
                    <xdr:col>4</xdr:col>
                    <xdr:colOff>114300</xdr:colOff>
                    <xdr:row>26</xdr:row>
                    <xdr:rowOff>254000</xdr:rowOff>
                  </from>
                  <to>
                    <xdr:col>6</xdr:col>
                    <xdr:colOff>292100</xdr:colOff>
                    <xdr:row>28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8" name="Button 44">
              <controlPr defaultSize="0" print="0" autoFill="0" autoPict="0" macro="[0]!transfertTableau">
                <anchor moveWithCells="1" sizeWithCells="1">
                  <from>
                    <xdr:col>1</xdr:col>
                    <xdr:colOff>1879600</xdr:colOff>
                    <xdr:row>48</xdr:row>
                    <xdr:rowOff>152400</xdr:rowOff>
                  </from>
                  <to>
                    <xdr:col>4</xdr:col>
                    <xdr:colOff>127000</xdr:colOff>
                    <xdr:row>49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9" name="Button 46">
              <controlPr defaultSize="0" print="0" autoFill="0" autoPict="0" macro="[0]!transfertTableauSansConfirmation">
                <anchor moveWithCells="1" sizeWithCells="1">
                  <from>
                    <xdr:col>4</xdr:col>
                    <xdr:colOff>254000</xdr:colOff>
                    <xdr:row>48</xdr:row>
                    <xdr:rowOff>152400</xdr:rowOff>
                  </from>
                  <to>
                    <xdr:col>6</xdr:col>
                    <xdr:colOff>431800</xdr:colOff>
                    <xdr:row>49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10" name="Button 49">
              <controlPr defaultSize="0" print="0" autoFill="0" autoPict="0" macro="[0]!effaceTableau">
                <anchor moveWithCells="1" sizeWithCells="1">
                  <from>
                    <xdr:col>6</xdr:col>
                    <xdr:colOff>558800</xdr:colOff>
                    <xdr:row>48</xdr:row>
                    <xdr:rowOff>152400</xdr:rowOff>
                  </from>
                  <to>
                    <xdr:col>7</xdr:col>
                    <xdr:colOff>1562100</xdr:colOff>
                    <xdr:row>49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11" name="Button 53">
              <controlPr defaultSize="0" print="0" autoFill="0" autoPict="0" macro="[0]!PlaqueSuivanteTableau">
                <anchor moveWithCells="1" sizeWithCells="1">
                  <from>
                    <xdr:col>4</xdr:col>
                    <xdr:colOff>254000</xdr:colOff>
                    <xdr:row>50</xdr:row>
                    <xdr:rowOff>76200</xdr:rowOff>
                  </from>
                  <to>
                    <xdr:col>5</xdr:col>
                    <xdr:colOff>736600</xdr:colOff>
                    <xdr:row>51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I8171"/>
  <sheetViews>
    <sheetView workbookViewId="0">
      <selection activeCell="A3" sqref="A3"/>
    </sheetView>
  </sheetViews>
  <sheetFormatPr baseColWidth="10" defaultRowHeight="16" x14ac:dyDescent="0.2"/>
  <cols>
    <col min="1" max="1" width="26.5" bestFit="1" customWidth="1"/>
    <col min="3" max="3" width="13.83203125" customWidth="1"/>
    <col min="6" max="6" width="12.83203125" customWidth="1"/>
    <col min="7" max="7" width="16.83203125" customWidth="1"/>
  </cols>
  <sheetData>
    <row r="1" spans="1:9" s="9" customFormat="1" x14ac:dyDescent="0.2">
      <c r="A1" s="9" t="s">
        <v>28</v>
      </c>
      <c r="B1" s="9" t="s">
        <v>0</v>
      </c>
      <c r="C1" s="9" t="s">
        <v>1</v>
      </c>
      <c r="D1" s="9" t="s">
        <v>2</v>
      </c>
      <c r="E1" s="9" t="s">
        <v>9</v>
      </c>
      <c r="F1" s="9" t="s">
        <v>3</v>
      </c>
      <c r="G1" s="9" t="s">
        <v>4</v>
      </c>
      <c r="H1" s="9" t="s">
        <v>5</v>
      </c>
      <c r="I1" s="9" t="s">
        <v>6</v>
      </c>
    </row>
    <row r="2" spans="1:9" x14ac:dyDescent="0.2">
      <c r="A2" t="str">
        <f t="shared" ref="A2:A510" si="0">B2 &amp; C2&amp; D2&amp; E2 &amp; F2 &amp;G2</f>
        <v>36861Vaipahu61CassésDessous</v>
      </c>
      <c r="B2" s="1">
        <v>36861</v>
      </c>
      <c r="C2" t="s">
        <v>23</v>
      </c>
      <c r="D2" s="19">
        <v>6</v>
      </c>
      <c r="E2">
        <v>1</v>
      </c>
      <c r="F2" t="s">
        <v>12</v>
      </c>
      <c r="G2" t="s">
        <v>8</v>
      </c>
      <c r="H2">
        <v>4</v>
      </c>
      <c r="I2" t="s">
        <v>27</v>
      </c>
    </row>
    <row r="3" spans="1:9" x14ac:dyDescent="0.2">
      <c r="A3" t="str">
        <f t="shared" ref="A3" si="1">B3 &amp; C3&amp; D3&amp; E3 &amp; F3 &amp;G3</f>
        <v>44440Haapiti18164PocilloporidaeDessus</v>
      </c>
      <c r="B3" s="1">
        <v>44440</v>
      </c>
      <c r="C3" t="s">
        <v>25</v>
      </c>
      <c r="D3" s="19">
        <v>18</v>
      </c>
      <c r="E3">
        <v>164</v>
      </c>
      <c r="F3" t="s">
        <v>10</v>
      </c>
      <c r="G3" t="s">
        <v>11</v>
      </c>
      <c r="H3">
        <v>2</v>
      </c>
      <c r="I3" t="s">
        <v>27</v>
      </c>
    </row>
    <row r="4" spans="1:9" x14ac:dyDescent="0.2">
      <c r="A4" t="str">
        <f t="shared" ref="A4" si="2">B4 &amp; C4&amp; D4&amp; E4 &amp; F4 &amp;G4</f>
        <v>44440Haapiti18164</v>
      </c>
      <c r="B4" s="1">
        <v>44440</v>
      </c>
      <c r="C4" t="s">
        <v>25</v>
      </c>
      <c r="D4" s="19">
        <v>18</v>
      </c>
      <c r="E4">
        <v>164</v>
      </c>
      <c r="F4" t="s">
        <v>27</v>
      </c>
      <c r="G4" t="s">
        <v>27</v>
      </c>
      <c r="H4" t="s">
        <v>27</v>
      </c>
      <c r="I4" t="s">
        <v>52</v>
      </c>
    </row>
    <row r="5" spans="1:9" x14ac:dyDescent="0.2">
      <c r="A5" t="str">
        <f t="shared" ref="A5" si="3">B5 &amp; C5&amp; D5&amp; E5 &amp; F5 &amp;G5</f>
        <v>44440Haapiti18178AutresBords</v>
      </c>
      <c r="B5" s="1">
        <v>44440</v>
      </c>
      <c r="C5" t="s">
        <v>25</v>
      </c>
      <c r="D5" s="19">
        <v>18</v>
      </c>
      <c r="E5">
        <v>178</v>
      </c>
      <c r="F5" t="s">
        <v>14</v>
      </c>
      <c r="G5" t="s">
        <v>13</v>
      </c>
      <c r="H5">
        <v>1</v>
      </c>
      <c r="I5" t="s">
        <v>27</v>
      </c>
    </row>
    <row r="6" spans="1:9" x14ac:dyDescent="0.2">
      <c r="A6" t="str">
        <f t="shared" ref="A6" si="4">B6 &amp; C6&amp; D6&amp; E6 &amp; F6 &amp;G6</f>
        <v>44440Haapiti18178PocilloporidaeDessous</v>
      </c>
      <c r="B6" s="1">
        <v>44440</v>
      </c>
      <c r="C6" t="s">
        <v>25</v>
      </c>
      <c r="D6" s="19">
        <v>18</v>
      </c>
      <c r="E6">
        <v>178</v>
      </c>
      <c r="F6" t="s">
        <v>10</v>
      </c>
      <c r="G6" t="s">
        <v>8</v>
      </c>
      <c r="H6">
        <v>1</v>
      </c>
      <c r="I6" t="s">
        <v>27</v>
      </c>
    </row>
    <row r="7" spans="1:9" x14ac:dyDescent="0.2">
      <c r="A7" t="str">
        <f t="shared" ref="A7" si="5">B7 &amp; C7&amp; D7&amp; E7 &amp; F7 &amp;G7</f>
        <v>44440Haapiti18179</v>
      </c>
      <c r="B7" s="1">
        <v>44440</v>
      </c>
      <c r="C7" t="s">
        <v>25</v>
      </c>
      <c r="D7" s="19">
        <v>18</v>
      </c>
      <c r="E7">
        <v>179</v>
      </c>
      <c r="F7" t="s">
        <v>27</v>
      </c>
      <c r="G7" t="s">
        <v>27</v>
      </c>
      <c r="H7" t="s">
        <v>27</v>
      </c>
      <c r="I7" t="s">
        <v>47</v>
      </c>
    </row>
    <row r="8" spans="1:9" x14ac:dyDescent="0.2">
      <c r="A8" t="str">
        <f t="shared" ref="A8" si="6">B8 &amp; C8&amp; D8&amp; E8 &amp; F8 &amp;G8</f>
        <v>44440Haapiti18162PocilloporidaeDessous</v>
      </c>
      <c r="B8" s="1">
        <v>44440</v>
      </c>
      <c r="C8" t="s">
        <v>25</v>
      </c>
      <c r="D8" s="19">
        <v>18</v>
      </c>
      <c r="E8">
        <v>162</v>
      </c>
      <c r="F8" t="s">
        <v>10</v>
      </c>
      <c r="G8" t="s">
        <v>8</v>
      </c>
      <c r="H8">
        <v>1</v>
      </c>
      <c r="I8" t="s">
        <v>27</v>
      </c>
    </row>
    <row r="9" spans="1:9" x14ac:dyDescent="0.2">
      <c r="A9" t="str">
        <f t="shared" ref="A9" si="7">B9 &amp; C9&amp; D9&amp; E9 &amp; F9 &amp;G9</f>
        <v>44440Haapiti18165AutresBords</v>
      </c>
      <c r="B9" s="1">
        <v>44440</v>
      </c>
      <c r="C9" t="s">
        <v>25</v>
      </c>
      <c r="D9" s="19">
        <v>18</v>
      </c>
      <c r="E9">
        <v>165</v>
      </c>
      <c r="F9" t="s">
        <v>14</v>
      </c>
      <c r="G9" t="s">
        <v>13</v>
      </c>
      <c r="H9">
        <v>1</v>
      </c>
      <c r="I9" t="s">
        <v>27</v>
      </c>
    </row>
    <row r="10" spans="1:9" x14ac:dyDescent="0.2">
      <c r="A10" t="str">
        <f t="shared" ref="A10" si="8">B10 &amp; C10&amp; D10&amp; E10 &amp; F10 &amp;G10</f>
        <v>44440Haapiti18165PocilloporidaeDessous</v>
      </c>
      <c r="B10" s="1">
        <v>44440</v>
      </c>
      <c r="C10" t="s">
        <v>25</v>
      </c>
      <c r="D10" s="19">
        <v>18</v>
      </c>
      <c r="E10">
        <v>165</v>
      </c>
      <c r="F10" t="s">
        <v>10</v>
      </c>
      <c r="G10" t="s">
        <v>8</v>
      </c>
      <c r="H10">
        <v>3</v>
      </c>
      <c r="I10" t="s">
        <v>27</v>
      </c>
    </row>
    <row r="11" spans="1:9" x14ac:dyDescent="0.2">
      <c r="A11" t="str">
        <f t="shared" ref="A11" si="9">B11 &amp; C11&amp; D11&amp; E11 &amp; F11 &amp;G11</f>
        <v>44440Haapiti18171AutresBords</v>
      </c>
      <c r="B11" s="1">
        <v>44440</v>
      </c>
      <c r="C11" t="s">
        <v>25</v>
      </c>
      <c r="D11" s="19">
        <v>18</v>
      </c>
      <c r="E11">
        <v>171</v>
      </c>
      <c r="F11" t="s">
        <v>14</v>
      </c>
      <c r="G11" t="s">
        <v>13</v>
      </c>
      <c r="H11">
        <v>1</v>
      </c>
      <c r="I11" t="s">
        <v>27</v>
      </c>
    </row>
    <row r="12" spans="1:9" x14ac:dyDescent="0.2">
      <c r="A12" t="str">
        <f t="shared" ref="A12" si="10">B12 &amp; C12&amp; D12&amp; E12 &amp; F12 &amp;G12</f>
        <v>44440Haapiti18171PocilloporidaeDessus</v>
      </c>
      <c r="B12" s="1">
        <v>44440</v>
      </c>
      <c r="C12" t="s">
        <v>25</v>
      </c>
      <c r="D12" s="19">
        <v>18</v>
      </c>
      <c r="E12">
        <v>171</v>
      </c>
      <c r="F12" t="s">
        <v>10</v>
      </c>
      <c r="G12" t="s">
        <v>11</v>
      </c>
      <c r="H12">
        <v>2</v>
      </c>
      <c r="I12" t="s">
        <v>27</v>
      </c>
    </row>
    <row r="13" spans="1:9" x14ac:dyDescent="0.2">
      <c r="A13" t="str">
        <f t="shared" ref="A13" si="11">B13 &amp; C13&amp; D13&amp; E13 &amp; F13 &amp;G13</f>
        <v>44440Haapiti18166PocilloporidaeDessous</v>
      </c>
      <c r="B13" s="1">
        <v>44440</v>
      </c>
      <c r="C13" t="s">
        <v>25</v>
      </c>
      <c r="D13" s="19">
        <v>18</v>
      </c>
      <c r="E13">
        <v>166</v>
      </c>
      <c r="F13" t="s">
        <v>10</v>
      </c>
      <c r="G13" t="s">
        <v>8</v>
      </c>
      <c r="H13">
        <v>1</v>
      </c>
      <c r="I13" t="s">
        <v>27</v>
      </c>
    </row>
    <row r="14" spans="1:9" x14ac:dyDescent="0.2">
      <c r="A14" t="str">
        <f t="shared" ref="A14" si="12">B14 &amp; C14&amp; D14&amp; E14 &amp; F14 &amp;G14</f>
        <v>44440Haapiti18166PocilloporidaeBords</v>
      </c>
      <c r="B14" s="1">
        <v>44440</v>
      </c>
      <c r="C14" t="s">
        <v>25</v>
      </c>
      <c r="D14" s="19">
        <v>18</v>
      </c>
      <c r="E14">
        <v>166</v>
      </c>
      <c r="F14" t="s">
        <v>10</v>
      </c>
      <c r="G14" t="s">
        <v>13</v>
      </c>
      <c r="H14">
        <v>1</v>
      </c>
      <c r="I14" t="s">
        <v>27</v>
      </c>
    </row>
    <row r="15" spans="1:9" x14ac:dyDescent="0.2">
      <c r="A15" t="str">
        <f t="shared" ref="A15" si="13">B15 &amp; C15&amp; D15&amp; E15 &amp; F15 &amp;G15</f>
        <v>44440Haapiti18176PocilloporidaeDessous</v>
      </c>
      <c r="B15" s="1">
        <v>44440</v>
      </c>
      <c r="C15" t="s">
        <v>25</v>
      </c>
      <c r="D15" s="19">
        <v>18</v>
      </c>
      <c r="E15">
        <v>176</v>
      </c>
      <c r="F15" t="s">
        <v>10</v>
      </c>
      <c r="G15" t="s">
        <v>8</v>
      </c>
      <c r="H15">
        <v>2</v>
      </c>
      <c r="I15" t="s">
        <v>27</v>
      </c>
    </row>
    <row r="16" spans="1:9" x14ac:dyDescent="0.2">
      <c r="A16" t="str">
        <f t="shared" ref="A16" si="14">B16 &amp; C16&amp; D16&amp; E16 &amp; F16 &amp;G16</f>
        <v>44440Haapiti18180AcroporidaeDessous</v>
      </c>
      <c r="B16" s="1">
        <v>44440</v>
      </c>
      <c r="C16" t="s">
        <v>25</v>
      </c>
      <c r="D16" s="19">
        <v>18</v>
      </c>
      <c r="E16">
        <v>180</v>
      </c>
      <c r="F16" t="s">
        <v>17</v>
      </c>
      <c r="G16" t="s">
        <v>8</v>
      </c>
      <c r="H16">
        <v>1</v>
      </c>
      <c r="I16" t="s">
        <v>27</v>
      </c>
    </row>
    <row r="17" spans="1:9" x14ac:dyDescent="0.2">
      <c r="A17" t="str">
        <f t="shared" ref="A17" si="15">B17 &amp; C17&amp; D17&amp; E17 &amp; F17 &amp;G17</f>
        <v>44440Haapiti18180PocilloporidaeDessus</v>
      </c>
      <c r="B17" s="1">
        <v>44440</v>
      </c>
      <c r="C17" t="s">
        <v>25</v>
      </c>
      <c r="D17" s="19">
        <v>18</v>
      </c>
      <c r="E17">
        <v>180</v>
      </c>
      <c r="F17" t="s">
        <v>10</v>
      </c>
      <c r="G17" t="s">
        <v>11</v>
      </c>
      <c r="H17">
        <v>2</v>
      </c>
      <c r="I17" t="s">
        <v>27</v>
      </c>
    </row>
    <row r="18" spans="1:9" x14ac:dyDescent="0.2">
      <c r="A18" t="str">
        <f t="shared" ref="A18" si="16">B18 &amp; C18&amp; D18&amp; E18 &amp; F18 &amp;G18</f>
        <v>44440Haapiti12149</v>
      </c>
      <c r="B18" s="1">
        <v>44440</v>
      </c>
      <c r="C18" t="s">
        <v>25</v>
      </c>
      <c r="D18" s="19">
        <v>12</v>
      </c>
      <c r="E18">
        <v>149</v>
      </c>
      <c r="F18" t="s">
        <v>27</v>
      </c>
      <c r="G18" t="s">
        <v>27</v>
      </c>
      <c r="H18" t="s">
        <v>27</v>
      </c>
      <c r="I18" t="s">
        <v>47</v>
      </c>
    </row>
    <row r="19" spans="1:9" x14ac:dyDescent="0.2">
      <c r="A19" t="str">
        <f t="shared" ref="A19" si="17">B19 &amp; C19&amp; D19&amp; E19 &amp; F19 &amp;G19</f>
        <v>44440Haapiti12148</v>
      </c>
      <c r="B19" s="1">
        <v>44440</v>
      </c>
      <c r="C19" t="s">
        <v>25</v>
      </c>
      <c r="D19" s="19">
        <v>12</v>
      </c>
      <c r="E19">
        <v>148</v>
      </c>
      <c r="F19" t="s">
        <v>27</v>
      </c>
      <c r="G19" t="s">
        <v>27</v>
      </c>
      <c r="H19" t="s">
        <v>27</v>
      </c>
      <c r="I19" t="s">
        <v>47</v>
      </c>
    </row>
    <row r="20" spans="1:9" x14ac:dyDescent="0.2">
      <c r="A20" t="str">
        <f t="shared" ref="A20" si="18">B20 &amp; C20&amp; D20&amp; E20 &amp; F20 &amp;G20</f>
        <v>44440Haapiti12145</v>
      </c>
      <c r="B20" s="1">
        <v>44440</v>
      </c>
      <c r="C20" t="s">
        <v>25</v>
      </c>
      <c r="D20" s="19">
        <v>12</v>
      </c>
      <c r="E20">
        <v>145</v>
      </c>
      <c r="F20" t="s">
        <v>27</v>
      </c>
      <c r="G20" t="s">
        <v>27</v>
      </c>
      <c r="H20" t="s">
        <v>27</v>
      </c>
      <c r="I20" t="s">
        <v>47</v>
      </c>
    </row>
    <row r="21" spans="1:9" x14ac:dyDescent="0.2">
      <c r="A21" t="str">
        <f t="shared" ref="A21" si="19">B21 &amp; C21&amp; D21&amp; E21 &amp; F21 &amp;G21</f>
        <v>44440Haapiti12143</v>
      </c>
      <c r="B21" s="1">
        <v>44440</v>
      </c>
      <c r="C21" t="s">
        <v>25</v>
      </c>
      <c r="D21" s="19">
        <v>12</v>
      </c>
      <c r="E21">
        <v>143</v>
      </c>
      <c r="F21" t="s">
        <v>27</v>
      </c>
      <c r="G21" t="s">
        <v>27</v>
      </c>
      <c r="H21" t="s">
        <v>27</v>
      </c>
      <c r="I21" t="s">
        <v>47</v>
      </c>
    </row>
    <row r="22" spans="1:9" x14ac:dyDescent="0.2">
      <c r="A22" t="str">
        <f t="shared" ref="A22" si="20">B22 &amp; C22&amp; D22&amp; E22 &amp; F22 &amp;G22</f>
        <v>44440Haapiti12157PocilloporidaeDessous</v>
      </c>
      <c r="B22" s="1">
        <v>44440</v>
      </c>
      <c r="C22" t="s">
        <v>25</v>
      </c>
      <c r="D22" s="19">
        <v>12</v>
      </c>
      <c r="E22">
        <v>157</v>
      </c>
      <c r="F22" t="s">
        <v>10</v>
      </c>
      <c r="G22" t="s">
        <v>8</v>
      </c>
      <c r="H22">
        <v>1</v>
      </c>
      <c r="I22" t="s">
        <v>27</v>
      </c>
    </row>
    <row r="23" spans="1:9" x14ac:dyDescent="0.2">
      <c r="A23" t="str">
        <f t="shared" ref="A23" si="21">B23 &amp; C23&amp; D23&amp; E23 &amp; F23 &amp;G23</f>
        <v>44440Haapiti12157PocilloporidaeDessus</v>
      </c>
      <c r="B23" s="1">
        <v>44440</v>
      </c>
      <c r="C23" t="s">
        <v>25</v>
      </c>
      <c r="D23" s="19">
        <v>12</v>
      </c>
      <c r="E23">
        <v>157</v>
      </c>
      <c r="F23" t="s">
        <v>10</v>
      </c>
      <c r="G23" t="s">
        <v>11</v>
      </c>
      <c r="H23">
        <v>1</v>
      </c>
      <c r="I23" t="s">
        <v>27</v>
      </c>
    </row>
    <row r="24" spans="1:9" x14ac:dyDescent="0.2">
      <c r="A24" t="str">
        <f t="shared" ref="A24" si="22">B24 &amp; C24&amp; D24&amp; E24 &amp; F24 &amp;G24</f>
        <v>44440Haapiti12160</v>
      </c>
      <c r="B24" s="1">
        <v>44440</v>
      </c>
      <c r="C24" t="s">
        <v>25</v>
      </c>
      <c r="D24" s="19">
        <v>12</v>
      </c>
      <c r="E24">
        <v>160</v>
      </c>
      <c r="F24" t="s">
        <v>27</v>
      </c>
      <c r="G24" t="s">
        <v>27</v>
      </c>
      <c r="H24" t="s">
        <v>27</v>
      </c>
      <c r="I24" t="s">
        <v>47</v>
      </c>
    </row>
    <row r="25" spans="1:9" x14ac:dyDescent="0.2">
      <c r="A25" t="str">
        <f t="shared" ref="A25" si="23">B25 &amp; C25&amp; D25&amp; E25 &amp; F25 &amp;G25</f>
        <v>44440Haapiti12159</v>
      </c>
      <c r="B25" s="1">
        <v>44440</v>
      </c>
      <c r="C25" t="s">
        <v>25</v>
      </c>
      <c r="D25" s="19">
        <v>12</v>
      </c>
      <c r="E25">
        <v>159</v>
      </c>
      <c r="F25" t="s">
        <v>27</v>
      </c>
      <c r="G25" t="s">
        <v>27</v>
      </c>
      <c r="H25" t="s">
        <v>27</v>
      </c>
      <c r="I25" t="s">
        <v>47</v>
      </c>
    </row>
    <row r="26" spans="1:9" x14ac:dyDescent="0.2">
      <c r="A26" t="str">
        <f t="shared" ref="A26" si="24">B26 &amp; C26&amp; D26&amp; E26 &amp; F26 &amp;G26</f>
        <v>44440Haapiti12158</v>
      </c>
      <c r="B26" s="1">
        <v>44440</v>
      </c>
      <c r="C26" t="s">
        <v>25</v>
      </c>
      <c r="D26" s="19">
        <v>12</v>
      </c>
      <c r="E26">
        <v>158</v>
      </c>
      <c r="F26" t="s">
        <v>27</v>
      </c>
      <c r="G26" t="s">
        <v>27</v>
      </c>
      <c r="H26" t="s">
        <v>27</v>
      </c>
      <c r="I26" t="s">
        <v>50</v>
      </c>
    </row>
    <row r="27" spans="1:9" x14ac:dyDescent="0.2">
      <c r="A27" t="str">
        <f t="shared" ref="A27" si="25">B27 &amp; C27&amp; D27&amp; E27 &amp; F27 &amp;G27</f>
        <v>44440Haapiti12156PocilloporidaeDessous</v>
      </c>
      <c r="B27" s="1">
        <v>44440</v>
      </c>
      <c r="C27" t="s">
        <v>25</v>
      </c>
      <c r="D27" s="19">
        <v>12</v>
      </c>
      <c r="E27">
        <v>156</v>
      </c>
      <c r="F27" t="s">
        <v>10</v>
      </c>
      <c r="G27" t="s">
        <v>8</v>
      </c>
      <c r="H27">
        <v>1</v>
      </c>
      <c r="I27" t="s">
        <v>27</v>
      </c>
    </row>
    <row r="28" spans="1:9" x14ac:dyDescent="0.2">
      <c r="A28" t="str">
        <f t="shared" ref="A28" si="26">B28 &amp; C28&amp; D28&amp; E28 &amp; F28 &amp;G28</f>
        <v>44440Haapiti12156PocilloporidaeDessus</v>
      </c>
      <c r="B28" s="1">
        <v>44440</v>
      </c>
      <c r="C28" t="s">
        <v>25</v>
      </c>
      <c r="D28" s="19">
        <v>12</v>
      </c>
      <c r="E28">
        <v>156</v>
      </c>
      <c r="F28" t="s">
        <v>10</v>
      </c>
      <c r="G28" t="s">
        <v>11</v>
      </c>
      <c r="H28">
        <v>1</v>
      </c>
      <c r="I28" t="s">
        <v>27</v>
      </c>
    </row>
    <row r="29" spans="1:9" x14ac:dyDescent="0.2">
      <c r="A29" t="str">
        <f t="shared" ref="A29" si="27">B29 &amp; C29&amp; D29&amp; E29 &amp; F29 &amp;G29</f>
        <v>44440Haapiti12156</v>
      </c>
      <c r="B29" s="1">
        <v>44440</v>
      </c>
      <c r="C29" t="s">
        <v>25</v>
      </c>
      <c r="D29" s="19">
        <v>12</v>
      </c>
      <c r="E29">
        <v>156</v>
      </c>
      <c r="F29" t="s">
        <v>27</v>
      </c>
      <c r="G29" t="s">
        <v>27</v>
      </c>
      <c r="H29" t="s">
        <v>27</v>
      </c>
      <c r="I29" t="s">
        <v>49</v>
      </c>
    </row>
    <row r="30" spans="1:9" x14ac:dyDescent="0.2">
      <c r="A30" t="str">
        <f t="shared" ref="A30" si="28">B30 &amp; C30&amp; D30&amp; E30 &amp; F30 &amp;G30</f>
        <v>44440Haapiti12155PocilloporidaeBords</v>
      </c>
      <c r="B30" s="1">
        <v>44440</v>
      </c>
      <c r="C30" t="s">
        <v>25</v>
      </c>
      <c r="D30" s="19">
        <v>12</v>
      </c>
      <c r="E30">
        <v>155</v>
      </c>
      <c r="F30" t="s">
        <v>10</v>
      </c>
      <c r="G30" t="s">
        <v>13</v>
      </c>
      <c r="H30">
        <v>1</v>
      </c>
      <c r="I30" t="s">
        <v>27</v>
      </c>
    </row>
    <row r="31" spans="1:9" x14ac:dyDescent="0.2">
      <c r="A31" t="str">
        <f t="shared" ref="A31" si="29">B31 &amp; C31&amp; D31&amp; E31 &amp; F31 &amp;G31</f>
        <v>44440Haapiti12155</v>
      </c>
      <c r="B31" s="1">
        <v>44440</v>
      </c>
      <c r="C31" t="s">
        <v>25</v>
      </c>
      <c r="D31" s="19">
        <v>12</v>
      </c>
      <c r="E31">
        <v>155</v>
      </c>
      <c r="F31" t="s">
        <v>27</v>
      </c>
      <c r="G31" t="s">
        <v>27</v>
      </c>
      <c r="H31" t="s">
        <v>27</v>
      </c>
      <c r="I31" t="s">
        <v>49</v>
      </c>
    </row>
    <row r="32" spans="1:9" x14ac:dyDescent="0.2">
      <c r="A32" t="str">
        <f t="shared" ref="A32" si="30">B32 &amp; C32&amp; D32&amp; E32 &amp; F32 &amp;G32</f>
        <v>44440Haapiti12146AutresBords</v>
      </c>
      <c r="B32" s="1">
        <v>44440</v>
      </c>
      <c r="C32" t="s">
        <v>25</v>
      </c>
      <c r="D32" s="19">
        <v>12</v>
      </c>
      <c r="E32">
        <v>146</v>
      </c>
      <c r="F32" t="s">
        <v>14</v>
      </c>
      <c r="G32" t="s">
        <v>13</v>
      </c>
      <c r="H32">
        <v>1</v>
      </c>
      <c r="I32" t="s">
        <v>27</v>
      </c>
    </row>
    <row r="33" spans="1:9" x14ac:dyDescent="0.2">
      <c r="A33" t="str">
        <f t="shared" ref="A33" si="31">B33 &amp; C33&amp; D33&amp; E33 &amp; F33 &amp;G33</f>
        <v>44440Haapiti12144PocilloporidaeDessous</v>
      </c>
      <c r="B33" s="1">
        <v>44440</v>
      </c>
      <c r="C33" t="s">
        <v>25</v>
      </c>
      <c r="D33" s="19">
        <v>12</v>
      </c>
      <c r="E33">
        <v>144</v>
      </c>
      <c r="F33" t="s">
        <v>10</v>
      </c>
      <c r="G33" t="s">
        <v>8</v>
      </c>
      <c r="H33">
        <v>1</v>
      </c>
      <c r="I33" t="s">
        <v>27</v>
      </c>
    </row>
    <row r="34" spans="1:9" x14ac:dyDescent="0.2">
      <c r="A34" t="str">
        <f t="shared" ref="A34" si="32">B34 &amp; C34&amp; D34&amp; E34 &amp; F34 &amp;G34</f>
        <v>44440Haapiti12141</v>
      </c>
      <c r="B34" s="1">
        <v>44440</v>
      </c>
      <c r="C34" t="s">
        <v>25</v>
      </c>
      <c r="D34" s="19">
        <v>12</v>
      </c>
      <c r="E34">
        <v>141</v>
      </c>
      <c r="F34" t="s">
        <v>27</v>
      </c>
      <c r="G34" t="s">
        <v>27</v>
      </c>
      <c r="H34" t="s">
        <v>27</v>
      </c>
      <c r="I34" t="s">
        <v>49</v>
      </c>
    </row>
    <row r="35" spans="1:9" x14ac:dyDescent="0.2">
      <c r="A35" t="str">
        <f t="shared" ref="A35" si="33">B35 &amp; C35&amp; D35&amp; E35 &amp; F35 &amp;G35</f>
        <v>44440Haapiti6139</v>
      </c>
      <c r="B35" s="1">
        <v>44440</v>
      </c>
      <c r="C35" t="s">
        <v>25</v>
      </c>
      <c r="D35" s="19">
        <v>6</v>
      </c>
      <c r="E35">
        <v>139</v>
      </c>
      <c r="F35" t="s">
        <v>27</v>
      </c>
      <c r="G35" t="s">
        <v>27</v>
      </c>
      <c r="H35" t="s">
        <v>27</v>
      </c>
      <c r="I35" t="s">
        <v>50</v>
      </c>
    </row>
    <row r="36" spans="1:9" x14ac:dyDescent="0.2">
      <c r="A36" t="str">
        <f t="shared" ref="A36" si="34">B36 &amp; C36&amp; D36&amp; E36 &amp; F36 &amp;G36</f>
        <v>44440Haapiti6138</v>
      </c>
      <c r="B36" s="1">
        <v>44440</v>
      </c>
      <c r="C36" t="s">
        <v>25</v>
      </c>
      <c r="D36" s="19">
        <v>6</v>
      </c>
      <c r="E36">
        <v>138</v>
      </c>
      <c r="F36" t="s">
        <v>27</v>
      </c>
      <c r="G36" t="s">
        <v>27</v>
      </c>
      <c r="H36" t="s">
        <v>27</v>
      </c>
      <c r="I36" t="s">
        <v>50</v>
      </c>
    </row>
    <row r="37" spans="1:9" x14ac:dyDescent="0.2">
      <c r="A37" t="str">
        <f t="shared" ref="A37" si="35">B37 &amp; C37&amp; D37&amp; E37 &amp; F37 &amp;G37</f>
        <v>44440Haapiti6137</v>
      </c>
      <c r="B37" s="1">
        <v>44440</v>
      </c>
      <c r="C37" t="s">
        <v>25</v>
      </c>
      <c r="D37" s="19">
        <v>6</v>
      </c>
      <c r="E37">
        <v>137</v>
      </c>
      <c r="F37" t="s">
        <v>27</v>
      </c>
      <c r="G37" t="s">
        <v>27</v>
      </c>
      <c r="H37" t="s">
        <v>27</v>
      </c>
      <c r="I37" t="s">
        <v>50</v>
      </c>
    </row>
    <row r="38" spans="1:9" x14ac:dyDescent="0.2">
      <c r="A38" t="str">
        <f t="shared" ref="A38" si="36">B38 &amp; C38&amp; D38&amp; E38 &amp; F38 &amp;G38</f>
        <v>44440Haapiti6135</v>
      </c>
      <c r="B38" s="1">
        <v>44440</v>
      </c>
      <c r="C38" t="s">
        <v>25</v>
      </c>
      <c r="D38" s="19">
        <v>6</v>
      </c>
      <c r="E38">
        <v>135</v>
      </c>
      <c r="F38" t="s">
        <v>27</v>
      </c>
      <c r="G38" t="s">
        <v>27</v>
      </c>
      <c r="H38" t="s">
        <v>27</v>
      </c>
      <c r="I38" t="s">
        <v>50</v>
      </c>
    </row>
    <row r="39" spans="1:9" x14ac:dyDescent="0.2">
      <c r="A39" t="str">
        <f t="shared" ref="A39" si="37">B39 &amp; C39&amp; D39&amp; E39 &amp; F39 &amp;G39</f>
        <v>44440Haapiti6134</v>
      </c>
      <c r="B39" s="1">
        <v>44440</v>
      </c>
      <c r="C39" t="s">
        <v>25</v>
      </c>
      <c r="D39" s="19">
        <v>6</v>
      </c>
      <c r="E39">
        <v>134</v>
      </c>
      <c r="F39" t="s">
        <v>27</v>
      </c>
      <c r="G39" t="s">
        <v>27</v>
      </c>
      <c r="H39" t="s">
        <v>27</v>
      </c>
      <c r="I39" t="s">
        <v>50</v>
      </c>
    </row>
    <row r="40" spans="1:9" x14ac:dyDescent="0.2">
      <c r="A40" t="str">
        <f t="shared" ref="A40" si="38">B40 &amp; C40&amp; D40&amp; E40 &amp; F40 &amp;G40</f>
        <v>44440Haapiti6132</v>
      </c>
      <c r="B40" s="1">
        <v>44440</v>
      </c>
      <c r="C40" t="s">
        <v>25</v>
      </c>
      <c r="D40" s="19">
        <v>6</v>
      </c>
      <c r="E40">
        <v>132</v>
      </c>
      <c r="F40" t="s">
        <v>27</v>
      </c>
      <c r="G40" t="s">
        <v>27</v>
      </c>
      <c r="H40" t="s">
        <v>27</v>
      </c>
      <c r="I40" t="s">
        <v>51</v>
      </c>
    </row>
    <row r="41" spans="1:9" x14ac:dyDescent="0.2">
      <c r="A41" t="str">
        <f t="shared" ref="A41" si="39">B41 &amp; C41&amp; D41&amp; E41 &amp; F41 &amp;G41</f>
        <v>44440Haapiti6131</v>
      </c>
      <c r="B41" s="1">
        <v>44440</v>
      </c>
      <c r="C41" t="s">
        <v>25</v>
      </c>
      <c r="D41" s="19">
        <v>6</v>
      </c>
      <c r="E41">
        <v>131</v>
      </c>
      <c r="F41" t="s">
        <v>27</v>
      </c>
      <c r="G41" t="s">
        <v>27</v>
      </c>
      <c r="H41" t="s">
        <v>27</v>
      </c>
      <c r="I41" t="s">
        <v>51</v>
      </c>
    </row>
    <row r="42" spans="1:9" x14ac:dyDescent="0.2">
      <c r="A42" t="str">
        <f t="shared" ref="A42" si="40">B42 &amp; C42&amp; D42&amp; E42 &amp; F42 &amp;G42</f>
        <v>44440Haapiti6130</v>
      </c>
      <c r="B42" s="1">
        <v>44440</v>
      </c>
      <c r="C42" t="s">
        <v>25</v>
      </c>
      <c r="D42" s="19">
        <v>6</v>
      </c>
      <c r="E42">
        <v>130</v>
      </c>
      <c r="F42" t="s">
        <v>27</v>
      </c>
      <c r="G42" t="s">
        <v>27</v>
      </c>
      <c r="H42" t="s">
        <v>27</v>
      </c>
      <c r="I42" t="s">
        <v>47</v>
      </c>
    </row>
    <row r="43" spans="1:9" x14ac:dyDescent="0.2">
      <c r="A43" t="str">
        <f t="shared" ref="A43" si="41">B43 &amp; C43&amp; D43&amp; E43 &amp; F43 &amp;G43</f>
        <v>44440Haapiti6129</v>
      </c>
      <c r="B43" s="1">
        <v>44440</v>
      </c>
      <c r="C43" t="s">
        <v>25</v>
      </c>
      <c r="D43" s="19">
        <v>6</v>
      </c>
      <c r="E43">
        <v>129</v>
      </c>
      <c r="F43" t="s">
        <v>27</v>
      </c>
      <c r="G43" t="s">
        <v>27</v>
      </c>
      <c r="H43" t="s">
        <v>27</v>
      </c>
      <c r="I43" t="s">
        <v>50</v>
      </c>
    </row>
    <row r="44" spans="1:9" x14ac:dyDescent="0.2">
      <c r="A44" t="str">
        <f t="shared" ref="A44" si="42">B44 &amp; C44&amp; D44&amp; E44 &amp; F44 &amp;G44</f>
        <v>44440Haapiti6128PocilloporidaeDessus</v>
      </c>
      <c r="B44" s="1">
        <v>44440</v>
      </c>
      <c r="C44" t="s">
        <v>25</v>
      </c>
      <c r="D44" s="19">
        <v>6</v>
      </c>
      <c r="E44">
        <v>128</v>
      </c>
      <c r="F44" t="s">
        <v>10</v>
      </c>
      <c r="G44" t="s">
        <v>11</v>
      </c>
      <c r="H44">
        <v>1</v>
      </c>
      <c r="I44" t="s">
        <v>27</v>
      </c>
    </row>
    <row r="45" spans="1:9" x14ac:dyDescent="0.2">
      <c r="A45" t="str">
        <f t="shared" ref="A45" si="43">B45 &amp; C45&amp; D45&amp; E45 &amp; F45 &amp;G45</f>
        <v>44440Haapiti6127</v>
      </c>
      <c r="B45" s="1">
        <v>44440</v>
      </c>
      <c r="C45" t="s">
        <v>25</v>
      </c>
      <c r="D45" s="19">
        <v>6</v>
      </c>
      <c r="E45">
        <v>127</v>
      </c>
      <c r="F45" t="s">
        <v>27</v>
      </c>
      <c r="G45" t="s">
        <v>27</v>
      </c>
      <c r="H45" t="s">
        <v>27</v>
      </c>
      <c r="I45" t="s">
        <v>50</v>
      </c>
    </row>
    <row r="46" spans="1:9" x14ac:dyDescent="0.2">
      <c r="A46" t="str">
        <f t="shared" ref="A46" si="44">B46 &amp; C46&amp; D46&amp; E46 &amp; F46 &amp;G46</f>
        <v>44440Haapiti6126</v>
      </c>
      <c r="B46" s="1">
        <v>44440</v>
      </c>
      <c r="C46" t="s">
        <v>25</v>
      </c>
      <c r="D46" s="19">
        <v>6</v>
      </c>
      <c r="E46">
        <v>126</v>
      </c>
      <c r="F46" t="s">
        <v>27</v>
      </c>
      <c r="G46" t="s">
        <v>27</v>
      </c>
      <c r="H46" t="s">
        <v>27</v>
      </c>
      <c r="I46" t="s">
        <v>50</v>
      </c>
    </row>
    <row r="47" spans="1:9" x14ac:dyDescent="0.2">
      <c r="A47" t="str">
        <f t="shared" ref="A47" si="45">B47 &amp; C47&amp; D47&amp; E47 &amp; F47 &amp;G47</f>
        <v>44440Haapiti6125</v>
      </c>
      <c r="B47" s="1">
        <v>44440</v>
      </c>
      <c r="C47" t="s">
        <v>25</v>
      </c>
      <c r="D47" s="19">
        <v>6</v>
      </c>
      <c r="E47">
        <v>125</v>
      </c>
      <c r="F47" t="s">
        <v>27</v>
      </c>
      <c r="G47" t="s">
        <v>27</v>
      </c>
      <c r="H47" t="s">
        <v>27</v>
      </c>
      <c r="I47" t="s">
        <v>47</v>
      </c>
    </row>
    <row r="48" spans="1:9" x14ac:dyDescent="0.2">
      <c r="A48" t="str">
        <f t="shared" ref="A48" si="46">B48 &amp; C48&amp; D48&amp; E48 &amp; F48 &amp;G48</f>
        <v>44440Haapiti6124</v>
      </c>
      <c r="B48" s="1">
        <v>44440</v>
      </c>
      <c r="C48" t="s">
        <v>25</v>
      </c>
      <c r="D48" s="19">
        <v>6</v>
      </c>
      <c r="E48">
        <v>124</v>
      </c>
      <c r="F48" t="s">
        <v>27</v>
      </c>
      <c r="G48" t="s">
        <v>27</v>
      </c>
      <c r="H48" t="s">
        <v>27</v>
      </c>
      <c r="I48" t="s">
        <v>47</v>
      </c>
    </row>
    <row r="49" spans="1:9" x14ac:dyDescent="0.2">
      <c r="A49" t="str">
        <f t="shared" ref="A49" si="47">B49 &amp; C49&amp; D49&amp; E49 &amp; F49 &amp;G49</f>
        <v>44440Haapiti6123</v>
      </c>
      <c r="B49" s="1">
        <v>44440</v>
      </c>
      <c r="C49" t="s">
        <v>25</v>
      </c>
      <c r="D49" s="19">
        <v>6</v>
      </c>
      <c r="E49">
        <v>123</v>
      </c>
      <c r="F49" t="s">
        <v>27</v>
      </c>
      <c r="G49" t="s">
        <v>27</v>
      </c>
      <c r="H49" t="s">
        <v>27</v>
      </c>
      <c r="I49" t="s">
        <v>47</v>
      </c>
    </row>
    <row r="50" spans="1:9" x14ac:dyDescent="0.2">
      <c r="A50" t="str">
        <f t="shared" ref="A50" si="48">B50 &amp; C50&amp; D50&amp; E50 &amp; F50 &amp;G50</f>
        <v>44440Haapiti6122</v>
      </c>
      <c r="B50" s="1">
        <v>44440</v>
      </c>
      <c r="C50" t="s">
        <v>25</v>
      </c>
      <c r="D50" s="19">
        <v>6</v>
      </c>
      <c r="E50">
        <v>122</v>
      </c>
      <c r="F50" t="s">
        <v>27</v>
      </c>
      <c r="G50" t="s">
        <v>27</v>
      </c>
      <c r="H50" t="s">
        <v>27</v>
      </c>
      <c r="I50" t="s">
        <v>47</v>
      </c>
    </row>
    <row r="51" spans="1:9" x14ac:dyDescent="0.2">
      <c r="A51" t="str">
        <f t="shared" ref="A51" si="49">B51 &amp; C51&amp; D51&amp; E51 &amp; F51 &amp;G51</f>
        <v>44440Haapiti6121</v>
      </c>
      <c r="B51" s="1">
        <v>44440</v>
      </c>
      <c r="C51" t="s">
        <v>25</v>
      </c>
      <c r="D51" s="19">
        <v>6</v>
      </c>
      <c r="E51">
        <v>121</v>
      </c>
      <c r="F51" t="s">
        <v>27</v>
      </c>
      <c r="G51" t="s">
        <v>27</v>
      </c>
      <c r="H51" t="s">
        <v>27</v>
      </c>
      <c r="I51" t="s">
        <v>47</v>
      </c>
    </row>
    <row r="52" spans="1:9" x14ac:dyDescent="0.2">
      <c r="A52" t="str">
        <f t="shared" ref="A52" si="50">B52 &amp; C52&amp; D52&amp; E52 &amp; F52 &amp;G52</f>
        <v>44440Tiahura18108</v>
      </c>
      <c r="B52" s="1">
        <v>44440</v>
      </c>
      <c r="C52" t="s">
        <v>24</v>
      </c>
      <c r="D52" s="19">
        <v>18</v>
      </c>
      <c r="E52">
        <v>108</v>
      </c>
      <c r="F52" t="s">
        <v>27</v>
      </c>
      <c r="G52" t="s">
        <v>27</v>
      </c>
      <c r="H52" t="s">
        <v>27</v>
      </c>
      <c r="I52" t="s">
        <v>47</v>
      </c>
    </row>
    <row r="53" spans="1:9" x14ac:dyDescent="0.2">
      <c r="A53" t="str">
        <f t="shared" ref="A53" si="51">B53 &amp; C53&amp; D53&amp; E53 &amp; F53 &amp;G53</f>
        <v>44440Tiahura18111PocilloporidaeDessus</v>
      </c>
      <c r="B53" s="1">
        <v>44440</v>
      </c>
      <c r="C53" t="s">
        <v>24</v>
      </c>
      <c r="D53" s="19">
        <v>18</v>
      </c>
      <c r="E53">
        <v>111</v>
      </c>
      <c r="F53" t="s">
        <v>10</v>
      </c>
      <c r="G53" t="s">
        <v>11</v>
      </c>
      <c r="H53">
        <v>1</v>
      </c>
      <c r="I53" t="s">
        <v>27</v>
      </c>
    </row>
    <row r="54" spans="1:9" x14ac:dyDescent="0.2">
      <c r="A54" t="str">
        <f t="shared" ref="A54" si="52">B54 &amp; C54&amp; D54&amp; E54 &amp; F54 &amp;G54</f>
        <v>44440Tiahura18105PocilloporidaeDessous</v>
      </c>
      <c r="B54" s="1">
        <v>44440</v>
      </c>
      <c r="C54" t="s">
        <v>24</v>
      </c>
      <c r="D54" s="19">
        <v>18</v>
      </c>
      <c r="E54">
        <v>105</v>
      </c>
      <c r="F54" t="s">
        <v>10</v>
      </c>
      <c r="G54" t="s">
        <v>8</v>
      </c>
      <c r="H54">
        <v>2</v>
      </c>
      <c r="I54" t="s">
        <v>27</v>
      </c>
    </row>
    <row r="55" spans="1:9" x14ac:dyDescent="0.2">
      <c r="A55" t="str">
        <f t="shared" ref="A55" si="53">B55 &amp; C55&amp; D55&amp; E55 &amp; F55 &amp;G55</f>
        <v>44440Tiahura18106AcroporidaeBords</v>
      </c>
      <c r="B55" s="1">
        <v>44440</v>
      </c>
      <c r="C55" t="s">
        <v>24</v>
      </c>
      <c r="D55" s="19">
        <v>18</v>
      </c>
      <c r="E55">
        <v>106</v>
      </c>
      <c r="F55" t="s">
        <v>17</v>
      </c>
      <c r="G55" t="s">
        <v>13</v>
      </c>
      <c r="H55">
        <v>2</v>
      </c>
      <c r="I55" t="s">
        <v>27</v>
      </c>
    </row>
    <row r="56" spans="1:9" x14ac:dyDescent="0.2">
      <c r="A56" t="str">
        <f t="shared" ref="A56" si="54">B56 &amp; C56&amp; D56&amp; E56 &amp; F56 &amp;G56</f>
        <v>44440Tiahura18106PocilloporidaeDessous</v>
      </c>
      <c r="B56" s="1">
        <v>44440</v>
      </c>
      <c r="C56" t="s">
        <v>24</v>
      </c>
      <c r="D56" s="19">
        <v>18</v>
      </c>
      <c r="E56">
        <v>106</v>
      </c>
      <c r="F56" t="s">
        <v>10</v>
      </c>
      <c r="G56" t="s">
        <v>8</v>
      </c>
      <c r="H56">
        <v>3</v>
      </c>
      <c r="I56" t="s">
        <v>27</v>
      </c>
    </row>
    <row r="57" spans="1:9" x14ac:dyDescent="0.2">
      <c r="A57" t="str">
        <f t="shared" ref="A57" si="55">B57 &amp; C57&amp; D57&amp; E57 &amp; F57 &amp;G57</f>
        <v>44440Tiahura18106PocilloporidaeDessus</v>
      </c>
      <c r="B57" s="1">
        <v>44440</v>
      </c>
      <c r="C57" t="s">
        <v>24</v>
      </c>
      <c r="D57" s="19">
        <v>18</v>
      </c>
      <c r="E57">
        <v>106</v>
      </c>
      <c r="F57" t="s">
        <v>10</v>
      </c>
      <c r="G57" t="s">
        <v>11</v>
      </c>
      <c r="H57">
        <v>1</v>
      </c>
      <c r="I57" t="s">
        <v>27</v>
      </c>
    </row>
    <row r="58" spans="1:9" x14ac:dyDescent="0.2">
      <c r="A58" t="str">
        <f t="shared" ref="A58" si="56">B58 &amp; C58&amp; D58&amp; E58 &amp; F58 &amp;G58</f>
        <v>44440Tiahura18107PocilloporidaeBords</v>
      </c>
      <c r="B58" s="1">
        <v>44440</v>
      </c>
      <c r="C58" t="s">
        <v>24</v>
      </c>
      <c r="D58" s="19">
        <v>18</v>
      </c>
      <c r="E58">
        <v>107</v>
      </c>
      <c r="F58" t="s">
        <v>10</v>
      </c>
      <c r="G58" t="s">
        <v>13</v>
      </c>
      <c r="H58">
        <v>3</v>
      </c>
      <c r="I58" t="s">
        <v>27</v>
      </c>
    </row>
    <row r="59" spans="1:9" x14ac:dyDescent="0.2">
      <c r="A59" t="str">
        <f t="shared" ref="A59" si="57">B59 &amp; C59&amp; D59&amp; E59 &amp; F59 &amp;G59</f>
        <v>44440Tiahura18109AutresBords</v>
      </c>
      <c r="B59" s="1">
        <v>44440</v>
      </c>
      <c r="C59" t="s">
        <v>24</v>
      </c>
      <c r="D59" s="19">
        <v>18</v>
      </c>
      <c r="E59">
        <v>109</v>
      </c>
      <c r="F59" t="s">
        <v>14</v>
      </c>
      <c r="G59" t="s">
        <v>13</v>
      </c>
      <c r="H59">
        <v>1</v>
      </c>
      <c r="I59" t="s">
        <v>27</v>
      </c>
    </row>
    <row r="60" spans="1:9" x14ac:dyDescent="0.2">
      <c r="A60" t="str">
        <f t="shared" ref="A60" si="58">B60 &amp; C60&amp; D60&amp; E60 &amp; F60 &amp;G60</f>
        <v>44440Tiahura18109PocilloporidaeDessous</v>
      </c>
      <c r="B60" s="1">
        <v>44440</v>
      </c>
      <c r="C60" t="s">
        <v>24</v>
      </c>
      <c r="D60" s="19">
        <v>18</v>
      </c>
      <c r="E60">
        <v>109</v>
      </c>
      <c r="F60" t="s">
        <v>10</v>
      </c>
      <c r="G60" t="s">
        <v>8</v>
      </c>
      <c r="H60">
        <v>3</v>
      </c>
      <c r="I60" t="s">
        <v>27</v>
      </c>
    </row>
    <row r="61" spans="1:9" x14ac:dyDescent="0.2">
      <c r="A61" t="str">
        <f t="shared" ref="A61" si="59">B61 &amp; C61&amp; D61&amp; E61 &amp; F61 &amp;G61</f>
        <v>44440Tiahura18113PocilloporidaeDessous</v>
      </c>
      <c r="B61" s="1">
        <v>44440</v>
      </c>
      <c r="C61" t="s">
        <v>24</v>
      </c>
      <c r="D61" s="19">
        <v>18</v>
      </c>
      <c r="E61">
        <v>113</v>
      </c>
      <c r="F61" t="s">
        <v>10</v>
      </c>
      <c r="G61" t="s">
        <v>8</v>
      </c>
      <c r="H61">
        <v>1</v>
      </c>
      <c r="I61" t="s">
        <v>27</v>
      </c>
    </row>
    <row r="62" spans="1:9" x14ac:dyDescent="0.2">
      <c r="A62" t="str">
        <f t="shared" ref="A62" si="60">B62 &amp; C62&amp; D62&amp; E62 &amp; F62 &amp;G62</f>
        <v>44440Tiahura18113PocilloporidaeDessus</v>
      </c>
      <c r="B62" s="1">
        <v>44440</v>
      </c>
      <c r="C62" t="s">
        <v>24</v>
      </c>
      <c r="D62" s="19">
        <v>18</v>
      </c>
      <c r="E62">
        <v>113</v>
      </c>
      <c r="F62" t="s">
        <v>10</v>
      </c>
      <c r="G62" t="s">
        <v>11</v>
      </c>
      <c r="H62">
        <v>1</v>
      </c>
      <c r="I62" t="s">
        <v>27</v>
      </c>
    </row>
    <row r="63" spans="1:9" x14ac:dyDescent="0.2">
      <c r="A63" t="str">
        <f t="shared" ref="A63" si="61">B63 &amp; C63&amp; D63&amp; E63 &amp; F63 &amp;G63</f>
        <v>44440Tiahura18101PoritidaeDessous</v>
      </c>
      <c r="B63" s="1">
        <v>44440</v>
      </c>
      <c r="C63" t="s">
        <v>24</v>
      </c>
      <c r="D63" s="19">
        <v>18</v>
      </c>
      <c r="E63">
        <v>101</v>
      </c>
      <c r="F63" t="s">
        <v>7</v>
      </c>
      <c r="G63" t="s">
        <v>8</v>
      </c>
      <c r="H63">
        <v>2</v>
      </c>
      <c r="I63" t="s">
        <v>27</v>
      </c>
    </row>
    <row r="64" spans="1:9" x14ac:dyDescent="0.2">
      <c r="A64" t="str">
        <f t="shared" ref="A64" si="62">B64 &amp; C64&amp; D64&amp; E64 &amp; F64 &amp;G64</f>
        <v>44440Tiahura18101AcroporidaeDessus</v>
      </c>
      <c r="B64" s="1">
        <v>44440</v>
      </c>
      <c r="C64" t="s">
        <v>24</v>
      </c>
      <c r="D64" s="19">
        <v>18</v>
      </c>
      <c r="E64">
        <v>101</v>
      </c>
      <c r="F64" t="s">
        <v>17</v>
      </c>
      <c r="G64" t="s">
        <v>11</v>
      </c>
      <c r="H64">
        <v>1</v>
      </c>
      <c r="I64" t="s">
        <v>27</v>
      </c>
    </row>
    <row r="65" spans="1:9" x14ac:dyDescent="0.2">
      <c r="A65" t="str">
        <f t="shared" ref="A65" si="63">B65 &amp; C65&amp; D65&amp; E65 &amp; F65 &amp;G65</f>
        <v>44440Tiahura18101PocilloporidaeDessus</v>
      </c>
      <c r="B65" s="1">
        <v>44440</v>
      </c>
      <c r="C65" t="s">
        <v>24</v>
      </c>
      <c r="D65" s="19">
        <v>18</v>
      </c>
      <c r="E65">
        <v>101</v>
      </c>
      <c r="F65" t="s">
        <v>10</v>
      </c>
      <c r="G65" t="s">
        <v>11</v>
      </c>
      <c r="H65">
        <v>1</v>
      </c>
      <c r="I65" t="s">
        <v>27</v>
      </c>
    </row>
    <row r="66" spans="1:9" x14ac:dyDescent="0.2">
      <c r="A66" t="str">
        <f t="shared" ref="A66" si="64">B66 &amp; C66&amp; D66&amp; E66 &amp; F66 &amp;G66</f>
        <v>44440Tiahura1282</v>
      </c>
      <c r="B66" s="1">
        <v>44440</v>
      </c>
      <c r="C66" t="s">
        <v>24</v>
      </c>
      <c r="D66" s="19">
        <v>12</v>
      </c>
      <c r="E66">
        <v>82</v>
      </c>
      <c r="F66" t="s">
        <v>27</v>
      </c>
      <c r="G66" t="s">
        <v>27</v>
      </c>
      <c r="H66" t="s">
        <v>27</v>
      </c>
      <c r="I66" t="s">
        <v>47</v>
      </c>
    </row>
    <row r="67" spans="1:9" x14ac:dyDescent="0.2">
      <c r="A67" t="str">
        <f t="shared" ref="A67" si="65">B67 &amp; C67&amp; D67&amp; E67 &amp; F67 &amp;G67</f>
        <v>44440Tiahura1295AutresDessous</v>
      </c>
      <c r="B67" s="1">
        <v>44440</v>
      </c>
      <c r="C67" t="s">
        <v>24</v>
      </c>
      <c r="D67" s="19">
        <v>12</v>
      </c>
      <c r="E67">
        <v>95</v>
      </c>
      <c r="F67" t="s">
        <v>14</v>
      </c>
      <c r="G67" t="s">
        <v>8</v>
      </c>
      <c r="H67">
        <v>1</v>
      </c>
      <c r="I67" t="s">
        <v>27</v>
      </c>
    </row>
    <row r="68" spans="1:9" x14ac:dyDescent="0.2">
      <c r="A68" t="str">
        <f t="shared" ref="A68" si="66">B68 &amp; C68&amp; D68&amp; E68 &amp; F68 &amp;G68</f>
        <v>44440Tiahura1295PocilloporidaeDessous</v>
      </c>
      <c r="B68" s="1">
        <v>44440</v>
      </c>
      <c r="C68" t="s">
        <v>24</v>
      </c>
      <c r="D68" s="19">
        <v>12</v>
      </c>
      <c r="E68">
        <v>95</v>
      </c>
      <c r="F68" t="s">
        <v>10</v>
      </c>
      <c r="G68" t="s">
        <v>8</v>
      </c>
      <c r="H68">
        <v>2</v>
      </c>
      <c r="I68" t="s">
        <v>27</v>
      </c>
    </row>
    <row r="69" spans="1:9" x14ac:dyDescent="0.2">
      <c r="A69" t="str">
        <f t="shared" ref="A69" si="67">B69 &amp; C69&amp; D69&amp; E69 &amp; F69 &amp;G69</f>
        <v>44440Tiahura12100AutresBords</v>
      </c>
      <c r="B69" s="1">
        <v>44440</v>
      </c>
      <c r="C69" t="s">
        <v>24</v>
      </c>
      <c r="D69" s="19">
        <v>12</v>
      </c>
      <c r="E69">
        <v>100</v>
      </c>
      <c r="F69" t="s">
        <v>14</v>
      </c>
      <c r="G69" t="s">
        <v>13</v>
      </c>
      <c r="H69">
        <v>1</v>
      </c>
      <c r="I69" t="s">
        <v>27</v>
      </c>
    </row>
    <row r="70" spans="1:9" x14ac:dyDescent="0.2">
      <c r="A70" t="str">
        <f t="shared" ref="A70" si="68">B70 &amp; C70&amp; D70&amp; E70 &amp; F70 &amp;G70</f>
        <v>44440Tiahura12100PocilloporidaeDessous</v>
      </c>
      <c r="B70" s="1">
        <v>44440</v>
      </c>
      <c r="C70" t="s">
        <v>24</v>
      </c>
      <c r="D70" s="19">
        <v>12</v>
      </c>
      <c r="E70">
        <v>100</v>
      </c>
      <c r="F70" t="s">
        <v>10</v>
      </c>
      <c r="G70" t="s">
        <v>8</v>
      </c>
      <c r="H70">
        <v>6</v>
      </c>
      <c r="I70" t="s">
        <v>27</v>
      </c>
    </row>
    <row r="71" spans="1:9" x14ac:dyDescent="0.2">
      <c r="A71" t="str">
        <f t="shared" ref="A71" si="69">B71 &amp; C71&amp; D71&amp; E71 &amp; F71 &amp;G71</f>
        <v>44440Tiahura12100PocilloporidaeDessus</v>
      </c>
      <c r="B71" s="1">
        <v>44440</v>
      </c>
      <c r="C71" t="s">
        <v>24</v>
      </c>
      <c r="D71" s="19">
        <v>12</v>
      </c>
      <c r="E71">
        <v>100</v>
      </c>
      <c r="F71" t="s">
        <v>10</v>
      </c>
      <c r="G71" t="s">
        <v>11</v>
      </c>
      <c r="H71">
        <v>2</v>
      </c>
      <c r="I71" t="s">
        <v>27</v>
      </c>
    </row>
    <row r="72" spans="1:9" x14ac:dyDescent="0.2">
      <c r="A72" t="str">
        <f t="shared" ref="A72" si="70">B72 &amp; C72&amp; D72&amp; E72 &amp; F72 &amp;G72</f>
        <v>44440Tiahura12100PocilloporidaeDessous</v>
      </c>
      <c r="B72" s="1">
        <v>44440</v>
      </c>
      <c r="C72" t="s">
        <v>24</v>
      </c>
      <c r="D72" s="19">
        <v>12</v>
      </c>
      <c r="E72">
        <v>100</v>
      </c>
      <c r="F72" t="s">
        <v>10</v>
      </c>
      <c r="G72" t="s">
        <v>8</v>
      </c>
      <c r="H72">
        <v>3</v>
      </c>
      <c r="I72" t="s">
        <v>27</v>
      </c>
    </row>
    <row r="73" spans="1:9" x14ac:dyDescent="0.2">
      <c r="A73" t="str">
        <f t="shared" ref="A73" si="71">B73 &amp; C73&amp; D73&amp; E73 &amp; F73 &amp;G73</f>
        <v>44440Tiahura1298PoritidaeBords</v>
      </c>
      <c r="B73" s="1">
        <v>44440</v>
      </c>
      <c r="C73" t="s">
        <v>24</v>
      </c>
      <c r="D73" s="19">
        <v>12</v>
      </c>
      <c r="E73">
        <v>98</v>
      </c>
      <c r="F73" t="s">
        <v>7</v>
      </c>
      <c r="G73" t="s">
        <v>13</v>
      </c>
      <c r="H73">
        <v>1</v>
      </c>
      <c r="I73" t="s">
        <v>27</v>
      </c>
    </row>
    <row r="74" spans="1:9" x14ac:dyDescent="0.2">
      <c r="A74" t="str">
        <f t="shared" ref="A74" si="72">B74 &amp; C74&amp; D74&amp; E74 &amp; F74 &amp;G74</f>
        <v>44440Tiahura1298PocilloporidaeDessous</v>
      </c>
      <c r="B74" s="1">
        <v>44440</v>
      </c>
      <c r="C74" t="s">
        <v>24</v>
      </c>
      <c r="D74" s="19">
        <v>12</v>
      </c>
      <c r="E74">
        <v>98</v>
      </c>
      <c r="F74" t="s">
        <v>10</v>
      </c>
      <c r="G74" t="s">
        <v>8</v>
      </c>
      <c r="H74">
        <v>1</v>
      </c>
      <c r="I74" t="s">
        <v>27</v>
      </c>
    </row>
    <row r="75" spans="1:9" x14ac:dyDescent="0.2">
      <c r="A75" t="str">
        <f t="shared" ref="A75" si="73">B75 &amp; C75&amp; D75&amp; E75 &amp; F75 &amp;G75</f>
        <v>44440Tiahura1298PocilloporidaeDessus</v>
      </c>
      <c r="B75" s="1">
        <v>44440</v>
      </c>
      <c r="C75" t="s">
        <v>24</v>
      </c>
      <c r="D75" s="19">
        <v>12</v>
      </c>
      <c r="E75">
        <v>98</v>
      </c>
      <c r="F75" t="s">
        <v>10</v>
      </c>
      <c r="G75" t="s">
        <v>11</v>
      </c>
      <c r="H75">
        <v>1</v>
      </c>
      <c r="I75" t="s">
        <v>27</v>
      </c>
    </row>
    <row r="76" spans="1:9" x14ac:dyDescent="0.2">
      <c r="A76" t="str">
        <f t="shared" ref="A76" si="74">B76 &amp; C76&amp; D76&amp; E76 &amp; F76 &amp;G76</f>
        <v>44440Tiahura1293PocilloporidaeDessous</v>
      </c>
      <c r="B76" s="1">
        <v>44440</v>
      </c>
      <c r="C76" t="s">
        <v>24</v>
      </c>
      <c r="D76" s="19">
        <v>12</v>
      </c>
      <c r="E76">
        <v>93</v>
      </c>
      <c r="F76" t="s">
        <v>10</v>
      </c>
      <c r="G76" t="s">
        <v>8</v>
      </c>
      <c r="H76">
        <v>1</v>
      </c>
      <c r="I76" t="s">
        <v>27</v>
      </c>
    </row>
    <row r="77" spans="1:9" x14ac:dyDescent="0.2">
      <c r="A77" t="str">
        <f t="shared" ref="A77" si="75">B77 &amp; C77&amp; D77&amp; E77 &amp; F77 &amp;G77</f>
        <v>44440Tiahura680PocilloporidaeDessus</v>
      </c>
      <c r="B77" s="1">
        <v>44440</v>
      </c>
      <c r="C77" t="s">
        <v>24</v>
      </c>
      <c r="D77" s="19">
        <v>6</v>
      </c>
      <c r="E77">
        <v>80</v>
      </c>
      <c r="F77" t="s">
        <v>10</v>
      </c>
      <c r="G77" t="s">
        <v>11</v>
      </c>
      <c r="H77">
        <v>1</v>
      </c>
      <c r="I77" t="s">
        <v>27</v>
      </c>
    </row>
    <row r="78" spans="1:9" x14ac:dyDescent="0.2">
      <c r="A78" t="str">
        <f t="shared" ref="A78" si="76">B78 &amp; C78&amp; D78&amp; E78 &amp; F78 &amp;G78</f>
        <v>44440Tiahura678</v>
      </c>
      <c r="B78" s="1">
        <v>44440</v>
      </c>
      <c r="C78" t="s">
        <v>24</v>
      </c>
      <c r="D78" s="19">
        <v>6</v>
      </c>
      <c r="E78">
        <v>78</v>
      </c>
      <c r="F78" t="s">
        <v>27</v>
      </c>
      <c r="G78" t="s">
        <v>27</v>
      </c>
      <c r="H78" t="s">
        <v>27</v>
      </c>
      <c r="I78" t="s">
        <v>47</v>
      </c>
    </row>
    <row r="79" spans="1:9" x14ac:dyDescent="0.2">
      <c r="A79" t="str">
        <f t="shared" ref="A79" si="77">B79 &amp; C79&amp; D79&amp; E79 &amp; F79 &amp;G79</f>
        <v>44440Tiahura676PoritidaeDessous</v>
      </c>
      <c r="B79" s="1">
        <v>44440</v>
      </c>
      <c r="C79" t="s">
        <v>24</v>
      </c>
      <c r="D79" s="19">
        <v>6</v>
      </c>
      <c r="E79">
        <v>76</v>
      </c>
      <c r="F79" t="s">
        <v>7</v>
      </c>
      <c r="G79" t="s">
        <v>8</v>
      </c>
      <c r="H79">
        <v>1</v>
      </c>
      <c r="I79" t="s">
        <v>27</v>
      </c>
    </row>
    <row r="80" spans="1:9" x14ac:dyDescent="0.2">
      <c r="A80" t="str">
        <f t="shared" ref="A80" si="78">B80 &amp; C80&amp; D80&amp; E80 &amp; F80 &amp;G80</f>
        <v>44440Tiahura676PocilloporidaeDessous</v>
      </c>
      <c r="B80" s="1">
        <v>44440</v>
      </c>
      <c r="C80" t="s">
        <v>24</v>
      </c>
      <c r="D80" s="19">
        <v>6</v>
      </c>
      <c r="E80">
        <v>76</v>
      </c>
      <c r="F80" t="s">
        <v>10</v>
      </c>
      <c r="G80" t="s">
        <v>8</v>
      </c>
      <c r="H80">
        <v>1</v>
      </c>
      <c r="I80" t="s">
        <v>27</v>
      </c>
    </row>
    <row r="81" spans="1:9" x14ac:dyDescent="0.2">
      <c r="A81" t="str">
        <f t="shared" ref="A81" si="79">B81 &amp; C81&amp; D81&amp; E81 &amp; F81 &amp;G81</f>
        <v>44440Tiahura673AcroporidaeDessous</v>
      </c>
      <c r="B81" s="1">
        <v>44440</v>
      </c>
      <c r="C81" t="s">
        <v>24</v>
      </c>
      <c r="D81" s="19">
        <v>6</v>
      </c>
      <c r="E81">
        <v>73</v>
      </c>
      <c r="F81" t="s">
        <v>17</v>
      </c>
      <c r="G81" t="s">
        <v>8</v>
      </c>
      <c r="H81">
        <v>1</v>
      </c>
      <c r="I81" t="s">
        <v>27</v>
      </c>
    </row>
    <row r="82" spans="1:9" x14ac:dyDescent="0.2">
      <c r="A82" t="str">
        <f t="shared" ref="A82" si="80">B82 &amp; C82&amp; D82&amp; E82 &amp; F82 &amp;G82</f>
        <v>44440Tiahura673PocilloporidaeDessous</v>
      </c>
      <c r="B82" s="1">
        <v>44440</v>
      </c>
      <c r="C82" t="s">
        <v>24</v>
      </c>
      <c r="D82" s="19">
        <v>6</v>
      </c>
      <c r="E82">
        <v>73</v>
      </c>
      <c r="F82" t="s">
        <v>10</v>
      </c>
      <c r="G82" t="s">
        <v>8</v>
      </c>
      <c r="H82">
        <v>1</v>
      </c>
      <c r="I82" t="s">
        <v>27</v>
      </c>
    </row>
    <row r="83" spans="1:9" x14ac:dyDescent="0.2">
      <c r="A83" t="str">
        <f t="shared" ref="A83" si="81">B83 &amp; C83&amp; D83&amp; E83 &amp; F83 &amp;G83</f>
        <v>44440Tiahura673PocilloporidaeBords</v>
      </c>
      <c r="B83" s="1">
        <v>44440</v>
      </c>
      <c r="C83" t="s">
        <v>24</v>
      </c>
      <c r="D83" s="19">
        <v>6</v>
      </c>
      <c r="E83">
        <v>73</v>
      </c>
      <c r="F83" t="s">
        <v>10</v>
      </c>
      <c r="G83" t="s">
        <v>13</v>
      </c>
      <c r="H83">
        <v>1</v>
      </c>
      <c r="I83" t="s">
        <v>27</v>
      </c>
    </row>
    <row r="84" spans="1:9" x14ac:dyDescent="0.2">
      <c r="A84" t="str">
        <f t="shared" ref="A84" si="82">B84 &amp; C84&amp; D84&amp; E84 &amp; F84 &amp;G84</f>
        <v>44440Tiahura672AcroporidaeDessous</v>
      </c>
      <c r="B84" s="1">
        <v>44440</v>
      </c>
      <c r="C84" t="s">
        <v>24</v>
      </c>
      <c r="D84" s="19">
        <v>6</v>
      </c>
      <c r="E84">
        <v>72</v>
      </c>
      <c r="F84" t="s">
        <v>17</v>
      </c>
      <c r="G84" t="s">
        <v>8</v>
      </c>
      <c r="H84">
        <v>1</v>
      </c>
      <c r="I84" t="s">
        <v>27</v>
      </c>
    </row>
    <row r="85" spans="1:9" x14ac:dyDescent="0.2">
      <c r="A85" t="str">
        <f t="shared" ref="A85" si="83">B85 &amp; C85&amp; D85&amp; E85 &amp; F85 &amp;G85</f>
        <v>44440Tiahura672PocilloporidaeDessous</v>
      </c>
      <c r="B85" s="1">
        <v>44440</v>
      </c>
      <c r="C85" t="s">
        <v>24</v>
      </c>
      <c r="D85" s="19">
        <v>6</v>
      </c>
      <c r="E85">
        <v>72</v>
      </c>
      <c r="F85" t="s">
        <v>10</v>
      </c>
      <c r="G85" t="s">
        <v>8</v>
      </c>
      <c r="H85">
        <v>2</v>
      </c>
      <c r="I85" t="s">
        <v>27</v>
      </c>
    </row>
    <row r="86" spans="1:9" x14ac:dyDescent="0.2">
      <c r="A86" t="str">
        <f t="shared" ref="A86" si="84">B86 &amp; C86&amp; D86&amp; E86 &amp; F86 &amp;G86</f>
        <v>44440Tiahura672PocilloporidaeBords</v>
      </c>
      <c r="B86" s="1">
        <v>44440</v>
      </c>
      <c r="C86" t="s">
        <v>24</v>
      </c>
      <c r="D86" s="19">
        <v>6</v>
      </c>
      <c r="E86">
        <v>72</v>
      </c>
      <c r="F86" t="s">
        <v>10</v>
      </c>
      <c r="G86" t="s">
        <v>13</v>
      </c>
      <c r="H86">
        <v>1</v>
      </c>
      <c r="I86" t="s">
        <v>27</v>
      </c>
    </row>
    <row r="87" spans="1:9" x14ac:dyDescent="0.2">
      <c r="A87" t="str">
        <f t="shared" ref="A87" si="85">B87 &amp; C87&amp; D87&amp; E87 &amp; F87 &amp;G87</f>
        <v>44440Tiahura671AutresBords</v>
      </c>
      <c r="B87" s="1">
        <v>44440</v>
      </c>
      <c r="C87" t="s">
        <v>24</v>
      </c>
      <c r="D87" s="19">
        <v>6</v>
      </c>
      <c r="E87">
        <v>71</v>
      </c>
      <c r="F87" t="s">
        <v>14</v>
      </c>
      <c r="G87" t="s">
        <v>13</v>
      </c>
      <c r="H87">
        <v>1</v>
      </c>
      <c r="I87" t="s">
        <v>27</v>
      </c>
    </row>
    <row r="88" spans="1:9" x14ac:dyDescent="0.2">
      <c r="A88" t="str">
        <f t="shared" ref="A88" si="86">B88 &amp; C88&amp; D88&amp; E88 &amp; F88 &amp;G88</f>
        <v>44440Tiahura671AcroporidaeDessous</v>
      </c>
      <c r="B88" s="1">
        <v>44440</v>
      </c>
      <c r="C88" t="s">
        <v>24</v>
      </c>
      <c r="D88" s="19">
        <v>6</v>
      </c>
      <c r="E88">
        <v>71</v>
      </c>
      <c r="F88" t="s">
        <v>17</v>
      </c>
      <c r="G88" t="s">
        <v>8</v>
      </c>
      <c r="H88">
        <v>1</v>
      </c>
      <c r="I88" t="s">
        <v>27</v>
      </c>
    </row>
    <row r="89" spans="1:9" x14ac:dyDescent="0.2">
      <c r="A89" t="str">
        <f t="shared" ref="A89" si="87">B89 &amp; C89&amp; D89&amp; E89 &amp; F89 &amp;G89</f>
        <v>44440Tiahura671PocilloporidaeDessus</v>
      </c>
      <c r="B89" s="1">
        <v>44440</v>
      </c>
      <c r="C89" t="s">
        <v>24</v>
      </c>
      <c r="D89" s="19">
        <v>6</v>
      </c>
      <c r="E89">
        <v>71</v>
      </c>
      <c r="F89" t="s">
        <v>10</v>
      </c>
      <c r="G89" t="s">
        <v>11</v>
      </c>
      <c r="H89">
        <v>1</v>
      </c>
      <c r="I89" t="s">
        <v>27</v>
      </c>
    </row>
    <row r="90" spans="1:9" x14ac:dyDescent="0.2">
      <c r="A90" t="str">
        <f t="shared" ref="A90" si="88">B90 &amp; C90&amp; D90&amp; E90 &amp; F90 &amp;G90</f>
        <v>44440Tiahura669PocilloporidaeBords</v>
      </c>
      <c r="B90" s="1">
        <v>44440</v>
      </c>
      <c r="C90" t="s">
        <v>24</v>
      </c>
      <c r="D90" s="19">
        <v>6</v>
      </c>
      <c r="E90">
        <v>69</v>
      </c>
      <c r="F90" t="s">
        <v>10</v>
      </c>
      <c r="G90" t="s">
        <v>13</v>
      </c>
      <c r="H90">
        <v>1</v>
      </c>
      <c r="I90" t="s">
        <v>27</v>
      </c>
    </row>
    <row r="91" spans="1:9" x14ac:dyDescent="0.2">
      <c r="A91" t="str">
        <f t="shared" ref="A91" si="89">B91 &amp; C91&amp; D91&amp; E91 &amp; F91 &amp;G91</f>
        <v>44440Tiahura666</v>
      </c>
      <c r="B91" s="1">
        <v>44440</v>
      </c>
      <c r="C91" t="s">
        <v>24</v>
      </c>
      <c r="D91" s="19">
        <v>6</v>
      </c>
      <c r="E91">
        <v>66</v>
      </c>
      <c r="F91" t="s">
        <v>27</v>
      </c>
      <c r="G91" t="s">
        <v>27</v>
      </c>
      <c r="H91" t="s">
        <v>27</v>
      </c>
      <c r="I91" t="s">
        <v>49</v>
      </c>
    </row>
    <row r="92" spans="1:9" x14ac:dyDescent="0.2">
      <c r="A92" t="str">
        <f t="shared" ref="A92" si="90">B92 &amp; C92&amp; D92&amp; E92 &amp; F92 &amp;G92</f>
        <v>44440Tiahura664PocilloporidaeDessous</v>
      </c>
      <c r="B92" s="1">
        <v>44440</v>
      </c>
      <c r="C92" t="s">
        <v>24</v>
      </c>
      <c r="D92" s="19">
        <v>6</v>
      </c>
      <c r="E92">
        <v>64</v>
      </c>
      <c r="F92" t="s">
        <v>10</v>
      </c>
      <c r="G92" t="s">
        <v>8</v>
      </c>
      <c r="H92">
        <v>3</v>
      </c>
      <c r="I92" t="s">
        <v>27</v>
      </c>
    </row>
    <row r="93" spans="1:9" x14ac:dyDescent="0.2">
      <c r="A93" t="str">
        <f t="shared" ref="A93" si="91">B93 &amp; C93&amp; D93&amp; E93 &amp; F93 &amp;G93</f>
        <v>44440Tiahura664PocilloporidaeBords</v>
      </c>
      <c r="B93" s="1">
        <v>44440</v>
      </c>
      <c r="C93" t="s">
        <v>24</v>
      </c>
      <c r="D93" s="19">
        <v>6</v>
      </c>
      <c r="E93">
        <v>64</v>
      </c>
      <c r="F93" t="s">
        <v>10</v>
      </c>
      <c r="G93" t="s">
        <v>13</v>
      </c>
      <c r="H93">
        <v>2</v>
      </c>
      <c r="I93" t="s">
        <v>27</v>
      </c>
    </row>
    <row r="94" spans="1:9" x14ac:dyDescent="0.2">
      <c r="A94" t="str">
        <f t="shared" ref="A94" si="92">B94 &amp; C94&amp; D94&amp; E94 &amp; F94 &amp;G94</f>
        <v>44440Tiahura664PocilloporidaeDessus</v>
      </c>
      <c r="B94" s="1">
        <v>44440</v>
      </c>
      <c r="C94" t="s">
        <v>24</v>
      </c>
      <c r="D94" s="19">
        <v>6</v>
      </c>
      <c r="E94">
        <v>64</v>
      </c>
      <c r="F94" t="s">
        <v>10</v>
      </c>
      <c r="G94" t="s">
        <v>11</v>
      </c>
      <c r="H94">
        <v>1</v>
      </c>
      <c r="I94" t="s">
        <v>27</v>
      </c>
    </row>
    <row r="95" spans="1:9" x14ac:dyDescent="0.2">
      <c r="A95" t="str">
        <f t="shared" ref="A95" si="93">B95 &amp; C95&amp; D95&amp; E95 &amp; F95 &amp;G95</f>
        <v>44440Tiahura663</v>
      </c>
      <c r="B95" s="1">
        <v>44440</v>
      </c>
      <c r="C95" t="s">
        <v>24</v>
      </c>
      <c r="D95" s="19">
        <v>6</v>
      </c>
      <c r="E95">
        <v>63</v>
      </c>
      <c r="F95" t="s">
        <v>27</v>
      </c>
      <c r="G95" t="s">
        <v>27</v>
      </c>
      <c r="H95" t="s">
        <v>27</v>
      </c>
      <c r="I95" t="s">
        <v>47</v>
      </c>
    </row>
    <row r="96" spans="1:9" x14ac:dyDescent="0.2">
      <c r="A96" t="str">
        <f t="shared" ref="A96" si="94">B96 &amp; C96&amp; D96&amp; E96 &amp; F96 &amp;G96</f>
        <v>44440Tiahura662PocilloporidaeDessus</v>
      </c>
      <c r="B96" s="1">
        <v>44440</v>
      </c>
      <c r="C96" t="s">
        <v>24</v>
      </c>
      <c r="D96" s="19">
        <v>6</v>
      </c>
      <c r="E96">
        <v>62</v>
      </c>
      <c r="F96" t="s">
        <v>10</v>
      </c>
      <c r="G96" t="s">
        <v>11</v>
      </c>
      <c r="H96">
        <v>2</v>
      </c>
      <c r="I96" t="s">
        <v>27</v>
      </c>
    </row>
    <row r="97" spans="1:9" x14ac:dyDescent="0.2">
      <c r="A97" t="str">
        <f t="shared" ref="A97" si="95">B97 &amp; C97&amp; D97&amp; E97 &amp; F97 &amp;G97</f>
        <v>44440Tiahura662</v>
      </c>
      <c r="B97" s="1">
        <v>44440</v>
      </c>
      <c r="C97" t="s">
        <v>24</v>
      </c>
      <c r="D97" s="19">
        <v>6</v>
      </c>
      <c r="E97">
        <v>62</v>
      </c>
      <c r="F97" t="s">
        <v>27</v>
      </c>
      <c r="G97" t="s">
        <v>27</v>
      </c>
      <c r="H97" t="s">
        <v>27</v>
      </c>
      <c r="I97" t="s">
        <v>49</v>
      </c>
    </row>
    <row r="98" spans="1:9" x14ac:dyDescent="0.2">
      <c r="A98" t="str">
        <f t="shared" ref="A98" si="96">B98 &amp; C98&amp; D98&amp; E98 &amp; F98 &amp;G98</f>
        <v>44440Tiahura661PocilloporidaeDessous</v>
      </c>
      <c r="B98" s="1">
        <v>44440</v>
      </c>
      <c r="C98" t="s">
        <v>24</v>
      </c>
      <c r="D98" s="19">
        <v>6</v>
      </c>
      <c r="E98">
        <v>61</v>
      </c>
      <c r="F98" t="s">
        <v>10</v>
      </c>
      <c r="G98" t="s">
        <v>8</v>
      </c>
      <c r="H98">
        <v>2</v>
      </c>
      <c r="I98" t="s">
        <v>27</v>
      </c>
    </row>
    <row r="99" spans="1:9" x14ac:dyDescent="0.2">
      <c r="A99" t="str">
        <f t="shared" ref="A99" si="97">B99 &amp; C99&amp; D99&amp; E99 &amp; F99 &amp;G99</f>
        <v>44440Tiahura661PocilloporidaeBords</v>
      </c>
      <c r="B99" s="1">
        <v>44440</v>
      </c>
      <c r="C99" t="s">
        <v>24</v>
      </c>
      <c r="D99" s="19">
        <v>6</v>
      </c>
      <c r="E99">
        <v>61</v>
      </c>
      <c r="F99" t="s">
        <v>10</v>
      </c>
      <c r="G99" t="s">
        <v>13</v>
      </c>
      <c r="H99">
        <v>1</v>
      </c>
      <c r="I99" t="s">
        <v>27</v>
      </c>
    </row>
    <row r="100" spans="1:9" x14ac:dyDescent="0.2">
      <c r="A100" t="str">
        <f t="shared" ref="A100" si="98">B100 &amp; C100&amp; D100&amp; E100 &amp; F100 &amp;G100</f>
        <v>44440Vaipahu617</v>
      </c>
      <c r="B100" s="1">
        <v>44440</v>
      </c>
      <c r="C100" t="s">
        <v>23</v>
      </c>
      <c r="D100" s="19">
        <v>6</v>
      </c>
      <c r="E100">
        <v>17</v>
      </c>
      <c r="F100" t="s">
        <v>27</v>
      </c>
      <c r="G100" t="s">
        <v>27</v>
      </c>
      <c r="H100" t="s">
        <v>27</v>
      </c>
      <c r="I100" t="s">
        <v>47</v>
      </c>
    </row>
    <row r="101" spans="1:9" x14ac:dyDescent="0.2">
      <c r="A101" t="str">
        <f t="shared" ref="A101" si="99">B101 &amp; C101&amp; D101&amp; E101 &amp; F101 &amp;G101</f>
        <v>44440Vaipahu613PocilloporidaeDessous</v>
      </c>
      <c r="B101" s="1">
        <v>44440</v>
      </c>
      <c r="C101" t="s">
        <v>23</v>
      </c>
      <c r="D101" s="19">
        <v>6</v>
      </c>
      <c r="E101">
        <v>13</v>
      </c>
      <c r="F101" t="s">
        <v>10</v>
      </c>
      <c r="G101" t="s">
        <v>8</v>
      </c>
      <c r="H101">
        <v>1</v>
      </c>
      <c r="I101" t="s">
        <v>27</v>
      </c>
    </row>
    <row r="102" spans="1:9" x14ac:dyDescent="0.2">
      <c r="A102" t="str">
        <f t="shared" ref="A102" si="100">B102 &amp; C102&amp; D102&amp; E102 &amp; F102 &amp;G102</f>
        <v>44440Vaipahu611PocilloporidaeDessous</v>
      </c>
      <c r="B102" s="1">
        <v>44440</v>
      </c>
      <c r="C102" t="s">
        <v>23</v>
      </c>
      <c r="D102" s="19">
        <v>6</v>
      </c>
      <c r="E102">
        <v>11</v>
      </c>
      <c r="F102" t="s">
        <v>10</v>
      </c>
      <c r="G102" t="s">
        <v>8</v>
      </c>
      <c r="H102">
        <v>2</v>
      </c>
      <c r="I102" t="s">
        <v>27</v>
      </c>
    </row>
    <row r="103" spans="1:9" x14ac:dyDescent="0.2">
      <c r="A103" t="str">
        <f t="shared" ref="A103" si="101">B103 &amp; C103&amp; D103&amp; E103 &amp; F103 &amp;G103</f>
        <v>44440Vaipahu612PocilloporidaeDessous</v>
      </c>
      <c r="B103" s="1">
        <v>44440</v>
      </c>
      <c r="C103" t="s">
        <v>23</v>
      </c>
      <c r="D103" s="19">
        <v>6</v>
      </c>
      <c r="E103">
        <v>12</v>
      </c>
      <c r="F103" t="s">
        <v>10</v>
      </c>
      <c r="G103" t="s">
        <v>8</v>
      </c>
      <c r="H103">
        <v>2</v>
      </c>
      <c r="I103" t="s">
        <v>27</v>
      </c>
    </row>
    <row r="104" spans="1:9" x14ac:dyDescent="0.2">
      <c r="A104" t="str">
        <f t="shared" ref="A104" si="102">B104 &amp; C104&amp; D104&amp; E104 &amp; F104 &amp;G104</f>
        <v>44440Vaipahu612PocilloporidaeBords</v>
      </c>
      <c r="B104" s="1">
        <v>44440</v>
      </c>
      <c r="C104" t="s">
        <v>23</v>
      </c>
      <c r="D104" s="19">
        <v>6</v>
      </c>
      <c r="E104">
        <v>12</v>
      </c>
      <c r="F104" t="s">
        <v>10</v>
      </c>
      <c r="G104" t="s">
        <v>13</v>
      </c>
      <c r="H104">
        <v>1</v>
      </c>
      <c r="I104" t="s">
        <v>27</v>
      </c>
    </row>
    <row r="105" spans="1:9" x14ac:dyDescent="0.2">
      <c r="A105" t="str">
        <f t="shared" ref="A105" si="103">B105 &amp; C105&amp; D105&amp; E105 &amp; F105 &amp;G105</f>
        <v>44440Vaipahu612PocilloporidaeDessus</v>
      </c>
      <c r="B105" s="1">
        <v>44440</v>
      </c>
      <c r="C105" t="s">
        <v>23</v>
      </c>
      <c r="D105" s="19">
        <v>6</v>
      </c>
      <c r="E105">
        <v>12</v>
      </c>
      <c r="F105" t="s">
        <v>10</v>
      </c>
      <c r="G105" t="s">
        <v>11</v>
      </c>
      <c r="H105">
        <v>1</v>
      </c>
      <c r="I105" t="s">
        <v>27</v>
      </c>
    </row>
    <row r="106" spans="1:9" x14ac:dyDescent="0.2">
      <c r="A106" t="str">
        <f t="shared" ref="A106" si="104">B106 &amp; C106&amp; D106&amp; E106 &amp; F106 &amp;G106</f>
        <v>44440Vaipahu65PoritidaeDessous</v>
      </c>
      <c r="B106" s="1">
        <v>44440</v>
      </c>
      <c r="C106" t="s">
        <v>23</v>
      </c>
      <c r="D106" s="19">
        <v>6</v>
      </c>
      <c r="E106">
        <v>5</v>
      </c>
      <c r="F106" t="s">
        <v>7</v>
      </c>
      <c r="G106" t="s">
        <v>8</v>
      </c>
      <c r="H106">
        <v>1</v>
      </c>
      <c r="I106" t="s">
        <v>27</v>
      </c>
    </row>
    <row r="107" spans="1:9" x14ac:dyDescent="0.2">
      <c r="A107" t="str">
        <f t="shared" ref="A107" si="105">B107 &amp; C107&amp; D107&amp; E107 &amp; F107 &amp;G107</f>
        <v>44440Vaipahu65PocilloporidaeBords</v>
      </c>
      <c r="B107" s="1">
        <v>44440</v>
      </c>
      <c r="C107" t="s">
        <v>23</v>
      </c>
      <c r="D107" s="19">
        <v>6</v>
      </c>
      <c r="E107">
        <v>5</v>
      </c>
      <c r="F107" t="s">
        <v>10</v>
      </c>
      <c r="G107" t="s">
        <v>13</v>
      </c>
      <c r="H107">
        <v>1</v>
      </c>
      <c r="I107" t="s">
        <v>27</v>
      </c>
    </row>
    <row r="108" spans="1:9" x14ac:dyDescent="0.2">
      <c r="A108" t="str">
        <f t="shared" ref="A108" si="106">B108 &amp; C108&amp; D108&amp; E108 &amp; F108 &amp;G108</f>
        <v>44440Vaipahu65PocilloporidaeDessus</v>
      </c>
      <c r="B108" s="1">
        <v>44440</v>
      </c>
      <c r="C108" t="s">
        <v>23</v>
      </c>
      <c r="D108" s="19">
        <v>6</v>
      </c>
      <c r="E108">
        <v>5</v>
      </c>
      <c r="F108" t="s">
        <v>10</v>
      </c>
      <c r="G108" t="s">
        <v>11</v>
      </c>
      <c r="H108">
        <v>2</v>
      </c>
      <c r="I108" t="s">
        <v>27</v>
      </c>
    </row>
    <row r="109" spans="1:9" x14ac:dyDescent="0.2">
      <c r="A109" t="str">
        <f t="shared" ref="A109" si="107">B109 &amp; C109&amp; D109&amp; E109 &amp; F109 &amp;G109</f>
        <v>44440Vaipahu64PocilloporidaeDessous</v>
      </c>
      <c r="B109" s="1">
        <v>44440</v>
      </c>
      <c r="C109" t="s">
        <v>23</v>
      </c>
      <c r="D109" s="19">
        <v>6</v>
      </c>
      <c r="E109">
        <v>4</v>
      </c>
      <c r="F109" t="s">
        <v>10</v>
      </c>
      <c r="G109" t="s">
        <v>8</v>
      </c>
      <c r="H109">
        <v>3</v>
      </c>
      <c r="I109" t="s">
        <v>27</v>
      </c>
    </row>
    <row r="110" spans="1:9" x14ac:dyDescent="0.2">
      <c r="A110" t="str">
        <f t="shared" ref="A110" si="108">B110 &amp; C110&amp; D110&amp; E110 &amp; F110 &amp;G110</f>
        <v>44440Vaipahu64PocilloporidaeDessus</v>
      </c>
      <c r="B110" s="1">
        <v>44440</v>
      </c>
      <c r="C110" t="s">
        <v>23</v>
      </c>
      <c r="D110" s="19">
        <v>6</v>
      </c>
      <c r="E110">
        <v>4</v>
      </c>
      <c r="F110" t="s">
        <v>10</v>
      </c>
      <c r="G110" t="s">
        <v>11</v>
      </c>
      <c r="H110">
        <v>2</v>
      </c>
      <c r="I110" t="s">
        <v>27</v>
      </c>
    </row>
    <row r="111" spans="1:9" x14ac:dyDescent="0.2">
      <c r="A111" t="str">
        <f t="shared" ref="A111" si="109">B111 &amp; C111&amp; D111&amp; E111 &amp; F111 &amp;G111</f>
        <v>44440Vaipahu63PocilloporidaeDessous</v>
      </c>
      <c r="B111" s="1">
        <v>44440</v>
      </c>
      <c r="C111" t="s">
        <v>23</v>
      </c>
      <c r="D111" s="19">
        <v>6</v>
      </c>
      <c r="E111">
        <v>3</v>
      </c>
      <c r="F111" t="s">
        <v>10</v>
      </c>
      <c r="G111" t="s">
        <v>8</v>
      </c>
      <c r="H111">
        <v>2</v>
      </c>
      <c r="I111" t="s">
        <v>27</v>
      </c>
    </row>
    <row r="112" spans="1:9" x14ac:dyDescent="0.2">
      <c r="A112" t="str">
        <f t="shared" ref="A112" si="110">B112 &amp; C112&amp; D112&amp; E112 &amp; F112 &amp;G112</f>
        <v>44440Vaipahu63AutresBords</v>
      </c>
      <c r="B112" s="1">
        <v>44440</v>
      </c>
      <c r="C112" t="s">
        <v>23</v>
      </c>
      <c r="D112" s="19">
        <v>6</v>
      </c>
      <c r="E112">
        <v>3</v>
      </c>
      <c r="F112" t="s">
        <v>14</v>
      </c>
      <c r="G112" t="s">
        <v>13</v>
      </c>
      <c r="H112">
        <v>1</v>
      </c>
      <c r="I112" t="s">
        <v>27</v>
      </c>
    </row>
    <row r="113" spans="1:9" x14ac:dyDescent="0.2">
      <c r="A113" t="str">
        <f t="shared" ref="A113" si="111">B113 &amp; C113&amp; D113&amp; E113 &amp; F113 &amp;G113</f>
        <v>44440Vaipahu63PocilloporidaeDessous</v>
      </c>
      <c r="B113" s="1">
        <v>44440</v>
      </c>
      <c r="C113" t="s">
        <v>23</v>
      </c>
      <c r="D113" s="19">
        <v>6</v>
      </c>
      <c r="E113">
        <v>3</v>
      </c>
      <c r="F113" t="s">
        <v>10</v>
      </c>
      <c r="G113" t="s">
        <v>8</v>
      </c>
      <c r="H113">
        <v>1</v>
      </c>
      <c r="I113" t="s">
        <v>27</v>
      </c>
    </row>
    <row r="114" spans="1:9" x14ac:dyDescent="0.2">
      <c r="A114" t="str">
        <f t="shared" ref="A114" si="112">B114 &amp; C114&amp; D114&amp; E114 &amp; F114 &amp;G114</f>
        <v>44440Vaipahu62PoritidaeDessous</v>
      </c>
      <c r="B114" s="1">
        <v>44440</v>
      </c>
      <c r="C114" t="s">
        <v>23</v>
      </c>
      <c r="D114" s="19">
        <v>6</v>
      </c>
      <c r="E114">
        <v>2</v>
      </c>
      <c r="F114" t="s">
        <v>7</v>
      </c>
      <c r="G114" t="s">
        <v>8</v>
      </c>
      <c r="H114">
        <v>1</v>
      </c>
      <c r="I114" t="s">
        <v>27</v>
      </c>
    </row>
    <row r="115" spans="1:9" x14ac:dyDescent="0.2">
      <c r="A115" t="str">
        <f t="shared" ref="A115" si="113">B115 &amp; C115&amp; D115&amp; E115 &amp; F115 &amp;G115</f>
        <v>44440Vaipahu62PocilloporidaeDessus</v>
      </c>
      <c r="B115" s="1">
        <v>44440</v>
      </c>
      <c r="C115" t="s">
        <v>23</v>
      </c>
      <c r="D115" s="19">
        <v>6</v>
      </c>
      <c r="E115">
        <v>2</v>
      </c>
      <c r="F115" t="s">
        <v>10</v>
      </c>
      <c r="G115" t="s">
        <v>11</v>
      </c>
      <c r="H115">
        <v>1</v>
      </c>
      <c r="I115" t="s">
        <v>27</v>
      </c>
    </row>
    <row r="116" spans="1:9" x14ac:dyDescent="0.2">
      <c r="A116" t="str">
        <f t="shared" ref="A116" si="114">B116 &amp; C116&amp; D116&amp; E116 &amp; F116 &amp;G116</f>
        <v>44440Vaipahu619PocilloporidaeDessous</v>
      </c>
      <c r="B116" s="1">
        <v>44440</v>
      </c>
      <c r="C116" t="s">
        <v>23</v>
      </c>
      <c r="D116" s="19">
        <v>6</v>
      </c>
      <c r="E116">
        <v>19</v>
      </c>
      <c r="F116" t="s">
        <v>10</v>
      </c>
      <c r="G116" t="s">
        <v>8</v>
      </c>
      <c r="H116">
        <v>2</v>
      </c>
      <c r="I116" t="s">
        <v>27</v>
      </c>
    </row>
    <row r="117" spans="1:9" x14ac:dyDescent="0.2">
      <c r="A117" t="str">
        <f t="shared" ref="A117" si="115">B117 &amp; C117&amp; D117&amp; E117 &amp; F117 &amp;G117</f>
        <v>44440Vaipahu616PoritidaeDessous</v>
      </c>
      <c r="B117" s="1">
        <v>44440</v>
      </c>
      <c r="C117" t="s">
        <v>23</v>
      </c>
      <c r="D117" s="19">
        <v>6</v>
      </c>
      <c r="E117">
        <v>16</v>
      </c>
      <c r="F117" t="s">
        <v>7</v>
      </c>
      <c r="G117" t="s">
        <v>8</v>
      </c>
      <c r="H117">
        <v>1</v>
      </c>
      <c r="I117" t="s">
        <v>27</v>
      </c>
    </row>
    <row r="118" spans="1:9" x14ac:dyDescent="0.2">
      <c r="A118" t="str">
        <f t="shared" ref="A118" si="116">B118 &amp; C118&amp; D118&amp; E118 &amp; F118 &amp;G118</f>
        <v>44440Vaipahu616AcroporidaeDessous</v>
      </c>
      <c r="B118" s="1">
        <v>44440</v>
      </c>
      <c r="C118" t="s">
        <v>23</v>
      </c>
      <c r="D118" s="19">
        <v>6</v>
      </c>
      <c r="E118">
        <v>16</v>
      </c>
      <c r="F118" t="s">
        <v>17</v>
      </c>
      <c r="G118" t="s">
        <v>8</v>
      </c>
      <c r="H118">
        <v>1</v>
      </c>
      <c r="I118" t="s">
        <v>27</v>
      </c>
    </row>
    <row r="119" spans="1:9" x14ac:dyDescent="0.2">
      <c r="A119" t="str">
        <f t="shared" ref="A119" si="117">B119 &amp; C119&amp; D119&amp; E119 &amp; F119 &amp;G119</f>
        <v>44440Vaipahu616PocilloporidaeDessous</v>
      </c>
      <c r="B119" s="1">
        <v>44440</v>
      </c>
      <c r="C119" t="s">
        <v>23</v>
      </c>
      <c r="D119" s="19">
        <v>6</v>
      </c>
      <c r="E119">
        <v>16</v>
      </c>
      <c r="F119" t="s">
        <v>10</v>
      </c>
      <c r="G119" t="s">
        <v>8</v>
      </c>
      <c r="H119">
        <v>2</v>
      </c>
      <c r="I119" t="s">
        <v>27</v>
      </c>
    </row>
    <row r="120" spans="1:9" x14ac:dyDescent="0.2">
      <c r="A120" t="str">
        <f t="shared" ref="A120" si="118">B120 &amp; C120&amp; D120&amp; E120 &amp; F120 &amp;G120</f>
        <v>44440Vaipahu616PocilloporidaeDessus</v>
      </c>
      <c r="B120" s="1">
        <v>44440</v>
      </c>
      <c r="C120" t="s">
        <v>23</v>
      </c>
      <c r="D120" s="19">
        <v>6</v>
      </c>
      <c r="E120">
        <v>16</v>
      </c>
      <c r="F120" t="s">
        <v>10</v>
      </c>
      <c r="G120" t="s">
        <v>11</v>
      </c>
      <c r="H120">
        <v>1</v>
      </c>
      <c r="I120" t="s">
        <v>27</v>
      </c>
    </row>
    <row r="121" spans="1:9" x14ac:dyDescent="0.2">
      <c r="A121" t="str">
        <f t="shared" ref="A121" si="119">B121 &amp; C121&amp; D121&amp; E121 &amp; F121 &amp;G121</f>
        <v>44440Vaipahu614PocilloporidaeBords</v>
      </c>
      <c r="B121" s="1">
        <v>44440</v>
      </c>
      <c r="C121" t="s">
        <v>23</v>
      </c>
      <c r="D121" s="19">
        <v>6</v>
      </c>
      <c r="E121">
        <v>14</v>
      </c>
      <c r="F121" t="s">
        <v>10</v>
      </c>
      <c r="G121" t="s">
        <v>13</v>
      </c>
      <c r="H121">
        <v>1</v>
      </c>
      <c r="I121" t="s">
        <v>27</v>
      </c>
    </row>
    <row r="122" spans="1:9" x14ac:dyDescent="0.2">
      <c r="A122" t="str">
        <f t="shared" ref="A122" si="120">B122 &amp; C122&amp; D122&amp; E122 &amp; F122 &amp;G122</f>
        <v>44440Vaipahu61AutresBords</v>
      </c>
      <c r="B122" s="1">
        <v>44440</v>
      </c>
      <c r="C122" t="s">
        <v>23</v>
      </c>
      <c r="D122" s="19">
        <v>6</v>
      </c>
      <c r="E122">
        <v>1</v>
      </c>
      <c r="F122" t="s">
        <v>14</v>
      </c>
      <c r="G122" t="s">
        <v>13</v>
      </c>
      <c r="H122">
        <v>1</v>
      </c>
      <c r="I122" t="s">
        <v>27</v>
      </c>
    </row>
    <row r="123" spans="1:9" x14ac:dyDescent="0.2">
      <c r="A123" t="str">
        <f t="shared" ref="A123" si="121">B123 &amp; C123&amp; D123&amp; E123 &amp; F123 &amp;G123</f>
        <v>44440Vaipahu61AcroporidaeDessous</v>
      </c>
      <c r="B123" s="1">
        <v>44440</v>
      </c>
      <c r="C123" t="s">
        <v>23</v>
      </c>
      <c r="D123" s="19">
        <v>6</v>
      </c>
      <c r="E123">
        <v>1</v>
      </c>
      <c r="F123" t="s">
        <v>17</v>
      </c>
      <c r="G123" t="s">
        <v>8</v>
      </c>
      <c r="H123">
        <v>2</v>
      </c>
      <c r="I123" t="s">
        <v>27</v>
      </c>
    </row>
    <row r="124" spans="1:9" x14ac:dyDescent="0.2">
      <c r="A124" t="str">
        <f t="shared" ref="A124" si="122">B124 &amp; C124&amp; D124&amp; E124 &amp; F124 &amp;G124</f>
        <v>44440Vaipahu61PocilloporidaeDessous</v>
      </c>
      <c r="B124" s="1">
        <v>44440</v>
      </c>
      <c r="C124" t="s">
        <v>23</v>
      </c>
      <c r="D124" s="19">
        <v>6</v>
      </c>
      <c r="E124">
        <v>1</v>
      </c>
      <c r="F124" t="s">
        <v>10</v>
      </c>
      <c r="G124" t="s">
        <v>8</v>
      </c>
      <c r="H124">
        <v>1</v>
      </c>
      <c r="I124" t="s">
        <v>27</v>
      </c>
    </row>
    <row r="125" spans="1:9" x14ac:dyDescent="0.2">
      <c r="A125" t="str">
        <f t="shared" ref="A125" si="123">B125 &amp; C125&amp; D125&amp; E125 &amp; F125 &amp;G125</f>
        <v>44440Vaipahu1220PoritidaeBords</v>
      </c>
      <c r="B125" s="1">
        <v>44440</v>
      </c>
      <c r="C125" t="s">
        <v>23</v>
      </c>
      <c r="D125" s="19">
        <v>12</v>
      </c>
      <c r="E125">
        <v>20</v>
      </c>
      <c r="F125" t="s">
        <v>7</v>
      </c>
      <c r="G125" t="s">
        <v>13</v>
      </c>
      <c r="H125">
        <v>1</v>
      </c>
      <c r="I125" t="s">
        <v>27</v>
      </c>
    </row>
    <row r="126" spans="1:9" x14ac:dyDescent="0.2">
      <c r="A126" t="str">
        <f t="shared" ref="A126" si="124">B126 &amp; C126&amp; D126&amp; E126 &amp; F126 &amp;G126</f>
        <v>44440Vaipahu1220PocilloporidaeDessous</v>
      </c>
      <c r="B126" s="1">
        <v>44440</v>
      </c>
      <c r="C126" t="s">
        <v>23</v>
      </c>
      <c r="D126" s="19">
        <v>12</v>
      </c>
      <c r="E126">
        <v>20</v>
      </c>
      <c r="F126" t="s">
        <v>10</v>
      </c>
      <c r="G126" t="s">
        <v>8</v>
      </c>
      <c r="H126">
        <v>2</v>
      </c>
      <c r="I126" t="s">
        <v>27</v>
      </c>
    </row>
    <row r="127" spans="1:9" x14ac:dyDescent="0.2">
      <c r="A127" t="str">
        <f t="shared" ref="A127" si="125">B127 &amp; C127&amp; D127&amp; E127 &amp; F127 &amp;G127</f>
        <v>44440Vaipahu1225AcroporidaeDessous</v>
      </c>
      <c r="B127" s="1">
        <v>44440</v>
      </c>
      <c r="C127" t="s">
        <v>23</v>
      </c>
      <c r="D127" s="19">
        <v>12</v>
      </c>
      <c r="E127">
        <v>25</v>
      </c>
      <c r="F127" t="s">
        <v>17</v>
      </c>
      <c r="G127" t="s">
        <v>8</v>
      </c>
      <c r="H127">
        <v>1</v>
      </c>
      <c r="I127" t="s">
        <v>27</v>
      </c>
    </row>
    <row r="128" spans="1:9" x14ac:dyDescent="0.2">
      <c r="A128" t="str">
        <f t="shared" ref="A128" si="126">B128 &amp; C128&amp; D128&amp; E128 &amp; F128 &amp;G128</f>
        <v>44440Vaipahu1225PocilloporidaeDessous</v>
      </c>
      <c r="B128" s="1">
        <v>44440</v>
      </c>
      <c r="C128" t="s">
        <v>23</v>
      </c>
      <c r="D128" s="19">
        <v>12</v>
      </c>
      <c r="E128">
        <v>25</v>
      </c>
      <c r="F128" t="s">
        <v>10</v>
      </c>
      <c r="G128" t="s">
        <v>8</v>
      </c>
      <c r="H128">
        <v>1</v>
      </c>
      <c r="I128" t="s">
        <v>27</v>
      </c>
    </row>
    <row r="129" spans="1:9" x14ac:dyDescent="0.2">
      <c r="A129" t="str">
        <f t="shared" ref="A129" si="127">B129 &amp; C129&amp; D129&amp; E129 &amp; F129 &amp;G129</f>
        <v>44440Vaipahu1225PocilloporidaeBords</v>
      </c>
      <c r="B129" s="1">
        <v>44440</v>
      </c>
      <c r="C129" t="s">
        <v>23</v>
      </c>
      <c r="D129" s="19">
        <v>12</v>
      </c>
      <c r="E129">
        <v>25</v>
      </c>
      <c r="F129" t="s">
        <v>10</v>
      </c>
      <c r="G129" t="s">
        <v>13</v>
      </c>
      <c r="H129">
        <v>1</v>
      </c>
      <c r="I129" t="s">
        <v>27</v>
      </c>
    </row>
    <row r="130" spans="1:9" x14ac:dyDescent="0.2">
      <c r="A130" t="str">
        <f t="shared" ref="A130" si="128">B130 &amp; C130&amp; D130&amp; E130 &amp; F130 &amp;G130</f>
        <v>44440Vaipahu1227AcroporidaeBords</v>
      </c>
      <c r="B130" s="1">
        <v>44440</v>
      </c>
      <c r="C130" t="s">
        <v>23</v>
      </c>
      <c r="D130" s="19">
        <v>12</v>
      </c>
      <c r="E130">
        <v>27</v>
      </c>
      <c r="F130" t="s">
        <v>17</v>
      </c>
      <c r="G130" t="s">
        <v>13</v>
      </c>
      <c r="H130">
        <v>1</v>
      </c>
      <c r="I130" t="s">
        <v>27</v>
      </c>
    </row>
    <row r="131" spans="1:9" x14ac:dyDescent="0.2">
      <c r="A131" t="str">
        <f t="shared" ref="A131" si="129">B131 &amp; C131&amp; D131&amp; E131 &amp; F131 &amp;G131</f>
        <v>44440Vaipahu1227PocilloporidaeDessous</v>
      </c>
      <c r="B131" s="1">
        <v>44440</v>
      </c>
      <c r="C131" t="s">
        <v>23</v>
      </c>
      <c r="D131" s="19">
        <v>12</v>
      </c>
      <c r="E131">
        <v>27</v>
      </c>
      <c r="F131" t="s">
        <v>10</v>
      </c>
      <c r="G131" t="s">
        <v>8</v>
      </c>
      <c r="H131">
        <v>16</v>
      </c>
      <c r="I131" t="s">
        <v>27</v>
      </c>
    </row>
    <row r="132" spans="1:9" x14ac:dyDescent="0.2">
      <c r="A132" t="str">
        <f t="shared" ref="A132" si="130">B132 &amp; C132&amp; D132&amp; E132 &amp; F132 &amp;G132</f>
        <v>44440Vaipahu1228AcroporidaeDessous</v>
      </c>
      <c r="B132" s="1">
        <v>44440</v>
      </c>
      <c r="C132" t="s">
        <v>23</v>
      </c>
      <c r="D132" s="19">
        <v>12</v>
      </c>
      <c r="E132">
        <v>28</v>
      </c>
      <c r="F132" t="s">
        <v>17</v>
      </c>
      <c r="G132" t="s">
        <v>8</v>
      </c>
      <c r="H132">
        <v>1</v>
      </c>
      <c r="I132" t="s">
        <v>27</v>
      </c>
    </row>
    <row r="133" spans="1:9" x14ac:dyDescent="0.2">
      <c r="A133" t="str">
        <f t="shared" ref="A133" si="131">B133 &amp; C133&amp; D133&amp; E133 &amp; F133 &amp;G133</f>
        <v>44440Vaipahu1228PocilloporidaeDessous</v>
      </c>
      <c r="B133" s="1">
        <v>44440</v>
      </c>
      <c r="C133" t="s">
        <v>23</v>
      </c>
      <c r="D133" s="19">
        <v>12</v>
      </c>
      <c r="E133">
        <v>28</v>
      </c>
      <c r="F133" t="s">
        <v>10</v>
      </c>
      <c r="G133" t="s">
        <v>8</v>
      </c>
      <c r="H133">
        <v>2</v>
      </c>
      <c r="I133" t="s">
        <v>27</v>
      </c>
    </row>
    <row r="134" spans="1:9" x14ac:dyDescent="0.2">
      <c r="A134" t="str">
        <f t="shared" ref="A134" si="132">B134 &amp; C134&amp; D134&amp; E134 &amp; F134 &amp;G134</f>
        <v>44440Vaipahu1229PocilloporidaeDessous</v>
      </c>
      <c r="B134" s="1">
        <v>44440</v>
      </c>
      <c r="C134" t="s">
        <v>23</v>
      </c>
      <c r="D134" s="19">
        <v>12</v>
      </c>
      <c r="E134">
        <v>29</v>
      </c>
      <c r="F134" t="s">
        <v>10</v>
      </c>
      <c r="G134" t="s">
        <v>8</v>
      </c>
      <c r="H134">
        <v>3</v>
      </c>
      <c r="I134" t="s">
        <v>27</v>
      </c>
    </row>
    <row r="135" spans="1:9" x14ac:dyDescent="0.2">
      <c r="A135" t="str">
        <f t="shared" ref="A135" si="133">B135 &amp; C135&amp; D135&amp; E135 &amp; F135 &amp;G135</f>
        <v>44440Vaipahu1229PocilloporidaeDessus</v>
      </c>
      <c r="B135" s="1">
        <v>44440</v>
      </c>
      <c r="C135" t="s">
        <v>23</v>
      </c>
      <c r="D135" s="19">
        <v>12</v>
      </c>
      <c r="E135">
        <v>29</v>
      </c>
      <c r="F135" t="s">
        <v>10</v>
      </c>
      <c r="G135" t="s">
        <v>11</v>
      </c>
      <c r="H135">
        <v>1</v>
      </c>
      <c r="I135" t="s">
        <v>27</v>
      </c>
    </row>
    <row r="136" spans="1:9" x14ac:dyDescent="0.2">
      <c r="A136" t="str">
        <f t="shared" ref="A136" si="134">B136 &amp; C136&amp; D136&amp; E136 &amp; F136 &amp;G136</f>
        <v>44440Vaipahu1226PocilloporidaeDessus</v>
      </c>
      <c r="B136" s="1">
        <v>44440</v>
      </c>
      <c r="C136" t="s">
        <v>23</v>
      </c>
      <c r="D136" s="19">
        <v>12</v>
      </c>
      <c r="E136">
        <v>26</v>
      </c>
      <c r="F136" t="s">
        <v>10</v>
      </c>
      <c r="G136" t="s">
        <v>11</v>
      </c>
      <c r="H136">
        <v>2</v>
      </c>
      <c r="I136" t="s">
        <v>27</v>
      </c>
    </row>
    <row r="137" spans="1:9" x14ac:dyDescent="0.2">
      <c r="A137" t="str">
        <f t="shared" ref="A137" si="135">B137 &amp; C137&amp; D137&amp; E137 &amp; F137 &amp;G137</f>
        <v>44440Vaipahu1235PocilloporidaeDessus</v>
      </c>
      <c r="B137" s="1">
        <v>44440</v>
      </c>
      <c r="C137" t="s">
        <v>23</v>
      </c>
      <c r="D137" s="19">
        <v>12</v>
      </c>
      <c r="E137">
        <v>35</v>
      </c>
      <c r="F137" t="s">
        <v>10</v>
      </c>
      <c r="G137" t="s">
        <v>11</v>
      </c>
      <c r="H137">
        <v>1</v>
      </c>
      <c r="I137" t="s">
        <v>27</v>
      </c>
    </row>
    <row r="138" spans="1:9" x14ac:dyDescent="0.2">
      <c r="A138" t="str">
        <f t="shared" ref="A138" si="136">B138 &amp; C138&amp; D138&amp; E138 &amp; F138 &amp;G138</f>
        <v>44440Vaipahu1236AutresBords</v>
      </c>
      <c r="B138" s="1">
        <v>44440</v>
      </c>
      <c r="C138" t="s">
        <v>23</v>
      </c>
      <c r="D138" s="19">
        <v>12</v>
      </c>
      <c r="E138">
        <v>36</v>
      </c>
      <c r="F138" t="s">
        <v>14</v>
      </c>
      <c r="G138" t="s">
        <v>13</v>
      </c>
      <c r="H138">
        <v>1</v>
      </c>
      <c r="I138" t="s">
        <v>27</v>
      </c>
    </row>
    <row r="139" spans="1:9" x14ac:dyDescent="0.2">
      <c r="A139" t="str">
        <f t="shared" ref="A139" si="137">B139 &amp; C139&amp; D139&amp; E139 &amp; F139 &amp;G139</f>
        <v>44440Vaipahu1232AcroporidaeDessus</v>
      </c>
      <c r="B139" s="1">
        <v>44440</v>
      </c>
      <c r="C139" t="s">
        <v>23</v>
      </c>
      <c r="D139" s="19">
        <v>12</v>
      </c>
      <c r="E139">
        <v>32</v>
      </c>
      <c r="F139" t="s">
        <v>17</v>
      </c>
      <c r="G139" t="s">
        <v>11</v>
      </c>
      <c r="H139">
        <v>1</v>
      </c>
      <c r="I139" t="s">
        <v>27</v>
      </c>
    </row>
    <row r="140" spans="1:9" x14ac:dyDescent="0.2">
      <c r="A140" t="str">
        <f t="shared" ref="A140" si="138">B140 &amp; C140&amp; D140&amp; E140 &amp; F140 &amp;G140</f>
        <v>44440Vaipahu1860PocilloporidaeDessous</v>
      </c>
      <c r="B140" s="1">
        <v>44440</v>
      </c>
      <c r="C140" t="s">
        <v>23</v>
      </c>
      <c r="D140" s="19">
        <v>18</v>
      </c>
      <c r="E140">
        <v>60</v>
      </c>
      <c r="F140" t="s">
        <v>10</v>
      </c>
      <c r="G140" t="s">
        <v>8</v>
      </c>
      <c r="H140">
        <v>1</v>
      </c>
      <c r="I140" t="s">
        <v>27</v>
      </c>
    </row>
    <row r="141" spans="1:9" x14ac:dyDescent="0.2">
      <c r="A141" t="str">
        <f t="shared" ref="A141" si="139">B141 &amp; C141&amp; D141&amp; E141 &amp; F141 &amp;G141</f>
        <v>44440Vaipahu1860PocilloporidaeDessus</v>
      </c>
      <c r="B141" s="1">
        <v>44440</v>
      </c>
      <c r="C141" t="s">
        <v>23</v>
      </c>
      <c r="D141" s="19">
        <v>18</v>
      </c>
      <c r="E141">
        <v>60</v>
      </c>
      <c r="F141" t="s">
        <v>10</v>
      </c>
      <c r="G141" t="s">
        <v>11</v>
      </c>
      <c r="H141">
        <v>1</v>
      </c>
      <c r="I141" t="s">
        <v>27</v>
      </c>
    </row>
    <row r="142" spans="1:9" x14ac:dyDescent="0.2">
      <c r="A142" t="str">
        <f t="shared" ref="A142" si="140">B142 &amp; C142&amp; D142&amp; E142 &amp; F142 &amp;G142</f>
        <v>44440Vaipahu1859AcroporidaeDessus</v>
      </c>
      <c r="B142" s="1">
        <v>44440</v>
      </c>
      <c r="C142" t="s">
        <v>23</v>
      </c>
      <c r="D142" s="19">
        <v>18</v>
      </c>
      <c r="E142">
        <v>59</v>
      </c>
      <c r="F142" t="s">
        <v>17</v>
      </c>
      <c r="G142" t="s">
        <v>11</v>
      </c>
      <c r="H142">
        <v>1</v>
      </c>
      <c r="I142" t="s">
        <v>27</v>
      </c>
    </row>
    <row r="143" spans="1:9" x14ac:dyDescent="0.2">
      <c r="A143" t="str">
        <f t="shared" ref="A143" si="141">B143 &amp; C143&amp; D143&amp; E143 &amp; F143 &amp;G143</f>
        <v>44440Vaipahu1859PocilloporidaeDessous</v>
      </c>
      <c r="B143" s="1">
        <v>44440</v>
      </c>
      <c r="C143" t="s">
        <v>23</v>
      </c>
      <c r="D143" s="19">
        <v>18</v>
      </c>
      <c r="E143">
        <v>59</v>
      </c>
      <c r="F143" t="s">
        <v>10</v>
      </c>
      <c r="G143" t="s">
        <v>8</v>
      </c>
      <c r="H143">
        <v>1</v>
      </c>
      <c r="I143" t="s">
        <v>27</v>
      </c>
    </row>
    <row r="144" spans="1:9" x14ac:dyDescent="0.2">
      <c r="A144" t="str">
        <f t="shared" ref="A144" si="142">B144 &amp; C144&amp; D144&amp; E144 &amp; F144 &amp;G144</f>
        <v>44440Vaipahu1847PocilloporidaeDessous</v>
      </c>
      <c r="B144" s="1">
        <v>44440</v>
      </c>
      <c r="C144" t="s">
        <v>23</v>
      </c>
      <c r="D144" s="19">
        <v>18</v>
      </c>
      <c r="E144">
        <v>47</v>
      </c>
      <c r="F144" t="s">
        <v>10</v>
      </c>
      <c r="G144" t="s">
        <v>8</v>
      </c>
      <c r="H144">
        <v>1</v>
      </c>
      <c r="I144" t="s">
        <v>27</v>
      </c>
    </row>
    <row r="145" spans="1:9" x14ac:dyDescent="0.2">
      <c r="A145" t="str">
        <f t="shared" ref="A145" si="143">B145 &amp; C145&amp; D145&amp; E145 &amp; F145 &amp;G145</f>
        <v>44440Vaipahu1844PocilloporidaeBords</v>
      </c>
      <c r="B145" s="1">
        <v>44440</v>
      </c>
      <c r="C145" t="s">
        <v>23</v>
      </c>
      <c r="D145" s="19">
        <v>18</v>
      </c>
      <c r="E145">
        <v>44</v>
      </c>
      <c r="F145" t="s">
        <v>10</v>
      </c>
      <c r="G145" t="s">
        <v>13</v>
      </c>
      <c r="H145">
        <v>1</v>
      </c>
      <c r="I145" t="s">
        <v>27</v>
      </c>
    </row>
    <row r="146" spans="1:9" x14ac:dyDescent="0.2">
      <c r="A146" t="str">
        <f t="shared" ref="A146" si="144">B146 &amp; C146&amp; D146&amp; E146 &amp; F146 &amp;G146</f>
        <v>44440Vaipahu1843PocilloporidaeDessous</v>
      </c>
      <c r="B146" s="1">
        <v>44440</v>
      </c>
      <c r="C146" t="s">
        <v>23</v>
      </c>
      <c r="D146" s="19">
        <v>18</v>
      </c>
      <c r="E146">
        <v>43</v>
      </c>
      <c r="F146" t="s">
        <v>10</v>
      </c>
      <c r="G146" t="s">
        <v>8</v>
      </c>
      <c r="H146">
        <v>1</v>
      </c>
      <c r="I146" t="s">
        <v>27</v>
      </c>
    </row>
    <row r="147" spans="1:9" x14ac:dyDescent="0.2">
      <c r="A147" t="str">
        <f t="shared" ref="A147" si="145">B147 &amp; C147&amp; D147&amp; E147 &amp; F147 &amp;G147</f>
        <v>44440Vaipahu1843PocilloporidaeBords</v>
      </c>
      <c r="B147" s="1">
        <v>44440</v>
      </c>
      <c r="C147" t="s">
        <v>23</v>
      </c>
      <c r="D147" s="19">
        <v>18</v>
      </c>
      <c r="E147">
        <v>43</v>
      </c>
      <c r="F147" t="s">
        <v>10</v>
      </c>
      <c r="G147" t="s">
        <v>13</v>
      </c>
      <c r="H147">
        <v>1</v>
      </c>
      <c r="I147" t="s">
        <v>27</v>
      </c>
    </row>
    <row r="148" spans="1:9" x14ac:dyDescent="0.2">
      <c r="A148" t="str">
        <f t="shared" ref="A148" si="146">B148 &amp; C148&amp; D148&amp; E148 &amp; F148 &amp;G148</f>
        <v>44440Vaipahu1841AcroporidaeDessous</v>
      </c>
      <c r="B148" s="1">
        <v>44440</v>
      </c>
      <c r="C148" t="s">
        <v>23</v>
      </c>
      <c r="D148" s="19">
        <v>18</v>
      </c>
      <c r="E148">
        <v>41</v>
      </c>
      <c r="F148" t="s">
        <v>17</v>
      </c>
      <c r="G148" t="s">
        <v>8</v>
      </c>
      <c r="H148">
        <v>1</v>
      </c>
      <c r="I148" t="s">
        <v>27</v>
      </c>
    </row>
    <row r="149" spans="1:9" x14ac:dyDescent="0.2">
      <c r="A149" t="str">
        <f t="shared" ref="A149" si="147">B149 &amp; C149&amp; D149&amp; E149 &amp; F149 &amp;G149</f>
        <v>44440Vaipahu1841PocilloporidaeDessous</v>
      </c>
      <c r="B149" s="1">
        <v>44440</v>
      </c>
      <c r="C149" t="s">
        <v>23</v>
      </c>
      <c r="D149" s="19">
        <v>18</v>
      </c>
      <c r="E149">
        <v>41</v>
      </c>
      <c r="F149" t="s">
        <v>10</v>
      </c>
      <c r="G149" t="s">
        <v>8</v>
      </c>
      <c r="H149">
        <v>2</v>
      </c>
      <c r="I149" t="s">
        <v>27</v>
      </c>
    </row>
    <row r="150" spans="1:9" x14ac:dyDescent="0.2">
      <c r="A150" t="str">
        <f t="shared" ref="A150" si="148">B150 &amp; C150&amp; D150&amp; E150 &amp; F150 &amp;G150</f>
        <v>44440Vaipahu1841PocilloporidaeBords</v>
      </c>
      <c r="B150" s="1">
        <v>44440</v>
      </c>
      <c r="C150" t="s">
        <v>23</v>
      </c>
      <c r="D150" s="19">
        <v>18</v>
      </c>
      <c r="E150">
        <v>41</v>
      </c>
      <c r="F150" t="s">
        <v>10</v>
      </c>
      <c r="G150" t="s">
        <v>13</v>
      </c>
      <c r="H150">
        <v>1</v>
      </c>
      <c r="I150" t="s">
        <v>27</v>
      </c>
    </row>
    <row r="151" spans="1:9" x14ac:dyDescent="0.2">
      <c r="A151" t="str">
        <f t="shared" ref="A151" si="149">B151 &amp; C151&amp; D151&amp; E151 &amp; F151 &amp;G151</f>
        <v>44440Vaipahu1840</v>
      </c>
      <c r="B151" s="1">
        <v>44440</v>
      </c>
      <c r="C151" t="s">
        <v>23</v>
      </c>
      <c r="D151" s="19">
        <v>18</v>
      </c>
      <c r="E151">
        <v>40</v>
      </c>
      <c r="F151" t="s">
        <v>27</v>
      </c>
      <c r="G151" t="s">
        <v>27</v>
      </c>
      <c r="H151" t="s">
        <v>27</v>
      </c>
      <c r="I151" t="s">
        <v>47</v>
      </c>
    </row>
    <row r="152" spans="1:9" x14ac:dyDescent="0.2">
      <c r="A152" t="str">
        <f t="shared" ref="A152" si="150">B152 &amp; C152&amp; D152&amp; E152 &amp; F152 &amp;G152</f>
        <v>43983Vaipahu1842AutresDessus</v>
      </c>
      <c r="B152" s="1">
        <v>43983</v>
      </c>
      <c r="C152" t="s">
        <v>23</v>
      </c>
      <c r="D152" s="19">
        <v>18</v>
      </c>
      <c r="E152">
        <v>42</v>
      </c>
      <c r="F152" t="s">
        <v>14</v>
      </c>
      <c r="G152" t="s">
        <v>11</v>
      </c>
      <c r="H152">
        <v>1</v>
      </c>
      <c r="I152" t="s">
        <v>27</v>
      </c>
    </row>
    <row r="153" spans="1:9" x14ac:dyDescent="0.2">
      <c r="A153" t="str">
        <f t="shared" ref="A153" si="151">B153 &amp; C153&amp; D153&amp; E153 &amp; F153 &amp;G153</f>
        <v>43983Vaipahu1842PocilloporidaeBords</v>
      </c>
      <c r="B153" s="1">
        <v>43983</v>
      </c>
      <c r="C153" t="s">
        <v>23</v>
      </c>
      <c r="D153" s="19">
        <v>18</v>
      </c>
      <c r="E153">
        <v>42</v>
      </c>
      <c r="F153" t="s">
        <v>10</v>
      </c>
      <c r="G153" t="s">
        <v>13</v>
      </c>
      <c r="H153">
        <v>1</v>
      </c>
      <c r="I153" t="s">
        <v>27</v>
      </c>
    </row>
    <row r="154" spans="1:9" x14ac:dyDescent="0.2">
      <c r="A154" t="str">
        <f t="shared" ref="A154" si="152">B154 &amp; C154&amp; D154&amp; E154 &amp; F154 &amp;G154</f>
        <v>43983Vaipahu1843PocilloporidaeDessous</v>
      </c>
      <c r="B154" s="1">
        <v>43983</v>
      </c>
      <c r="C154" t="s">
        <v>23</v>
      </c>
      <c r="D154" s="19">
        <v>18</v>
      </c>
      <c r="E154">
        <v>43</v>
      </c>
      <c r="F154" t="s">
        <v>10</v>
      </c>
      <c r="G154" t="s">
        <v>8</v>
      </c>
      <c r="H154">
        <v>1</v>
      </c>
      <c r="I154" t="s">
        <v>27</v>
      </c>
    </row>
    <row r="155" spans="1:9" x14ac:dyDescent="0.2">
      <c r="A155" t="str">
        <f t="shared" ref="A155" si="153">B155 &amp; C155&amp; D155&amp; E155 &amp; F155 &amp;G155</f>
        <v>43983Vaipahu1843PocilloporidaeBords</v>
      </c>
      <c r="B155" s="1">
        <v>43983</v>
      </c>
      <c r="C155" t="s">
        <v>23</v>
      </c>
      <c r="D155" s="19">
        <v>18</v>
      </c>
      <c r="E155">
        <v>43</v>
      </c>
      <c r="F155" t="s">
        <v>10</v>
      </c>
      <c r="G155" t="s">
        <v>13</v>
      </c>
      <c r="H155">
        <v>2</v>
      </c>
      <c r="I155" t="s">
        <v>27</v>
      </c>
    </row>
    <row r="156" spans="1:9" x14ac:dyDescent="0.2">
      <c r="A156" t="str">
        <f t="shared" ref="A156" si="154">B156 &amp; C156&amp; D156&amp; E156 &amp; F156 &amp;G156</f>
        <v>43983Vaipahu1843PocilloporidaeDessus</v>
      </c>
      <c r="B156" s="1">
        <v>43983</v>
      </c>
      <c r="C156" t="s">
        <v>23</v>
      </c>
      <c r="D156" s="19">
        <v>18</v>
      </c>
      <c r="E156">
        <v>43</v>
      </c>
      <c r="F156" t="s">
        <v>10</v>
      </c>
      <c r="G156" t="s">
        <v>11</v>
      </c>
      <c r="H156">
        <v>1</v>
      </c>
      <c r="I156" t="s">
        <v>27</v>
      </c>
    </row>
    <row r="157" spans="1:9" x14ac:dyDescent="0.2">
      <c r="A157" t="str">
        <f t="shared" ref="A157" si="155">B157 &amp; C157&amp; D157&amp; E157 &amp; F157 &amp;G157</f>
        <v>43983Vaipahu1845PocilloporidaeDessous</v>
      </c>
      <c r="B157" s="1">
        <v>43983</v>
      </c>
      <c r="C157" t="s">
        <v>23</v>
      </c>
      <c r="D157" s="19">
        <v>18</v>
      </c>
      <c r="E157">
        <v>45</v>
      </c>
      <c r="F157" t="s">
        <v>10</v>
      </c>
      <c r="G157" t="s">
        <v>8</v>
      </c>
      <c r="H157">
        <v>1</v>
      </c>
      <c r="I157" t="s">
        <v>27</v>
      </c>
    </row>
    <row r="158" spans="1:9" x14ac:dyDescent="0.2">
      <c r="A158" t="str">
        <f t="shared" ref="A158" si="156">B158 &amp; C158&amp; D158&amp; E158 &amp; F158 &amp;G158</f>
        <v>43983Vaipahu1846AcroporidaeDessus</v>
      </c>
      <c r="B158" s="1">
        <v>43983</v>
      </c>
      <c r="C158" t="s">
        <v>23</v>
      </c>
      <c r="D158" s="19">
        <v>18</v>
      </c>
      <c r="E158">
        <v>46</v>
      </c>
      <c r="F158" t="s">
        <v>17</v>
      </c>
      <c r="G158" t="s">
        <v>11</v>
      </c>
      <c r="H158">
        <v>1</v>
      </c>
      <c r="I158" t="s">
        <v>27</v>
      </c>
    </row>
    <row r="159" spans="1:9" x14ac:dyDescent="0.2">
      <c r="A159" t="str">
        <f t="shared" ref="A159" si="157">B159 &amp; C159&amp; D159&amp; E159 &amp; F159 &amp;G159</f>
        <v>43983Vaipahu1848AutresDessous</v>
      </c>
      <c r="B159" s="1">
        <v>43983</v>
      </c>
      <c r="C159" t="s">
        <v>23</v>
      </c>
      <c r="D159" s="19">
        <v>18</v>
      </c>
      <c r="E159">
        <v>48</v>
      </c>
      <c r="F159" t="s">
        <v>14</v>
      </c>
      <c r="G159" t="s">
        <v>8</v>
      </c>
      <c r="H159">
        <v>1</v>
      </c>
      <c r="I159" t="s">
        <v>27</v>
      </c>
    </row>
    <row r="160" spans="1:9" x14ac:dyDescent="0.2">
      <c r="A160" t="str">
        <f t="shared" ref="A160" si="158">B160 &amp; C160&amp; D160&amp; E160 &amp; F160 &amp;G160</f>
        <v>43983Vaipahu1848AutresDessus</v>
      </c>
      <c r="B160" s="1">
        <v>43983</v>
      </c>
      <c r="C160" t="s">
        <v>23</v>
      </c>
      <c r="D160" s="19">
        <v>18</v>
      </c>
      <c r="E160">
        <v>48</v>
      </c>
      <c r="F160" t="s">
        <v>14</v>
      </c>
      <c r="G160" t="s">
        <v>11</v>
      </c>
      <c r="H160">
        <v>1</v>
      </c>
      <c r="I160" t="s">
        <v>27</v>
      </c>
    </row>
    <row r="161" spans="1:9" x14ac:dyDescent="0.2">
      <c r="A161" t="str">
        <f t="shared" ref="A161" si="159">B161 &amp; C161&amp; D161&amp; E161 &amp; F161 &amp;G161</f>
        <v>43983Vaipahu1848PocilloporidaeBords</v>
      </c>
      <c r="B161" s="1">
        <v>43983</v>
      </c>
      <c r="C161" t="s">
        <v>23</v>
      </c>
      <c r="D161" s="19">
        <v>18</v>
      </c>
      <c r="E161">
        <v>48</v>
      </c>
      <c r="F161" t="s">
        <v>10</v>
      </c>
      <c r="G161" t="s">
        <v>13</v>
      </c>
      <c r="H161">
        <v>2</v>
      </c>
      <c r="I161" t="s">
        <v>27</v>
      </c>
    </row>
    <row r="162" spans="1:9" x14ac:dyDescent="0.2">
      <c r="A162" t="str">
        <f t="shared" ref="A162" si="160">B162 &amp; C162&amp; D162&amp; E162 &amp; F162 &amp;G162</f>
        <v>43983Vaipahu1849AutresDessous</v>
      </c>
      <c r="B162" s="1">
        <v>43983</v>
      </c>
      <c r="C162" t="s">
        <v>23</v>
      </c>
      <c r="D162" s="19">
        <v>18</v>
      </c>
      <c r="E162">
        <v>49</v>
      </c>
      <c r="F162" t="s">
        <v>14</v>
      </c>
      <c r="G162" t="s">
        <v>8</v>
      </c>
      <c r="H162">
        <v>1</v>
      </c>
      <c r="I162" t="s">
        <v>27</v>
      </c>
    </row>
    <row r="163" spans="1:9" x14ac:dyDescent="0.2">
      <c r="A163" t="str">
        <f t="shared" ref="A163" si="161">B163 &amp; C163&amp; D163&amp; E163 &amp; F163 &amp;G163</f>
        <v>43983Vaipahu1849PocilloporidaeBords</v>
      </c>
      <c r="B163" s="1">
        <v>43983</v>
      </c>
      <c r="C163" t="s">
        <v>23</v>
      </c>
      <c r="D163" s="19">
        <v>18</v>
      </c>
      <c r="E163">
        <v>49</v>
      </c>
      <c r="F163" t="s">
        <v>10</v>
      </c>
      <c r="G163" t="s">
        <v>13</v>
      </c>
      <c r="H163">
        <v>2</v>
      </c>
      <c r="I163" t="s">
        <v>27</v>
      </c>
    </row>
    <row r="164" spans="1:9" x14ac:dyDescent="0.2">
      <c r="A164" t="str">
        <f t="shared" ref="A164" si="162">B164 &amp; C164&amp; D164&amp; E164 &amp; F164 &amp;G164</f>
        <v>43983Vaipahu1851PocilloporidaeDessus</v>
      </c>
      <c r="B164" s="1">
        <v>43983</v>
      </c>
      <c r="C164" t="s">
        <v>23</v>
      </c>
      <c r="D164" s="19">
        <v>18</v>
      </c>
      <c r="E164">
        <v>51</v>
      </c>
      <c r="F164" t="s">
        <v>10</v>
      </c>
      <c r="G164" t="s">
        <v>11</v>
      </c>
      <c r="H164">
        <v>1</v>
      </c>
      <c r="I164" t="s">
        <v>27</v>
      </c>
    </row>
    <row r="165" spans="1:9" x14ac:dyDescent="0.2">
      <c r="A165" t="str">
        <f t="shared" ref="A165" si="163">B165 &amp; C165&amp; D165&amp; E165 &amp; F165 &amp;G165</f>
        <v>43983Vaipahu1856AutresDessous</v>
      </c>
      <c r="B165" s="1">
        <v>43983</v>
      </c>
      <c r="C165" t="s">
        <v>23</v>
      </c>
      <c r="D165" s="19">
        <v>18</v>
      </c>
      <c r="E165">
        <v>56</v>
      </c>
      <c r="F165" t="s">
        <v>14</v>
      </c>
      <c r="G165" t="s">
        <v>8</v>
      </c>
      <c r="H165">
        <v>1</v>
      </c>
      <c r="I165" t="s">
        <v>27</v>
      </c>
    </row>
    <row r="166" spans="1:9" x14ac:dyDescent="0.2">
      <c r="A166" t="str">
        <f t="shared" ref="A166" si="164">B166 &amp; C166&amp; D166&amp; E166 &amp; F166 &amp;G166</f>
        <v>43983Tiahura18120AcroporidaeBords</v>
      </c>
      <c r="B166" s="1">
        <v>43983</v>
      </c>
      <c r="C166" t="s">
        <v>24</v>
      </c>
      <c r="D166" s="19">
        <v>18</v>
      </c>
      <c r="E166">
        <v>120</v>
      </c>
      <c r="F166" t="s">
        <v>17</v>
      </c>
      <c r="G166" t="s">
        <v>13</v>
      </c>
      <c r="H166">
        <v>2</v>
      </c>
      <c r="I166" t="s">
        <v>27</v>
      </c>
    </row>
    <row r="167" spans="1:9" x14ac:dyDescent="0.2">
      <c r="A167" t="str">
        <f t="shared" ref="A167" si="165">B167 &amp; C167&amp; D167&amp; E167 &amp; F167 &amp;G167</f>
        <v>43983Tiahura18120AcroporidaeDessus</v>
      </c>
      <c r="B167" s="1">
        <v>43983</v>
      </c>
      <c r="C167" t="s">
        <v>24</v>
      </c>
      <c r="D167" s="19">
        <v>18</v>
      </c>
      <c r="E167">
        <v>120</v>
      </c>
      <c r="F167" t="s">
        <v>17</v>
      </c>
      <c r="G167" t="s">
        <v>11</v>
      </c>
      <c r="H167">
        <v>1</v>
      </c>
      <c r="I167" t="s">
        <v>27</v>
      </c>
    </row>
    <row r="168" spans="1:9" x14ac:dyDescent="0.2">
      <c r="A168" t="str">
        <f t="shared" ref="A168" si="166">B168 &amp; C168&amp; D168&amp; E168 &amp; F168 &amp;G168</f>
        <v>43983Tiahura18119AutresDessous</v>
      </c>
      <c r="B168" s="1">
        <v>43983</v>
      </c>
      <c r="C168" t="s">
        <v>24</v>
      </c>
      <c r="D168" s="19">
        <v>18</v>
      </c>
      <c r="E168">
        <v>119</v>
      </c>
      <c r="F168" t="s">
        <v>14</v>
      </c>
      <c r="G168" t="s">
        <v>8</v>
      </c>
      <c r="H168">
        <v>1</v>
      </c>
      <c r="I168" t="s">
        <v>27</v>
      </c>
    </row>
    <row r="169" spans="1:9" x14ac:dyDescent="0.2">
      <c r="A169" t="str">
        <f t="shared" ref="A169" si="167">B169 &amp; C169&amp; D169&amp; E169 &amp; F169 &amp;G169</f>
        <v>43983Tiahura18119PocilloporidaeBords</v>
      </c>
      <c r="B169" s="1">
        <v>43983</v>
      </c>
      <c r="C169" t="s">
        <v>24</v>
      </c>
      <c r="D169" s="19">
        <v>18</v>
      </c>
      <c r="E169">
        <v>119</v>
      </c>
      <c r="F169" t="s">
        <v>10</v>
      </c>
      <c r="G169" t="s">
        <v>13</v>
      </c>
      <c r="H169">
        <v>2</v>
      </c>
      <c r="I169" t="s">
        <v>27</v>
      </c>
    </row>
    <row r="170" spans="1:9" x14ac:dyDescent="0.2">
      <c r="A170" t="str">
        <f t="shared" ref="A170" si="168">B170 &amp; C170&amp; D170&amp; E170 &amp; F170 &amp;G170</f>
        <v>43983Tiahura18110AutresDessous</v>
      </c>
      <c r="B170" s="1">
        <v>43983</v>
      </c>
      <c r="C170" t="s">
        <v>24</v>
      </c>
      <c r="D170" s="19">
        <v>18</v>
      </c>
      <c r="E170">
        <v>110</v>
      </c>
      <c r="F170" t="s">
        <v>14</v>
      </c>
      <c r="G170" t="s">
        <v>8</v>
      </c>
      <c r="H170">
        <v>1</v>
      </c>
      <c r="I170" t="s">
        <v>27</v>
      </c>
    </row>
    <row r="171" spans="1:9" x14ac:dyDescent="0.2">
      <c r="A171" t="str">
        <f t="shared" ref="A171" si="169">B171 &amp; C171&amp; D171&amp; E171 &amp; F171 &amp;G171</f>
        <v>43983Tiahura18110AutresBords</v>
      </c>
      <c r="B171" s="1">
        <v>43983</v>
      </c>
      <c r="C171" t="s">
        <v>24</v>
      </c>
      <c r="D171" s="19">
        <v>18</v>
      </c>
      <c r="E171">
        <v>110</v>
      </c>
      <c r="F171" t="s">
        <v>14</v>
      </c>
      <c r="G171" t="s">
        <v>13</v>
      </c>
      <c r="H171">
        <v>1</v>
      </c>
      <c r="I171" t="s">
        <v>27</v>
      </c>
    </row>
    <row r="172" spans="1:9" x14ac:dyDescent="0.2">
      <c r="A172" t="str">
        <f t="shared" ref="A172" si="170">B172 &amp; C172&amp; D172&amp; E172 &amp; F172 &amp;G172</f>
        <v>43983Tiahura18110AutresDessus</v>
      </c>
      <c r="B172" s="1">
        <v>43983</v>
      </c>
      <c r="C172" t="s">
        <v>24</v>
      </c>
      <c r="D172" s="19">
        <v>18</v>
      </c>
      <c r="E172">
        <v>110</v>
      </c>
      <c r="F172" t="s">
        <v>14</v>
      </c>
      <c r="G172" t="s">
        <v>11</v>
      </c>
      <c r="H172">
        <v>1</v>
      </c>
      <c r="I172" t="s">
        <v>27</v>
      </c>
    </row>
    <row r="173" spans="1:9" x14ac:dyDescent="0.2">
      <c r="A173" t="str">
        <f t="shared" ref="A173" si="171">B173 &amp; C173&amp; D173&amp; E173 &amp; F173 &amp;G173</f>
        <v>43983Tiahura18109PocilloporidaeBords</v>
      </c>
      <c r="B173" s="1">
        <v>43983</v>
      </c>
      <c r="C173" t="s">
        <v>24</v>
      </c>
      <c r="D173" s="19">
        <v>18</v>
      </c>
      <c r="E173">
        <v>109</v>
      </c>
      <c r="F173" t="s">
        <v>10</v>
      </c>
      <c r="G173" t="s">
        <v>13</v>
      </c>
      <c r="H173">
        <v>1</v>
      </c>
      <c r="I173" t="s">
        <v>27</v>
      </c>
    </row>
    <row r="174" spans="1:9" x14ac:dyDescent="0.2">
      <c r="A174" t="str">
        <f t="shared" ref="A174" si="172">B174 &amp; C174&amp; D174&amp; E174 &amp; F174 &amp;G174</f>
        <v>43983Tiahura18106PocilloporidaeDessous</v>
      </c>
      <c r="B174" s="1">
        <v>43983</v>
      </c>
      <c r="C174" t="s">
        <v>24</v>
      </c>
      <c r="D174" s="19">
        <v>18</v>
      </c>
      <c r="E174">
        <v>106</v>
      </c>
      <c r="F174" t="s">
        <v>10</v>
      </c>
      <c r="G174" t="s">
        <v>8</v>
      </c>
      <c r="H174">
        <v>1</v>
      </c>
      <c r="I174" t="s">
        <v>27</v>
      </c>
    </row>
    <row r="175" spans="1:9" x14ac:dyDescent="0.2">
      <c r="A175" t="str">
        <f t="shared" ref="A175" si="173">B175 &amp; C175&amp; D175&amp; E175 &amp; F175 &amp;G175</f>
        <v>43983Tiahura18105AcroporidaeBords</v>
      </c>
      <c r="B175" s="1">
        <v>43983</v>
      </c>
      <c r="C175" t="s">
        <v>24</v>
      </c>
      <c r="D175" s="19">
        <v>18</v>
      </c>
      <c r="E175">
        <v>105</v>
      </c>
      <c r="F175" t="s">
        <v>17</v>
      </c>
      <c r="G175" t="s">
        <v>13</v>
      </c>
      <c r="H175">
        <v>1</v>
      </c>
      <c r="I175" t="s">
        <v>27</v>
      </c>
    </row>
    <row r="176" spans="1:9" x14ac:dyDescent="0.2">
      <c r="A176" t="str">
        <f t="shared" ref="A176" si="174">B176 &amp; C176&amp; D176&amp; E176 &amp; F176 &amp;G176</f>
        <v>43983Tiahura18105PocilloporidaeDessous</v>
      </c>
      <c r="B176" s="1">
        <v>43983</v>
      </c>
      <c r="C176" t="s">
        <v>24</v>
      </c>
      <c r="D176" s="19">
        <v>18</v>
      </c>
      <c r="E176">
        <v>105</v>
      </c>
      <c r="F176" t="s">
        <v>10</v>
      </c>
      <c r="G176" t="s">
        <v>8</v>
      </c>
      <c r="H176">
        <v>1</v>
      </c>
      <c r="I176" t="s">
        <v>27</v>
      </c>
    </row>
    <row r="177" spans="1:9" x14ac:dyDescent="0.2">
      <c r="A177" t="str">
        <f t="shared" ref="A177" si="175">B177 &amp; C177&amp; D177&amp; E177 &amp; F177 &amp;G177</f>
        <v>43983Tiahura18105PocilloporidaeBords</v>
      </c>
      <c r="B177" s="1">
        <v>43983</v>
      </c>
      <c r="C177" t="s">
        <v>24</v>
      </c>
      <c r="D177" s="19">
        <v>18</v>
      </c>
      <c r="E177">
        <v>105</v>
      </c>
      <c r="F177" t="s">
        <v>10</v>
      </c>
      <c r="G177" t="s">
        <v>13</v>
      </c>
      <c r="H177">
        <v>1</v>
      </c>
      <c r="I177" t="s">
        <v>27</v>
      </c>
    </row>
    <row r="178" spans="1:9" x14ac:dyDescent="0.2">
      <c r="A178" t="str">
        <f t="shared" ref="A178" si="176">B178 &amp; C178&amp; D178&amp; E178 &amp; F178 &amp;G178</f>
        <v>43983Tiahura18103AutresBords</v>
      </c>
      <c r="B178" s="1">
        <v>43983</v>
      </c>
      <c r="C178" t="s">
        <v>24</v>
      </c>
      <c r="D178" s="19">
        <v>18</v>
      </c>
      <c r="E178">
        <v>103</v>
      </c>
      <c r="F178" t="s">
        <v>14</v>
      </c>
      <c r="G178" t="s">
        <v>13</v>
      </c>
      <c r="H178">
        <v>2</v>
      </c>
      <c r="I178" t="s">
        <v>27</v>
      </c>
    </row>
    <row r="179" spans="1:9" x14ac:dyDescent="0.2">
      <c r="A179" t="str">
        <f t="shared" ref="A179" si="177">B179 &amp; C179&amp; D179&amp; E179 &amp; F179 &amp;G179</f>
        <v>43983Tiahura18103AutresDessus</v>
      </c>
      <c r="B179" s="1">
        <v>43983</v>
      </c>
      <c r="C179" t="s">
        <v>24</v>
      </c>
      <c r="D179" s="19">
        <v>18</v>
      </c>
      <c r="E179">
        <v>103</v>
      </c>
      <c r="F179" t="s">
        <v>14</v>
      </c>
      <c r="G179" t="s">
        <v>11</v>
      </c>
      <c r="H179">
        <v>1</v>
      </c>
      <c r="I179" t="s">
        <v>27</v>
      </c>
    </row>
    <row r="180" spans="1:9" x14ac:dyDescent="0.2">
      <c r="A180" t="str">
        <f t="shared" ref="A180" si="178">B180 &amp; C180&amp; D180&amp; E180 &amp; F180 &amp;G180</f>
        <v>43983Tiahura18103AcroporidaeDessus</v>
      </c>
      <c r="B180" s="1">
        <v>43983</v>
      </c>
      <c r="C180" t="s">
        <v>24</v>
      </c>
      <c r="D180" s="19">
        <v>18</v>
      </c>
      <c r="E180">
        <v>103</v>
      </c>
      <c r="F180" t="s">
        <v>17</v>
      </c>
      <c r="G180" t="s">
        <v>11</v>
      </c>
      <c r="H180">
        <v>1</v>
      </c>
      <c r="I180" t="s">
        <v>27</v>
      </c>
    </row>
    <row r="181" spans="1:9" x14ac:dyDescent="0.2">
      <c r="A181" t="str">
        <f t="shared" ref="A181" si="179">B181 &amp; C181&amp; D181&amp; E181 &amp; F181 &amp;G181</f>
        <v>43983Tiahura18101AcroporidaeDessus</v>
      </c>
      <c r="B181" s="1">
        <v>43983</v>
      </c>
      <c r="C181" t="s">
        <v>24</v>
      </c>
      <c r="D181" s="19">
        <v>18</v>
      </c>
      <c r="E181">
        <v>101</v>
      </c>
      <c r="F181" t="s">
        <v>17</v>
      </c>
      <c r="G181" t="s">
        <v>11</v>
      </c>
      <c r="H181">
        <v>1</v>
      </c>
      <c r="I181" t="s">
        <v>27</v>
      </c>
    </row>
    <row r="182" spans="1:9" x14ac:dyDescent="0.2">
      <c r="A182" t="str">
        <f t="shared" ref="A182" si="180">B182 &amp; C182&amp; D182&amp; E182 &amp; F182 &amp;G182</f>
        <v>43983Tiahura1282AcroporidaeBords</v>
      </c>
      <c r="B182" s="1">
        <v>43983</v>
      </c>
      <c r="C182" t="s">
        <v>24</v>
      </c>
      <c r="D182" s="19">
        <v>12</v>
      </c>
      <c r="E182">
        <v>82</v>
      </c>
      <c r="F182" t="s">
        <v>17</v>
      </c>
      <c r="G182" t="s">
        <v>13</v>
      </c>
      <c r="H182">
        <v>1</v>
      </c>
      <c r="I182" t="s">
        <v>27</v>
      </c>
    </row>
    <row r="183" spans="1:9" x14ac:dyDescent="0.2">
      <c r="A183" t="str">
        <f t="shared" ref="A183" si="181">B183 &amp; C183&amp; D183&amp; E183 &amp; F183 &amp;G183</f>
        <v>43983Tiahura1282</v>
      </c>
      <c r="B183" s="1">
        <v>43983</v>
      </c>
      <c r="C183" t="s">
        <v>24</v>
      </c>
      <c r="D183" s="19">
        <v>12</v>
      </c>
      <c r="E183">
        <v>82</v>
      </c>
      <c r="F183" t="s">
        <v>27</v>
      </c>
      <c r="G183" t="s">
        <v>27</v>
      </c>
      <c r="H183" t="s">
        <v>27</v>
      </c>
      <c r="I183" t="s">
        <v>45</v>
      </c>
    </row>
    <row r="184" spans="1:9" x14ac:dyDescent="0.2">
      <c r="A184" t="str">
        <f t="shared" ref="A184" si="182">B184 &amp; C184&amp; D184&amp; E184 &amp; F184 &amp;G184</f>
        <v>43983Tiahura1288AcroporidaeBords</v>
      </c>
      <c r="B184" s="1">
        <v>43983</v>
      </c>
      <c r="C184" t="s">
        <v>24</v>
      </c>
      <c r="D184" s="19">
        <v>12</v>
      </c>
      <c r="E184">
        <v>88</v>
      </c>
      <c r="F184" t="s">
        <v>17</v>
      </c>
      <c r="G184" t="s">
        <v>13</v>
      </c>
      <c r="H184">
        <v>1</v>
      </c>
      <c r="I184" t="s">
        <v>27</v>
      </c>
    </row>
    <row r="185" spans="1:9" x14ac:dyDescent="0.2">
      <c r="A185" t="str">
        <f t="shared" ref="A185" si="183">B185 &amp; C185&amp; D185&amp; E185 &amp; F185 &amp;G185</f>
        <v>43983Tiahura1289AcroporidaeDessous</v>
      </c>
      <c r="B185" s="1">
        <v>43983</v>
      </c>
      <c r="C185" t="s">
        <v>24</v>
      </c>
      <c r="D185" s="19">
        <v>12</v>
      </c>
      <c r="E185">
        <v>89</v>
      </c>
      <c r="F185" t="s">
        <v>17</v>
      </c>
      <c r="G185" t="s">
        <v>8</v>
      </c>
      <c r="H185">
        <v>1</v>
      </c>
      <c r="I185" t="s">
        <v>27</v>
      </c>
    </row>
    <row r="186" spans="1:9" x14ac:dyDescent="0.2">
      <c r="A186" t="str">
        <f t="shared" ref="A186" si="184">B186 &amp; C186&amp; D186&amp; E186 &amp; F186 &amp;G186</f>
        <v>43983Tiahura1289PocilloporidaeDessous</v>
      </c>
      <c r="B186" s="1">
        <v>43983</v>
      </c>
      <c r="C186" t="s">
        <v>24</v>
      </c>
      <c r="D186" s="19">
        <v>12</v>
      </c>
      <c r="E186">
        <v>89</v>
      </c>
      <c r="F186" t="s">
        <v>10</v>
      </c>
      <c r="G186" t="s">
        <v>8</v>
      </c>
      <c r="H186">
        <v>1</v>
      </c>
      <c r="I186" t="s">
        <v>27</v>
      </c>
    </row>
    <row r="187" spans="1:9" x14ac:dyDescent="0.2">
      <c r="A187" t="str">
        <f t="shared" ref="A187" si="185">B187 &amp; C187&amp; D187&amp; E187 &amp; F187 &amp;G187</f>
        <v>43983Tiahura1291AutresDessus</v>
      </c>
      <c r="B187" s="1">
        <v>43983</v>
      </c>
      <c r="C187" t="s">
        <v>24</v>
      </c>
      <c r="D187" s="19">
        <v>12</v>
      </c>
      <c r="E187">
        <v>91</v>
      </c>
      <c r="F187" t="s">
        <v>14</v>
      </c>
      <c r="G187" t="s">
        <v>11</v>
      </c>
      <c r="H187">
        <v>1</v>
      </c>
      <c r="I187" t="s">
        <v>27</v>
      </c>
    </row>
    <row r="188" spans="1:9" x14ac:dyDescent="0.2">
      <c r="A188" t="str">
        <f t="shared" ref="A188" si="186">B188 &amp; C188&amp; D188&amp; E188 &amp; F188 &amp;G188</f>
        <v>43983Tiahura1291PocilloporidaeBords</v>
      </c>
      <c r="B188" s="1">
        <v>43983</v>
      </c>
      <c r="C188" t="s">
        <v>24</v>
      </c>
      <c r="D188" s="19">
        <v>12</v>
      </c>
      <c r="E188">
        <v>91</v>
      </c>
      <c r="F188" t="s">
        <v>10</v>
      </c>
      <c r="G188" t="s">
        <v>13</v>
      </c>
      <c r="H188">
        <v>2</v>
      </c>
      <c r="I188" t="s">
        <v>27</v>
      </c>
    </row>
    <row r="189" spans="1:9" x14ac:dyDescent="0.2">
      <c r="A189" t="str">
        <f t="shared" ref="A189" si="187">B189 &amp; C189&amp; D189&amp; E189 &amp; F189 &amp;G189</f>
        <v>43983Tiahura1292PocilloporidaeDessous</v>
      </c>
      <c r="B189" s="1">
        <v>43983</v>
      </c>
      <c r="C189" t="s">
        <v>24</v>
      </c>
      <c r="D189" s="19">
        <v>12</v>
      </c>
      <c r="E189">
        <v>92</v>
      </c>
      <c r="F189" t="s">
        <v>10</v>
      </c>
      <c r="G189" t="s">
        <v>8</v>
      </c>
      <c r="H189">
        <v>2</v>
      </c>
      <c r="I189" t="s">
        <v>27</v>
      </c>
    </row>
    <row r="190" spans="1:9" x14ac:dyDescent="0.2">
      <c r="A190" t="str">
        <f t="shared" ref="A190" si="188">B190 &amp; C190&amp; D190&amp; E190 &amp; F190 &amp;G190</f>
        <v>43983Tiahura1292PocilloporidaeBords</v>
      </c>
      <c r="B190" s="1">
        <v>43983</v>
      </c>
      <c r="C190" t="s">
        <v>24</v>
      </c>
      <c r="D190" s="19">
        <v>12</v>
      </c>
      <c r="E190">
        <v>92</v>
      </c>
      <c r="F190" t="s">
        <v>10</v>
      </c>
      <c r="G190" t="s">
        <v>13</v>
      </c>
      <c r="H190">
        <v>2</v>
      </c>
      <c r="I190" t="s">
        <v>27</v>
      </c>
    </row>
    <row r="191" spans="1:9" x14ac:dyDescent="0.2">
      <c r="A191" t="str">
        <f t="shared" ref="A191" si="189">B191 &amp; C191&amp; D191&amp; E191 &amp; F191 &amp;G191</f>
        <v>43983Tiahura1295AutresDessous</v>
      </c>
      <c r="B191" s="1">
        <v>43983</v>
      </c>
      <c r="C191" t="s">
        <v>24</v>
      </c>
      <c r="D191" s="19">
        <v>12</v>
      </c>
      <c r="E191">
        <v>95</v>
      </c>
      <c r="F191" t="s">
        <v>14</v>
      </c>
      <c r="G191" t="s">
        <v>8</v>
      </c>
      <c r="H191">
        <v>2</v>
      </c>
      <c r="I191" t="s">
        <v>27</v>
      </c>
    </row>
    <row r="192" spans="1:9" x14ac:dyDescent="0.2">
      <c r="A192" t="str">
        <f t="shared" ref="A192" si="190">B192 &amp; C192&amp; D192&amp; E192 &amp; F192 &amp;G192</f>
        <v>43983Tiahura1295AcroporidaeDessus</v>
      </c>
      <c r="B192" s="1">
        <v>43983</v>
      </c>
      <c r="C192" t="s">
        <v>24</v>
      </c>
      <c r="D192" s="19">
        <v>12</v>
      </c>
      <c r="E192">
        <v>95</v>
      </c>
      <c r="F192" t="s">
        <v>17</v>
      </c>
      <c r="G192" t="s">
        <v>11</v>
      </c>
      <c r="H192">
        <v>1</v>
      </c>
      <c r="I192" t="s">
        <v>27</v>
      </c>
    </row>
    <row r="193" spans="1:9" x14ac:dyDescent="0.2">
      <c r="A193" t="str">
        <f t="shared" ref="A193" si="191">B193 &amp; C193&amp; D193&amp; E193 &amp; F193 &amp;G193</f>
        <v>43983Tiahura1285</v>
      </c>
      <c r="B193" s="1">
        <v>43983</v>
      </c>
      <c r="C193" t="s">
        <v>24</v>
      </c>
      <c r="D193" s="19">
        <v>12</v>
      </c>
      <c r="E193">
        <v>85</v>
      </c>
      <c r="F193" t="s">
        <v>27</v>
      </c>
      <c r="G193" t="s">
        <v>27</v>
      </c>
      <c r="H193" t="s">
        <v>27</v>
      </c>
      <c r="I193" t="s">
        <v>46</v>
      </c>
    </row>
    <row r="194" spans="1:9" x14ac:dyDescent="0.2">
      <c r="A194" t="str">
        <f t="shared" ref="A194" si="192">B194 &amp; C194&amp; D194&amp; E194 &amp; F194 &amp;G194</f>
        <v>43983Tiahura1298</v>
      </c>
      <c r="B194" s="1">
        <v>43983</v>
      </c>
      <c r="C194" t="s">
        <v>24</v>
      </c>
      <c r="D194" s="19">
        <v>12</v>
      </c>
      <c r="E194">
        <v>98</v>
      </c>
      <c r="F194" t="s">
        <v>27</v>
      </c>
      <c r="G194" t="s">
        <v>27</v>
      </c>
      <c r="H194" t="s">
        <v>27</v>
      </c>
      <c r="I194" t="s">
        <v>46</v>
      </c>
    </row>
    <row r="195" spans="1:9" x14ac:dyDescent="0.2">
      <c r="A195" t="str">
        <f t="shared" ref="A195" si="193">B195 &amp; C195&amp; D195&amp; E195 &amp; F195 &amp;G195</f>
        <v>43983Tiahura1297PocilloporidaeDessus</v>
      </c>
      <c r="B195" s="1">
        <v>43983</v>
      </c>
      <c r="C195" t="s">
        <v>24</v>
      </c>
      <c r="D195" s="19">
        <v>12</v>
      </c>
      <c r="E195">
        <v>97</v>
      </c>
      <c r="F195" t="s">
        <v>10</v>
      </c>
      <c r="G195" t="s">
        <v>11</v>
      </c>
      <c r="H195">
        <v>1</v>
      </c>
      <c r="I195" t="s">
        <v>27</v>
      </c>
    </row>
    <row r="196" spans="1:9" x14ac:dyDescent="0.2">
      <c r="A196" t="str">
        <f t="shared" ref="A196" si="194">B196 &amp; C196&amp; D196&amp; E196 &amp; F196 &amp;G196</f>
        <v>43983Vaipahu62PocilloporidaeDessous</v>
      </c>
      <c r="B196" s="1">
        <v>43983</v>
      </c>
      <c r="C196" t="s">
        <v>23</v>
      </c>
      <c r="D196" s="19">
        <v>6</v>
      </c>
      <c r="E196">
        <v>2</v>
      </c>
      <c r="F196" t="s">
        <v>10</v>
      </c>
      <c r="G196" t="s">
        <v>8</v>
      </c>
      <c r="H196">
        <v>1</v>
      </c>
      <c r="I196" t="s">
        <v>27</v>
      </c>
    </row>
    <row r="197" spans="1:9" x14ac:dyDescent="0.2">
      <c r="A197" t="str">
        <f t="shared" ref="A197" si="195">B197 &amp; C197&amp; D197&amp; E197 &amp; F197 &amp;G197</f>
        <v>43983Vaipahu62PocilloporidaeDessus</v>
      </c>
      <c r="B197" s="1">
        <v>43983</v>
      </c>
      <c r="C197" t="s">
        <v>23</v>
      </c>
      <c r="D197" s="19">
        <v>6</v>
      </c>
      <c r="E197">
        <v>2</v>
      </c>
      <c r="F197" t="s">
        <v>10</v>
      </c>
      <c r="G197" t="s">
        <v>11</v>
      </c>
      <c r="H197">
        <v>1</v>
      </c>
      <c r="I197" t="s">
        <v>27</v>
      </c>
    </row>
    <row r="198" spans="1:9" x14ac:dyDescent="0.2">
      <c r="A198" t="str">
        <f t="shared" ref="A198" si="196">B198 &amp; C198&amp; D198&amp; E198 &amp; F198 &amp;G198</f>
        <v>43983Vaipahu66AutresDessus</v>
      </c>
      <c r="B198" s="1">
        <v>43983</v>
      </c>
      <c r="C198" t="s">
        <v>23</v>
      </c>
      <c r="D198" s="19">
        <v>6</v>
      </c>
      <c r="E198">
        <v>6</v>
      </c>
      <c r="F198" t="s">
        <v>14</v>
      </c>
      <c r="G198" t="s">
        <v>11</v>
      </c>
      <c r="H198">
        <v>1</v>
      </c>
      <c r="I198" t="s">
        <v>27</v>
      </c>
    </row>
    <row r="199" spans="1:9" x14ac:dyDescent="0.2">
      <c r="A199" t="str">
        <f t="shared" ref="A199" si="197">B199 &amp; C199&amp; D199&amp; E199 &amp; F199 &amp;G199</f>
        <v>43983Vaipahu66PocilloporidaeDessous</v>
      </c>
      <c r="B199" s="1">
        <v>43983</v>
      </c>
      <c r="C199" t="s">
        <v>23</v>
      </c>
      <c r="D199" s="19">
        <v>6</v>
      </c>
      <c r="E199">
        <v>6</v>
      </c>
      <c r="F199" t="s">
        <v>10</v>
      </c>
      <c r="G199" t="s">
        <v>8</v>
      </c>
      <c r="H199">
        <v>3</v>
      </c>
      <c r="I199" t="s">
        <v>27</v>
      </c>
    </row>
    <row r="200" spans="1:9" x14ac:dyDescent="0.2">
      <c r="A200" t="str">
        <f t="shared" ref="A200" si="198">B200 &amp; C200&amp; D200&amp; E200 &amp; F200 &amp;G200</f>
        <v>43983Vaipahu612AutresBords</v>
      </c>
      <c r="B200" s="1">
        <v>43983</v>
      </c>
      <c r="C200" t="s">
        <v>23</v>
      </c>
      <c r="D200" s="19">
        <v>6</v>
      </c>
      <c r="E200">
        <v>12</v>
      </c>
      <c r="F200" t="s">
        <v>14</v>
      </c>
      <c r="G200" t="s">
        <v>13</v>
      </c>
      <c r="H200">
        <v>1</v>
      </c>
      <c r="I200" t="s">
        <v>27</v>
      </c>
    </row>
    <row r="201" spans="1:9" x14ac:dyDescent="0.2">
      <c r="A201" t="str">
        <f t="shared" ref="A201" si="199">B201 &amp; C201&amp; D201&amp; E201 &amp; F201 &amp;G201</f>
        <v>43983Vaipahu612PocilloporidaeDessous</v>
      </c>
      <c r="B201" s="1">
        <v>43983</v>
      </c>
      <c r="C201" t="s">
        <v>23</v>
      </c>
      <c r="D201" s="19">
        <v>6</v>
      </c>
      <c r="E201">
        <v>12</v>
      </c>
      <c r="F201" t="s">
        <v>10</v>
      </c>
      <c r="G201" t="s">
        <v>8</v>
      </c>
      <c r="H201">
        <v>2</v>
      </c>
      <c r="I201" t="s">
        <v>27</v>
      </c>
    </row>
    <row r="202" spans="1:9" x14ac:dyDescent="0.2">
      <c r="A202" t="str">
        <f t="shared" ref="A202" si="200">B202 &amp; C202&amp; D202&amp; E202 &amp; F202 &amp;G202</f>
        <v>43983Vaipahu612PocilloporidaeDessus</v>
      </c>
      <c r="B202" s="1">
        <v>43983</v>
      </c>
      <c r="C202" t="s">
        <v>23</v>
      </c>
      <c r="D202" s="19">
        <v>6</v>
      </c>
      <c r="E202">
        <v>12</v>
      </c>
      <c r="F202" t="s">
        <v>10</v>
      </c>
      <c r="G202" t="s">
        <v>11</v>
      </c>
      <c r="H202">
        <v>1</v>
      </c>
      <c r="I202" t="s">
        <v>27</v>
      </c>
    </row>
    <row r="203" spans="1:9" x14ac:dyDescent="0.2">
      <c r="A203" t="str">
        <f t="shared" ref="A203" si="201">B203 &amp; C203&amp; D203&amp; E203 &amp; F203 &amp;G203</f>
        <v>43983Vaipahu614PocilloporidaeDessous</v>
      </c>
      <c r="B203" s="1">
        <v>43983</v>
      </c>
      <c r="C203" t="s">
        <v>23</v>
      </c>
      <c r="D203" s="19">
        <v>6</v>
      </c>
      <c r="E203">
        <v>14</v>
      </c>
      <c r="F203" t="s">
        <v>10</v>
      </c>
      <c r="G203" t="s">
        <v>8</v>
      </c>
      <c r="H203">
        <v>1</v>
      </c>
      <c r="I203" t="s">
        <v>27</v>
      </c>
    </row>
    <row r="204" spans="1:9" x14ac:dyDescent="0.2">
      <c r="A204" t="str">
        <f t="shared" ref="A204" si="202">B204 &amp; C204&amp; D204&amp; E204 &amp; F204 &amp;G204</f>
        <v>43983Vaipahu614PocilloporidaeDessus</v>
      </c>
      <c r="B204" s="1">
        <v>43983</v>
      </c>
      <c r="C204" t="s">
        <v>23</v>
      </c>
      <c r="D204" s="19">
        <v>6</v>
      </c>
      <c r="E204">
        <v>14</v>
      </c>
      <c r="F204" t="s">
        <v>10</v>
      </c>
      <c r="G204" t="s">
        <v>11</v>
      </c>
      <c r="H204">
        <v>1</v>
      </c>
      <c r="I204" t="s">
        <v>27</v>
      </c>
    </row>
    <row r="205" spans="1:9" x14ac:dyDescent="0.2">
      <c r="A205" t="str">
        <f t="shared" ref="A205" si="203">B205 &amp; C205&amp; D205&amp; E205 &amp; F205 &amp;G205</f>
        <v>43983Vaipahu615PocilloporidaeBords</v>
      </c>
      <c r="B205" s="1">
        <v>43983</v>
      </c>
      <c r="C205" t="s">
        <v>23</v>
      </c>
      <c r="D205" s="19">
        <v>6</v>
      </c>
      <c r="E205">
        <v>15</v>
      </c>
      <c r="F205" t="s">
        <v>10</v>
      </c>
      <c r="G205" t="s">
        <v>13</v>
      </c>
      <c r="H205">
        <v>1</v>
      </c>
      <c r="I205" t="s">
        <v>27</v>
      </c>
    </row>
    <row r="206" spans="1:9" x14ac:dyDescent="0.2">
      <c r="A206" t="str">
        <f t="shared" ref="A206" si="204">B206 &amp; C206&amp; D206&amp; E206 &amp; F206 &amp;G206</f>
        <v>43983Tiahura680PocilloporidaeBords</v>
      </c>
      <c r="B206" s="1">
        <v>43983</v>
      </c>
      <c r="C206" t="s">
        <v>24</v>
      </c>
      <c r="D206" s="19">
        <v>6</v>
      </c>
      <c r="E206">
        <v>80</v>
      </c>
      <c r="F206" t="s">
        <v>10</v>
      </c>
      <c r="G206" t="s">
        <v>13</v>
      </c>
      <c r="H206">
        <v>2</v>
      </c>
      <c r="I206" t="s">
        <v>27</v>
      </c>
    </row>
    <row r="207" spans="1:9" x14ac:dyDescent="0.2">
      <c r="A207" t="str">
        <f t="shared" ref="A207" si="205">B207 &amp; C207&amp; D207&amp; E207 &amp; F207 &amp;G207</f>
        <v>43983Tiahura680</v>
      </c>
      <c r="B207" s="1">
        <v>43983</v>
      </c>
      <c r="C207" t="s">
        <v>24</v>
      </c>
      <c r="D207" s="19">
        <v>6</v>
      </c>
      <c r="E207">
        <v>80</v>
      </c>
      <c r="F207" t="s">
        <v>27</v>
      </c>
      <c r="G207" t="s">
        <v>27</v>
      </c>
      <c r="H207" t="s">
        <v>27</v>
      </c>
      <c r="I207" t="s">
        <v>45</v>
      </c>
    </row>
    <row r="208" spans="1:9" x14ac:dyDescent="0.2">
      <c r="A208" t="str">
        <f t="shared" ref="A208" si="206">B208 &amp; C208&amp; D208&amp; E208 &amp; F208 &amp;G208</f>
        <v>43983Tiahura679</v>
      </c>
      <c r="B208" s="1">
        <v>43983</v>
      </c>
      <c r="C208" t="s">
        <v>24</v>
      </c>
      <c r="D208" s="19">
        <v>6</v>
      </c>
      <c r="E208">
        <v>79</v>
      </c>
      <c r="F208" t="s">
        <v>27</v>
      </c>
      <c r="G208" t="s">
        <v>27</v>
      </c>
      <c r="H208" t="s">
        <v>27</v>
      </c>
      <c r="I208" t="s">
        <v>46</v>
      </c>
    </row>
    <row r="209" spans="1:9" x14ac:dyDescent="0.2">
      <c r="A209" t="str">
        <f t="shared" ref="A209" si="207">B209 &amp; C209&amp; D209&amp; E209 &amp; F209 &amp;G209</f>
        <v>43983Tiahura675</v>
      </c>
      <c r="B209" s="1">
        <v>43983</v>
      </c>
      <c r="C209" t="s">
        <v>24</v>
      </c>
      <c r="D209" s="19">
        <v>6</v>
      </c>
      <c r="E209">
        <v>75</v>
      </c>
      <c r="F209" t="s">
        <v>27</v>
      </c>
      <c r="G209" t="s">
        <v>27</v>
      </c>
      <c r="H209" t="s">
        <v>27</v>
      </c>
      <c r="I209" t="s">
        <v>45</v>
      </c>
    </row>
    <row r="210" spans="1:9" x14ac:dyDescent="0.2">
      <c r="A210" t="str">
        <f t="shared" ref="A210" si="208">B210 &amp; C210&amp; D210&amp; E210 &amp; F210 &amp;G210</f>
        <v>43983Tiahura667PocilloporidaeDessus</v>
      </c>
      <c r="B210" s="1">
        <v>43983</v>
      </c>
      <c r="C210" t="s">
        <v>24</v>
      </c>
      <c r="D210" s="19">
        <v>6</v>
      </c>
      <c r="E210">
        <v>67</v>
      </c>
      <c r="F210" t="s">
        <v>10</v>
      </c>
      <c r="G210" t="s">
        <v>11</v>
      </c>
      <c r="H210">
        <v>1</v>
      </c>
      <c r="I210" t="s">
        <v>27</v>
      </c>
    </row>
    <row r="211" spans="1:9" x14ac:dyDescent="0.2">
      <c r="A211" t="str">
        <f t="shared" ref="A211" si="209">B211 &amp; C211&amp; D211&amp; E211 &amp; F211 &amp;G211</f>
        <v>43983Tiahura664AutresDessous</v>
      </c>
      <c r="B211" s="1">
        <v>43983</v>
      </c>
      <c r="C211" t="s">
        <v>24</v>
      </c>
      <c r="D211" s="19">
        <v>6</v>
      </c>
      <c r="E211">
        <v>64</v>
      </c>
      <c r="F211" t="s">
        <v>14</v>
      </c>
      <c r="G211" t="s">
        <v>8</v>
      </c>
      <c r="H211">
        <v>1</v>
      </c>
      <c r="I211" t="s">
        <v>27</v>
      </c>
    </row>
    <row r="212" spans="1:9" x14ac:dyDescent="0.2">
      <c r="A212" t="str">
        <f t="shared" ref="A212" si="210">B212 &amp; C212&amp; D212&amp; E212 &amp; F212 &amp;G212</f>
        <v>43983Tiahura664PocilloporidaeBords</v>
      </c>
      <c r="B212" s="1">
        <v>43983</v>
      </c>
      <c r="C212" t="s">
        <v>24</v>
      </c>
      <c r="D212" s="19">
        <v>6</v>
      </c>
      <c r="E212">
        <v>64</v>
      </c>
      <c r="F212" t="s">
        <v>10</v>
      </c>
      <c r="G212" t="s">
        <v>13</v>
      </c>
      <c r="H212">
        <v>3</v>
      </c>
      <c r="I212" t="s">
        <v>27</v>
      </c>
    </row>
    <row r="213" spans="1:9" x14ac:dyDescent="0.2">
      <c r="A213" t="str">
        <f t="shared" ref="A213" si="211">B213 &amp; C213&amp; D213&amp; E213 &amp; F213 &amp;G213</f>
        <v>43983Tiahura664PocilloporidaeDessus</v>
      </c>
      <c r="B213" s="1">
        <v>43983</v>
      </c>
      <c r="C213" t="s">
        <v>24</v>
      </c>
      <c r="D213" s="19">
        <v>6</v>
      </c>
      <c r="E213">
        <v>64</v>
      </c>
      <c r="F213" t="s">
        <v>10</v>
      </c>
      <c r="G213" t="s">
        <v>11</v>
      </c>
      <c r="H213">
        <v>1</v>
      </c>
      <c r="I213" t="s">
        <v>27</v>
      </c>
    </row>
    <row r="214" spans="1:9" x14ac:dyDescent="0.2">
      <c r="A214" t="str">
        <f t="shared" ref="A214" si="212">B214 &amp; C214&amp; D214&amp; E214 &amp; F214 &amp;G214</f>
        <v>43983Tiahura662AutresBords</v>
      </c>
      <c r="B214" s="1">
        <v>43983</v>
      </c>
      <c r="C214" t="s">
        <v>24</v>
      </c>
      <c r="D214" s="19">
        <v>6</v>
      </c>
      <c r="E214">
        <v>62</v>
      </c>
      <c r="F214" t="s">
        <v>14</v>
      </c>
      <c r="G214" t="s">
        <v>13</v>
      </c>
      <c r="H214">
        <v>1</v>
      </c>
      <c r="I214" t="s">
        <v>27</v>
      </c>
    </row>
    <row r="215" spans="1:9" x14ac:dyDescent="0.2">
      <c r="A215" t="str">
        <f t="shared" ref="A215" si="213">B215 &amp; C215&amp; D215&amp; E215 &amp; F215 &amp;G215</f>
        <v>43983Tiahura662PocilloporidaeDessous</v>
      </c>
      <c r="B215" s="1">
        <v>43983</v>
      </c>
      <c r="C215" t="s">
        <v>24</v>
      </c>
      <c r="D215" s="19">
        <v>6</v>
      </c>
      <c r="E215">
        <v>62</v>
      </c>
      <c r="F215" t="s">
        <v>10</v>
      </c>
      <c r="G215" t="s">
        <v>8</v>
      </c>
      <c r="H215">
        <v>1</v>
      </c>
      <c r="I215" t="s">
        <v>27</v>
      </c>
    </row>
    <row r="216" spans="1:9" x14ac:dyDescent="0.2">
      <c r="A216" t="str">
        <f t="shared" ref="A216" si="214">B216 &amp; C216&amp; D216&amp; E216 &amp; F216 &amp;G216</f>
        <v>43983Tiahura662PocilloporidaeDessus</v>
      </c>
      <c r="B216" s="1">
        <v>43983</v>
      </c>
      <c r="C216" t="s">
        <v>24</v>
      </c>
      <c r="D216" s="19">
        <v>6</v>
      </c>
      <c r="E216">
        <v>62</v>
      </c>
      <c r="F216" t="s">
        <v>10</v>
      </c>
      <c r="G216" t="s">
        <v>11</v>
      </c>
      <c r="H216">
        <v>1</v>
      </c>
      <c r="I216" t="s">
        <v>27</v>
      </c>
    </row>
    <row r="217" spans="1:9" x14ac:dyDescent="0.2">
      <c r="A217" t="str">
        <f t="shared" ref="A217" si="215">B217 &amp; C217&amp; D217&amp; E217 &amp; F217 &amp;G217</f>
        <v>43983Tiahura661PocilloporidaeBords</v>
      </c>
      <c r="B217" s="1">
        <v>43983</v>
      </c>
      <c r="C217" t="s">
        <v>24</v>
      </c>
      <c r="D217" s="19">
        <v>6</v>
      </c>
      <c r="E217">
        <v>61</v>
      </c>
      <c r="F217" t="s">
        <v>10</v>
      </c>
      <c r="G217" t="s">
        <v>13</v>
      </c>
      <c r="H217">
        <v>1</v>
      </c>
      <c r="I217" t="s">
        <v>27</v>
      </c>
    </row>
    <row r="218" spans="1:9" x14ac:dyDescent="0.2">
      <c r="A218" t="str">
        <f t="shared" ref="A218" si="216">B218 &amp; C218&amp; D218&amp; E218 &amp; F218 &amp;G218</f>
        <v>43983Tiahura661PocilloporidaeDessus</v>
      </c>
      <c r="B218" s="1">
        <v>43983</v>
      </c>
      <c r="C218" t="s">
        <v>24</v>
      </c>
      <c r="D218" s="19">
        <v>6</v>
      </c>
      <c r="E218">
        <v>61</v>
      </c>
      <c r="F218" t="s">
        <v>10</v>
      </c>
      <c r="G218" t="s">
        <v>11</v>
      </c>
      <c r="H218">
        <v>1</v>
      </c>
      <c r="I218" t="s">
        <v>27</v>
      </c>
    </row>
    <row r="219" spans="1:9" x14ac:dyDescent="0.2">
      <c r="A219" t="str">
        <f t="shared" ref="A219" si="217">B219 &amp; C219&amp; D219&amp; E219 &amp; F219 &amp;G219</f>
        <v>43983Tiahura663AutresBords</v>
      </c>
      <c r="B219" s="1">
        <v>43983</v>
      </c>
      <c r="C219" t="s">
        <v>24</v>
      </c>
      <c r="D219" s="19">
        <v>6</v>
      </c>
      <c r="E219">
        <v>63</v>
      </c>
      <c r="F219" t="s">
        <v>14</v>
      </c>
      <c r="G219" t="s">
        <v>13</v>
      </c>
      <c r="H219">
        <v>2</v>
      </c>
      <c r="I219" t="s">
        <v>27</v>
      </c>
    </row>
    <row r="220" spans="1:9" x14ac:dyDescent="0.2">
      <c r="A220" t="str">
        <f t="shared" ref="A220" si="218">B220 &amp; C220&amp; D220&amp; E220 &amp; F220 &amp;G220</f>
        <v>43983Tiahura663AcroporidaeDessus</v>
      </c>
      <c r="B220" s="1">
        <v>43983</v>
      </c>
      <c r="C220" t="s">
        <v>24</v>
      </c>
      <c r="D220" s="19">
        <v>6</v>
      </c>
      <c r="E220">
        <v>63</v>
      </c>
      <c r="F220" t="s">
        <v>17</v>
      </c>
      <c r="G220" t="s">
        <v>11</v>
      </c>
      <c r="H220">
        <v>1</v>
      </c>
      <c r="I220" t="s">
        <v>27</v>
      </c>
    </row>
    <row r="221" spans="1:9" x14ac:dyDescent="0.2">
      <c r="A221" t="str">
        <f t="shared" ref="A221" si="219">B221 &amp; C221&amp; D221&amp; E221 &amp; F221 &amp;G221</f>
        <v>43983Tiahura663PocilloporidaeDessus</v>
      </c>
      <c r="B221" s="1">
        <v>43983</v>
      </c>
      <c r="C221" t="s">
        <v>24</v>
      </c>
      <c r="D221" s="19">
        <v>6</v>
      </c>
      <c r="E221">
        <v>63</v>
      </c>
      <c r="F221" t="s">
        <v>10</v>
      </c>
      <c r="G221" t="s">
        <v>11</v>
      </c>
      <c r="H221">
        <v>1</v>
      </c>
      <c r="I221" t="s">
        <v>27</v>
      </c>
    </row>
    <row r="222" spans="1:9" x14ac:dyDescent="0.2">
      <c r="A222" t="str">
        <f t="shared" ref="A222" si="220">B222 &amp; C222&amp; D222&amp; E222 &amp; F222 &amp;G222</f>
        <v>43983Tiahura669AutresBords</v>
      </c>
      <c r="B222" s="1">
        <v>43983</v>
      </c>
      <c r="C222" t="s">
        <v>24</v>
      </c>
      <c r="D222" s="19">
        <v>6</v>
      </c>
      <c r="E222">
        <v>69</v>
      </c>
      <c r="F222" t="s">
        <v>14</v>
      </c>
      <c r="G222" t="s">
        <v>13</v>
      </c>
      <c r="H222">
        <v>1</v>
      </c>
      <c r="I222" t="s">
        <v>27</v>
      </c>
    </row>
    <row r="223" spans="1:9" x14ac:dyDescent="0.2">
      <c r="A223" t="str">
        <f t="shared" ref="A223" si="221">B223 &amp; C223&amp; D223&amp; E223 &amp; F223 &amp;G223</f>
        <v>43983Tiahura669PocilloporidaeBords</v>
      </c>
      <c r="B223" s="1">
        <v>43983</v>
      </c>
      <c r="C223" t="s">
        <v>24</v>
      </c>
      <c r="D223" s="19">
        <v>6</v>
      </c>
      <c r="E223">
        <v>69</v>
      </c>
      <c r="F223" t="s">
        <v>10</v>
      </c>
      <c r="G223" t="s">
        <v>13</v>
      </c>
      <c r="H223">
        <v>1</v>
      </c>
      <c r="I223" t="s">
        <v>27</v>
      </c>
    </row>
    <row r="224" spans="1:9" x14ac:dyDescent="0.2">
      <c r="A224" t="str">
        <f t="shared" ref="A224" si="222">B224 &amp; C224&amp; D224&amp; E224 &amp; F224 &amp;G224</f>
        <v>43983Tiahura676AutresDessous</v>
      </c>
      <c r="B224" s="1">
        <v>43983</v>
      </c>
      <c r="C224" t="s">
        <v>24</v>
      </c>
      <c r="D224" s="19">
        <v>6</v>
      </c>
      <c r="E224">
        <v>76</v>
      </c>
      <c r="F224" t="s">
        <v>14</v>
      </c>
      <c r="G224" t="s">
        <v>8</v>
      </c>
      <c r="H224">
        <v>1</v>
      </c>
      <c r="I224" t="s">
        <v>27</v>
      </c>
    </row>
    <row r="225" spans="1:9" x14ac:dyDescent="0.2">
      <c r="A225" t="str">
        <f t="shared" ref="A225" si="223">B225 &amp; C225&amp; D225&amp; E225 &amp; F225 &amp;G225</f>
        <v>43983Tiahura676PocilloporidaeBords</v>
      </c>
      <c r="B225" s="1">
        <v>43983</v>
      </c>
      <c r="C225" t="s">
        <v>24</v>
      </c>
      <c r="D225" s="19">
        <v>6</v>
      </c>
      <c r="E225">
        <v>76</v>
      </c>
      <c r="F225" t="s">
        <v>10</v>
      </c>
      <c r="G225" t="s">
        <v>13</v>
      </c>
      <c r="H225">
        <v>1</v>
      </c>
      <c r="I225" t="s">
        <v>27</v>
      </c>
    </row>
    <row r="226" spans="1:9" x14ac:dyDescent="0.2">
      <c r="A226" t="str">
        <f t="shared" ref="A226" si="224">B226 &amp; C226&amp; D226&amp; E226 &amp; F226 &amp;G226</f>
        <v>43983Tiahura676PocilloporidaeDessus</v>
      </c>
      <c r="B226" s="1">
        <v>43983</v>
      </c>
      <c r="C226" t="s">
        <v>24</v>
      </c>
      <c r="D226" s="19">
        <v>6</v>
      </c>
      <c r="E226">
        <v>76</v>
      </c>
      <c r="F226" t="s">
        <v>10</v>
      </c>
      <c r="G226" t="s">
        <v>11</v>
      </c>
      <c r="H226">
        <v>1</v>
      </c>
      <c r="I226" t="s">
        <v>27</v>
      </c>
    </row>
    <row r="227" spans="1:9" x14ac:dyDescent="0.2">
      <c r="A227" t="str">
        <f t="shared" ref="A227" si="225">B227 &amp; C227&amp; D227&amp; E227 &amp; F227 &amp;G227</f>
        <v>43983Tiahura668PocilloporidaeDessous</v>
      </c>
      <c r="B227" s="1">
        <v>43983</v>
      </c>
      <c r="C227" t="s">
        <v>24</v>
      </c>
      <c r="D227" s="19">
        <v>6</v>
      </c>
      <c r="E227">
        <v>68</v>
      </c>
      <c r="F227" t="s">
        <v>10</v>
      </c>
      <c r="G227" t="s">
        <v>8</v>
      </c>
      <c r="H227">
        <v>1</v>
      </c>
      <c r="I227" t="s">
        <v>27</v>
      </c>
    </row>
    <row r="228" spans="1:9" x14ac:dyDescent="0.2">
      <c r="A228" t="str">
        <f t="shared" ref="A228" si="226">B228 &amp; C228&amp; D228&amp; E228 &amp; F228 &amp;G228</f>
        <v>43983Tiahura668PocilloporidaeBords</v>
      </c>
      <c r="B228" s="1">
        <v>43983</v>
      </c>
      <c r="C228" t="s">
        <v>24</v>
      </c>
      <c r="D228" s="19">
        <v>6</v>
      </c>
      <c r="E228">
        <v>68</v>
      </c>
      <c r="F228" t="s">
        <v>10</v>
      </c>
      <c r="G228" t="s">
        <v>13</v>
      </c>
      <c r="H228">
        <v>3</v>
      </c>
      <c r="I228" t="s">
        <v>27</v>
      </c>
    </row>
    <row r="229" spans="1:9" x14ac:dyDescent="0.2">
      <c r="A229" t="str">
        <f t="shared" ref="A229" si="227">B229 &amp; C229&amp; D229&amp; E229 &amp; F229 &amp;G229</f>
        <v>43983Tiahura668PocilloporidaeDessus</v>
      </c>
      <c r="B229" s="1">
        <v>43983</v>
      </c>
      <c r="C229" t="s">
        <v>24</v>
      </c>
      <c r="D229" s="19">
        <v>6</v>
      </c>
      <c r="E229">
        <v>68</v>
      </c>
      <c r="F229" t="s">
        <v>10</v>
      </c>
      <c r="G229" t="s">
        <v>11</v>
      </c>
      <c r="H229">
        <v>1</v>
      </c>
      <c r="I229" t="s">
        <v>27</v>
      </c>
    </row>
    <row r="230" spans="1:9" x14ac:dyDescent="0.2">
      <c r="A230" t="str">
        <f t="shared" ref="A230" si="228">B230 &amp; C230&amp; D230&amp; E230 &amp; F230 &amp;G230</f>
        <v>43983Tiahura665PocilloporidaeBords</v>
      </c>
      <c r="B230" s="1">
        <v>43983</v>
      </c>
      <c r="C230" t="s">
        <v>24</v>
      </c>
      <c r="D230" s="19">
        <v>6</v>
      </c>
      <c r="E230">
        <v>65</v>
      </c>
      <c r="F230" t="s">
        <v>10</v>
      </c>
      <c r="G230" t="s">
        <v>13</v>
      </c>
      <c r="H230">
        <v>3</v>
      </c>
      <c r="I230" t="s">
        <v>27</v>
      </c>
    </row>
    <row r="231" spans="1:9" x14ac:dyDescent="0.2">
      <c r="A231" t="str">
        <f t="shared" ref="A231" si="229">B231 &amp; C231&amp; D231&amp; E231 &amp; F231 &amp;G231</f>
        <v>43983Tiahura671PocilloporidaeBords</v>
      </c>
      <c r="B231" s="1">
        <v>43983</v>
      </c>
      <c r="C231" t="s">
        <v>24</v>
      </c>
      <c r="D231" s="19">
        <v>6</v>
      </c>
      <c r="E231">
        <v>71</v>
      </c>
      <c r="F231" t="s">
        <v>10</v>
      </c>
      <c r="G231" t="s">
        <v>13</v>
      </c>
      <c r="H231">
        <v>1</v>
      </c>
      <c r="I231" t="s">
        <v>27</v>
      </c>
    </row>
    <row r="232" spans="1:9" x14ac:dyDescent="0.2">
      <c r="A232" t="str">
        <f t="shared" ref="A232" si="230">B232 &amp; C232&amp; D232&amp; E232 &amp; F232 &amp;G232</f>
        <v>43983Tiahura671PocilloporidaeDessus</v>
      </c>
      <c r="B232" s="1">
        <v>43983</v>
      </c>
      <c r="C232" t="s">
        <v>24</v>
      </c>
      <c r="D232" s="19">
        <v>6</v>
      </c>
      <c r="E232">
        <v>71</v>
      </c>
      <c r="F232" t="s">
        <v>10</v>
      </c>
      <c r="G232" t="s">
        <v>11</v>
      </c>
      <c r="H232">
        <v>1</v>
      </c>
      <c r="I232" t="s">
        <v>27</v>
      </c>
    </row>
    <row r="233" spans="1:9" x14ac:dyDescent="0.2">
      <c r="A233" t="str">
        <f t="shared" ref="A233" si="231">B233 &amp; C233&amp; D233&amp; E233 &amp; F233 &amp;G233</f>
        <v>43983Tiahura670AcroporidaeDessus</v>
      </c>
      <c r="B233" s="1">
        <v>43983</v>
      </c>
      <c r="C233" t="s">
        <v>24</v>
      </c>
      <c r="D233" s="19">
        <v>6</v>
      </c>
      <c r="E233">
        <v>70</v>
      </c>
      <c r="F233" t="s">
        <v>17</v>
      </c>
      <c r="G233" t="s">
        <v>11</v>
      </c>
      <c r="H233">
        <v>1</v>
      </c>
      <c r="I233" t="s">
        <v>27</v>
      </c>
    </row>
    <row r="234" spans="1:9" x14ac:dyDescent="0.2">
      <c r="A234" t="str">
        <f t="shared" ref="A234" si="232">B234 &amp; C234&amp; D234&amp; E234 &amp; F234 &amp;G234</f>
        <v>43983Tiahura670PocilloporidaeDessous</v>
      </c>
      <c r="B234" s="1">
        <v>43983</v>
      </c>
      <c r="C234" t="s">
        <v>24</v>
      </c>
      <c r="D234" s="19">
        <v>6</v>
      </c>
      <c r="E234">
        <v>70</v>
      </c>
      <c r="F234" t="s">
        <v>10</v>
      </c>
      <c r="G234" t="s">
        <v>8</v>
      </c>
      <c r="H234">
        <v>2</v>
      </c>
      <c r="I234" t="s">
        <v>27</v>
      </c>
    </row>
    <row r="235" spans="1:9" x14ac:dyDescent="0.2">
      <c r="A235" t="str">
        <f t="shared" ref="A235" si="233">B235 &amp; C235&amp; D235&amp; E235 &amp; F235 &amp;G235</f>
        <v>43983Tiahura670PocilloporidaeBords</v>
      </c>
      <c r="B235" s="1">
        <v>43983</v>
      </c>
      <c r="C235" t="s">
        <v>24</v>
      </c>
      <c r="D235" s="19">
        <v>6</v>
      </c>
      <c r="E235">
        <v>70</v>
      </c>
      <c r="F235" t="s">
        <v>10</v>
      </c>
      <c r="G235" t="s">
        <v>13</v>
      </c>
      <c r="H235">
        <v>3</v>
      </c>
      <c r="I235" t="s">
        <v>27</v>
      </c>
    </row>
    <row r="236" spans="1:9" x14ac:dyDescent="0.2">
      <c r="A236" t="str">
        <f t="shared" ref="A236" si="234">B236 &amp; C236&amp; D236&amp; E236 &amp; F236 &amp;G236</f>
        <v>43983Tiahura676AutresBords</v>
      </c>
      <c r="B236" s="1">
        <v>43983</v>
      </c>
      <c r="C236" t="s">
        <v>24</v>
      </c>
      <c r="D236" s="19">
        <v>6</v>
      </c>
      <c r="E236">
        <v>76</v>
      </c>
      <c r="F236" t="s">
        <v>14</v>
      </c>
      <c r="G236" t="s">
        <v>13</v>
      </c>
      <c r="H236">
        <v>1</v>
      </c>
      <c r="I236" t="s">
        <v>27</v>
      </c>
    </row>
    <row r="237" spans="1:9" x14ac:dyDescent="0.2">
      <c r="A237" t="str">
        <f t="shared" ref="A237" si="235">B237 &amp; C237&amp; D237&amp; E237 &amp; F237 &amp;G237</f>
        <v>43983Tiahura676PocilloporidaeDessous</v>
      </c>
      <c r="B237" s="1">
        <v>43983</v>
      </c>
      <c r="C237" t="s">
        <v>24</v>
      </c>
      <c r="D237" s="19">
        <v>6</v>
      </c>
      <c r="E237">
        <v>76</v>
      </c>
      <c r="F237" t="s">
        <v>10</v>
      </c>
      <c r="G237" t="s">
        <v>8</v>
      </c>
      <c r="H237">
        <v>2</v>
      </c>
      <c r="I237" t="s">
        <v>27</v>
      </c>
    </row>
    <row r="238" spans="1:9" x14ac:dyDescent="0.2">
      <c r="A238" t="str">
        <f t="shared" ref="A238" si="236">B238 &amp; C238&amp; D238&amp; E238 &amp; F238 &amp;G238</f>
        <v>43983Tiahura676PocilloporidaeBords</v>
      </c>
      <c r="B238" s="1">
        <v>43983</v>
      </c>
      <c r="C238" t="s">
        <v>24</v>
      </c>
      <c r="D238" s="19">
        <v>6</v>
      </c>
      <c r="E238">
        <v>76</v>
      </c>
      <c r="F238" t="s">
        <v>10</v>
      </c>
      <c r="G238" t="s">
        <v>13</v>
      </c>
      <c r="H238">
        <v>1</v>
      </c>
      <c r="I238" t="s">
        <v>27</v>
      </c>
    </row>
    <row r="239" spans="1:9" x14ac:dyDescent="0.2">
      <c r="A239" t="str">
        <f t="shared" ref="A239" si="237">B239 &amp; C239&amp; D239&amp; E239 &amp; F239 &amp;G239</f>
        <v>43983Tiahura673AcroporidaeDessus</v>
      </c>
      <c r="B239" s="1">
        <v>43983</v>
      </c>
      <c r="C239" t="s">
        <v>24</v>
      </c>
      <c r="D239" s="19">
        <v>6</v>
      </c>
      <c r="E239">
        <v>73</v>
      </c>
      <c r="F239" t="s">
        <v>17</v>
      </c>
      <c r="G239" t="s">
        <v>11</v>
      </c>
      <c r="H239">
        <v>1</v>
      </c>
      <c r="I239" t="s">
        <v>27</v>
      </c>
    </row>
    <row r="240" spans="1:9" x14ac:dyDescent="0.2">
      <c r="A240" t="str">
        <f t="shared" ref="A240" si="238">B240 &amp; C240&amp; D240&amp; E240 &amp; F240 &amp;G240</f>
        <v>43983Tiahura673PocilloporidaeDessous</v>
      </c>
      <c r="B240" s="1">
        <v>43983</v>
      </c>
      <c r="C240" t="s">
        <v>24</v>
      </c>
      <c r="D240" s="19">
        <v>6</v>
      </c>
      <c r="E240">
        <v>73</v>
      </c>
      <c r="F240" t="s">
        <v>10</v>
      </c>
      <c r="G240" t="s">
        <v>8</v>
      </c>
      <c r="H240">
        <v>1</v>
      </c>
      <c r="I240" t="s">
        <v>27</v>
      </c>
    </row>
    <row r="241" spans="1:9" x14ac:dyDescent="0.2">
      <c r="A241" t="str">
        <f t="shared" ref="A241" si="239">B241 &amp; C241&amp; D241&amp; E241 &amp; F241 &amp;G241</f>
        <v>43983Tiahura673PocilloporidaeBords</v>
      </c>
      <c r="B241" s="1">
        <v>43983</v>
      </c>
      <c r="C241" t="s">
        <v>24</v>
      </c>
      <c r="D241" s="19">
        <v>6</v>
      </c>
      <c r="E241">
        <v>73</v>
      </c>
      <c r="F241" t="s">
        <v>10</v>
      </c>
      <c r="G241" t="s">
        <v>13</v>
      </c>
      <c r="H241">
        <v>2</v>
      </c>
      <c r="I241" t="s">
        <v>27</v>
      </c>
    </row>
    <row r="242" spans="1:9" x14ac:dyDescent="0.2">
      <c r="A242" t="str">
        <f t="shared" ref="A242" si="240">B242 &amp; C242&amp; D242&amp; E242 &amp; F242 &amp;G242</f>
        <v>43983Tiahura674PocilloporidaeDessous</v>
      </c>
      <c r="B242" s="1">
        <v>43983</v>
      </c>
      <c r="C242" t="s">
        <v>24</v>
      </c>
      <c r="D242" s="19">
        <v>6</v>
      </c>
      <c r="E242">
        <v>74</v>
      </c>
      <c r="F242" t="s">
        <v>10</v>
      </c>
      <c r="G242" t="s">
        <v>8</v>
      </c>
      <c r="H242">
        <v>1</v>
      </c>
      <c r="I242" t="s">
        <v>27</v>
      </c>
    </row>
    <row r="243" spans="1:9" x14ac:dyDescent="0.2">
      <c r="A243" t="str">
        <f t="shared" ref="A243" si="241">B243 &amp; C243&amp; D243&amp; E243 &amp; F243 &amp;G243</f>
        <v>43983Tiahura674PocilloporidaeBords</v>
      </c>
      <c r="B243" s="1">
        <v>43983</v>
      </c>
      <c r="C243" t="s">
        <v>24</v>
      </c>
      <c r="D243" s="19">
        <v>6</v>
      </c>
      <c r="E243">
        <v>74</v>
      </c>
      <c r="F243" t="s">
        <v>10</v>
      </c>
      <c r="G243" t="s">
        <v>13</v>
      </c>
      <c r="H243">
        <v>2</v>
      </c>
      <c r="I243" t="s">
        <v>27</v>
      </c>
    </row>
    <row r="244" spans="1:9" x14ac:dyDescent="0.2">
      <c r="A244" t="str">
        <f t="shared" ref="A244" si="242">B244 &amp; C244&amp; D244&amp; E244 &amp; F244 &amp;G244</f>
        <v>43983Tiahura674PocilloporidaeDessus</v>
      </c>
      <c r="B244" s="1">
        <v>43983</v>
      </c>
      <c r="C244" t="s">
        <v>24</v>
      </c>
      <c r="D244" s="19">
        <v>6</v>
      </c>
      <c r="E244">
        <v>74</v>
      </c>
      <c r="F244" t="s">
        <v>10</v>
      </c>
      <c r="G244" t="s">
        <v>11</v>
      </c>
      <c r="H244">
        <v>2</v>
      </c>
      <c r="I244" t="s">
        <v>27</v>
      </c>
    </row>
    <row r="245" spans="1:9" x14ac:dyDescent="0.2">
      <c r="A245" t="str">
        <f t="shared" ref="A245" si="243">B245 &amp; C245&amp; D245&amp; E245 &amp; F245 &amp;G245</f>
        <v>43983Tiahura677PocilloporidaeBords</v>
      </c>
      <c r="B245" s="1">
        <v>43983</v>
      </c>
      <c r="C245" t="s">
        <v>24</v>
      </c>
      <c r="D245" s="19">
        <v>6</v>
      </c>
      <c r="E245">
        <v>77</v>
      </c>
      <c r="F245" t="s">
        <v>10</v>
      </c>
      <c r="G245" t="s">
        <v>13</v>
      </c>
      <c r="H245">
        <v>2</v>
      </c>
      <c r="I245" t="s">
        <v>27</v>
      </c>
    </row>
    <row r="246" spans="1:9" x14ac:dyDescent="0.2">
      <c r="A246" t="str">
        <f t="shared" ref="A246" si="244">B246 &amp; C246&amp; D246&amp; E246 &amp; F246 &amp;G246</f>
        <v>43983Tiahura677PocilloporidaeDessus</v>
      </c>
      <c r="B246" s="1">
        <v>43983</v>
      </c>
      <c r="C246" t="s">
        <v>24</v>
      </c>
      <c r="D246" s="19">
        <v>6</v>
      </c>
      <c r="E246">
        <v>77</v>
      </c>
      <c r="F246" t="s">
        <v>10</v>
      </c>
      <c r="G246" t="s">
        <v>11</v>
      </c>
      <c r="H246">
        <v>1</v>
      </c>
      <c r="I246" t="s">
        <v>27</v>
      </c>
    </row>
    <row r="247" spans="1:9" x14ac:dyDescent="0.2">
      <c r="A247" t="str">
        <f t="shared" ref="A247" si="245">B247 &amp; C247&amp; D247&amp; E247 &amp; F247 &amp;G247</f>
        <v>43983Vaipahu620AutresBords</v>
      </c>
      <c r="B247" s="1">
        <v>43983</v>
      </c>
      <c r="C247" t="s">
        <v>23</v>
      </c>
      <c r="D247" s="19">
        <v>6</v>
      </c>
      <c r="E247">
        <v>20</v>
      </c>
      <c r="F247" t="s">
        <v>14</v>
      </c>
      <c r="G247" t="s">
        <v>13</v>
      </c>
      <c r="H247">
        <v>2</v>
      </c>
      <c r="I247" t="s">
        <v>27</v>
      </c>
    </row>
    <row r="248" spans="1:9" x14ac:dyDescent="0.2">
      <c r="A248" t="str">
        <f t="shared" ref="A248" si="246">B248 &amp; C248&amp; D248&amp; E248 &amp; F248 &amp;G248</f>
        <v>43983Vaipahu620PocilloporidaeDessus</v>
      </c>
      <c r="B248" s="1">
        <v>43983</v>
      </c>
      <c r="C248" t="s">
        <v>23</v>
      </c>
      <c r="D248" s="19">
        <v>6</v>
      </c>
      <c r="E248">
        <v>20</v>
      </c>
      <c r="F248" t="s">
        <v>10</v>
      </c>
      <c r="G248" t="s">
        <v>11</v>
      </c>
      <c r="H248">
        <v>2</v>
      </c>
      <c r="I248" t="s">
        <v>27</v>
      </c>
    </row>
    <row r="249" spans="1:9" x14ac:dyDescent="0.2">
      <c r="A249" t="str">
        <f t="shared" ref="A249" si="247">B249 &amp; C249&amp; D249&amp; E249 &amp; F249 &amp;G249</f>
        <v>43983Vaipahu1224PocilloporidaeBords</v>
      </c>
      <c r="B249" s="1">
        <v>43983</v>
      </c>
      <c r="C249" t="s">
        <v>23</v>
      </c>
      <c r="D249" s="19">
        <v>12</v>
      </c>
      <c r="E249">
        <v>24</v>
      </c>
      <c r="F249" t="s">
        <v>10</v>
      </c>
      <c r="G249" t="s">
        <v>13</v>
      </c>
      <c r="H249">
        <v>2</v>
      </c>
      <c r="I249" t="s">
        <v>27</v>
      </c>
    </row>
    <row r="250" spans="1:9" x14ac:dyDescent="0.2">
      <c r="A250" t="str">
        <f t="shared" ref="A250" si="248">B250 &amp; C250&amp; D250&amp; E250 &amp; F250 &amp;G250</f>
        <v>43983Vaipahu1224</v>
      </c>
      <c r="B250" s="1">
        <v>43983</v>
      </c>
      <c r="C250" t="s">
        <v>23</v>
      </c>
      <c r="D250" s="19">
        <v>12</v>
      </c>
      <c r="E250">
        <v>24</v>
      </c>
      <c r="F250" t="s">
        <v>27</v>
      </c>
      <c r="G250" t="s">
        <v>27</v>
      </c>
      <c r="H250" t="s">
        <v>27</v>
      </c>
      <c r="I250" t="s">
        <v>45</v>
      </c>
    </row>
    <row r="251" spans="1:9" x14ac:dyDescent="0.2">
      <c r="A251" t="str">
        <f t="shared" ref="A251" si="249">B251 &amp; C251&amp; D251&amp; E251 &amp; F251 &amp;G251</f>
        <v>43983Vaipahu1227AcroporidaeDessous</v>
      </c>
      <c r="B251" s="1">
        <v>43983</v>
      </c>
      <c r="C251" t="s">
        <v>23</v>
      </c>
      <c r="D251" s="19">
        <v>12</v>
      </c>
      <c r="E251">
        <v>27</v>
      </c>
      <c r="F251" t="s">
        <v>17</v>
      </c>
      <c r="G251" t="s">
        <v>8</v>
      </c>
      <c r="H251">
        <v>2</v>
      </c>
      <c r="I251" t="s">
        <v>27</v>
      </c>
    </row>
    <row r="252" spans="1:9" x14ac:dyDescent="0.2">
      <c r="A252" t="str">
        <f t="shared" ref="A252" si="250">B252 &amp; C252&amp; D252&amp; E252 &amp; F252 &amp;G252</f>
        <v>43983Vaipahu1227PocilloporidaeBords</v>
      </c>
      <c r="B252" s="1">
        <v>43983</v>
      </c>
      <c r="C252" t="s">
        <v>23</v>
      </c>
      <c r="D252" s="19">
        <v>12</v>
      </c>
      <c r="E252">
        <v>27</v>
      </c>
      <c r="F252" t="s">
        <v>10</v>
      </c>
      <c r="G252" t="s">
        <v>13</v>
      </c>
      <c r="H252">
        <v>2</v>
      </c>
      <c r="I252" t="s">
        <v>27</v>
      </c>
    </row>
    <row r="253" spans="1:9" x14ac:dyDescent="0.2">
      <c r="A253" t="str">
        <f t="shared" ref="A253" si="251">B253 &amp; C253&amp; D253&amp; E253 &amp; F253 &amp;G253</f>
        <v>43983Vaipahu1227PocilloporidaeDessus</v>
      </c>
      <c r="B253" s="1">
        <v>43983</v>
      </c>
      <c r="C253" t="s">
        <v>23</v>
      </c>
      <c r="D253" s="19">
        <v>12</v>
      </c>
      <c r="E253">
        <v>27</v>
      </c>
      <c r="F253" t="s">
        <v>10</v>
      </c>
      <c r="G253" t="s">
        <v>11</v>
      </c>
      <c r="H253">
        <v>1</v>
      </c>
      <c r="I253" t="s">
        <v>27</v>
      </c>
    </row>
    <row r="254" spans="1:9" x14ac:dyDescent="0.2">
      <c r="A254" t="str">
        <f t="shared" ref="A254" si="252">B254 &amp; C254&amp; D254&amp; E254 &amp; F254 &amp;G254</f>
        <v>43983Vaipahu617AutresDessous</v>
      </c>
      <c r="B254" s="1">
        <v>43983</v>
      </c>
      <c r="C254" t="s">
        <v>23</v>
      </c>
      <c r="D254" s="19">
        <v>6</v>
      </c>
      <c r="E254">
        <v>17</v>
      </c>
      <c r="F254" t="s">
        <v>14</v>
      </c>
      <c r="G254" t="s">
        <v>8</v>
      </c>
      <c r="H254">
        <v>1</v>
      </c>
      <c r="I254" t="s">
        <v>27</v>
      </c>
    </row>
    <row r="255" spans="1:9" x14ac:dyDescent="0.2">
      <c r="A255" t="str">
        <f t="shared" ref="A255" si="253">B255 &amp; C255&amp; D255&amp; E255 &amp; F255 &amp;G255</f>
        <v>43983Vaipahu617AutresBords</v>
      </c>
      <c r="B255" s="1">
        <v>43983</v>
      </c>
      <c r="C255" t="s">
        <v>23</v>
      </c>
      <c r="D255" s="19">
        <v>6</v>
      </c>
      <c r="E255">
        <v>17</v>
      </c>
      <c r="F255" t="s">
        <v>14</v>
      </c>
      <c r="G255" t="s">
        <v>13</v>
      </c>
      <c r="H255">
        <v>1</v>
      </c>
      <c r="I255" t="s">
        <v>27</v>
      </c>
    </row>
    <row r="256" spans="1:9" x14ac:dyDescent="0.2">
      <c r="A256" t="str">
        <f t="shared" ref="A256" si="254">B256 &amp; C256&amp; D256&amp; E256 &amp; F256 &amp;G256</f>
        <v>43983Vaipahu617PocilloporidaeDessous</v>
      </c>
      <c r="B256" s="1">
        <v>43983</v>
      </c>
      <c r="C256" t="s">
        <v>23</v>
      </c>
      <c r="D256" s="19">
        <v>6</v>
      </c>
      <c r="E256">
        <v>17</v>
      </c>
      <c r="F256" t="s">
        <v>10</v>
      </c>
      <c r="G256" t="s">
        <v>8</v>
      </c>
      <c r="H256">
        <v>2</v>
      </c>
      <c r="I256" t="s">
        <v>27</v>
      </c>
    </row>
    <row r="257" spans="1:9" x14ac:dyDescent="0.2">
      <c r="A257" t="str">
        <f t="shared" si="0"/>
        <v>43983Vaipahu1239PocilloporidaeDessous</v>
      </c>
      <c r="B257" s="1">
        <v>43983</v>
      </c>
      <c r="C257" t="s">
        <v>23</v>
      </c>
      <c r="D257" s="19">
        <v>12</v>
      </c>
      <c r="E257">
        <v>39</v>
      </c>
      <c r="F257" t="s">
        <v>10</v>
      </c>
      <c r="G257" t="s">
        <v>8</v>
      </c>
      <c r="H257">
        <v>1</v>
      </c>
      <c r="I257" t="s">
        <v>27</v>
      </c>
    </row>
    <row r="258" spans="1:9" x14ac:dyDescent="0.2">
      <c r="A258" t="str">
        <f t="shared" si="0"/>
        <v>43983Vaipahu1239PocilloporidaeBords</v>
      </c>
      <c r="B258" s="1">
        <v>43983</v>
      </c>
      <c r="C258" t="s">
        <v>23</v>
      </c>
      <c r="D258" s="19">
        <v>12</v>
      </c>
      <c r="E258">
        <v>39</v>
      </c>
      <c r="F258" t="s">
        <v>10</v>
      </c>
      <c r="G258" t="s">
        <v>13</v>
      </c>
      <c r="H258">
        <v>1</v>
      </c>
      <c r="I258" t="s">
        <v>27</v>
      </c>
    </row>
    <row r="259" spans="1:9" x14ac:dyDescent="0.2">
      <c r="A259" t="str">
        <f t="shared" si="0"/>
        <v>43983Haapiti18169PocilloporidaeDessous</v>
      </c>
      <c r="B259" s="1">
        <v>43983</v>
      </c>
      <c r="C259" t="s">
        <v>25</v>
      </c>
      <c r="D259" s="19">
        <v>18</v>
      </c>
      <c r="E259">
        <v>169</v>
      </c>
      <c r="F259" t="s">
        <v>10</v>
      </c>
      <c r="G259" t="s">
        <v>8</v>
      </c>
      <c r="H259">
        <v>3</v>
      </c>
      <c r="I259" t="s">
        <v>27</v>
      </c>
    </row>
    <row r="260" spans="1:9" x14ac:dyDescent="0.2">
      <c r="A260" t="str">
        <f t="shared" si="0"/>
        <v>43983Haapiti18169PocilloporidaeBords</v>
      </c>
      <c r="B260" s="1">
        <v>43983</v>
      </c>
      <c r="C260" t="s">
        <v>25</v>
      </c>
      <c r="D260" s="19">
        <v>18</v>
      </c>
      <c r="E260">
        <v>169</v>
      </c>
      <c r="F260" t="s">
        <v>10</v>
      </c>
      <c r="G260" t="s">
        <v>13</v>
      </c>
      <c r="H260">
        <v>1</v>
      </c>
      <c r="I260" t="s">
        <v>27</v>
      </c>
    </row>
    <row r="261" spans="1:9" x14ac:dyDescent="0.2">
      <c r="A261" t="str">
        <f t="shared" si="0"/>
        <v>43983Haapiti18170</v>
      </c>
      <c r="B261" s="1">
        <v>43983</v>
      </c>
      <c r="C261" t="s">
        <v>25</v>
      </c>
      <c r="D261" s="19">
        <v>18</v>
      </c>
      <c r="E261">
        <v>170</v>
      </c>
      <c r="F261" t="s">
        <v>27</v>
      </c>
      <c r="G261" t="s">
        <v>27</v>
      </c>
      <c r="H261" t="s">
        <v>27</v>
      </c>
      <c r="I261" t="s">
        <v>46</v>
      </c>
    </row>
    <row r="262" spans="1:9" x14ac:dyDescent="0.2">
      <c r="A262" t="str">
        <f t="shared" si="0"/>
        <v>43983Haapiti18171</v>
      </c>
      <c r="B262" s="1">
        <v>43983</v>
      </c>
      <c r="C262" t="s">
        <v>25</v>
      </c>
      <c r="D262" s="19">
        <v>18</v>
      </c>
      <c r="E262">
        <v>171</v>
      </c>
      <c r="F262" t="s">
        <v>27</v>
      </c>
      <c r="G262" t="s">
        <v>27</v>
      </c>
      <c r="H262" t="s">
        <v>27</v>
      </c>
      <c r="I262" t="s">
        <v>46</v>
      </c>
    </row>
    <row r="263" spans="1:9" x14ac:dyDescent="0.2">
      <c r="A263" t="str">
        <f t="shared" si="0"/>
        <v>43983Haapiti18173AutresDessous</v>
      </c>
      <c r="B263" s="1">
        <v>43983</v>
      </c>
      <c r="C263" t="s">
        <v>25</v>
      </c>
      <c r="D263" s="19">
        <v>18</v>
      </c>
      <c r="E263">
        <v>173</v>
      </c>
      <c r="F263" t="s">
        <v>14</v>
      </c>
      <c r="G263" t="s">
        <v>8</v>
      </c>
      <c r="H263">
        <v>3</v>
      </c>
      <c r="I263" t="s">
        <v>27</v>
      </c>
    </row>
    <row r="264" spans="1:9" x14ac:dyDescent="0.2">
      <c r="A264" t="str">
        <f t="shared" si="0"/>
        <v>43983Haapiti6123AcroporidaeDessous</v>
      </c>
      <c r="B264" s="1">
        <v>43983</v>
      </c>
      <c r="C264" t="s">
        <v>25</v>
      </c>
      <c r="D264" s="19">
        <v>6</v>
      </c>
      <c r="E264">
        <v>123</v>
      </c>
      <c r="F264" t="s">
        <v>17</v>
      </c>
      <c r="G264" t="s">
        <v>8</v>
      </c>
      <c r="H264">
        <v>1</v>
      </c>
      <c r="I264" t="s">
        <v>27</v>
      </c>
    </row>
    <row r="265" spans="1:9" x14ac:dyDescent="0.2">
      <c r="A265" t="str">
        <f t="shared" si="0"/>
        <v>43983Haapiti6123PocilloporidaeDessous</v>
      </c>
      <c r="B265" s="1">
        <v>43983</v>
      </c>
      <c r="C265" t="s">
        <v>25</v>
      </c>
      <c r="D265" s="19">
        <v>6</v>
      </c>
      <c r="E265">
        <v>123</v>
      </c>
      <c r="F265" t="s">
        <v>10</v>
      </c>
      <c r="G265" t="s">
        <v>8</v>
      </c>
      <c r="H265">
        <v>1</v>
      </c>
      <c r="I265" t="s">
        <v>27</v>
      </c>
    </row>
    <row r="266" spans="1:9" x14ac:dyDescent="0.2">
      <c r="A266" t="str">
        <f t="shared" si="0"/>
        <v>43983Haapiti6132AutresDessous</v>
      </c>
      <c r="B266" s="1">
        <v>43983</v>
      </c>
      <c r="C266" t="s">
        <v>25</v>
      </c>
      <c r="D266" s="19">
        <v>6</v>
      </c>
      <c r="E266">
        <v>132</v>
      </c>
      <c r="F266" t="s">
        <v>14</v>
      </c>
      <c r="G266" t="s">
        <v>8</v>
      </c>
      <c r="H266">
        <v>1</v>
      </c>
      <c r="I266" t="s">
        <v>27</v>
      </c>
    </row>
    <row r="267" spans="1:9" x14ac:dyDescent="0.2">
      <c r="A267" t="str">
        <f t="shared" si="0"/>
        <v>43983Haapiti6140PocilloporidaeDessous</v>
      </c>
      <c r="B267" s="1">
        <v>43983</v>
      </c>
      <c r="C267" t="s">
        <v>25</v>
      </c>
      <c r="D267" s="19">
        <v>6</v>
      </c>
      <c r="E267">
        <v>140</v>
      </c>
      <c r="F267" t="s">
        <v>10</v>
      </c>
      <c r="G267" t="s">
        <v>8</v>
      </c>
      <c r="H267">
        <v>5</v>
      </c>
      <c r="I267" t="s">
        <v>27</v>
      </c>
    </row>
    <row r="268" spans="1:9" x14ac:dyDescent="0.2">
      <c r="A268" t="str">
        <f t="shared" si="0"/>
        <v>43983Haapiti6140PocilloporidaeBords</v>
      </c>
      <c r="B268" s="1">
        <v>43983</v>
      </c>
      <c r="C268" t="s">
        <v>25</v>
      </c>
      <c r="D268" s="19">
        <v>6</v>
      </c>
      <c r="E268">
        <v>140</v>
      </c>
      <c r="F268" t="s">
        <v>10</v>
      </c>
      <c r="G268" t="s">
        <v>13</v>
      </c>
      <c r="H268">
        <v>1</v>
      </c>
      <c r="I268" t="s">
        <v>27</v>
      </c>
    </row>
    <row r="269" spans="1:9" x14ac:dyDescent="0.2">
      <c r="A269" t="str">
        <f t="shared" si="0"/>
        <v>43983Haapiti6139AutresBords</v>
      </c>
      <c r="B269" s="1">
        <v>43983</v>
      </c>
      <c r="C269" t="s">
        <v>25</v>
      </c>
      <c r="D269" s="19">
        <v>6</v>
      </c>
      <c r="E269">
        <v>139</v>
      </c>
      <c r="F269" t="s">
        <v>14</v>
      </c>
      <c r="G269" t="s">
        <v>13</v>
      </c>
      <c r="H269">
        <v>2</v>
      </c>
      <c r="I269" t="s">
        <v>27</v>
      </c>
    </row>
    <row r="270" spans="1:9" x14ac:dyDescent="0.2">
      <c r="A270" t="str">
        <f t="shared" si="0"/>
        <v>43983Haapiti12142</v>
      </c>
      <c r="B270" s="1">
        <v>43983</v>
      </c>
      <c r="C270" t="s">
        <v>25</v>
      </c>
      <c r="D270" s="19">
        <v>12</v>
      </c>
      <c r="E270">
        <v>142</v>
      </c>
      <c r="F270" t="s">
        <v>27</v>
      </c>
      <c r="G270" t="s">
        <v>27</v>
      </c>
      <c r="H270" t="s">
        <v>27</v>
      </c>
      <c r="I270" t="s">
        <v>46</v>
      </c>
    </row>
    <row r="271" spans="1:9" x14ac:dyDescent="0.2">
      <c r="A271" t="str">
        <f t="shared" si="0"/>
        <v>43983Haapiti12143AutresDessous</v>
      </c>
      <c r="B271" s="1">
        <v>43983</v>
      </c>
      <c r="C271" t="s">
        <v>25</v>
      </c>
      <c r="D271" s="19">
        <v>12</v>
      </c>
      <c r="E271">
        <v>143</v>
      </c>
      <c r="F271" t="s">
        <v>14</v>
      </c>
      <c r="G271" t="s">
        <v>8</v>
      </c>
      <c r="H271">
        <v>1</v>
      </c>
      <c r="I271" t="s">
        <v>27</v>
      </c>
    </row>
    <row r="272" spans="1:9" x14ac:dyDescent="0.2">
      <c r="A272" t="str">
        <f t="shared" si="0"/>
        <v>43983Haapiti12143PocilloporidaeDessous</v>
      </c>
      <c r="B272" s="1">
        <v>43983</v>
      </c>
      <c r="C272" t="s">
        <v>25</v>
      </c>
      <c r="D272" s="19">
        <v>12</v>
      </c>
      <c r="E272">
        <v>143</v>
      </c>
      <c r="F272" t="s">
        <v>10</v>
      </c>
      <c r="G272" t="s">
        <v>8</v>
      </c>
      <c r="H272">
        <v>2</v>
      </c>
      <c r="I272" t="s">
        <v>27</v>
      </c>
    </row>
    <row r="273" spans="1:9" x14ac:dyDescent="0.2">
      <c r="A273" t="str">
        <f t="shared" si="0"/>
        <v>43983Haapiti12145AutresDessous</v>
      </c>
      <c r="B273" s="1">
        <v>43983</v>
      </c>
      <c r="C273" t="s">
        <v>25</v>
      </c>
      <c r="D273" s="19">
        <v>12</v>
      </c>
      <c r="E273">
        <v>145</v>
      </c>
      <c r="F273" t="s">
        <v>14</v>
      </c>
      <c r="G273" t="s">
        <v>8</v>
      </c>
      <c r="H273">
        <v>1</v>
      </c>
      <c r="I273" t="s">
        <v>27</v>
      </c>
    </row>
    <row r="274" spans="1:9" x14ac:dyDescent="0.2">
      <c r="A274" t="str">
        <f t="shared" si="0"/>
        <v>43983Haapiti12145AutresBords</v>
      </c>
      <c r="B274" s="1">
        <v>43983</v>
      </c>
      <c r="C274" t="s">
        <v>25</v>
      </c>
      <c r="D274" s="19">
        <v>12</v>
      </c>
      <c r="E274">
        <v>145</v>
      </c>
      <c r="F274" t="s">
        <v>14</v>
      </c>
      <c r="G274" t="s">
        <v>13</v>
      </c>
      <c r="H274">
        <v>1</v>
      </c>
      <c r="I274" t="s">
        <v>27</v>
      </c>
    </row>
    <row r="275" spans="1:9" x14ac:dyDescent="0.2">
      <c r="A275" t="str">
        <f t="shared" si="0"/>
        <v>43983Haapiti12146AutresDessous</v>
      </c>
      <c r="B275" s="1">
        <v>43983</v>
      </c>
      <c r="C275" t="s">
        <v>25</v>
      </c>
      <c r="D275" s="19">
        <v>12</v>
      </c>
      <c r="E275">
        <v>146</v>
      </c>
      <c r="F275" t="s">
        <v>14</v>
      </c>
      <c r="G275" t="s">
        <v>8</v>
      </c>
      <c r="H275">
        <v>1</v>
      </c>
      <c r="I275" t="s">
        <v>27</v>
      </c>
    </row>
    <row r="276" spans="1:9" x14ac:dyDescent="0.2">
      <c r="A276" t="str">
        <f t="shared" si="0"/>
        <v>43983Haapiti12146PocilloporidaeDessous</v>
      </c>
      <c r="B276" s="1">
        <v>43983</v>
      </c>
      <c r="C276" t="s">
        <v>25</v>
      </c>
      <c r="D276" s="19">
        <v>12</v>
      </c>
      <c r="E276">
        <v>146</v>
      </c>
      <c r="F276" t="s">
        <v>10</v>
      </c>
      <c r="G276" t="s">
        <v>8</v>
      </c>
      <c r="H276">
        <v>2</v>
      </c>
      <c r="I276" t="s">
        <v>27</v>
      </c>
    </row>
    <row r="277" spans="1:9" x14ac:dyDescent="0.2">
      <c r="A277" t="str">
        <f t="shared" si="0"/>
        <v>43983Haapiti12146PocilloporidaeBords</v>
      </c>
      <c r="B277" s="1">
        <v>43983</v>
      </c>
      <c r="C277" t="s">
        <v>25</v>
      </c>
      <c r="D277" s="19">
        <v>12</v>
      </c>
      <c r="E277">
        <v>146</v>
      </c>
      <c r="F277" t="s">
        <v>10</v>
      </c>
      <c r="G277" t="s">
        <v>13</v>
      </c>
      <c r="H277">
        <v>1</v>
      </c>
      <c r="I277" t="s">
        <v>27</v>
      </c>
    </row>
    <row r="278" spans="1:9" x14ac:dyDescent="0.2">
      <c r="A278" t="str">
        <f t="shared" si="0"/>
        <v>43983Haapiti12151AutresDessous</v>
      </c>
      <c r="B278" s="1">
        <v>43983</v>
      </c>
      <c r="C278" t="s">
        <v>25</v>
      </c>
      <c r="D278" s="19">
        <v>12</v>
      </c>
      <c r="E278">
        <v>151</v>
      </c>
      <c r="F278" t="s">
        <v>14</v>
      </c>
      <c r="G278" t="s">
        <v>8</v>
      </c>
      <c r="H278">
        <v>1</v>
      </c>
      <c r="I278" t="s">
        <v>27</v>
      </c>
    </row>
    <row r="279" spans="1:9" x14ac:dyDescent="0.2">
      <c r="A279" t="str">
        <f t="shared" si="0"/>
        <v>43983Haapiti12151PocilloporidaeDessous</v>
      </c>
      <c r="B279" s="1">
        <v>43983</v>
      </c>
      <c r="C279" t="s">
        <v>25</v>
      </c>
      <c r="D279" s="19">
        <v>12</v>
      </c>
      <c r="E279">
        <v>151</v>
      </c>
      <c r="F279" t="s">
        <v>10</v>
      </c>
      <c r="G279" t="s">
        <v>8</v>
      </c>
      <c r="H279">
        <v>1</v>
      </c>
      <c r="I279" t="s">
        <v>27</v>
      </c>
    </row>
    <row r="280" spans="1:9" x14ac:dyDescent="0.2">
      <c r="A280" t="str">
        <f t="shared" si="0"/>
        <v>43983Haapiti18152</v>
      </c>
      <c r="B280" s="1">
        <v>43983</v>
      </c>
      <c r="C280" t="s">
        <v>25</v>
      </c>
      <c r="D280" s="19">
        <v>18</v>
      </c>
      <c r="E280">
        <v>152</v>
      </c>
      <c r="F280" t="s">
        <v>27</v>
      </c>
      <c r="G280" t="s">
        <v>27</v>
      </c>
      <c r="H280" t="s">
        <v>27</v>
      </c>
      <c r="I280" t="s">
        <v>45</v>
      </c>
    </row>
    <row r="281" spans="1:9" x14ac:dyDescent="0.2">
      <c r="A281" t="str">
        <f t="shared" si="0"/>
        <v>43983Haapiti12153PocilloporidaeDessous</v>
      </c>
      <c r="B281" s="1">
        <v>43983</v>
      </c>
      <c r="C281" t="s">
        <v>25</v>
      </c>
      <c r="D281" s="19">
        <v>12</v>
      </c>
      <c r="E281">
        <v>153</v>
      </c>
      <c r="F281" t="s">
        <v>10</v>
      </c>
      <c r="G281" t="s">
        <v>8</v>
      </c>
      <c r="H281">
        <v>1</v>
      </c>
      <c r="I281" t="s">
        <v>27</v>
      </c>
    </row>
    <row r="282" spans="1:9" x14ac:dyDescent="0.2">
      <c r="A282" t="str">
        <f t="shared" si="0"/>
        <v>43983Haapiti12157AcroporidaeDessous</v>
      </c>
      <c r="B282" s="1">
        <v>43983</v>
      </c>
      <c r="C282" t="s">
        <v>25</v>
      </c>
      <c r="D282" s="19">
        <v>12</v>
      </c>
      <c r="E282">
        <v>157</v>
      </c>
      <c r="F282" t="s">
        <v>17</v>
      </c>
      <c r="G282" t="s">
        <v>8</v>
      </c>
      <c r="H282">
        <v>1</v>
      </c>
      <c r="I282" t="s">
        <v>27</v>
      </c>
    </row>
    <row r="283" spans="1:9" x14ac:dyDescent="0.2">
      <c r="A283" t="str">
        <f t="shared" si="0"/>
        <v>43983Haapiti12157AcroporidaeBords</v>
      </c>
      <c r="B283" s="1">
        <v>43983</v>
      </c>
      <c r="C283" t="s">
        <v>25</v>
      </c>
      <c r="D283" s="19">
        <v>12</v>
      </c>
      <c r="E283">
        <v>157</v>
      </c>
      <c r="F283" t="s">
        <v>17</v>
      </c>
      <c r="G283" t="s">
        <v>13</v>
      </c>
      <c r="H283">
        <v>1</v>
      </c>
      <c r="I283" t="s">
        <v>27</v>
      </c>
    </row>
    <row r="284" spans="1:9" x14ac:dyDescent="0.2">
      <c r="A284" t="str">
        <f t="shared" si="0"/>
        <v>43983Haapiti12157PocilloporidaeDessous</v>
      </c>
      <c r="B284" s="1">
        <v>43983</v>
      </c>
      <c r="C284" t="s">
        <v>25</v>
      </c>
      <c r="D284" s="19">
        <v>12</v>
      </c>
      <c r="E284">
        <v>157</v>
      </c>
      <c r="F284" t="s">
        <v>10</v>
      </c>
      <c r="G284" t="s">
        <v>8</v>
      </c>
      <c r="H284">
        <v>2</v>
      </c>
      <c r="I284" t="s">
        <v>27</v>
      </c>
    </row>
    <row r="285" spans="1:9" x14ac:dyDescent="0.2">
      <c r="A285" t="str">
        <f t="shared" si="0"/>
        <v>43983Haapiti12158AutresDessous</v>
      </c>
      <c r="B285" s="1">
        <v>43983</v>
      </c>
      <c r="C285" t="s">
        <v>25</v>
      </c>
      <c r="D285" s="19">
        <v>12</v>
      </c>
      <c r="E285">
        <v>158</v>
      </c>
      <c r="F285" t="s">
        <v>14</v>
      </c>
      <c r="G285" t="s">
        <v>8</v>
      </c>
      <c r="H285">
        <v>1</v>
      </c>
      <c r="I285" t="s">
        <v>27</v>
      </c>
    </row>
    <row r="286" spans="1:9" x14ac:dyDescent="0.2">
      <c r="A286" t="str">
        <f t="shared" si="0"/>
        <v>43983Haapiti12158PoritidaeDessous</v>
      </c>
      <c r="B286" s="1">
        <v>43983</v>
      </c>
      <c r="C286" t="s">
        <v>25</v>
      </c>
      <c r="D286" s="19">
        <v>12</v>
      </c>
      <c r="E286">
        <v>158</v>
      </c>
      <c r="F286" t="s">
        <v>7</v>
      </c>
      <c r="G286" t="s">
        <v>8</v>
      </c>
      <c r="H286">
        <v>4</v>
      </c>
      <c r="I286" t="s">
        <v>27</v>
      </c>
    </row>
    <row r="287" spans="1:9" x14ac:dyDescent="0.2">
      <c r="A287" t="str">
        <f t="shared" si="0"/>
        <v>43983Haapiti12158AcroporidaeDessous</v>
      </c>
      <c r="B287" s="1">
        <v>43983</v>
      </c>
      <c r="C287" t="s">
        <v>25</v>
      </c>
      <c r="D287" s="19">
        <v>12</v>
      </c>
      <c r="E287">
        <v>158</v>
      </c>
      <c r="F287" t="s">
        <v>17</v>
      </c>
      <c r="G287" t="s">
        <v>8</v>
      </c>
      <c r="H287">
        <v>1</v>
      </c>
      <c r="I287" t="s">
        <v>27</v>
      </c>
    </row>
    <row r="288" spans="1:9" x14ac:dyDescent="0.2">
      <c r="A288" t="str">
        <f t="shared" si="0"/>
        <v>43983Haapiti12154PocilloporidaeDessus</v>
      </c>
      <c r="B288" s="1">
        <v>43983</v>
      </c>
      <c r="C288" t="s">
        <v>25</v>
      </c>
      <c r="D288" s="19">
        <v>12</v>
      </c>
      <c r="E288">
        <v>154</v>
      </c>
      <c r="F288" t="s">
        <v>10</v>
      </c>
      <c r="G288" t="s">
        <v>11</v>
      </c>
      <c r="H288">
        <v>1</v>
      </c>
      <c r="I288" t="s">
        <v>27</v>
      </c>
    </row>
    <row r="289" spans="1:9" x14ac:dyDescent="0.2">
      <c r="A289" t="str">
        <f t="shared" si="0"/>
        <v>43983Haapiti12159AutresBords</v>
      </c>
      <c r="B289" s="1">
        <v>43983</v>
      </c>
      <c r="C289" t="s">
        <v>25</v>
      </c>
      <c r="D289" s="19">
        <v>12</v>
      </c>
      <c r="E289">
        <v>159</v>
      </c>
      <c r="F289" t="s">
        <v>14</v>
      </c>
      <c r="G289" t="s">
        <v>13</v>
      </c>
      <c r="H289">
        <v>2</v>
      </c>
      <c r="I289" t="s">
        <v>27</v>
      </c>
    </row>
    <row r="290" spans="1:9" x14ac:dyDescent="0.2">
      <c r="A290" t="str">
        <f t="shared" si="0"/>
        <v>43983Haapiti12159AcroporidaeDessous</v>
      </c>
      <c r="B290" s="1">
        <v>43983</v>
      </c>
      <c r="C290" t="s">
        <v>25</v>
      </c>
      <c r="D290" s="19">
        <v>12</v>
      </c>
      <c r="E290">
        <v>159</v>
      </c>
      <c r="F290" t="s">
        <v>17</v>
      </c>
      <c r="G290" t="s">
        <v>8</v>
      </c>
      <c r="H290">
        <v>2</v>
      </c>
      <c r="I290" t="s">
        <v>27</v>
      </c>
    </row>
    <row r="291" spans="1:9" x14ac:dyDescent="0.2">
      <c r="A291" t="str">
        <f t="shared" si="0"/>
        <v>43983Haapiti12159PocilloporidaeDessous</v>
      </c>
      <c r="B291" s="1">
        <v>43983</v>
      </c>
      <c r="C291" t="s">
        <v>25</v>
      </c>
      <c r="D291" s="19">
        <v>12</v>
      </c>
      <c r="E291">
        <v>159</v>
      </c>
      <c r="F291" t="s">
        <v>10</v>
      </c>
      <c r="G291" t="s">
        <v>8</v>
      </c>
      <c r="H291">
        <v>2</v>
      </c>
      <c r="I291" t="s">
        <v>27</v>
      </c>
    </row>
    <row r="292" spans="1:9" x14ac:dyDescent="0.2">
      <c r="A292" t="str">
        <f t="shared" si="0"/>
        <v>43983Haapiti18165AutresDessus</v>
      </c>
      <c r="B292" s="1">
        <v>43983</v>
      </c>
      <c r="C292" t="s">
        <v>25</v>
      </c>
      <c r="D292" s="19">
        <v>18</v>
      </c>
      <c r="E292">
        <v>165</v>
      </c>
      <c r="F292" t="s">
        <v>14</v>
      </c>
      <c r="G292" t="s">
        <v>11</v>
      </c>
      <c r="H292">
        <v>1</v>
      </c>
      <c r="I292" t="s">
        <v>27</v>
      </c>
    </row>
    <row r="293" spans="1:9" x14ac:dyDescent="0.2">
      <c r="A293" t="str">
        <f t="shared" si="0"/>
        <v>43983Haapiti18165AcroporidaeBords</v>
      </c>
      <c r="B293" s="1">
        <v>43983</v>
      </c>
      <c r="C293" t="s">
        <v>25</v>
      </c>
      <c r="D293" s="19">
        <v>18</v>
      </c>
      <c r="E293">
        <v>165</v>
      </c>
      <c r="F293" t="s">
        <v>17</v>
      </c>
      <c r="G293" t="s">
        <v>13</v>
      </c>
      <c r="H293">
        <v>2</v>
      </c>
      <c r="I293" t="s">
        <v>27</v>
      </c>
    </row>
    <row r="294" spans="1:9" x14ac:dyDescent="0.2">
      <c r="A294" t="str">
        <f t="shared" si="0"/>
        <v>43983Haapiti18165PocilloporidaeDessous</v>
      </c>
      <c r="B294" s="1">
        <v>43983</v>
      </c>
      <c r="C294" t="s">
        <v>25</v>
      </c>
      <c r="D294" s="19">
        <v>18</v>
      </c>
      <c r="E294">
        <v>165</v>
      </c>
      <c r="F294" t="s">
        <v>10</v>
      </c>
      <c r="G294" t="s">
        <v>8</v>
      </c>
      <c r="H294">
        <v>2</v>
      </c>
      <c r="I294" t="s">
        <v>27</v>
      </c>
    </row>
    <row r="295" spans="1:9" x14ac:dyDescent="0.2">
      <c r="A295" t="str">
        <f t="shared" si="0"/>
        <v>43709Tiahura1285</v>
      </c>
      <c r="B295" s="1">
        <v>43709</v>
      </c>
      <c r="C295" t="s">
        <v>24</v>
      </c>
      <c r="D295" s="19">
        <v>12</v>
      </c>
      <c r="E295">
        <v>85</v>
      </c>
      <c r="F295" t="s">
        <v>27</v>
      </c>
      <c r="G295" t="s">
        <v>27</v>
      </c>
      <c r="H295" t="s">
        <v>27</v>
      </c>
      <c r="I295" t="s">
        <v>30</v>
      </c>
    </row>
    <row r="296" spans="1:9" x14ac:dyDescent="0.2">
      <c r="A296" t="str">
        <f t="shared" si="0"/>
        <v>43709Tiahura1298</v>
      </c>
      <c r="B296" s="1">
        <v>43709</v>
      </c>
      <c r="C296" t="s">
        <v>24</v>
      </c>
      <c r="D296" s="19">
        <v>12</v>
      </c>
      <c r="E296">
        <v>98</v>
      </c>
      <c r="F296" t="s">
        <v>27</v>
      </c>
      <c r="G296" t="s">
        <v>27</v>
      </c>
      <c r="H296" t="s">
        <v>27</v>
      </c>
      <c r="I296" t="s">
        <v>30</v>
      </c>
    </row>
    <row r="297" spans="1:9" x14ac:dyDescent="0.2">
      <c r="A297" t="str">
        <f t="shared" si="0"/>
        <v>43709Vaipahu643PocilloporidaeDessus</v>
      </c>
      <c r="B297" s="1">
        <v>43709</v>
      </c>
      <c r="C297" t="s">
        <v>23</v>
      </c>
      <c r="D297" s="19">
        <v>6</v>
      </c>
      <c r="E297">
        <v>43</v>
      </c>
      <c r="F297" t="s">
        <v>10</v>
      </c>
      <c r="G297" t="s">
        <v>11</v>
      </c>
      <c r="H297">
        <v>1</v>
      </c>
      <c r="I297" t="s">
        <v>27</v>
      </c>
    </row>
    <row r="298" spans="1:9" x14ac:dyDescent="0.2">
      <c r="A298" t="str">
        <f t="shared" si="0"/>
        <v>43709Vaipahu645PocilloporidaeBords</v>
      </c>
      <c r="B298" s="1">
        <v>43709</v>
      </c>
      <c r="C298" t="s">
        <v>23</v>
      </c>
      <c r="D298" s="19">
        <v>6</v>
      </c>
      <c r="E298">
        <v>45</v>
      </c>
      <c r="F298" t="s">
        <v>10</v>
      </c>
      <c r="G298" t="s">
        <v>13</v>
      </c>
      <c r="H298">
        <v>1</v>
      </c>
      <c r="I298" t="s">
        <v>27</v>
      </c>
    </row>
    <row r="299" spans="1:9" x14ac:dyDescent="0.2">
      <c r="A299" t="str">
        <f t="shared" si="0"/>
        <v>43709Vaipahu646AcroporidaeDessus</v>
      </c>
      <c r="B299" s="1">
        <v>43709</v>
      </c>
      <c r="C299" t="s">
        <v>23</v>
      </c>
      <c r="D299" s="19">
        <v>6</v>
      </c>
      <c r="E299">
        <v>46</v>
      </c>
      <c r="F299" t="s">
        <v>17</v>
      </c>
      <c r="G299" t="s">
        <v>11</v>
      </c>
      <c r="H299">
        <v>1</v>
      </c>
      <c r="I299" t="s">
        <v>27</v>
      </c>
    </row>
    <row r="300" spans="1:9" x14ac:dyDescent="0.2">
      <c r="A300" t="str">
        <f t="shared" si="0"/>
        <v>43709Vaipahu648AutresBords</v>
      </c>
      <c r="B300" s="1">
        <v>43709</v>
      </c>
      <c r="C300" t="s">
        <v>23</v>
      </c>
      <c r="D300" s="19">
        <v>6</v>
      </c>
      <c r="E300">
        <v>48</v>
      </c>
      <c r="F300" t="s">
        <v>14</v>
      </c>
      <c r="G300" t="s">
        <v>13</v>
      </c>
      <c r="H300">
        <v>1</v>
      </c>
      <c r="I300" t="s">
        <v>27</v>
      </c>
    </row>
    <row r="301" spans="1:9" x14ac:dyDescent="0.2">
      <c r="A301" t="str">
        <f t="shared" si="0"/>
        <v>43709Vaipahu648PocilloporidaeDessous</v>
      </c>
      <c r="B301" s="1">
        <v>43709</v>
      </c>
      <c r="C301" t="s">
        <v>23</v>
      </c>
      <c r="D301" s="19">
        <v>6</v>
      </c>
      <c r="E301">
        <v>48</v>
      </c>
      <c r="F301" t="s">
        <v>10</v>
      </c>
      <c r="G301" t="s">
        <v>8</v>
      </c>
      <c r="H301">
        <v>2</v>
      </c>
      <c r="I301" t="s">
        <v>27</v>
      </c>
    </row>
    <row r="302" spans="1:9" x14ac:dyDescent="0.2">
      <c r="A302" t="str">
        <f t="shared" si="0"/>
        <v>43709Vaipahu649PocilloporidaeDessous</v>
      </c>
      <c r="B302" s="1">
        <v>43709</v>
      </c>
      <c r="C302" t="s">
        <v>23</v>
      </c>
      <c r="D302" s="19">
        <v>6</v>
      </c>
      <c r="E302">
        <v>49</v>
      </c>
      <c r="F302" t="s">
        <v>10</v>
      </c>
      <c r="G302" t="s">
        <v>8</v>
      </c>
      <c r="H302">
        <v>2</v>
      </c>
      <c r="I302" t="s">
        <v>27</v>
      </c>
    </row>
    <row r="303" spans="1:9" x14ac:dyDescent="0.2">
      <c r="A303" t="str">
        <f t="shared" si="0"/>
        <v>43709Vaipahu651PocilloporidaeDessus</v>
      </c>
      <c r="B303" s="1">
        <v>43709</v>
      </c>
      <c r="C303" t="s">
        <v>23</v>
      </c>
      <c r="D303" s="19">
        <v>6</v>
      </c>
      <c r="E303">
        <v>51</v>
      </c>
      <c r="F303" t="s">
        <v>10</v>
      </c>
      <c r="G303" t="s">
        <v>11</v>
      </c>
      <c r="H303">
        <v>1</v>
      </c>
      <c r="I303" t="s">
        <v>27</v>
      </c>
    </row>
    <row r="304" spans="1:9" x14ac:dyDescent="0.2">
      <c r="A304" t="str">
        <f t="shared" si="0"/>
        <v>43709Vaipahu656AutresBords</v>
      </c>
      <c r="B304" s="1">
        <v>43709</v>
      </c>
      <c r="C304" t="s">
        <v>23</v>
      </c>
      <c r="D304" s="19">
        <v>6</v>
      </c>
      <c r="E304">
        <v>56</v>
      </c>
      <c r="F304" t="s">
        <v>14</v>
      </c>
      <c r="G304" t="s">
        <v>13</v>
      </c>
      <c r="H304">
        <v>1</v>
      </c>
      <c r="I304" t="s">
        <v>27</v>
      </c>
    </row>
    <row r="305" spans="1:9" x14ac:dyDescent="0.2">
      <c r="A305" t="str">
        <f t="shared" si="0"/>
        <v>43709Tiahura18120AcroporidaeDessus</v>
      </c>
      <c r="B305" s="1">
        <v>43709</v>
      </c>
      <c r="C305" t="s">
        <v>24</v>
      </c>
      <c r="D305" s="19">
        <v>18</v>
      </c>
      <c r="E305">
        <v>120</v>
      </c>
      <c r="F305" t="s">
        <v>17</v>
      </c>
      <c r="G305" t="s">
        <v>11</v>
      </c>
      <c r="H305">
        <v>1</v>
      </c>
      <c r="I305" t="s">
        <v>27</v>
      </c>
    </row>
    <row r="306" spans="1:9" x14ac:dyDescent="0.2">
      <c r="A306" t="str">
        <f t="shared" si="0"/>
        <v>43709Tiahura18119AutresBords</v>
      </c>
      <c r="B306" s="1">
        <v>43709</v>
      </c>
      <c r="C306" t="s">
        <v>24</v>
      </c>
      <c r="D306" s="19">
        <v>18</v>
      </c>
      <c r="E306">
        <v>119</v>
      </c>
      <c r="F306" t="s">
        <v>14</v>
      </c>
      <c r="G306" t="s">
        <v>13</v>
      </c>
      <c r="H306">
        <v>1</v>
      </c>
      <c r="I306" t="s">
        <v>27</v>
      </c>
    </row>
    <row r="307" spans="1:9" x14ac:dyDescent="0.2">
      <c r="A307" t="str">
        <f t="shared" si="0"/>
        <v>43709Tiahura18119PocilloporidaeDessous</v>
      </c>
      <c r="B307" s="1">
        <v>43709</v>
      </c>
      <c r="C307" t="s">
        <v>24</v>
      </c>
      <c r="D307" s="19">
        <v>18</v>
      </c>
      <c r="E307">
        <v>119</v>
      </c>
      <c r="F307" t="s">
        <v>10</v>
      </c>
      <c r="G307" t="s">
        <v>8</v>
      </c>
      <c r="H307">
        <v>1</v>
      </c>
      <c r="I307" t="s">
        <v>27</v>
      </c>
    </row>
    <row r="308" spans="1:9" x14ac:dyDescent="0.2">
      <c r="A308" t="str">
        <f t="shared" si="0"/>
        <v>43709Tiahura18110AutresBords</v>
      </c>
      <c r="B308" s="1">
        <v>43709</v>
      </c>
      <c r="C308" t="s">
        <v>24</v>
      </c>
      <c r="D308" s="19">
        <v>18</v>
      </c>
      <c r="E308">
        <v>110</v>
      </c>
      <c r="F308" t="s">
        <v>14</v>
      </c>
      <c r="G308" t="s">
        <v>13</v>
      </c>
      <c r="H308">
        <v>1</v>
      </c>
      <c r="I308" t="s">
        <v>27</v>
      </c>
    </row>
    <row r="309" spans="1:9" x14ac:dyDescent="0.2">
      <c r="A309" t="str">
        <f t="shared" si="0"/>
        <v>43709Tiahura18109PocilloporidaeBords</v>
      </c>
      <c r="B309" s="1">
        <v>43709</v>
      </c>
      <c r="C309" t="s">
        <v>24</v>
      </c>
      <c r="D309" s="19">
        <v>18</v>
      </c>
      <c r="E309">
        <v>109</v>
      </c>
      <c r="F309" t="s">
        <v>10</v>
      </c>
      <c r="G309" t="s">
        <v>13</v>
      </c>
      <c r="H309">
        <v>1</v>
      </c>
      <c r="I309" t="s">
        <v>27</v>
      </c>
    </row>
    <row r="310" spans="1:9" x14ac:dyDescent="0.2">
      <c r="A310" t="str">
        <f t="shared" si="0"/>
        <v>43709Tiahura18106PocilloporidaeDessous</v>
      </c>
      <c r="B310" s="1">
        <v>43709</v>
      </c>
      <c r="C310" t="s">
        <v>24</v>
      </c>
      <c r="D310" s="19">
        <v>18</v>
      </c>
      <c r="E310">
        <v>106</v>
      </c>
      <c r="F310" t="s">
        <v>10</v>
      </c>
      <c r="G310" t="s">
        <v>8</v>
      </c>
      <c r="H310">
        <v>1</v>
      </c>
      <c r="I310" t="s">
        <v>27</v>
      </c>
    </row>
    <row r="311" spans="1:9" x14ac:dyDescent="0.2">
      <c r="A311" t="str">
        <f t="shared" si="0"/>
        <v>43709Tiahura18105AcroporidaeDessus</v>
      </c>
      <c r="B311" s="1">
        <v>43709</v>
      </c>
      <c r="C311" t="s">
        <v>24</v>
      </c>
      <c r="D311" s="19">
        <v>18</v>
      </c>
      <c r="E311">
        <v>105</v>
      </c>
      <c r="F311" t="s">
        <v>17</v>
      </c>
      <c r="G311" t="s">
        <v>11</v>
      </c>
      <c r="H311">
        <v>1</v>
      </c>
      <c r="I311" t="s">
        <v>27</v>
      </c>
    </row>
    <row r="312" spans="1:9" x14ac:dyDescent="0.2">
      <c r="A312" t="str">
        <f t="shared" si="0"/>
        <v>43709Tiahura18105PocilloporidaeDessous</v>
      </c>
      <c r="B312" s="1">
        <v>43709</v>
      </c>
      <c r="C312" t="s">
        <v>24</v>
      </c>
      <c r="D312" s="19">
        <v>18</v>
      </c>
      <c r="E312">
        <v>105</v>
      </c>
      <c r="F312" t="s">
        <v>10</v>
      </c>
      <c r="G312" t="s">
        <v>8</v>
      </c>
      <c r="H312">
        <v>1</v>
      </c>
      <c r="I312" t="s">
        <v>27</v>
      </c>
    </row>
    <row r="313" spans="1:9" x14ac:dyDescent="0.2">
      <c r="A313" t="str">
        <f t="shared" si="0"/>
        <v>43709Tiahura18105PocilloporidaeBords</v>
      </c>
      <c r="B313" s="1">
        <v>43709</v>
      </c>
      <c r="C313" t="s">
        <v>24</v>
      </c>
      <c r="D313" s="19">
        <v>18</v>
      </c>
      <c r="E313">
        <v>105</v>
      </c>
      <c r="F313" t="s">
        <v>10</v>
      </c>
      <c r="G313" t="s">
        <v>13</v>
      </c>
      <c r="H313">
        <v>1</v>
      </c>
      <c r="I313" t="s">
        <v>27</v>
      </c>
    </row>
    <row r="314" spans="1:9" x14ac:dyDescent="0.2">
      <c r="A314" t="str">
        <f t="shared" si="0"/>
        <v>43709Tiahura18103AcroporidaeDessous</v>
      </c>
      <c r="B314" s="1">
        <v>43709</v>
      </c>
      <c r="C314" t="s">
        <v>24</v>
      </c>
      <c r="D314" s="19">
        <v>18</v>
      </c>
      <c r="E314">
        <v>103</v>
      </c>
      <c r="F314" t="s">
        <v>17</v>
      </c>
      <c r="G314" t="s">
        <v>8</v>
      </c>
      <c r="H314">
        <v>1</v>
      </c>
      <c r="I314" t="s">
        <v>27</v>
      </c>
    </row>
    <row r="315" spans="1:9" x14ac:dyDescent="0.2">
      <c r="A315" t="str">
        <f t="shared" si="0"/>
        <v>43709Tiahura18103PocilloporidaeBords</v>
      </c>
      <c r="B315" s="1">
        <v>43709</v>
      </c>
      <c r="C315" t="s">
        <v>24</v>
      </c>
      <c r="D315" s="19">
        <v>18</v>
      </c>
      <c r="E315">
        <v>103</v>
      </c>
      <c r="F315" t="s">
        <v>10</v>
      </c>
      <c r="G315" t="s">
        <v>13</v>
      </c>
      <c r="H315">
        <v>1</v>
      </c>
      <c r="I315" t="s">
        <v>27</v>
      </c>
    </row>
    <row r="316" spans="1:9" x14ac:dyDescent="0.2">
      <c r="A316" t="str">
        <f t="shared" si="0"/>
        <v>43709Tiahura18101AcroporidaeDessus</v>
      </c>
      <c r="B316" s="1">
        <v>43709</v>
      </c>
      <c r="C316" t="s">
        <v>24</v>
      </c>
      <c r="D316" s="19">
        <v>18</v>
      </c>
      <c r="E316">
        <v>101</v>
      </c>
      <c r="F316" t="s">
        <v>17</v>
      </c>
      <c r="G316" t="s">
        <v>11</v>
      </c>
      <c r="H316">
        <v>1</v>
      </c>
      <c r="I316" t="s">
        <v>27</v>
      </c>
    </row>
    <row r="317" spans="1:9" x14ac:dyDescent="0.2">
      <c r="A317" t="str">
        <f t="shared" si="0"/>
        <v>43709Tiahura1297PocilloporidaeDessus</v>
      </c>
      <c r="B317" s="1">
        <v>43709</v>
      </c>
      <c r="C317" t="s">
        <v>24</v>
      </c>
      <c r="D317" s="19">
        <v>12</v>
      </c>
      <c r="E317">
        <v>97</v>
      </c>
      <c r="F317" t="s">
        <v>10</v>
      </c>
      <c r="G317" t="s">
        <v>11</v>
      </c>
      <c r="H317">
        <v>1</v>
      </c>
      <c r="I317" t="s">
        <v>27</v>
      </c>
    </row>
    <row r="318" spans="1:9" x14ac:dyDescent="0.2">
      <c r="A318" t="str">
        <f t="shared" si="0"/>
        <v>43709Tiahura1295AutresBords</v>
      </c>
      <c r="B318" s="1">
        <v>43709</v>
      </c>
      <c r="C318" t="s">
        <v>24</v>
      </c>
      <c r="D318" s="19">
        <v>12</v>
      </c>
      <c r="E318">
        <v>95</v>
      </c>
      <c r="F318" t="s">
        <v>14</v>
      </c>
      <c r="G318" t="s">
        <v>13</v>
      </c>
      <c r="H318">
        <v>1</v>
      </c>
      <c r="I318" t="s">
        <v>27</v>
      </c>
    </row>
    <row r="319" spans="1:9" x14ac:dyDescent="0.2">
      <c r="A319" t="str">
        <f t="shared" si="0"/>
        <v>43709Tiahura1295AcroporidaeDessus</v>
      </c>
      <c r="B319" s="1">
        <v>43709</v>
      </c>
      <c r="C319" t="s">
        <v>24</v>
      </c>
      <c r="D319" s="19">
        <v>12</v>
      </c>
      <c r="E319">
        <v>95</v>
      </c>
      <c r="F319" t="s">
        <v>17</v>
      </c>
      <c r="G319" t="s">
        <v>11</v>
      </c>
      <c r="H319">
        <v>1</v>
      </c>
      <c r="I319" t="s">
        <v>27</v>
      </c>
    </row>
    <row r="320" spans="1:9" x14ac:dyDescent="0.2">
      <c r="A320" t="str">
        <f t="shared" si="0"/>
        <v>43709Tiahura1292PocilloporidaeDessous</v>
      </c>
      <c r="B320" s="1">
        <v>43709</v>
      </c>
      <c r="C320" t="s">
        <v>24</v>
      </c>
      <c r="D320" s="19">
        <v>12</v>
      </c>
      <c r="E320">
        <v>92</v>
      </c>
      <c r="F320" t="s">
        <v>10</v>
      </c>
      <c r="G320" t="s">
        <v>8</v>
      </c>
      <c r="H320">
        <v>2</v>
      </c>
      <c r="I320" t="s">
        <v>27</v>
      </c>
    </row>
    <row r="321" spans="1:9" x14ac:dyDescent="0.2">
      <c r="A321" t="str">
        <f t="shared" si="0"/>
        <v>43709Tiahura1292PocilloporidaeBords</v>
      </c>
      <c r="B321" s="1">
        <v>43709</v>
      </c>
      <c r="C321" t="s">
        <v>24</v>
      </c>
      <c r="D321" s="19">
        <v>12</v>
      </c>
      <c r="E321">
        <v>92</v>
      </c>
      <c r="F321" t="s">
        <v>10</v>
      </c>
      <c r="G321" t="s">
        <v>13</v>
      </c>
      <c r="H321">
        <v>1</v>
      </c>
      <c r="I321" t="s">
        <v>27</v>
      </c>
    </row>
    <row r="322" spans="1:9" x14ac:dyDescent="0.2">
      <c r="A322" t="str">
        <f t="shared" si="0"/>
        <v>43709Tiahura1291AutresDessus</v>
      </c>
      <c r="B322" s="1">
        <v>43709</v>
      </c>
      <c r="C322" t="s">
        <v>24</v>
      </c>
      <c r="D322" s="19">
        <v>12</v>
      </c>
      <c r="E322">
        <v>91</v>
      </c>
      <c r="F322" t="s">
        <v>14</v>
      </c>
      <c r="G322" t="s">
        <v>11</v>
      </c>
      <c r="H322">
        <v>1</v>
      </c>
      <c r="I322" t="s">
        <v>27</v>
      </c>
    </row>
    <row r="323" spans="1:9" x14ac:dyDescent="0.2">
      <c r="A323" t="str">
        <f t="shared" si="0"/>
        <v>43709Tiahura1291PocilloporidaeBords</v>
      </c>
      <c r="B323" s="1">
        <v>43709</v>
      </c>
      <c r="C323" t="s">
        <v>24</v>
      </c>
      <c r="D323" s="19">
        <v>12</v>
      </c>
      <c r="E323">
        <v>91</v>
      </c>
      <c r="F323" t="s">
        <v>10</v>
      </c>
      <c r="G323" t="s">
        <v>13</v>
      </c>
      <c r="H323">
        <v>1</v>
      </c>
      <c r="I323" t="s">
        <v>27</v>
      </c>
    </row>
    <row r="324" spans="1:9" x14ac:dyDescent="0.2">
      <c r="A324" t="str">
        <f t="shared" si="0"/>
        <v>43709Tiahura1289PocilloporidaeDessous</v>
      </c>
      <c r="B324" s="1">
        <v>43709</v>
      </c>
      <c r="C324" t="s">
        <v>24</v>
      </c>
      <c r="D324" s="19">
        <v>12</v>
      </c>
      <c r="E324">
        <v>89</v>
      </c>
      <c r="F324" t="s">
        <v>10</v>
      </c>
      <c r="G324" t="s">
        <v>8</v>
      </c>
      <c r="H324">
        <v>1</v>
      </c>
      <c r="I324" t="s">
        <v>27</v>
      </c>
    </row>
    <row r="325" spans="1:9" x14ac:dyDescent="0.2">
      <c r="A325" t="str">
        <f t="shared" si="0"/>
        <v>43709Tiahura1289PocilloporidaeDessus</v>
      </c>
      <c r="B325" s="1">
        <v>43709</v>
      </c>
      <c r="C325" t="s">
        <v>24</v>
      </c>
      <c r="D325" s="19">
        <v>12</v>
      </c>
      <c r="E325">
        <v>89</v>
      </c>
      <c r="F325" t="s">
        <v>10</v>
      </c>
      <c r="G325" t="s">
        <v>11</v>
      </c>
      <c r="H325">
        <v>1</v>
      </c>
      <c r="I325" t="s">
        <v>27</v>
      </c>
    </row>
    <row r="326" spans="1:9" x14ac:dyDescent="0.2">
      <c r="A326" t="str">
        <f t="shared" si="0"/>
        <v>43709Tiahura1288AcroporidaeDessus</v>
      </c>
      <c r="B326" s="1">
        <v>43709</v>
      </c>
      <c r="C326" t="s">
        <v>24</v>
      </c>
      <c r="D326" s="19">
        <v>12</v>
      </c>
      <c r="E326">
        <v>88</v>
      </c>
      <c r="F326" t="s">
        <v>17</v>
      </c>
      <c r="G326" t="s">
        <v>11</v>
      </c>
      <c r="H326">
        <v>1</v>
      </c>
      <c r="I326" t="s">
        <v>27</v>
      </c>
    </row>
    <row r="327" spans="1:9" x14ac:dyDescent="0.2">
      <c r="A327" t="str">
        <f t="shared" si="0"/>
        <v>43709Tiahura1282</v>
      </c>
      <c r="B327" s="1">
        <v>43709</v>
      </c>
      <c r="C327" t="s">
        <v>24</v>
      </c>
      <c r="D327" s="19">
        <v>12</v>
      </c>
      <c r="E327">
        <v>82</v>
      </c>
      <c r="F327" t="s">
        <v>27</v>
      </c>
      <c r="G327" t="s">
        <v>27</v>
      </c>
      <c r="H327" t="s">
        <v>27</v>
      </c>
      <c r="I327" t="s">
        <v>42</v>
      </c>
    </row>
    <row r="328" spans="1:9" x14ac:dyDescent="0.2">
      <c r="A328" t="str">
        <f t="shared" si="0"/>
        <v>43709Vaipahu62PocilloporidaeDessous</v>
      </c>
      <c r="B328" s="1">
        <v>43709</v>
      </c>
      <c r="C328" t="s">
        <v>23</v>
      </c>
      <c r="D328" s="19">
        <v>6</v>
      </c>
      <c r="E328">
        <v>2</v>
      </c>
      <c r="F328" t="s">
        <v>10</v>
      </c>
      <c r="G328" t="s">
        <v>8</v>
      </c>
      <c r="H328">
        <v>1</v>
      </c>
      <c r="I328" t="s">
        <v>27</v>
      </c>
    </row>
    <row r="329" spans="1:9" x14ac:dyDescent="0.2">
      <c r="A329" t="str">
        <f t="shared" si="0"/>
        <v>43709Vaipahu62PocilloporidaeDessus</v>
      </c>
      <c r="B329" s="1">
        <v>43709</v>
      </c>
      <c r="C329" t="s">
        <v>23</v>
      </c>
      <c r="D329" s="19">
        <v>6</v>
      </c>
      <c r="E329">
        <v>2</v>
      </c>
      <c r="F329" t="s">
        <v>10</v>
      </c>
      <c r="G329" t="s">
        <v>11</v>
      </c>
      <c r="H329">
        <v>1</v>
      </c>
      <c r="I329" t="s">
        <v>27</v>
      </c>
    </row>
    <row r="330" spans="1:9" x14ac:dyDescent="0.2">
      <c r="A330" t="str">
        <f t="shared" si="0"/>
        <v>43709Vaipahu66PocilloporidaeDessous</v>
      </c>
      <c r="B330" s="1">
        <v>43709</v>
      </c>
      <c r="C330" t="s">
        <v>23</v>
      </c>
      <c r="D330" s="19">
        <v>6</v>
      </c>
      <c r="E330">
        <v>6</v>
      </c>
      <c r="F330" t="s">
        <v>10</v>
      </c>
      <c r="G330" t="s">
        <v>8</v>
      </c>
      <c r="H330">
        <v>1</v>
      </c>
      <c r="I330" t="s">
        <v>27</v>
      </c>
    </row>
    <row r="331" spans="1:9" x14ac:dyDescent="0.2">
      <c r="A331" t="str">
        <f t="shared" si="0"/>
        <v>43709Vaipahu612AutresBords</v>
      </c>
      <c r="B331" s="1">
        <v>43709</v>
      </c>
      <c r="C331" t="s">
        <v>23</v>
      </c>
      <c r="D331" s="19">
        <v>6</v>
      </c>
      <c r="E331">
        <v>12</v>
      </c>
      <c r="F331" t="s">
        <v>14</v>
      </c>
      <c r="G331" t="s">
        <v>13</v>
      </c>
      <c r="H331">
        <v>1</v>
      </c>
      <c r="I331" t="s">
        <v>27</v>
      </c>
    </row>
    <row r="332" spans="1:9" x14ac:dyDescent="0.2">
      <c r="A332" t="str">
        <f t="shared" si="0"/>
        <v>43709Vaipahu612PocilloporidaeDessous</v>
      </c>
      <c r="B332" s="1">
        <v>43709</v>
      </c>
      <c r="C332" t="s">
        <v>23</v>
      </c>
      <c r="D332" s="19">
        <v>6</v>
      </c>
      <c r="E332">
        <v>12</v>
      </c>
      <c r="F332" t="s">
        <v>10</v>
      </c>
      <c r="G332" t="s">
        <v>8</v>
      </c>
      <c r="H332">
        <v>1</v>
      </c>
      <c r="I332" t="s">
        <v>27</v>
      </c>
    </row>
    <row r="333" spans="1:9" x14ac:dyDescent="0.2">
      <c r="A333" t="str">
        <f t="shared" si="0"/>
        <v>43709Vaipahu612PocilloporidaeDessus</v>
      </c>
      <c r="B333" s="1">
        <v>43709</v>
      </c>
      <c r="C333" t="s">
        <v>23</v>
      </c>
      <c r="D333" s="19">
        <v>6</v>
      </c>
      <c r="E333">
        <v>12</v>
      </c>
      <c r="F333" t="s">
        <v>10</v>
      </c>
      <c r="G333" t="s">
        <v>11</v>
      </c>
      <c r="H333">
        <v>1</v>
      </c>
      <c r="I333" t="s">
        <v>27</v>
      </c>
    </row>
    <row r="334" spans="1:9" x14ac:dyDescent="0.2">
      <c r="A334" t="str">
        <f t="shared" si="0"/>
        <v>43709Vaipahu614PocilloporidaeDessous</v>
      </c>
      <c r="B334" s="1">
        <v>43709</v>
      </c>
      <c r="C334" t="s">
        <v>23</v>
      </c>
      <c r="D334" s="19">
        <v>6</v>
      </c>
      <c r="E334">
        <v>14</v>
      </c>
      <c r="F334" t="s">
        <v>10</v>
      </c>
      <c r="G334" t="s">
        <v>8</v>
      </c>
      <c r="H334">
        <v>1</v>
      </c>
      <c r="I334" t="s">
        <v>27</v>
      </c>
    </row>
    <row r="335" spans="1:9" x14ac:dyDescent="0.2">
      <c r="A335" t="str">
        <f t="shared" si="0"/>
        <v>43709Vaipahu614PocilloporidaeDessus</v>
      </c>
      <c r="B335" s="1">
        <v>43709</v>
      </c>
      <c r="C335" t="s">
        <v>23</v>
      </c>
      <c r="D335" s="19">
        <v>6</v>
      </c>
      <c r="E335">
        <v>14</v>
      </c>
      <c r="F335" t="s">
        <v>10</v>
      </c>
      <c r="G335" t="s">
        <v>11</v>
      </c>
      <c r="H335">
        <v>1</v>
      </c>
      <c r="I335" t="s">
        <v>27</v>
      </c>
    </row>
    <row r="336" spans="1:9" x14ac:dyDescent="0.2">
      <c r="A336" t="str">
        <f t="shared" si="0"/>
        <v>43709Vaipahu615PocilloporidaeDessous</v>
      </c>
      <c r="B336" s="1">
        <v>43709</v>
      </c>
      <c r="C336" t="s">
        <v>23</v>
      </c>
      <c r="D336" s="19">
        <v>6</v>
      </c>
      <c r="E336">
        <v>15</v>
      </c>
      <c r="F336" t="s">
        <v>10</v>
      </c>
      <c r="G336" t="s">
        <v>8</v>
      </c>
      <c r="H336">
        <v>1</v>
      </c>
      <c r="I336" t="s">
        <v>27</v>
      </c>
    </row>
    <row r="337" spans="1:9" x14ac:dyDescent="0.2">
      <c r="A337" t="str">
        <f t="shared" si="0"/>
        <v>43709Tiahura680</v>
      </c>
      <c r="B337" s="1">
        <v>43709</v>
      </c>
      <c r="C337" t="s">
        <v>24</v>
      </c>
      <c r="D337" s="19">
        <v>6</v>
      </c>
      <c r="E337">
        <v>80</v>
      </c>
      <c r="F337" t="s">
        <v>27</v>
      </c>
      <c r="G337" t="s">
        <v>27</v>
      </c>
      <c r="H337" t="s">
        <v>27</v>
      </c>
      <c r="I337" t="s">
        <v>42</v>
      </c>
    </row>
    <row r="338" spans="1:9" x14ac:dyDescent="0.2">
      <c r="A338" t="str">
        <f t="shared" si="0"/>
        <v>43709Tiahura679</v>
      </c>
      <c r="B338" s="1">
        <v>43709</v>
      </c>
      <c r="C338" t="s">
        <v>24</v>
      </c>
      <c r="D338" s="19">
        <v>6</v>
      </c>
      <c r="E338">
        <v>79</v>
      </c>
      <c r="F338" t="s">
        <v>27</v>
      </c>
      <c r="G338" t="s">
        <v>27</v>
      </c>
      <c r="H338" t="s">
        <v>27</v>
      </c>
      <c r="I338" t="s">
        <v>44</v>
      </c>
    </row>
    <row r="339" spans="1:9" x14ac:dyDescent="0.2">
      <c r="A339" t="str">
        <f t="shared" si="0"/>
        <v>43709Tiahura675</v>
      </c>
      <c r="B339" s="1">
        <v>43709</v>
      </c>
      <c r="C339" t="s">
        <v>24</v>
      </c>
      <c r="D339" s="19">
        <v>6</v>
      </c>
      <c r="E339">
        <v>75</v>
      </c>
      <c r="F339" t="s">
        <v>27</v>
      </c>
      <c r="G339" t="s">
        <v>27</v>
      </c>
      <c r="H339" t="s">
        <v>27</v>
      </c>
      <c r="I339" t="s">
        <v>42</v>
      </c>
    </row>
    <row r="340" spans="1:9" x14ac:dyDescent="0.2">
      <c r="A340" t="str">
        <f t="shared" si="0"/>
        <v>43709Tiahura667PocilloporidaeDessus</v>
      </c>
      <c r="B340" s="1">
        <v>43709</v>
      </c>
      <c r="C340" t="s">
        <v>24</v>
      </c>
      <c r="D340" s="19">
        <v>6</v>
      </c>
      <c r="E340">
        <v>67</v>
      </c>
      <c r="F340" t="s">
        <v>10</v>
      </c>
      <c r="G340" t="s">
        <v>11</v>
      </c>
      <c r="H340">
        <v>1</v>
      </c>
      <c r="I340" t="s">
        <v>27</v>
      </c>
    </row>
    <row r="341" spans="1:9" x14ac:dyDescent="0.2">
      <c r="A341" t="str">
        <f t="shared" si="0"/>
        <v>43709Tiahura664AcroporidaeDessus</v>
      </c>
      <c r="B341" s="1">
        <v>43709</v>
      </c>
      <c r="C341" t="s">
        <v>24</v>
      </c>
      <c r="D341" s="19">
        <v>6</v>
      </c>
      <c r="E341">
        <v>64</v>
      </c>
      <c r="F341" t="s">
        <v>17</v>
      </c>
      <c r="G341" t="s">
        <v>11</v>
      </c>
      <c r="H341">
        <v>1</v>
      </c>
      <c r="I341" t="s">
        <v>27</v>
      </c>
    </row>
    <row r="342" spans="1:9" x14ac:dyDescent="0.2">
      <c r="A342" t="str">
        <f t="shared" si="0"/>
        <v>43709Tiahura664PocilloporidaeDessous</v>
      </c>
      <c r="B342" s="1">
        <v>43709</v>
      </c>
      <c r="C342" t="s">
        <v>24</v>
      </c>
      <c r="D342" s="19">
        <v>6</v>
      </c>
      <c r="E342">
        <v>64</v>
      </c>
      <c r="F342" t="s">
        <v>10</v>
      </c>
      <c r="G342" t="s">
        <v>8</v>
      </c>
      <c r="H342">
        <v>2</v>
      </c>
      <c r="I342" t="s">
        <v>27</v>
      </c>
    </row>
    <row r="343" spans="1:9" x14ac:dyDescent="0.2">
      <c r="A343" t="str">
        <f t="shared" si="0"/>
        <v>43709Tiahura662AutresBords</v>
      </c>
      <c r="B343" s="1">
        <v>43709</v>
      </c>
      <c r="C343" t="s">
        <v>24</v>
      </c>
      <c r="D343" s="19">
        <v>6</v>
      </c>
      <c r="E343">
        <v>62</v>
      </c>
      <c r="F343" t="s">
        <v>14</v>
      </c>
      <c r="G343" t="s">
        <v>13</v>
      </c>
      <c r="H343">
        <v>1</v>
      </c>
      <c r="I343" t="s">
        <v>27</v>
      </c>
    </row>
    <row r="344" spans="1:9" x14ac:dyDescent="0.2">
      <c r="A344" t="str">
        <f t="shared" si="0"/>
        <v>43709Tiahura662PocilloporidaeDessous</v>
      </c>
      <c r="B344" s="1">
        <v>43709</v>
      </c>
      <c r="C344" t="s">
        <v>24</v>
      </c>
      <c r="D344" s="19">
        <v>6</v>
      </c>
      <c r="E344">
        <v>62</v>
      </c>
      <c r="F344" t="s">
        <v>10</v>
      </c>
      <c r="G344" t="s">
        <v>8</v>
      </c>
      <c r="H344">
        <v>1</v>
      </c>
      <c r="I344" t="s">
        <v>27</v>
      </c>
    </row>
    <row r="345" spans="1:9" x14ac:dyDescent="0.2">
      <c r="A345" t="str">
        <f t="shared" si="0"/>
        <v>43709Tiahura662PocilloporidaeDessus</v>
      </c>
      <c r="B345" s="1">
        <v>43709</v>
      </c>
      <c r="C345" t="s">
        <v>24</v>
      </c>
      <c r="D345" s="19">
        <v>6</v>
      </c>
      <c r="E345">
        <v>62</v>
      </c>
      <c r="F345" t="s">
        <v>10</v>
      </c>
      <c r="G345" t="s">
        <v>11</v>
      </c>
      <c r="H345">
        <v>1</v>
      </c>
      <c r="I345" t="s">
        <v>27</v>
      </c>
    </row>
    <row r="346" spans="1:9" x14ac:dyDescent="0.2">
      <c r="A346" t="str">
        <f t="shared" si="0"/>
        <v>43709Tiahura661PocilloporidaeDessous</v>
      </c>
      <c r="B346" s="1">
        <v>43709</v>
      </c>
      <c r="C346" t="s">
        <v>24</v>
      </c>
      <c r="D346" s="19">
        <v>6</v>
      </c>
      <c r="E346">
        <v>61</v>
      </c>
      <c r="F346" t="s">
        <v>10</v>
      </c>
      <c r="G346" t="s">
        <v>8</v>
      </c>
      <c r="H346">
        <v>1</v>
      </c>
      <c r="I346" t="s">
        <v>27</v>
      </c>
    </row>
    <row r="347" spans="1:9" x14ac:dyDescent="0.2">
      <c r="A347" t="str">
        <f t="shared" si="0"/>
        <v>43709Tiahura661PocilloporidaeDessus</v>
      </c>
      <c r="B347" s="1">
        <v>43709</v>
      </c>
      <c r="C347" t="s">
        <v>24</v>
      </c>
      <c r="D347" s="19">
        <v>6</v>
      </c>
      <c r="E347">
        <v>61</v>
      </c>
      <c r="F347" t="s">
        <v>10</v>
      </c>
      <c r="G347" t="s">
        <v>11</v>
      </c>
      <c r="H347">
        <v>1</v>
      </c>
      <c r="I347" t="s">
        <v>27</v>
      </c>
    </row>
    <row r="348" spans="1:9" x14ac:dyDescent="0.2">
      <c r="A348" t="str">
        <f t="shared" si="0"/>
        <v>43709Tiahura663AcroporidaeDessus</v>
      </c>
      <c r="B348" s="1">
        <v>43709</v>
      </c>
      <c r="C348" t="s">
        <v>24</v>
      </c>
      <c r="D348" s="19">
        <v>6</v>
      </c>
      <c r="E348">
        <v>63</v>
      </c>
      <c r="F348" t="s">
        <v>17</v>
      </c>
      <c r="G348" t="s">
        <v>11</v>
      </c>
      <c r="H348">
        <v>1</v>
      </c>
      <c r="I348" t="s">
        <v>27</v>
      </c>
    </row>
    <row r="349" spans="1:9" x14ac:dyDescent="0.2">
      <c r="A349" t="str">
        <f t="shared" si="0"/>
        <v>43709Tiahura663PocilloporidaeDessus</v>
      </c>
      <c r="B349" s="1">
        <v>43709</v>
      </c>
      <c r="C349" t="s">
        <v>24</v>
      </c>
      <c r="D349" s="19">
        <v>6</v>
      </c>
      <c r="E349">
        <v>63</v>
      </c>
      <c r="F349" t="s">
        <v>10</v>
      </c>
      <c r="G349" t="s">
        <v>11</v>
      </c>
      <c r="H349">
        <v>1</v>
      </c>
      <c r="I349" t="s">
        <v>27</v>
      </c>
    </row>
    <row r="350" spans="1:9" x14ac:dyDescent="0.2">
      <c r="A350" t="str">
        <f t="shared" si="0"/>
        <v>43709Tiahura669PocilloporidaeDessus</v>
      </c>
      <c r="B350" s="1">
        <v>43709</v>
      </c>
      <c r="C350" t="s">
        <v>24</v>
      </c>
      <c r="D350" s="19">
        <v>6</v>
      </c>
      <c r="E350">
        <v>69</v>
      </c>
      <c r="F350" t="s">
        <v>10</v>
      </c>
      <c r="G350" t="s">
        <v>11</v>
      </c>
      <c r="H350">
        <v>1</v>
      </c>
      <c r="I350" t="s">
        <v>27</v>
      </c>
    </row>
    <row r="351" spans="1:9" x14ac:dyDescent="0.2">
      <c r="A351" t="str">
        <f t="shared" si="0"/>
        <v>43709Tiahura676AutresDessous</v>
      </c>
      <c r="B351" s="1">
        <v>43709</v>
      </c>
      <c r="C351" t="s">
        <v>24</v>
      </c>
      <c r="D351" s="19">
        <v>6</v>
      </c>
      <c r="E351">
        <v>76</v>
      </c>
      <c r="F351" t="s">
        <v>14</v>
      </c>
      <c r="G351" t="s">
        <v>8</v>
      </c>
      <c r="H351">
        <v>1</v>
      </c>
      <c r="I351" t="s">
        <v>27</v>
      </c>
    </row>
    <row r="352" spans="1:9" x14ac:dyDescent="0.2">
      <c r="A352" t="str">
        <f t="shared" si="0"/>
        <v>43709Tiahura676PocilloporidaeBords</v>
      </c>
      <c r="B352" s="1">
        <v>43709</v>
      </c>
      <c r="C352" t="s">
        <v>24</v>
      </c>
      <c r="D352" s="19">
        <v>6</v>
      </c>
      <c r="E352">
        <v>76</v>
      </c>
      <c r="F352" t="s">
        <v>10</v>
      </c>
      <c r="G352" t="s">
        <v>13</v>
      </c>
      <c r="H352">
        <v>1</v>
      </c>
      <c r="I352" t="s">
        <v>27</v>
      </c>
    </row>
    <row r="353" spans="1:9" x14ac:dyDescent="0.2">
      <c r="A353" t="str">
        <f t="shared" si="0"/>
        <v>43709Tiahura676PocilloporidaeDessus</v>
      </c>
      <c r="B353" s="1">
        <v>43709</v>
      </c>
      <c r="C353" t="s">
        <v>24</v>
      </c>
      <c r="D353" s="19">
        <v>6</v>
      </c>
      <c r="E353">
        <v>76</v>
      </c>
      <c r="F353" t="s">
        <v>10</v>
      </c>
      <c r="G353" t="s">
        <v>11</v>
      </c>
      <c r="H353">
        <v>1</v>
      </c>
      <c r="I353" t="s">
        <v>27</v>
      </c>
    </row>
    <row r="354" spans="1:9" x14ac:dyDescent="0.2">
      <c r="A354" t="str">
        <f t="shared" si="0"/>
        <v>43709Tiahura668PocilloporidaeDessous</v>
      </c>
      <c r="B354" s="1">
        <v>43709</v>
      </c>
      <c r="C354" t="s">
        <v>24</v>
      </c>
      <c r="D354" s="19">
        <v>6</v>
      </c>
      <c r="E354">
        <v>68</v>
      </c>
      <c r="F354" t="s">
        <v>10</v>
      </c>
      <c r="G354" t="s">
        <v>8</v>
      </c>
      <c r="H354">
        <v>1</v>
      </c>
      <c r="I354" t="s">
        <v>27</v>
      </c>
    </row>
    <row r="355" spans="1:9" x14ac:dyDescent="0.2">
      <c r="A355" t="str">
        <f t="shared" si="0"/>
        <v>43709Tiahura668PocilloporidaeDessus</v>
      </c>
      <c r="B355" s="1">
        <v>43709</v>
      </c>
      <c r="C355" t="s">
        <v>24</v>
      </c>
      <c r="D355" s="19">
        <v>6</v>
      </c>
      <c r="E355">
        <v>68</v>
      </c>
      <c r="F355" t="s">
        <v>10</v>
      </c>
      <c r="G355" t="s">
        <v>11</v>
      </c>
      <c r="H355">
        <v>1</v>
      </c>
      <c r="I355" t="s">
        <v>27</v>
      </c>
    </row>
    <row r="356" spans="1:9" x14ac:dyDescent="0.2">
      <c r="A356" t="str">
        <f t="shared" si="0"/>
        <v>43709Tiahura665PocilloporidaeDessous</v>
      </c>
      <c r="B356" s="1">
        <v>43709</v>
      </c>
      <c r="C356" t="s">
        <v>24</v>
      </c>
      <c r="D356" s="19">
        <v>6</v>
      </c>
      <c r="E356">
        <v>65</v>
      </c>
      <c r="F356" t="s">
        <v>10</v>
      </c>
      <c r="G356" t="s">
        <v>8</v>
      </c>
      <c r="H356">
        <v>2</v>
      </c>
      <c r="I356" t="s">
        <v>27</v>
      </c>
    </row>
    <row r="357" spans="1:9" x14ac:dyDescent="0.2">
      <c r="A357" t="str">
        <f t="shared" si="0"/>
        <v>43709Tiahura671PocilloporidaeDessous</v>
      </c>
      <c r="B357" s="1">
        <v>43709</v>
      </c>
      <c r="C357" t="s">
        <v>24</v>
      </c>
      <c r="D357" s="19">
        <v>6</v>
      </c>
      <c r="E357">
        <v>71</v>
      </c>
      <c r="F357" t="s">
        <v>10</v>
      </c>
      <c r="G357" t="s">
        <v>8</v>
      </c>
      <c r="H357">
        <v>1</v>
      </c>
      <c r="I357" t="s">
        <v>27</v>
      </c>
    </row>
    <row r="358" spans="1:9" x14ac:dyDescent="0.2">
      <c r="A358" t="str">
        <f t="shared" si="0"/>
        <v>43709Tiahura671PocilloporidaeDessus</v>
      </c>
      <c r="B358" s="1">
        <v>43709</v>
      </c>
      <c r="C358" t="s">
        <v>24</v>
      </c>
      <c r="D358" s="19">
        <v>6</v>
      </c>
      <c r="E358">
        <v>71</v>
      </c>
      <c r="F358" t="s">
        <v>10</v>
      </c>
      <c r="G358" t="s">
        <v>11</v>
      </c>
      <c r="H358">
        <v>1</v>
      </c>
      <c r="I358" t="s">
        <v>27</v>
      </c>
    </row>
    <row r="359" spans="1:9" x14ac:dyDescent="0.2">
      <c r="A359" t="str">
        <f t="shared" si="0"/>
        <v>43709Tiahura670AcroporidaeDessus</v>
      </c>
      <c r="B359" s="1">
        <v>43709</v>
      </c>
      <c r="C359" t="s">
        <v>24</v>
      </c>
      <c r="D359" s="19">
        <v>6</v>
      </c>
      <c r="E359">
        <v>70</v>
      </c>
      <c r="F359" t="s">
        <v>17</v>
      </c>
      <c r="G359" t="s">
        <v>11</v>
      </c>
      <c r="H359">
        <v>1</v>
      </c>
      <c r="I359" t="s">
        <v>27</v>
      </c>
    </row>
    <row r="360" spans="1:9" x14ac:dyDescent="0.2">
      <c r="A360" t="str">
        <f t="shared" si="0"/>
        <v>43709Tiahura670PocilloporidaeDessous</v>
      </c>
      <c r="B360" s="1">
        <v>43709</v>
      </c>
      <c r="C360" t="s">
        <v>24</v>
      </c>
      <c r="D360" s="19">
        <v>6</v>
      </c>
      <c r="E360">
        <v>70</v>
      </c>
      <c r="F360" t="s">
        <v>10</v>
      </c>
      <c r="G360" t="s">
        <v>8</v>
      </c>
      <c r="H360">
        <v>1</v>
      </c>
      <c r="I360" t="s">
        <v>27</v>
      </c>
    </row>
    <row r="361" spans="1:9" x14ac:dyDescent="0.2">
      <c r="A361" t="str">
        <f t="shared" si="0"/>
        <v>43709Tiahura670PocilloporidaeBords</v>
      </c>
      <c r="B361" s="1">
        <v>43709</v>
      </c>
      <c r="C361" t="s">
        <v>24</v>
      </c>
      <c r="D361" s="19">
        <v>6</v>
      </c>
      <c r="E361">
        <v>70</v>
      </c>
      <c r="F361" t="s">
        <v>10</v>
      </c>
      <c r="G361" t="s">
        <v>13</v>
      </c>
      <c r="H361">
        <v>1</v>
      </c>
      <c r="I361" t="s">
        <v>27</v>
      </c>
    </row>
    <row r="362" spans="1:9" x14ac:dyDescent="0.2">
      <c r="A362" t="str">
        <f t="shared" si="0"/>
        <v>43709Tiahura676AutresBords</v>
      </c>
      <c r="B362" s="1">
        <v>43709</v>
      </c>
      <c r="C362" t="s">
        <v>24</v>
      </c>
      <c r="D362" s="19">
        <v>6</v>
      </c>
      <c r="E362">
        <v>76</v>
      </c>
      <c r="F362" t="s">
        <v>14</v>
      </c>
      <c r="G362" t="s">
        <v>13</v>
      </c>
      <c r="H362">
        <v>1</v>
      </c>
      <c r="I362" t="s">
        <v>27</v>
      </c>
    </row>
    <row r="363" spans="1:9" x14ac:dyDescent="0.2">
      <c r="A363" t="str">
        <f t="shared" si="0"/>
        <v>43709Tiahura676PocilloporidaeDessous</v>
      </c>
      <c r="B363" s="1">
        <v>43709</v>
      </c>
      <c r="C363" t="s">
        <v>24</v>
      </c>
      <c r="D363" s="19">
        <v>6</v>
      </c>
      <c r="E363">
        <v>76</v>
      </c>
      <c r="F363" t="s">
        <v>10</v>
      </c>
      <c r="G363" t="s">
        <v>8</v>
      </c>
      <c r="H363">
        <v>2</v>
      </c>
      <c r="I363" t="s">
        <v>27</v>
      </c>
    </row>
    <row r="364" spans="1:9" x14ac:dyDescent="0.2">
      <c r="A364" t="str">
        <f t="shared" si="0"/>
        <v>43709Tiahura676PocilloporidaeBords</v>
      </c>
      <c r="B364" s="1">
        <v>43709</v>
      </c>
      <c r="C364" t="s">
        <v>24</v>
      </c>
      <c r="D364" s="19">
        <v>6</v>
      </c>
      <c r="E364">
        <v>76</v>
      </c>
      <c r="F364" t="s">
        <v>10</v>
      </c>
      <c r="G364" t="s">
        <v>13</v>
      </c>
      <c r="H364">
        <v>1</v>
      </c>
      <c r="I364" t="s">
        <v>27</v>
      </c>
    </row>
    <row r="365" spans="1:9" x14ac:dyDescent="0.2">
      <c r="A365" t="str">
        <f t="shared" si="0"/>
        <v>43709Tiahura673PocilloporidaeDessous</v>
      </c>
      <c r="B365" s="1">
        <v>43709</v>
      </c>
      <c r="C365" t="s">
        <v>24</v>
      </c>
      <c r="D365" s="19">
        <v>6</v>
      </c>
      <c r="E365">
        <v>73</v>
      </c>
      <c r="F365" t="s">
        <v>10</v>
      </c>
      <c r="G365" t="s">
        <v>8</v>
      </c>
      <c r="H365">
        <v>1</v>
      </c>
      <c r="I365" t="s">
        <v>27</v>
      </c>
    </row>
    <row r="366" spans="1:9" x14ac:dyDescent="0.2">
      <c r="A366" t="str">
        <f t="shared" si="0"/>
        <v>43709Tiahura673PocilloporidaeBords</v>
      </c>
      <c r="B366" s="1">
        <v>43709</v>
      </c>
      <c r="C366" t="s">
        <v>24</v>
      </c>
      <c r="D366" s="19">
        <v>6</v>
      </c>
      <c r="E366">
        <v>73</v>
      </c>
      <c r="F366" t="s">
        <v>10</v>
      </c>
      <c r="G366" t="s">
        <v>13</v>
      </c>
      <c r="H366">
        <v>2</v>
      </c>
      <c r="I366" t="s">
        <v>27</v>
      </c>
    </row>
    <row r="367" spans="1:9" x14ac:dyDescent="0.2">
      <c r="A367" t="str">
        <f t="shared" si="0"/>
        <v>43709Tiahura674PocilloporidaeDessous</v>
      </c>
      <c r="B367" s="1">
        <v>43709</v>
      </c>
      <c r="C367" t="s">
        <v>24</v>
      </c>
      <c r="D367" s="19">
        <v>6</v>
      </c>
      <c r="E367">
        <v>74</v>
      </c>
      <c r="F367" t="s">
        <v>10</v>
      </c>
      <c r="G367" t="s">
        <v>8</v>
      </c>
      <c r="H367">
        <v>1</v>
      </c>
      <c r="I367" t="s">
        <v>27</v>
      </c>
    </row>
    <row r="368" spans="1:9" x14ac:dyDescent="0.2">
      <c r="A368" t="str">
        <f t="shared" si="0"/>
        <v>43709Tiahura674PocilloporidaeBords</v>
      </c>
      <c r="B368" s="1">
        <v>43709</v>
      </c>
      <c r="C368" t="s">
        <v>24</v>
      </c>
      <c r="D368" s="19">
        <v>6</v>
      </c>
      <c r="E368">
        <v>74</v>
      </c>
      <c r="F368" t="s">
        <v>10</v>
      </c>
      <c r="G368" t="s">
        <v>13</v>
      </c>
      <c r="H368">
        <v>2</v>
      </c>
      <c r="I368" t="s">
        <v>27</v>
      </c>
    </row>
    <row r="369" spans="1:9" x14ac:dyDescent="0.2">
      <c r="A369" t="str">
        <f t="shared" si="0"/>
        <v>43709Tiahura674PocilloporidaeDessus</v>
      </c>
      <c r="B369" s="1">
        <v>43709</v>
      </c>
      <c r="C369" t="s">
        <v>24</v>
      </c>
      <c r="D369" s="19">
        <v>6</v>
      </c>
      <c r="E369">
        <v>74</v>
      </c>
      <c r="F369" t="s">
        <v>10</v>
      </c>
      <c r="G369" t="s">
        <v>11</v>
      </c>
      <c r="H369">
        <v>2</v>
      </c>
      <c r="I369" t="s">
        <v>27</v>
      </c>
    </row>
    <row r="370" spans="1:9" x14ac:dyDescent="0.2">
      <c r="A370" t="str">
        <f t="shared" si="0"/>
        <v>43709Vaipahu1240PocilloporidaeBords</v>
      </c>
      <c r="B370" s="1">
        <v>43709</v>
      </c>
      <c r="C370" t="s">
        <v>23</v>
      </c>
      <c r="D370" s="19">
        <v>12</v>
      </c>
      <c r="E370">
        <v>40</v>
      </c>
      <c r="F370" t="s">
        <v>10</v>
      </c>
      <c r="G370" t="s">
        <v>13</v>
      </c>
      <c r="H370">
        <v>1</v>
      </c>
      <c r="I370" t="s">
        <v>27</v>
      </c>
    </row>
    <row r="371" spans="1:9" x14ac:dyDescent="0.2">
      <c r="A371" t="str">
        <f t="shared" si="0"/>
        <v>43709Vaipahu1227AcroporidaeDessous</v>
      </c>
      <c r="B371" s="1">
        <v>43709</v>
      </c>
      <c r="C371" t="s">
        <v>23</v>
      </c>
      <c r="D371" s="19">
        <v>12</v>
      </c>
      <c r="E371">
        <v>27</v>
      </c>
      <c r="F371" t="s">
        <v>17</v>
      </c>
      <c r="G371" t="s">
        <v>8</v>
      </c>
      <c r="H371">
        <v>1</v>
      </c>
      <c r="I371" t="s">
        <v>27</v>
      </c>
    </row>
    <row r="372" spans="1:9" x14ac:dyDescent="0.2">
      <c r="A372" t="str">
        <f t="shared" si="0"/>
        <v>43709Vaipahu1224PocilloporidaeBords</v>
      </c>
      <c r="B372" s="1">
        <v>43709</v>
      </c>
      <c r="C372" t="s">
        <v>23</v>
      </c>
      <c r="D372" s="19">
        <v>12</v>
      </c>
      <c r="E372">
        <v>24</v>
      </c>
      <c r="F372" t="s">
        <v>10</v>
      </c>
      <c r="G372" t="s">
        <v>13</v>
      </c>
      <c r="H372">
        <v>1</v>
      </c>
      <c r="I372" t="s">
        <v>27</v>
      </c>
    </row>
    <row r="373" spans="1:9" x14ac:dyDescent="0.2">
      <c r="A373" t="str">
        <f t="shared" si="0"/>
        <v>43709Vaipahu620PocilloporidaeDessus</v>
      </c>
      <c r="B373" s="1">
        <v>43709</v>
      </c>
      <c r="C373" t="s">
        <v>23</v>
      </c>
      <c r="D373" s="19">
        <v>6</v>
      </c>
      <c r="E373">
        <v>20</v>
      </c>
      <c r="F373" t="s">
        <v>10</v>
      </c>
      <c r="G373" t="s">
        <v>11</v>
      </c>
      <c r="H373">
        <v>1</v>
      </c>
      <c r="I373" t="s">
        <v>27</v>
      </c>
    </row>
    <row r="374" spans="1:9" x14ac:dyDescent="0.2">
      <c r="A374" t="str">
        <f t="shared" si="0"/>
        <v>43709Vaipahu618PocilloporidaeDessus</v>
      </c>
      <c r="B374" s="1">
        <v>43709</v>
      </c>
      <c r="C374" t="s">
        <v>23</v>
      </c>
      <c r="D374" s="19">
        <v>6</v>
      </c>
      <c r="E374">
        <v>18</v>
      </c>
      <c r="F374" t="s">
        <v>10</v>
      </c>
      <c r="G374" t="s">
        <v>11</v>
      </c>
      <c r="H374">
        <v>1</v>
      </c>
      <c r="I374" t="s">
        <v>27</v>
      </c>
    </row>
    <row r="375" spans="1:9" x14ac:dyDescent="0.2">
      <c r="A375" t="str">
        <f t="shared" si="0"/>
        <v>43709Vaipahu617AutresBords</v>
      </c>
      <c r="B375" s="1">
        <v>43709</v>
      </c>
      <c r="C375" t="s">
        <v>23</v>
      </c>
      <c r="D375" s="19">
        <v>6</v>
      </c>
      <c r="E375">
        <v>17</v>
      </c>
      <c r="F375" t="s">
        <v>14</v>
      </c>
      <c r="G375" t="s">
        <v>13</v>
      </c>
      <c r="H375">
        <v>1</v>
      </c>
      <c r="I375" t="s">
        <v>27</v>
      </c>
    </row>
    <row r="376" spans="1:9" x14ac:dyDescent="0.2">
      <c r="A376" t="str">
        <f t="shared" si="0"/>
        <v>43709Vaipahu617PocilloporidaeDessous</v>
      </c>
      <c r="B376" s="1">
        <v>43709</v>
      </c>
      <c r="C376" t="s">
        <v>23</v>
      </c>
      <c r="D376" s="19">
        <v>6</v>
      </c>
      <c r="E376">
        <v>17</v>
      </c>
      <c r="F376" t="s">
        <v>10</v>
      </c>
      <c r="G376" t="s">
        <v>8</v>
      </c>
      <c r="H376">
        <v>1</v>
      </c>
      <c r="I376" t="s">
        <v>27</v>
      </c>
    </row>
    <row r="377" spans="1:9" x14ac:dyDescent="0.2">
      <c r="A377" t="str">
        <f t="shared" si="0"/>
        <v>43709Vaipahu616</v>
      </c>
      <c r="B377" s="1">
        <v>43709</v>
      </c>
      <c r="C377" t="s">
        <v>23</v>
      </c>
      <c r="D377" s="19">
        <v>6</v>
      </c>
      <c r="E377">
        <v>16</v>
      </c>
      <c r="F377" t="s">
        <v>27</v>
      </c>
      <c r="G377" t="s">
        <v>27</v>
      </c>
      <c r="H377" t="s">
        <v>27</v>
      </c>
      <c r="I377" t="s">
        <v>43</v>
      </c>
    </row>
    <row r="378" spans="1:9" x14ac:dyDescent="0.2">
      <c r="A378" t="str">
        <f t="shared" si="0"/>
        <v>43709Haapiti18164AutresBords</v>
      </c>
      <c r="B378" s="1">
        <v>43709</v>
      </c>
      <c r="C378" t="s">
        <v>25</v>
      </c>
      <c r="D378" s="19">
        <v>18</v>
      </c>
      <c r="E378">
        <v>164</v>
      </c>
      <c r="F378" t="s">
        <v>14</v>
      </c>
      <c r="G378" t="s">
        <v>13</v>
      </c>
      <c r="H378">
        <v>1</v>
      </c>
      <c r="I378" t="s">
        <v>27</v>
      </c>
    </row>
    <row r="379" spans="1:9" x14ac:dyDescent="0.2">
      <c r="A379" t="str">
        <f t="shared" si="0"/>
        <v>43709Haapiti18169PocilloporidaeDessous</v>
      </c>
      <c r="B379" s="1">
        <v>43709</v>
      </c>
      <c r="C379" t="s">
        <v>25</v>
      </c>
      <c r="D379" s="19">
        <v>18</v>
      </c>
      <c r="E379">
        <v>169</v>
      </c>
      <c r="F379" t="s">
        <v>10</v>
      </c>
      <c r="G379" t="s">
        <v>8</v>
      </c>
      <c r="H379">
        <v>3</v>
      </c>
      <c r="I379" t="s">
        <v>27</v>
      </c>
    </row>
    <row r="380" spans="1:9" x14ac:dyDescent="0.2">
      <c r="A380" t="str">
        <f t="shared" si="0"/>
        <v>43709Haapiti18169PocilloporidaeBords</v>
      </c>
      <c r="B380" s="1">
        <v>43709</v>
      </c>
      <c r="C380" t="s">
        <v>25</v>
      </c>
      <c r="D380" s="19">
        <v>18</v>
      </c>
      <c r="E380">
        <v>169</v>
      </c>
      <c r="F380" t="s">
        <v>10</v>
      </c>
      <c r="G380" t="s">
        <v>13</v>
      </c>
      <c r="H380">
        <v>1</v>
      </c>
      <c r="I380" t="s">
        <v>27</v>
      </c>
    </row>
    <row r="381" spans="1:9" x14ac:dyDescent="0.2">
      <c r="A381" t="str">
        <f t="shared" si="0"/>
        <v>43709Haapiti18171</v>
      </c>
      <c r="B381" s="1">
        <v>43709</v>
      </c>
      <c r="C381" t="s">
        <v>25</v>
      </c>
      <c r="D381" s="19">
        <v>18</v>
      </c>
      <c r="E381">
        <v>171</v>
      </c>
      <c r="F381" t="s">
        <v>27</v>
      </c>
      <c r="G381" t="s">
        <v>27</v>
      </c>
      <c r="H381" t="s">
        <v>27</v>
      </c>
      <c r="I381" t="s">
        <v>42</v>
      </c>
    </row>
    <row r="382" spans="1:9" x14ac:dyDescent="0.2">
      <c r="A382" t="str">
        <f t="shared" si="0"/>
        <v>43709Haapiti18173AcroporidaeBords</v>
      </c>
      <c r="B382" s="1">
        <v>43709</v>
      </c>
      <c r="C382" t="s">
        <v>25</v>
      </c>
      <c r="D382" s="19">
        <v>18</v>
      </c>
      <c r="E382">
        <v>173</v>
      </c>
      <c r="F382" t="s">
        <v>17</v>
      </c>
      <c r="G382" t="s">
        <v>13</v>
      </c>
      <c r="H382">
        <v>1</v>
      </c>
      <c r="I382" t="s">
        <v>27</v>
      </c>
    </row>
    <row r="383" spans="1:9" x14ac:dyDescent="0.2">
      <c r="A383" t="str">
        <f t="shared" si="0"/>
        <v>43709Haapiti18177PocilloporidaeBords</v>
      </c>
      <c r="B383" s="1">
        <v>43709</v>
      </c>
      <c r="C383" t="s">
        <v>25</v>
      </c>
      <c r="D383" s="19">
        <v>18</v>
      </c>
      <c r="E383">
        <v>177</v>
      </c>
      <c r="F383" t="s">
        <v>10</v>
      </c>
      <c r="G383" t="s">
        <v>13</v>
      </c>
      <c r="H383">
        <v>1</v>
      </c>
      <c r="I383" t="s">
        <v>27</v>
      </c>
    </row>
    <row r="384" spans="1:9" x14ac:dyDescent="0.2">
      <c r="A384" t="str">
        <f t="shared" si="0"/>
        <v>43709Haapiti6123AcroporidaeDessous</v>
      </c>
      <c r="B384" s="1">
        <v>43709</v>
      </c>
      <c r="C384" t="s">
        <v>25</v>
      </c>
      <c r="D384" s="19">
        <v>6</v>
      </c>
      <c r="E384">
        <v>123</v>
      </c>
      <c r="F384" t="s">
        <v>17</v>
      </c>
      <c r="G384" t="s">
        <v>8</v>
      </c>
      <c r="H384">
        <v>1</v>
      </c>
      <c r="I384" t="s">
        <v>27</v>
      </c>
    </row>
    <row r="385" spans="1:9" x14ac:dyDescent="0.2">
      <c r="A385" t="str">
        <f t="shared" si="0"/>
        <v>43709Haapiti6123PocilloporidaeDessous</v>
      </c>
      <c r="B385" s="1">
        <v>43709</v>
      </c>
      <c r="C385" t="s">
        <v>25</v>
      </c>
      <c r="D385" s="19">
        <v>6</v>
      </c>
      <c r="E385">
        <v>123</v>
      </c>
      <c r="F385" t="s">
        <v>10</v>
      </c>
      <c r="G385" t="s">
        <v>8</v>
      </c>
      <c r="H385">
        <v>1</v>
      </c>
      <c r="I385" t="s">
        <v>27</v>
      </c>
    </row>
    <row r="386" spans="1:9" x14ac:dyDescent="0.2">
      <c r="A386" t="str">
        <f t="shared" si="0"/>
        <v>43709Haapiti6131PocilloporidaeDessus</v>
      </c>
      <c r="B386" s="1">
        <v>43709</v>
      </c>
      <c r="C386" t="s">
        <v>25</v>
      </c>
      <c r="D386" s="19">
        <v>6</v>
      </c>
      <c r="E386">
        <v>131</v>
      </c>
      <c r="F386" t="s">
        <v>10</v>
      </c>
      <c r="G386" t="s">
        <v>11</v>
      </c>
      <c r="H386">
        <v>1</v>
      </c>
      <c r="I386" t="s">
        <v>27</v>
      </c>
    </row>
    <row r="387" spans="1:9" x14ac:dyDescent="0.2">
      <c r="A387" t="str">
        <f t="shared" si="0"/>
        <v>43709Haapiti6132AutresDessous</v>
      </c>
      <c r="B387" s="1">
        <v>43709</v>
      </c>
      <c r="C387" t="s">
        <v>25</v>
      </c>
      <c r="D387" s="19">
        <v>6</v>
      </c>
      <c r="E387">
        <v>132</v>
      </c>
      <c r="F387" t="s">
        <v>14</v>
      </c>
      <c r="G387" t="s">
        <v>8</v>
      </c>
      <c r="H387">
        <v>1</v>
      </c>
      <c r="I387" t="s">
        <v>27</v>
      </c>
    </row>
    <row r="388" spans="1:9" x14ac:dyDescent="0.2">
      <c r="A388" t="str">
        <f t="shared" si="0"/>
        <v>43709Haapiti12140PocilloporidaeDessous</v>
      </c>
      <c r="B388" s="1">
        <v>43709</v>
      </c>
      <c r="C388" t="s">
        <v>25</v>
      </c>
      <c r="D388" s="19">
        <v>12</v>
      </c>
      <c r="E388">
        <v>140</v>
      </c>
      <c r="F388" t="s">
        <v>10</v>
      </c>
      <c r="G388" t="s">
        <v>8</v>
      </c>
      <c r="H388">
        <v>3</v>
      </c>
      <c r="I388" t="s">
        <v>27</v>
      </c>
    </row>
    <row r="389" spans="1:9" x14ac:dyDescent="0.2">
      <c r="A389" t="str">
        <f t="shared" si="0"/>
        <v>43709Haapiti12140PocilloporidaeBords</v>
      </c>
      <c r="B389" s="1">
        <v>43709</v>
      </c>
      <c r="C389" t="s">
        <v>25</v>
      </c>
      <c r="D389" s="19">
        <v>12</v>
      </c>
      <c r="E389">
        <v>140</v>
      </c>
      <c r="F389" t="s">
        <v>10</v>
      </c>
      <c r="G389" t="s">
        <v>13</v>
      </c>
      <c r="H389">
        <v>2</v>
      </c>
      <c r="I389" t="s">
        <v>27</v>
      </c>
    </row>
    <row r="390" spans="1:9" x14ac:dyDescent="0.2">
      <c r="A390" t="str">
        <f t="shared" si="0"/>
        <v>43709Haapiti12140PocilloporidaeDessus</v>
      </c>
      <c r="B390" s="1">
        <v>43709</v>
      </c>
      <c r="C390" t="s">
        <v>25</v>
      </c>
      <c r="D390" s="19">
        <v>12</v>
      </c>
      <c r="E390">
        <v>140</v>
      </c>
      <c r="F390" t="s">
        <v>10</v>
      </c>
      <c r="G390" t="s">
        <v>11</v>
      </c>
      <c r="H390">
        <v>1</v>
      </c>
      <c r="I390" t="s">
        <v>27</v>
      </c>
    </row>
    <row r="391" spans="1:9" x14ac:dyDescent="0.2">
      <c r="A391" t="str">
        <f t="shared" si="0"/>
        <v>43709Haapiti18165AutresBords</v>
      </c>
      <c r="B391" s="1">
        <v>43709</v>
      </c>
      <c r="C391" t="s">
        <v>25</v>
      </c>
      <c r="D391" s="19">
        <v>18</v>
      </c>
      <c r="E391">
        <v>165</v>
      </c>
      <c r="F391" t="s">
        <v>14</v>
      </c>
      <c r="G391" t="s">
        <v>13</v>
      </c>
      <c r="H391">
        <v>1</v>
      </c>
      <c r="I391" t="s">
        <v>27</v>
      </c>
    </row>
    <row r="392" spans="1:9" x14ac:dyDescent="0.2">
      <c r="A392" t="str">
        <f t="shared" si="0"/>
        <v>43709Haapiti18165PocilloporidaeDessous</v>
      </c>
      <c r="B392" s="1">
        <v>43709</v>
      </c>
      <c r="C392" t="s">
        <v>25</v>
      </c>
      <c r="D392" s="19">
        <v>18</v>
      </c>
      <c r="E392">
        <v>165</v>
      </c>
      <c r="F392" t="s">
        <v>10</v>
      </c>
      <c r="G392" t="s">
        <v>8</v>
      </c>
      <c r="H392">
        <v>2</v>
      </c>
      <c r="I392" t="s">
        <v>27</v>
      </c>
    </row>
    <row r="393" spans="1:9" x14ac:dyDescent="0.2">
      <c r="A393" t="str">
        <f t="shared" si="0"/>
        <v>43709Haapiti12159AcroporidaeDessous</v>
      </c>
      <c r="B393" s="1">
        <v>43709</v>
      </c>
      <c r="C393" t="s">
        <v>25</v>
      </c>
      <c r="D393" s="19">
        <v>12</v>
      </c>
      <c r="E393">
        <v>159</v>
      </c>
      <c r="F393" t="s">
        <v>17</v>
      </c>
      <c r="G393" t="s">
        <v>8</v>
      </c>
      <c r="H393">
        <v>2</v>
      </c>
      <c r="I393" t="s">
        <v>27</v>
      </c>
    </row>
    <row r="394" spans="1:9" x14ac:dyDescent="0.2">
      <c r="A394" t="str">
        <f t="shared" si="0"/>
        <v>43709Haapiti12159PocilloporidaeBords</v>
      </c>
      <c r="B394" s="1">
        <v>43709</v>
      </c>
      <c r="C394" t="s">
        <v>25</v>
      </c>
      <c r="D394" s="19">
        <v>12</v>
      </c>
      <c r="E394">
        <v>159</v>
      </c>
      <c r="F394" t="s">
        <v>10</v>
      </c>
      <c r="G394" t="s">
        <v>13</v>
      </c>
      <c r="H394">
        <v>2</v>
      </c>
      <c r="I394" t="s">
        <v>27</v>
      </c>
    </row>
    <row r="395" spans="1:9" x14ac:dyDescent="0.2">
      <c r="A395" t="str">
        <f t="shared" si="0"/>
        <v>43709Haapiti12154PocilloporidaeDessous</v>
      </c>
      <c r="B395" s="1">
        <v>43709</v>
      </c>
      <c r="C395" t="s">
        <v>25</v>
      </c>
      <c r="D395" s="19">
        <v>12</v>
      </c>
      <c r="E395">
        <v>154</v>
      </c>
      <c r="F395" t="s">
        <v>10</v>
      </c>
      <c r="G395" t="s">
        <v>8</v>
      </c>
      <c r="H395">
        <v>1</v>
      </c>
      <c r="I395" t="s">
        <v>27</v>
      </c>
    </row>
    <row r="396" spans="1:9" x14ac:dyDescent="0.2">
      <c r="A396" t="str">
        <f t="shared" si="0"/>
        <v>43709Haapiti12158AutresDessous</v>
      </c>
      <c r="B396" s="1">
        <v>43709</v>
      </c>
      <c r="C396" t="s">
        <v>25</v>
      </c>
      <c r="D396" s="19">
        <v>12</v>
      </c>
      <c r="E396">
        <v>158</v>
      </c>
      <c r="F396" t="s">
        <v>14</v>
      </c>
      <c r="G396" t="s">
        <v>8</v>
      </c>
      <c r="H396">
        <v>1</v>
      </c>
      <c r="I396" t="s">
        <v>27</v>
      </c>
    </row>
    <row r="397" spans="1:9" x14ac:dyDescent="0.2">
      <c r="A397" t="str">
        <f t="shared" si="0"/>
        <v>43709Haapiti12158AcroporidaeDessous</v>
      </c>
      <c r="B397" s="1">
        <v>43709</v>
      </c>
      <c r="C397" t="s">
        <v>25</v>
      </c>
      <c r="D397" s="19">
        <v>12</v>
      </c>
      <c r="E397">
        <v>158</v>
      </c>
      <c r="F397" t="s">
        <v>17</v>
      </c>
      <c r="G397" t="s">
        <v>8</v>
      </c>
      <c r="H397">
        <v>1</v>
      </c>
      <c r="I397" t="s">
        <v>27</v>
      </c>
    </row>
    <row r="398" spans="1:9" x14ac:dyDescent="0.2">
      <c r="A398" t="str">
        <f t="shared" si="0"/>
        <v>43709Haapiti12158PocilloporidaeDessous</v>
      </c>
      <c r="B398" s="1">
        <v>43709</v>
      </c>
      <c r="C398" t="s">
        <v>25</v>
      </c>
      <c r="D398" s="19">
        <v>12</v>
      </c>
      <c r="E398">
        <v>158</v>
      </c>
      <c r="F398" t="s">
        <v>10</v>
      </c>
      <c r="G398" t="s">
        <v>8</v>
      </c>
      <c r="H398">
        <v>1</v>
      </c>
      <c r="I398" t="s">
        <v>27</v>
      </c>
    </row>
    <row r="399" spans="1:9" x14ac:dyDescent="0.2">
      <c r="A399" t="str">
        <f t="shared" si="0"/>
        <v>43709Haapiti12158PocilloporidaeBords</v>
      </c>
      <c r="B399" s="1">
        <v>43709</v>
      </c>
      <c r="C399" t="s">
        <v>25</v>
      </c>
      <c r="D399" s="19">
        <v>12</v>
      </c>
      <c r="E399">
        <v>158</v>
      </c>
      <c r="F399" t="s">
        <v>10</v>
      </c>
      <c r="G399" t="s">
        <v>13</v>
      </c>
      <c r="H399">
        <v>1</v>
      </c>
      <c r="I399" t="s">
        <v>27</v>
      </c>
    </row>
    <row r="400" spans="1:9" x14ac:dyDescent="0.2">
      <c r="A400" t="str">
        <f t="shared" si="0"/>
        <v>43709Haapiti12157AcroporidaeDessous</v>
      </c>
      <c r="B400" s="1">
        <v>43709</v>
      </c>
      <c r="C400" t="s">
        <v>25</v>
      </c>
      <c r="D400" s="19">
        <v>12</v>
      </c>
      <c r="E400">
        <v>157</v>
      </c>
      <c r="F400" t="s">
        <v>17</v>
      </c>
      <c r="G400" t="s">
        <v>8</v>
      </c>
      <c r="H400">
        <v>1</v>
      </c>
      <c r="I400" t="s">
        <v>27</v>
      </c>
    </row>
    <row r="401" spans="1:9" x14ac:dyDescent="0.2">
      <c r="A401" t="str">
        <f t="shared" si="0"/>
        <v>43709Haapiti12157PocilloporidaeDessous</v>
      </c>
      <c r="B401" s="1">
        <v>43709</v>
      </c>
      <c r="C401" t="s">
        <v>25</v>
      </c>
      <c r="D401" s="19">
        <v>12</v>
      </c>
      <c r="E401">
        <v>157</v>
      </c>
      <c r="F401" t="s">
        <v>10</v>
      </c>
      <c r="G401" t="s">
        <v>8</v>
      </c>
      <c r="H401">
        <v>2</v>
      </c>
      <c r="I401" t="s">
        <v>27</v>
      </c>
    </row>
    <row r="402" spans="1:9" x14ac:dyDescent="0.2">
      <c r="A402" t="str">
        <f t="shared" si="0"/>
        <v>43709Haapiti12153PocilloporidaeDessous</v>
      </c>
      <c r="B402" s="1">
        <v>43709</v>
      </c>
      <c r="C402" t="s">
        <v>25</v>
      </c>
      <c r="D402" s="19">
        <v>12</v>
      </c>
      <c r="E402">
        <v>153</v>
      </c>
      <c r="F402" t="s">
        <v>10</v>
      </c>
      <c r="G402" t="s">
        <v>8</v>
      </c>
      <c r="H402">
        <v>1</v>
      </c>
      <c r="I402" t="s">
        <v>27</v>
      </c>
    </row>
    <row r="403" spans="1:9" x14ac:dyDescent="0.2">
      <c r="A403" t="str">
        <f t="shared" si="0"/>
        <v>43709Haapiti12151AutresDessous</v>
      </c>
      <c r="B403" s="1">
        <v>43709</v>
      </c>
      <c r="C403" t="s">
        <v>25</v>
      </c>
      <c r="D403" s="19">
        <v>12</v>
      </c>
      <c r="E403">
        <v>151</v>
      </c>
      <c r="F403" t="s">
        <v>14</v>
      </c>
      <c r="G403" t="s">
        <v>8</v>
      </c>
      <c r="H403">
        <v>1</v>
      </c>
      <c r="I403" t="s">
        <v>27</v>
      </c>
    </row>
    <row r="404" spans="1:9" x14ac:dyDescent="0.2">
      <c r="A404" t="str">
        <f t="shared" si="0"/>
        <v>43709Haapiti12151PocilloporidaeDessous</v>
      </c>
      <c r="B404" s="1">
        <v>43709</v>
      </c>
      <c r="C404" t="s">
        <v>25</v>
      </c>
      <c r="D404" s="19">
        <v>12</v>
      </c>
      <c r="E404">
        <v>151</v>
      </c>
      <c r="F404" t="s">
        <v>10</v>
      </c>
      <c r="G404" t="s">
        <v>8</v>
      </c>
      <c r="H404">
        <v>1</v>
      </c>
      <c r="I404" t="s">
        <v>27</v>
      </c>
    </row>
    <row r="405" spans="1:9" x14ac:dyDescent="0.2">
      <c r="A405" t="str">
        <f t="shared" si="0"/>
        <v>43709Haapiti12146AutresDessous</v>
      </c>
      <c r="B405" s="1">
        <v>43709</v>
      </c>
      <c r="C405" t="s">
        <v>25</v>
      </c>
      <c r="D405" s="19">
        <v>12</v>
      </c>
      <c r="E405">
        <v>146</v>
      </c>
      <c r="F405" t="s">
        <v>14</v>
      </c>
      <c r="G405" t="s">
        <v>8</v>
      </c>
      <c r="H405">
        <v>1</v>
      </c>
      <c r="I405" t="s">
        <v>27</v>
      </c>
    </row>
    <row r="406" spans="1:9" x14ac:dyDescent="0.2">
      <c r="A406" t="str">
        <f t="shared" si="0"/>
        <v>43709Haapiti12146PocilloporidaeDessous</v>
      </c>
      <c r="B406" s="1">
        <v>43709</v>
      </c>
      <c r="C406" t="s">
        <v>25</v>
      </c>
      <c r="D406" s="19">
        <v>12</v>
      </c>
      <c r="E406">
        <v>146</v>
      </c>
      <c r="F406" t="s">
        <v>10</v>
      </c>
      <c r="G406" t="s">
        <v>8</v>
      </c>
      <c r="H406">
        <v>2</v>
      </c>
      <c r="I406" t="s">
        <v>27</v>
      </c>
    </row>
    <row r="407" spans="1:9" x14ac:dyDescent="0.2">
      <c r="A407" t="str">
        <f t="shared" si="0"/>
        <v>43709Haapiti12146PocilloporidaeBords</v>
      </c>
      <c r="B407" s="1">
        <v>43709</v>
      </c>
      <c r="C407" t="s">
        <v>25</v>
      </c>
      <c r="D407" s="19">
        <v>12</v>
      </c>
      <c r="E407">
        <v>146</v>
      </c>
      <c r="F407" t="s">
        <v>10</v>
      </c>
      <c r="G407" t="s">
        <v>13</v>
      </c>
      <c r="H407">
        <v>1</v>
      </c>
      <c r="I407" t="s">
        <v>27</v>
      </c>
    </row>
    <row r="408" spans="1:9" x14ac:dyDescent="0.2">
      <c r="A408" t="str">
        <f t="shared" si="0"/>
        <v>43709Haapiti12145AutresDessous</v>
      </c>
      <c r="B408" s="1">
        <v>43709</v>
      </c>
      <c r="C408" t="s">
        <v>25</v>
      </c>
      <c r="D408" s="19">
        <v>12</v>
      </c>
      <c r="E408">
        <v>145</v>
      </c>
      <c r="F408" t="s">
        <v>14</v>
      </c>
      <c r="G408" t="s">
        <v>8</v>
      </c>
      <c r="H408">
        <v>1</v>
      </c>
      <c r="I408" t="s">
        <v>27</v>
      </c>
    </row>
    <row r="409" spans="1:9" x14ac:dyDescent="0.2">
      <c r="A409" t="str">
        <f t="shared" si="0"/>
        <v>43709Haapiti12145AutresBords</v>
      </c>
      <c r="B409" s="1">
        <v>43709</v>
      </c>
      <c r="C409" t="s">
        <v>25</v>
      </c>
      <c r="D409" s="19">
        <v>12</v>
      </c>
      <c r="E409">
        <v>145</v>
      </c>
      <c r="F409" t="s">
        <v>14</v>
      </c>
      <c r="G409" t="s">
        <v>13</v>
      </c>
      <c r="H409">
        <v>1</v>
      </c>
      <c r="I409" t="s">
        <v>27</v>
      </c>
    </row>
    <row r="410" spans="1:9" x14ac:dyDescent="0.2">
      <c r="A410" t="str">
        <f t="shared" si="0"/>
        <v>43709Haapiti12141PocilloporidaeDessus</v>
      </c>
      <c r="B410" s="1">
        <v>43709</v>
      </c>
      <c r="C410" t="s">
        <v>25</v>
      </c>
      <c r="D410" s="19">
        <v>12</v>
      </c>
      <c r="E410">
        <v>141</v>
      </c>
      <c r="F410" t="s">
        <v>10</v>
      </c>
      <c r="G410" t="s">
        <v>11</v>
      </c>
      <c r="H410">
        <v>0</v>
      </c>
      <c r="I410" t="s">
        <v>27</v>
      </c>
    </row>
    <row r="411" spans="1:9" x14ac:dyDescent="0.2">
      <c r="A411" t="str">
        <f t="shared" si="0"/>
        <v>43709Haapiti12143AutresBords</v>
      </c>
      <c r="B411" s="1">
        <v>43709</v>
      </c>
      <c r="C411" t="s">
        <v>25</v>
      </c>
      <c r="D411" s="19">
        <v>12</v>
      </c>
      <c r="E411">
        <v>143</v>
      </c>
      <c r="F411" t="s">
        <v>14</v>
      </c>
      <c r="G411" t="s">
        <v>13</v>
      </c>
      <c r="H411">
        <v>1</v>
      </c>
      <c r="I411" t="s">
        <v>27</v>
      </c>
    </row>
    <row r="412" spans="1:9" x14ac:dyDescent="0.2">
      <c r="A412" t="str">
        <f t="shared" si="0"/>
        <v>43709Haapiti12143PocilloporidaeDessous</v>
      </c>
      <c r="B412" s="1">
        <v>43709</v>
      </c>
      <c r="C412" t="s">
        <v>25</v>
      </c>
      <c r="D412" s="19">
        <v>12</v>
      </c>
      <c r="E412">
        <v>143</v>
      </c>
      <c r="F412" t="s">
        <v>10</v>
      </c>
      <c r="G412" t="s">
        <v>8</v>
      </c>
      <c r="H412">
        <v>2</v>
      </c>
      <c r="I412" t="s">
        <v>27</v>
      </c>
    </row>
    <row r="413" spans="1:9" x14ac:dyDescent="0.2">
      <c r="A413" t="str">
        <f t="shared" si="0"/>
        <v>43344Vaipahu655AutresBords</v>
      </c>
      <c r="B413" s="1">
        <v>43344</v>
      </c>
      <c r="C413" t="s">
        <v>23</v>
      </c>
      <c r="D413" s="19">
        <v>6</v>
      </c>
      <c r="E413">
        <v>55</v>
      </c>
      <c r="F413" t="s">
        <v>14</v>
      </c>
      <c r="G413" t="s">
        <v>13</v>
      </c>
      <c r="H413">
        <v>1</v>
      </c>
      <c r="I413" t="s">
        <v>27</v>
      </c>
    </row>
    <row r="414" spans="1:9" x14ac:dyDescent="0.2">
      <c r="A414" t="str">
        <f t="shared" si="0"/>
        <v>43344Vaipahu655AutresBords</v>
      </c>
      <c r="B414" s="1">
        <v>43344</v>
      </c>
      <c r="C414" t="s">
        <v>23</v>
      </c>
      <c r="D414" s="19">
        <v>6</v>
      </c>
      <c r="E414">
        <v>55</v>
      </c>
      <c r="F414" t="s">
        <v>14</v>
      </c>
      <c r="G414" t="s">
        <v>13</v>
      </c>
      <c r="H414">
        <v>1</v>
      </c>
      <c r="I414" t="s">
        <v>27</v>
      </c>
    </row>
    <row r="415" spans="1:9" x14ac:dyDescent="0.2">
      <c r="A415" t="str">
        <f t="shared" si="0"/>
        <v>43344Vaipahu651PocilloporidaeBords</v>
      </c>
      <c r="B415" s="1">
        <v>43344</v>
      </c>
      <c r="C415" t="s">
        <v>23</v>
      </c>
      <c r="D415" s="19">
        <v>6</v>
      </c>
      <c r="E415">
        <v>51</v>
      </c>
      <c r="F415" t="s">
        <v>10</v>
      </c>
      <c r="G415" t="s">
        <v>13</v>
      </c>
      <c r="H415">
        <v>1</v>
      </c>
      <c r="I415" t="s">
        <v>27</v>
      </c>
    </row>
    <row r="416" spans="1:9" x14ac:dyDescent="0.2">
      <c r="A416" t="str">
        <f t="shared" si="0"/>
        <v>43344Vaipahu651PocilloporidaeBords</v>
      </c>
      <c r="B416" s="1">
        <v>43344</v>
      </c>
      <c r="C416" t="s">
        <v>23</v>
      </c>
      <c r="D416" s="19">
        <v>6</v>
      </c>
      <c r="E416">
        <v>51</v>
      </c>
      <c r="F416" t="s">
        <v>10</v>
      </c>
      <c r="G416" t="s">
        <v>13</v>
      </c>
      <c r="H416">
        <v>1</v>
      </c>
      <c r="I416" t="s">
        <v>27</v>
      </c>
    </row>
    <row r="417" spans="1:9" x14ac:dyDescent="0.2">
      <c r="A417" t="str">
        <f t="shared" si="0"/>
        <v>43344Vaipahu649AutresDessous</v>
      </c>
      <c r="B417" s="1">
        <v>43344</v>
      </c>
      <c r="C417" t="s">
        <v>23</v>
      </c>
      <c r="D417" s="19">
        <v>6</v>
      </c>
      <c r="E417">
        <v>49</v>
      </c>
      <c r="F417" t="s">
        <v>14</v>
      </c>
      <c r="G417" t="s">
        <v>8</v>
      </c>
      <c r="H417">
        <v>1</v>
      </c>
      <c r="I417" t="s">
        <v>27</v>
      </c>
    </row>
    <row r="418" spans="1:9" x14ac:dyDescent="0.2">
      <c r="A418" t="str">
        <f t="shared" si="0"/>
        <v>43344Vaipahu649AutresDessous</v>
      </c>
      <c r="B418" s="1">
        <v>43344</v>
      </c>
      <c r="C418" t="s">
        <v>23</v>
      </c>
      <c r="D418" s="19">
        <v>6</v>
      </c>
      <c r="E418">
        <v>49</v>
      </c>
      <c r="F418" t="s">
        <v>14</v>
      </c>
      <c r="G418" t="s">
        <v>8</v>
      </c>
      <c r="H418">
        <v>1</v>
      </c>
      <c r="I418" t="s">
        <v>27</v>
      </c>
    </row>
    <row r="419" spans="1:9" x14ac:dyDescent="0.2">
      <c r="A419" t="str">
        <f t="shared" si="0"/>
        <v>43344Vaipahu644PocilloporidaeDessous</v>
      </c>
      <c r="B419" s="1">
        <v>43344</v>
      </c>
      <c r="C419" t="s">
        <v>23</v>
      </c>
      <c r="D419" s="19">
        <v>6</v>
      </c>
      <c r="E419">
        <v>44</v>
      </c>
      <c r="F419" t="s">
        <v>10</v>
      </c>
      <c r="G419" t="s">
        <v>8</v>
      </c>
      <c r="H419">
        <v>1</v>
      </c>
      <c r="I419" t="s">
        <v>27</v>
      </c>
    </row>
    <row r="420" spans="1:9" x14ac:dyDescent="0.2">
      <c r="A420" t="str">
        <f t="shared" si="0"/>
        <v>43344Vaipahu644PocilloporidaeDessous</v>
      </c>
      <c r="B420" s="1">
        <v>43344</v>
      </c>
      <c r="C420" t="s">
        <v>23</v>
      </c>
      <c r="D420" s="19">
        <v>6</v>
      </c>
      <c r="E420">
        <v>44</v>
      </c>
      <c r="F420" t="s">
        <v>10</v>
      </c>
      <c r="G420" t="s">
        <v>8</v>
      </c>
      <c r="H420">
        <v>1</v>
      </c>
      <c r="I420" t="s">
        <v>27</v>
      </c>
    </row>
    <row r="421" spans="1:9" x14ac:dyDescent="0.2">
      <c r="A421" t="str">
        <f t="shared" si="0"/>
        <v>43344Vaipahu644PocilloporidaeDessus</v>
      </c>
      <c r="B421" s="1">
        <v>43344</v>
      </c>
      <c r="C421" t="s">
        <v>23</v>
      </c>
      <c r="D421" s="19">
        <v>6</v>
      </c>
      <c r="E421">
        <v>44</v>
      </c>
      <c r="F421" t="s">
        <v>10</v>
      </c>
      <c r="G421" t="s">
        <v>11</v>
      </c>
      <c r="H421">
        <v>1</v>
      </c>
      <c r="I421" t="s">
        <v>27</v>
      </c>
    </row>
    <row r="422" spans="1:9" x14ac:dyDescent="0.2">
      <c r="A422" t="str">
        <f t="shared" si="0"/>
        <v>43344Vaipahu639AcroporidaeDessous</v>
      </c>
      <c r="B422" s="1">
        <v>43344</v>
      </c>
      <c r="C422" t="s">
        <v>23</v>
      </c>
      <c r="D422" s="19">
        <v>6</v>
      </c>
      <c r="E422">
        <v>39</v>
      </c>
      <c r="F422" t="s">
        <v>17</v>
      </c>
      <c r="G422" t="s">
        <v>8</v>
      </c>
      <c r="H422">
        <v>1</v>
      </c>
      <c r="I422" t="s">
        <v>27</v>
      </c>
    </row>
    <row r="423" spans="1:9" x14ac:dyDescent="0.2">
      <c r="A423" t="str">
        <f t="shared" si="0"/>
        <v>43344Vaipahu639AcroporidaeDessous</v>
      </c>
      <c r="B423" s="1">
        <v>43344</v>
      </c>
      <c r="C423" t="s">
        <v>23</v>
      </c>
      <c r="D423" s="19">
        <v>6</v>
      </c>
      <c r="E423">
        <v>39</v>
      </c>
      <c r="F423" t="s">
        <v>17</v>
      </c>
      <c r="G423" t="s">
        <v>8</v>
      </c>
      <c r="H423">
        <v>1</v>
      </c>
      <c r="I423" t="s">
        <v>27</v>
      </c>
    </row>
    <row r="424" spans="1:9" x14ac:dyDescent="0.2">
      <c r="A424" t="str">
        <f t="shared" si="0"/>
        <v>43344Vaipahu639AcroporidaeDessus</v>
      </c>
      <c r="B424" s="1">
        <v>43344</v>
      </c>
      <c r="C424" t="s">
        <v>23</v>
      </c>
      <c r="D424" s="19">
        <v>6</v>
      </c>
      <c r="E424">
        <v>39</v>
      </c>
      <c r="F424" t="s">
        <v>17</v>
      </c>
      <c r="G424" t="s">
        <v>11</v>
      </c>
      <c r="H424">
        <v>1</v>
      </c>
      <c r="I424" t="s">
        <v>27</v>
      </c>
    </row>
    <row r="425" spans="1:9" x14ac:dyDescent="0.2">
      <c r="A425" t="str">
        <f t="shared" si="0"/>
        <v>43344Vaipahu635AutresBords</v>
      </c>
      <c r="B425" s="1">
        <v>43344</v>
      </c>
      <c r="C425" t="s">
        <v>23</v>
      </c>
      <c r="D425" s="19">
        <v>6</v>
      </c>
      <c r="E425">
        <v>35</v>
      </c>
      <c r="F425" t="s">
        <v>14</v>
      </c>
      <c r="G425" t="s">
        <v>13</v>
      </c>
      <c r="H425">
        <v>1</v>
      </c>
      <c r="I425" t="s">
        <v>27</v>
      </c>
    </row>
    <row r="426" spans="1:9" x14ac:dyDescent="0.2">
      <c r="A426" t="str">
        <f t="shared" si="0"/>
        <v>43344Vaipahu635AutresBords</v>
      </c>
      <c r="B426" s="1">
        <v>43344</v>
      </c>
      <c r="C426" t="s">
        <v>23</v>
      </c>
      <c r="D426" s="19">
        <v>6</v>
      </c>
      <c r="E426">
        <v>35</v>
      </c>
      <c r="F426" t="s">
        <v>14</v>
      </c>
      <c r="G426" t="s">
        <v>13</v>
      </c>
      <c r="H426">
        <v>1</v>
      </c>
      <c r="I426" t="s">
        <v>27</v>
      </c>
    </row>
    <row r="427" spans="1:9" x14ac:dyDescent="0.2">
      <c r="A427" t="str">
        <f t="shared" si="0"/>
        <v>43344Vaipahu635PocilloporidaeDessous</v>
      </c>
      <c r="B427" s="1">
        <v>43344</v>
      </c>
      <c r="C427" t="s">
        <v>23</v>
      </c>
      <c r="D427" s="19">
        <v>6</v>
      </c>
      <c r="E427">
        <v>35</v>
      </c>
      <c r="F427" t="s">
        <v>10</v>
      </c>
      <c r="G427" t="s">
        <v>8</v>
      </c>
      <c r="H427">
        <v>1</v>
      </c>
      <c r="I427" t="s">
        <v>27</v>
      </c>
    </row>
    <row r="428" spans="1:9" x14ac:dyDescent="0.2">
      <c r="A428" t="str">
        <f t="shared" si="0"/>
        <v>43344Vaipahu634AutresBords</v>
      </c>
      <c r="B428" s="1">
        <v>43344</v>
      </c>
      <c r="C428" t="s">
        <v>23</v>
      </c>
      <c r="D428" s="19">
        <v>6</v>
      </c>
      <c r="E428">
        <v>34</v>
      </c>
      <c r="F428" t="s">
        <v>14</v>
      </c>
      <c r="G428" t="s">
        <v>13</v>
      </c>
      <c r="H428">
        <v>1</v>
      </c>
      <c r="I428" t="s">
        <v>27</v>
      </c>
    </row>
    <row r="429" spans="1:9" x14ac:dyDescent="0.2">
      <c r="A429" t="str">
        <f t="shared" si="0"/>
        <v>43344Vaipahu634AutresBords</v>
      </c>
      <c r="B429" s="1">
        <v>43344</v>
      </c>
      <c r="C429" t="s">
        <v>23</v>
      </c>
      <c r="D429" s="19">
        <v>6</v>
      </c>
      <c r="E429">
        <v>34</v>
      </c>
      <c r="F429" t="s">
        <v>14</v>
      </c>
      <c r="G429" t="s">
        <v>13</v>
      </c>
      <c r="H429">
        <v>1</v>
      </c>
      <c r="I429" t="s">
        <v>27</v>
      </c>
    </row>
    <row r="430" spans="1:9" x14ac:dyDescent="0.2">
      <c r="A430" t="str">
        <f t="shared" si="0"/>
        <v>43344Vaipahu632</v>
      </c>
      <c r="B430" s="1">
        <v>43344</v>
      </c>
      <c r="C430" t="s">
        <v>23</v>
      </c>
      <c r="D430" s="19">
        <v>6</v>
      </c>
      <c r="E430">
        <v>32</v>
      </c>
      <c r="F430" t="s">
        <v>27</v>
      </c>
      <c r="G430" t="s">
        <v>27</v>
      </c>
      <c r="H430" t="s">
        <v>27</v>
      </c>
      <c r="I430" t="s">
        <v>30</v>
      </c>
    </row>
    <row r="431" spans="1:9" x14ac:dyDescent="0.2">
      <c r="A431" t="str">
        <f t="shared" si="0"/>
        <v>43344Vaipahu630PocilloporidaeBords</v>
      </c>
      <c r="B431" s="1">
        <v>43344</v>
      </c>
      <c r="C431" t="s">
        <v>23</v>
      </c>
      <c r="D431" s="19">
        <v>6</v>
      </c>
      <c r="E431">
        <v>30</v>
      </c>
      <c r="F431" t="s">
        <v>10</v>
      </c>
      <c r="G431" t="s">
        <v>13</v>
      </c>
      <c r="H431">
        <v>1</v>
      </c>
      <c r="I431" t="s">
        <v>27</v>
      </c>
    </row>
    <row r="432" spans="1:9" x14ac:dyDescent="0.2">
      <c r="A432" t="str">
        <f t="shared" si="0"/>
        <v>43344Vaipahu630PocilloporidaeBords</v>
      </c>
      <c r="B432" s="1">
        <v>43344</v>
      </c>
      <c r="C432" t="s">
        <v>23</v>
      </c>
      <c r="D432" s="19">
        <v>6</v>
      </c>
      <c r="E432">
        <v>30</v>
      </c>
      <c r="F432" t="s">
        <v>10</v>
      </c>
      <c r="G432" t="s">
        <v>13</v>
      </c>
      <c r="H432">
        <v>1</v>
      </c>
      <c r="I432" t="s">
        <v>27</v>
      </c>
    </row>
    <row r="433" spans="1:9" x14ac:dyDescent="0.2">
      <c r="A433" t="str">
        <f t="shared" si="0"/>
        <v>43344Vaipahu630AutresDessous</v>
      </c>
      <c r="B433" s="1">
        <v>43344</v>
      </c>
      <c r="C433" t="s">
        <v>23</v>
      </c>
      <c r="D433" s="19">
        <v>6</v>
      </c>
      <c r="E433">
        <v>30</v>
      </c>
      <c r="F433" t="s">
        <v>14</v>
      </c>
      <c r="G433" t="s">
        <v>8</v>
      </c>
      <c r="H433">
        <v>2</v>
      </c>
      <c r="I433" t="s">
        <v>27</v>
      </c>
    </row>
    <row r="434" spans="1:9" x14ac:dyDescent="0.2">
      <c r="A434" t="str">
        <f t="shared" si="0"/>
        <v>43344Vaipahu625PocilloporidaeDessous</v>
      </c>
      <c r="B434" s="1">
        <v>43344</v>
      </c>
      <c r="C434" t="s">
        <v>23</v>
      </c>
      <c r="D434" s="19">
        <v>6</v>
      </c>
      <c r="E434">
        <v>25</v>
      </c>
      <c r="F434" t="s">
        <v>10</v>
      </c>
      <c r="G434" t="s">
        <v>8</v>
      </c>
      <c r="H434">
        <v>1</v>
      </c>
      <c r="I434" t="s">
        <v>27</v>
      </c>
    </row>
    <row r="435" spans="1:9" x14ac:dyDescent="0.2">
      <c r="A435" t="str">
        <f t="shared" si="0"/>
        <v>43344Vaipahu625PocilloporidaeDessous</v>
      </c>
      <c r="B435" s="1">
        <v>43344</v>
      </c>
      <c r="C435" t="s">
        <v>23</v>
      </c>
      <c r="D435" s="19">
        <v>6</v>
      </c>
      <c r="E435">
        <v>25</v>
      </c>
      <c r="F435" t="s">
        <v>10</v>
      </c>
      <c r="G435" t="s">
        <v>8</v>
      </c>
      <c r="H435">
        <v>1</v>
      </c>
      <c r="I435" t="s">
        <v>27</v>
      </c>
    </row>
    <row r="436" spans="1:9" x14ac:dyDescent="0.2">
      <c r="A436" t="str">
        <f t="shared" si="0"/>
        <v>43344Vaipahu619AutresBords</v>
      </c>
      <c r="B436" s="1">
        <v>43344</v>
      </c>
      <c r="C436" t="s">
        <v>23</v>
      </c>
      <c r="D436" s="19">
        <v>6</v>
      </c>
      <c r="E436">
        <v>19</v>
      </c>
      <c r="F436" t="s">
        <v>14</v>
      </c>
      <c r="G436" t="s">
        <v>13</v>
      </c>
      <c r="H436">
        <v>1</v>
      </c>
      <c r="I436" t="s">
        <v>27</v>
      </c>
    </row>
    <row r="437" spans="1:9" x14ac:dyDescent="0.2">
      <c r="A437" t="str">
        <f t="shared" si="0"/>
        <v>43344Vaipahu619AutresBords</v>
      </c>
      <c r="B437" s="1">
        <v>43344</v>
      </c>
      <c r="C437" t="s">
        <v>23</v>
      </c>
      <c r="D437" s="19">
        <v>6</v>
      </c>
      <c r="E437">
        <v>19</v>
      </c>
      <c r="F437" t="s">
        <v>14</v>
      </c>
      <c r="G437" t="s">
        <v>13</v>
      </c>
      <c r="H437">
        <v>1</v>
      </c>
      <c r="I437" t="s">
        <v>27</v>
      </c>
    </row>
    <row r="438" spans="1:9" x14ac:dyDescent="0.2">
      <c r="A438" t="str">
        <f t="shared" si="0"/>
        <v>43344Vaipahu610AutresBords</v>
      </c>
      <c r="B438" s="1">
        <v>43344</v>
      </c>
      <c r="C438" t="s">
        <v>23</v>
      </c>
      <c r="D438" s="19">
        <v>6</v>
      </c>
      <c r="E438">
        <v>10</v>
      </c>
      <c r="F438" t="s">
        <v>14</v>
      </c>
      <c r="G438" t="s">
        <v>13</v>
      </c>
      <c r="H438">
        <v>1</v>
      </c>
      <c r="I438" t="s">
        <v>27</v>
      </c>
    </row>
    <row r="439" spans="1:9" x14ac:dyDescent="0.2">
      <c r="A439" t="str">
        <f t="shared" si="0"/>
        <v>43344Vaipahu610AutresBords</v>
      </c>
      <c r="B439" s="1">
        <v>43344</v>
      </c>
      <c r="C439" t="s">
        <v>23</v>
      </c>
      <c r="D439" s="19">
        <v>6</v>
      </c>
      <c r="E439">
        <v>10</v>
      </c>
      <c r="F439" t="s">
        <v>14</v>
      </c>
      <c r="G439" t="s">
        <v>13</v>
      </c>
      <c r="H439">
        <v>1</v>
      </c>
      <c r="I439" t="s">
        <v>27</v>
      </c>
    </row>
    <row r="440" spans="1:9" x14ac:dyDescent="0.2">
      <c r="A440" t="str">
        <f t="shared" si="0"/>
        <v>43344Vaipahu610AcroporidaeDessous</v>
      </c>
      <c r="B440" s="1">
        <v>43344</v>
      </c>
      <c r="C440" t="s">
        <v>23</v>
      </c>
      <c r="D440" s="19">
        <v>6</v>
      </c>
      <c r="E440">
        <v>10</v>
      </c>
      <c r="F440" t="s">
        <v>17</v>
      </c>
      <c r="G440" t="s">
        <v>8</v>
      </c>
      <c r="H440">
        <v>1</v>
      </c>
      <c r="I440" t="s">
        <v>27</v>
      </c>
    </row>
    <row r="441" spans="1:9" x14ac:dyDescent="0.2">
      <c r="A441" t="str">
        <f t="shared" si="0"/>
        <v>43344Vaipahu67AutresDessous</v>
      </c>
      <c r="B441" s="1">
        <v>43344</v>
      </c>
      <c r="C441" t="s">
        <v>23</v>
      </c>
      <c r="D441" s="19">
        <v>6</v>
      </c>
      <c r="E441">
        <v>7</v>
      </c>
      <c r="F441" t="s">
        <v>14</v>
      </c>
      <c r="G441" t="s">
        <v>8</v>
      </c>
      <c r="H441">
        <v>1</v>
      </c>
      <c r="I441" t="s">
        <v>27</v>
      </c>
    </row>
    <row r="442" spans="1:9" x14ac:dyDescent="0.2">
      <c r="A442" t="str">
        <f t="shared" si="0"/>
        <v>43344Vaipahu67AutresDessous</v>
      </c>
      <c r="B442" s="1">
        <v>43344</v>
      </c>
      <c r="C442" t="s">
        <v>23</v>
      </c>
      <c r="D442" s="19">
        <v>6</v>
      </c>
      <c r="E442">
        <v>7</v>
      </c>
      <c r="F442" t="s">
        <v>14</v>
      </c>
      <c r="G442" t="s">
        <v>8</v>
      </c>
      <c r="H442">
        <v>1</v>
      </c>
      <c r="I442" t="s">
        <v>27</v>
      </c>
    </row>
    <row r="443" spans="1:9" x14ac:dyDescent="0.2">
      <c r="A443" t="str">
        <f t="shared" si="0"/>
        <v>43344Vaipahu65AutresBords</v>
      </c>
      <c r="B443" s="1">
        <v>43344</v>
      </c>
      <c r="C443" t="s">
        <v>23</v>
      </c>
      <c r="D443" s="19">
        <v>6</v>
      </c>
      <c r="E443">
        <v>5</v>
      </c>
      <c r="F443" t="s">
        <v>14</v>
      </c>
      <c r="G443" t="s">
        <v>13</v>
      </c>
      <c r="H443">
        <v>1</v>
      </c>
      <c r="I443" t="s">
        <v>27</v>
      </c>
    </row>
    <row r="444" spans="1:9" x14ac:dyDescent="0.2">
      <c r="A444" t="str">
        <f t="shared" si="0"/>
        <v>43344Vaipahu65AutresBords</v>
      </c>
      <c r="B444" s="1">
        <v>43344</v>
      </c>
      <c r="C444" t="s">
        <v>23</v>
      </c>
      <c r="D444" s="19">
        <v>6</v>
      </c>
      <c r="E444">
        <v>5</v>
      </c>
      <c r="F444" t="s">
        <v>14</v>
      </c>
      <c r="G444" t="s">
        <v>13</v>
      </c>
      <c r="H444">
        <v>1</v>
      </c>
      <c r="I444" t="s">
        <v>27</v>
      </c>
    </row>
    <row r="445" spans="1:9" x14ac:dyDescent="0.2">
      <c r="A445" t="str">
        <f t="shared" si="0"/>
        <v>43344Vaipahu63Cassés</v>
      </c>
      <c r="B445" s="1">
        <v>43344</v>
      </c>
      <c r="C445" t="s">
        <v>23</v>
      </c>
      <c r="D445" s="19">
        <v>6</v>
      </c>
      <c r="E445">
        <v>3</v>
      </c>
      <c r="F445" t="s">
        <v>12</v>
      </c>
      <c r="G445" t="s">
        <v>27</v>
      </c>
      <c r="H445" t="s">
        <v>27</v>
      </c>
      <c r="I445" t="s">
        <v>27</v>
      </c>
    </row>
    <row r="446" spans="1:9" x14ac:dyDescent="0.2">
      <c r="A446" t="str">
        <f t="shared" si="0"/>
        <v>43344Vaipahu62PoritidaeDessous</v>
      </c>
      <c r="B446" s="1">
        <v>43344</v>
      </c>
      <c r="C446" t="s">
        <v>23</v>
      </c>
      <c r="D446" s="19">
        <v>6</v>
      </c>
      <c r="E446">
        <v>2</v>
      </c>
      <c r="F446" t="s">
        <v>7</v>
      </c>
      <c r="G446" t="s">
        <v>8</v>
      </c>
      <c r="H446">
        <v>1</v>
      </c>
      <c r="I446" t="s">
        <v>27</v>
      </c>
    </row>
    <row r="447" spans="1:9" x14ac:dyDescent="0.2">
      <c r="A447" t="str">
        <f t="shared" si="0"/>
        <v>43344Vaipahu62PoritidaeDessous</v>
      </c>
      <c r="B447" s="1">
        <v>43344</v>
      </c>
      <c r="C447" t="s">
        <v>23</v>
      </c>
      <c r="D447" s="19">
        <v>6</v>
      </c>
      <c r="E447">
        <v>2</v>
      </c>
      <c r="F447" t="s">
        <v>7</v>
      </c>
      <c r="G447" t="s">
        <v>8</v>
      </c>
      <c r="H447">
        <v>1</v>
      </c>
      <c r="I447" t="s">
        <v>27</v>
      </c>
    </row>
    <row r="448" spans="1:9" x14ac:dyDescent="0.2">
      <c r="A448" t="str">
        <f t="shared" si="0"/>
        <v>36861Vaipahu61PocilloporidaeDessous</v>
      </c>
      <c r="B448" s="1">
        <v>36861</v>
      </c>
      <c r="C448" t="s">
        <v>23</v>
      </c>
      <c r="D448" s="19">
        <v>6</v>
      </c>
      <c r="E448">
        <v>1</v>
      </c>
      <c r="F448" t="s">
        <v>10</v>
      </c>
      <c r="G448" t="s">
        <v>8</v>
      </c>
      <c r="H448">
        <v>9</v>
      </c>
      <c r="I448" t="s">
        <v>27</v>
      </c>
    </row>
    <row r="449" spans="1:9" x14ac:dyDescent="0.2">
      <c r="A449" t="str">
        <f t="shared" si="0"/>
        <v>36861Vaipahu61PoritidaeDessous</v>
      </c>
      <c r="B449" s="1">
        <v>36861</v>
      </c>
      <c r="C449" t="s">
        <v>23</v>
      </c>
      <c r="D449" s="19">
        <v>6</v>
      </c>
      <c r="E449">
        <v>1</v>
      </c>
      <c r="F449" t="s">
        <v>7</v>
      </c>
      <c r="G449" t="s">
        <v>8</v>
      </c>
      <c r="H449">
        <v>1</v>
      </c>
      <c r="I449" t="s">
        <v>27</v>
      </c>
    </row>
    <row r="450" spans="1:9" x14ac:dyDescent="0.2">
      <c r="A450" t="str">
        <f t="shared" si="0"/>
        <v>36861Vaipahu62CassésDessous</v>
      </c>
      <c r="B450" s="1">
        <v>36861</v>
      </c>
      <c r="C450" t="s">
        <v>23</v>
      </c>
      <c r="D450" s="19">
        <v>6</v>
      </c>
      <c r="E450">
        <v>2</v>
      </c>
      <c r="F450" t="s">
        <v>12</v>
      </c>
      <c r="G450" t="s">
        <v>8</v>
      </c>
      <c r="H450">
        <v>2</v>
      </c>
      <c r="I450" t="s">
        <v>27</v>
      </c>
    </row>
    <row r="451" spans="1:9" x14ac:dyDescent="0.2">
      <c r="A451" t="str">
        <f t="shared" si="0"/>
        <v>36861Vaipahu62PocilloporidaeDessous</v>
      </c>
      <c r="B451" s="1">
        <v>36861</v>
      </c>
      <c r="C451" t="s">
        <v>23</v>
      </c>
      <c r="D451" s="19">
        <v>6</v>
      </c>
      <c r="E451">
        <v>2</v>
      </c>
      <c r="F451" t="s">
        <v>10</v>
      </c>
      <c r="G451" t="s">
        <v>8</v>
      </c>
      <c r="H451">
        <v>1</v>
      </c>
      <c r="I451" t="s">
        <v>27</v>
      </c>
    </row>
    <row r="452" spans="1:9" x14ac:dyDescent="0.2">
      <c r="A452" t="str">
        <f t="shared" si="0"/>
        <v>36861Vaipahu62PoritidaeDessous</v>
      </c>
      <c r="B452" s="1">
        <v>36861</v>
      </c>
      <c r="C452" t="s">
        <v>23</v>
      </c>
      <c r="D452" s="19">
        <v>6</v>
      </c>
      <c r="E452">
        <v>2</v>
      </c>
      <c r="F452" t="s">
        <v>7</v>
      </c>
      <c r="G452" t="s">
        <v>8</v>
      </c>
      <c r="H452">
        <v>3</v>
      </c>
      <c r="I452" t="s">
        <v>27</v>
      </c>
    </row>
    <row r="453" spans="1:9" x14ac:dyDescent="0.2">
      <c r="A453" t="str">
        <f t="shared" si="0"/>
        <v>36861Vaipahu63CassésDessous</v>
      </c>
      <c r="B453" s="1">
        <v>36861</v>
      </c>
      <c r="C453" t="s">
        <v>23</v>
      </c>
      <c r="D453" s="19">
        <v>6</v>
      </c>
      <c r="E453">
        <v>3</v>
      </c>
      <c r="F453" t="s">
        <v>12</v>
      </c>
      <c r="G453" t="s">
        <v>8</v>
      </c>
      <c r="H453">
        <v>1</v>
      </c>
      <c r="I453" t="s">
        <v>27</v>
      </c>
    </row>
    <row r="454" spans="1:9" x14ac:dyDescent="0.2">
      <c r="A454" t="str">
        <f t="shared" si="0"/>
        <v>36861Vaipahu63CassésDessus</v>
      </c>
      <c r="B454" s="1">
        <v>36861</v>
      </c>
      <c r="C454" t="s">
        <v>23</v>
      </c>
      <c r="D454" s="19">
        <v>6</v>
      </c>
      <c r="E454">
        <v>3</v>
      </c>
      <c r="F454" t="s">
        <v>12</v>
      </c>
      <c r="G454" t="s">
        <v>11</v>
      </c>
      <c r="H454">
        <v>1</v>
      </c>
      <c r="I454" t="s">
        <v>27</v>
      </c>
    </row>
    <row r="455" spans="1:9" x14ac:dyDescent="0.2">
      <c r="A455" t="str">
        <f t="shared" si="0"/>
        <v>36861Vaipahu63PocilloporidaeDessous</v>
      </c>
      <c r="B455" s="1">
        <v>36861</v>
      </c>
      <c r="C455" t="s">
        <v>23</v>
      </c>
      <c r="D455" s="19">
        <v>6</v>
      </c>
      <c r="E455">
        <v>3</v>
      </c>
      <c r="F455" t="s">
        <v>10</v>
      </c>
      <c r="G455" t="s">
        <v>8</v>
      </c>
      <c r="H455">
        <v>1</v>
      </c>
      <c r="I455" t="s">
        <v>27</v>
      </c>
    </row>
    <row r="456" spans="1:9" x14ac:dyDescent="0.2">
      <c r="A456" t="str">
        <f t="shared" si="0"/>
        <v>36861Vaipahu63PocilloporidaeDessus</v>
      </c>
      <c r="B456" s="1">
        <v>36861</v>
      </c>
      <c r="C456" t="s">
        <v>23</v>
      </c>
      <c r="D456" s="19">
        <v>6</v>
      </c>
      <c r="E456">
        <v>3</v>
      </c>
      <c r="F456" t="s">
        <v>10</v>
      </c>
      <c r="G456" t="s">
        <v>11</v>
      </c>
      <c r="H456">
        <v>1</v>
      </c>
      <c r="I456" t="s">
        <v>27</v>
      </c>
    </row>
    <row r="457" spans="1:9" x14ac:dyDescent="0.2">
      <c r="A457" t="str">
        <f t="shared" si="0"/>
        <v>36861Vaipahu64CassésBords</v>
      </c>
      <c r="B457" s="1">
        <v>36861</v>
      </c>
      <c r="C457" t="s">
        <v>23</v>
      </c>
      <c r="D457" s="19">
        <v>6</v>
      </c>
      <c r="E457">
        <v>4</v>
      </c>
      <c r="F457" t="s">
        <v>12</v>
      </c>
      <c r="G457" t="s">
        <v>13</v>
      </c>
      <c r="H457">
        <v>1</v>
      </c>
      <c r="I457" t="s">
        <v>27</v>
      </c>
    </row>
    <row r="458" spans="1:9" x14ac:dyDescent="0.2">
      <c r="A458" t="str">
        <f t="shared" si="0"/>
        <v>36861Vaipahu64CassésDessus</v>
      </c>
      <c r="B458" s="1">
        <v>36861</v>
      </c>
      <c r="C458" t="s">
        <v>23</v>
      </c>
      <c r="D458" s="19">
        <v>6</v>
      </c>
      <c r="E458">
        <v>4</v>
      </c>
      <c r="F458" t="s">
        <v>12</v>
      </c>
      <c r="G458" t="s">
        <v>11</v>
      </c>
      <c r="H458">
        <v>1</v>
      </c>
      <c r="I458" t="s">
        <v>27</v>
      </c>
    </row>
    <row r="459" spans="1:9" x14ac:dyDescent="0.2">
      <c r="A459" t="str">
        <f t="shared" si="0"/>
        <v>36861Vaipahu64PocilloporidaeDessous</v>
      </c>
      <c r="B459" s="1">
        <v>36861</v>
      </c>
      <c r="C459" t="s">
        <v>23</v>
      </c>
      <c r="D459" s="19">
        <v>6</v>
      </c>
      <c r="E459">
        <v>4</v>
      </c>
      <c r="F459" t="s">
        <v>10</v>
      </c>
      <c r="G459" t="s">
        <v>8</v>
      </c>
      <c r="H459">
        <v>2</v>
      </c>
      <c r="I459" t="s">
        <v>27</v>
      </c>
    </row>
    <row r="460" spans="1:9" x14ac:dyDescent="0.2">
      <c r="A460" t="str">
        <f t="shared" si="0"/>
        <v>36861Vaipahu65AcroporidaeDessous</v>
      </c>
      <c r="B460" s="1">
        <v>36861</v>
      </c>
      <c r="C460" t="s">
        <v>23</v>
      </c>
      <c r="D460" s="19">
        <v>6</v>
      </c>
      <c r="E460">
        <v>5</v>
      </c>
      <c r="F460" t="s">
        <v>17</v>
      </c>
      <c r="G460" t="s">
        <v>8</v>
      </c>
      <c r="H460">
        <v>1</v>
      </c>
      <c r="I460" t="s">
        <v>27</v>
      </c>
    </row>
    <row r="461" spans="1:9" x14ac:dyDescent="0.2">
      <c r="A461" t="str">
        <f t="shared" si="0"/>
        <v>36861Vaipahu65CassésDessous</v>
      </c>
      <c r="B461" s="1">
        <v>36861</v>
      </c>
      <c r="C461" t="s">
        <v>23</v>
      </c>
      <c r="D461" s="19">
        <v>6</v>
      </c>
      <c r="E461">
        <v>5</v>
      </c>
      <c r="F461" t="s">
        <v>12</v>
      </c>
      <c r="G461" t="s">
        <v>8</v>
      </c>
      <c r="H461">
        <v>2</v>
      </c>
      <c r="I461" t="s">
        <v>27</v>
      </c>
    </row>
    <row r="462" spans="1:9" x14ac:dyDescent="0.2">
      <c r="A462" t="str">
        <f t="shared" si="0"/>
        <v>36861Vaipahu65PocilloporidaeDessous</v>
      </c>
      <c r="B462" s="1">
        <v>36861</v>
      </c>
      <c r="C462" t="s">
        <v>23</v>
      </c>
      <c r="D462" s="19">
        <v>6</v>
      </c>
      <c r="E462">
        <v>5</v>
      </c>
      <c r="F462" t="s">
        <v>10</v>
      </c>
      <c r="G462" t="s">
        <v>8</v>
      </c>
      <c r="H462">
        <v>1</v>
      </c>
      <c r="I462" t="s">
        <v>27</v>
      </c>
    </row>
    <row r="463" spans="1:9" x14ac:dyDescent="0.2">
      <c r="A463" t="str">
        <f t="shared" si="0"/>
        <v>36861Vaipahu65PoritidaeDessous</v>
      </c>
      <c r="B463" s="1">
        <v>36861</v>
      </c>
      <c r="C463" t="s">
        <v>23</v>
      </c>
      <c r="D463" s="19">
        <v>6</v>
      </c>
      <c r="E463">
        <v>5</v>
      </c>
      <c r="F463" t="s">
        <v>7</v>
      </c>
      <c r="G463" t="s">
        <v>8</v>
      </c>
      <c r="H463">
        <v>1</v>
      </c>
      <c r="I463" t="s">
        <v>27</v>
      </c>
    </row>
    <row r="464" spans="1:9" x14ac:dyDescent="0.2">
      <c r="A464" t="str">
        <f t="shared" si="0"/>
        <v>36861Vaipahu66CassésDessous</v>
      </c>
      <c r="B464" s="1">
        <v>36861</v>
      </c>
      <c r="C464" t="s">
        <v>23</v>
      </c>
      <c r="D464" s="19">
        <v>6</v>
      </c>
      <c r="E464">
        <v>6</v>
      </c>
      <c r="F464" t="s">
        <v>12</v>
      </c>
      <c r="G464" t="s">
        <v>8</v>
      </c>
      <c r="H464">
        <v>1</v>
      </c>
      <c r="I464" t="s">
        <v>27</v>
      </c>
    </row>
    <row r="465" spans="1:9" x14ac:dyDescent="0.2">
      <c r="A465" t="str">
        <f t="shared" si="0"/>
        <v>36861Vaipahu67PocilloporidaeDessous</v>
      </c>
      <c r="B465" s="1">
        <v>36861</v>
      </c>
      <c r="C465" t="s">
        <v>23</v>
      </c>
      <c r="D465" s="19">
        <v>6</v>
      </c>
      <c r="E465">
        <v>7</v>
      </c>
      <c r="F465" t="s">
        <v>10</v>
      </c>
      <c r="G465" t="s">
        <v>8</v>
      </c>
      <c r="H465">
        <v>1</v>
      </c>
      <c r="I465" t="s">
        <v>27</v>
      </c>
    </row>
    <row r="466" spans="1:9" x14ac:dyDescent="0.2">
      <c r="A466" t="str">
        <f t="shared" si="0"/>
        <v>36861Vaipahu68CassésDessous</v>
      </c>
      <c r="B466" s="1">
        <v>36861</v>
      </c>
      <c r="C466" t="s">
        <v>23</v>
      </c>
      <c r="D466" s="19">
        <v>6</v>
      </c>
      <c r="E466">
        <v>8</v>
      </c>
      <c r="F466" t="s">
        <v>12</v>
      </c>
      <c r="G466" t="s">
        <v>8</v>
      </c>
      <c r="H466">
        <v>2</v>
      </c>
      <c r="I466" t="s">
        <v>27</v>
      </c>
    </row>
    <row r="467" spans="1:9" x14ac:dyDescent="0.2">
      <c r="A467" t="str">
        <f t="shared" si="0"/>
        <v>36861Vaipahu68CassésDessus</v>
      </c>
      <c r="B467" s="1">
        <v>36861</v>
      </c>
      <c r="C467" t="s">
        <v>23</v>
      </c>
      <c r="D467" s="19">
        <v>6</v>
      </c>
      <c r="E467">
        <v>8</v>
      </c>
      <c r="F467" t="s">
        <v>12</v>
      </c>
      <c r="G467" t="s">
        <v>11</v>
      </c>
      <c r="H467">
        <v>1</v>
      </c>
      <c r="I467" t="s">
        <v>27</v>
      </c>
    </row>
    <row r="468" spans="1:9" x14ac:dyDescent="0.2">
      <c r="A468" t="str">
        <f t="shared" si="0"/>
        <v>36861Vaipahu68PocilloporidaeBords</v>
      </c>
      <c r="B468" s="1">
        <v>36861</v>
      </c>
      <c r="C468" t="s">
        <v>23</v>
      </c>
      <c r="D468" s="19">
        <v>6</v>
      </c>
      <c r="E468">
        <v>8</v>
      </c>
      <c r="F468" t="s">
        <v>10</v>
      </c>
      <c r="G468" t="s">
        <v>13</v>
      </c>
      <c r="H468">
        <v>1</v>
      </c>
      <c r="I468" t="s">
        <v>27</v>
      </c>
    </row>
    <row r="469" spans="1:9" x14ac:dyDescent="0.2">
      <c r="A469" t="str">
        <f t="shared" si="0"/>
        <v>36861Vaipahu68PocilloporidaeDessous</v>
      </c>
      <c r="B469" s="1">
        <v>36861</v>
      </c>
      <c r="C469" t="s">
        <v>23</v>
      </c>
      <c r="D469" s="19">
        <v>6</v>
      </c>
      <c r="E469">
        <v>8</v>
      </c>
      <c r="F469" t="s">
        <v>10</v>
      </c>
      <c r="G469" t="s">
        <v>8</v>
      </c>
      <c r="H469">
        <v>9</v>
      </c>
      <c r="I469" t="s">
        <v>27</v>
      </c>
    </row>
    <row r="470" spans="1:9" x14ac:dyDescent="0.2">
      <c r="A470" t="str">
        <f t="shared" si="0"/>
        <v>36861Vaipahu68PoritidaeBords</v>
      </c>
      <c r="B470" s="1">
        <v>36861</v>
      </c>
      <c r="C470" t="s">
        <v>23</v>
      </c>
      <c r="D470" s="19">
        <v>6</v>
      </c>
      <c r="E470">
        <v>8</v>
      </c>
      <c r="F470" t="s">
        <v>7</v>
      </c>
      <c r="G470" t="s">
        <v>13</v>
      </c>
      <c r="H470">
        <v>1</v>
      </c>
      <c r="I470" t="s">
        <v>27</v>
      </c>
    </row>
    <row r="471" spans="1:9" x14ac:dyDescent="0.2">
      <c r="A471" t="str">
        <f t="shared" si="0"/>
        <v>36861Vaipahu68PoritidaeDessous</v>
      </c>
      <c r="B471" s="1">
        <v>36861</v>
      </c>
      <c r="C471" t="s">
        <v>23</v>
      </c>
      <c r="D471" s="19">
        <v>6</v>
      </c>
      <c r="E471">
        <v>8</v>
      </c>
      <c r="F471" t="s">
        <v>7</v>
      </c>
      <c r="G471" t="s">
        <v>8</v>
      </c>
      <c r="H471">
        <v>2</v>
      </c>
      <c r="I471" t="s">
        <v>27</v>
      </c>
    </row>
    <row r="472" spans="1:9" x14ac:dyDescent="0.2">
      <c r="A472" t="str">
        <f t="shared" si="0"/>
        <v>36861Vaipahu69AcroporidaeBords</v>
      </c>
      <c r="B472" s="1">
        <v>36861</v>
      </c>
      <c r="C472" t="s">
        <v>23</v>
      </c>
      <c r="D472" s="19">
        <v>6</v>
      </c>
      <c r="E472">
        <v>9</v>
      </c>
      <c r="F472" t="s">
        <v>17</v>
      </c>
      <c r="G472" t="s">
        <v>13</v>
      </c>
      <c r="H472">
        <v>1</v>
      </c>
      <c r="I472" t="s">
        <v>27</v>
      </c>
    </row>
    <row r="473" spans="1:9" x14ac:dyDescent="0.2">
      <c r="A473" t="str">
        <f t="shared" si="0"/>
        <v>36861Vaipahu69AcroporidaeDessous</v>
      </c>
      <c r="B473" s="1">
        <v>36861</v>
      </c>
      <c r="C473" t="s">
        <v>23</v>
      </c>
      <c r="D473" s="19">
        <v>6</v>
      </c>
      <c r="E473">
        <v>9</v>
      </c>
      <c r="F473" t="s">
        <v>17</v>
      </c>
      <c r="G473" t="s">
        <v>8</v>
      </c>
      <c r="H473">
        <v>1</v>
      </c>
      <c r="I473" t="s">
        <v>27</v>
      </c>
    </row>
    <row r="474" spans="1:9" x14ac:dyDescent="0.2">
      <c r="A474" t="str">
        <f t="shared" si="0"/>
        <v>36861Vaipahu69CassésDessous</v>
      </c>
      <c r="B474" s="1">
        <v>36861</v>
      </c>
      <c r="C474" t="s">
        <v>23</v>
      </c>
      <c r="D474" s="19">
        <v>6</v>
      </c>
      <c r="E474">
        <v>9</v>
      </c>
      <c r="F474" t="s">
        <v>12</v>
      </c>
      <c r="G474" t="s">
        <v>8</v>
      </c>
      <c r="H474">
        <v>1</v>
      </c>
      <c r="I474" t="s">
        <v>27</v>
      </c>
    </row>
    <row r="475" spans="1:9" x14ac:dyDescent="0.2">
      <c r="A475" t="str">
        <f t="shared" si="0"/>
        <v>36861Vaipahu69PocilloporidaeBords</v>
      </c>
      <c r="B475" s="1">
        <v>36861</v>
      </c>
      <c r="C475" t="s">
        <v>23</v>
      </c>
      <c r="D475" s="19">
        <v>6</v>
      </c>
      <c r="E475">
        <v>9</v>
      </c>
      <c r="F475" t="s">
        <v>10</v>
      </c>
      <c r="G475" t="s">
        <v>13</v>
      </c>
      <c r="H475">
        <v>2</v>
      </c>
      <c r="I475" t="s">
        <v>27</v>
      </c>
    </row>
    <row r="476" spans="1:9" x14ac:dyDescent="0.2">
      <c r="A476" t="str">
        <f t="shared" si="0"/>
        <v>36861Vaipahu69PocilloporidaeDessous</v>
      </c>
      <c r="B476" s="1">
        <v>36861</v>
      </c>
      <c r="C476" t="s">
        <v>23</v>
      </c>
      <c r="D476" s="19">
        <v>6</v>
      </c>
      <c r="E476">
        <v>9</v>
      </c>
      <c r="F476" t="s">
        <v>10</v>
      </c>
      <c r="G476" t="s">
        <v>8</v>
      </c>
      <c r="H476">
        <v>12</v>
      </c>
      <c r="I476" t="s">
        <v>27</v>
      </c>
    </row>
    <row r="477" spans="1:9" x14ac:dyDescent="0.2">
      <c r="A477" t="str">
        <f t="shared" si="0"/>
        <v>36861Vaipahu69PocilloporidaeDessus</v>
      </c>
      <c r="B477" s="1">
        <v>36861</v>
      </c>
      <c r="C477" t="s">
        <v>23</v>
      </c>
      <c r="D477" s="19">
        <v>6</v>
      </c>
      <c r="E477">
        <v>9</v>
      </c>
      <c r="F477" t="s">
        <v>10</v>
      </c>
      <c r="G477" t="s">
        <v>11</v>
      </c>
      <c r="H477">
        <v>2</v>
      </c>
      <c r="I477" t="s">
        <v>27</v>
      </c>
    </row>
    <row r="478" spans="1:9" x14ac:dyDescent="0.2">
      <c r="A478" t="str">
        <f t="shared" si="0"/>
        <v>36861Vaipahu610CassésDessous</v>
      </c>
      <c r="B478" s="1">
        <v>36861</v>
      </c>
      <c r="C478" t="s">
        <v>23</v>
      </c>
      <c r="D478" s="19">
        <v>6</v>
      </c>
      <c r="E478">
        <v>10</v>
      </c>
      <c r="F478" t="s">
        <v>12</v>
      </c>
      <c r="G478" t="s">
        <v>8</v>
      </c>
      <c r="H478">
        <v>1</v>
      </c>
      <c r="I478" t="s">
        <v>27</v>
      </c>
    </row>
    <row r="479" spans="1:9" x14ac:dyDescent="0.2">
      <c r="A479" t="str">
        <f t="shared" si="0"/>
        <v>36861Vaipahu610PocilloporidaeDessous</v>
      </c>
      <c r="B479" s="1">
        <v>36861</v>
      </c>
      <c r="C479" t="s">
        <v>23</v>
      </c>
      <c r="D479" s="19">
        <v>6</v>
      </c>
      <c r="E479">
        <v>10</v>
      </c>
      <c r="F479" t="s">
        <v>10</v>
      </c>
      <c r="G479" t="s">
        <v>8</v>
      </c>
      <c r="H479">
        <v>9</v>
      </c>
      <c r="I479" t="s">
        <v>27</v>
      </c>
    </row>
    <row r="480" spans="1:9" x14ac:dyDescent="0.2">
      <c r="A480" t="str">
        <f t="shared" si="0"/>
        <v>36861Vaipahu610PoritidaeBords</v>
      </c>
      <c r="B480" s="1">
        <v>36861</v>
      </c>
      <c r="C480" t="s">
        <v>23</v>
      </c>
      <c r="D480" s="19">
        <v>6</v>
      </c>
      <c r="E480">
        <v>10</v>
      </c>
      <c r="F480" t="s">
        <v>7</v>
      </c>
      <c r="G480" t="s">
        <v>13</v>
      </c>
      <c r="H480">
        <v>1</v>
      </c>
      <c r="I480" t="s">
        <v>27</v>
      </c>
    </row>
    <row r="481" spans="1:9" x14ac:dyDescent="0.2">
      <c r="A481" t="str">
        <f t="shared" si="0"/>
        <v>36861Vaipahu610PoritidaeDessous</v>
      </c>
      <c r="B481" s="1">
        <v>36861</v>
      </c>
      <c r="C481" t="s">
        <v>23</v>
      </c>
      <c r="D481" s="19">
        <v>6</v>
      </c>
      <c r="E481">
        <v>10</v>
      </c>
      <c r="F481" t="s">
        <v>7</v>
      </c>
      <c r="G481" t="s">
        <v>8</v>
      </c>
      <c r="H481">
        <v>2</v>
      </c>
      <c r="I481" t="s">
        <v>27</v>
      </c>
    </row>
    <row r="482" spans="1:9" x14ac:dyDescent="0.2">
      <c r="A482" t="str">
        <f t="shared" si="0"/>
        <v>36861Vaipahu611CassésDessous</v>
      </c>
      <c r="B482" s="1">
        <v>36861</v>
      </c>
      <c r="C482" t="s">
        <v>23</v>
      </c>
      <c r="D482" s="19">
        <v>6</v>
      </c>
      <c r="E482">
        <v>11</v>
      </c>
      <c r="F482" t="s">
        <v>12</v>
      </c>
      <c r="G482" t="s">
        <v>8</v>
      </c>
      <c r="H482">
        <v>2</v>
      </c>
      <c r="I482" t="s">
        <v>27</v>
      </c>
    </row>
    <row r="483" spans="1:9" x14ac:dyDescent="0.2">
      <c r="A483" t="str">
        <f t="shared" si="0"/>
        <v>36861Vaipahu611PocilloporidaeBords</v>
      </c>
      <c r="B483" s="1">
        <v>36861</v>
      </c>
      <c r="C483" t="s">
        <v>23</v>
      </c>
      <c r="D483" s="19">
        <v>6</v>
      </c>
      <c r="E483">
        <v>11</v>
      </c>
      <c r="F483" t="s">
        <v>10</v>
      </c>
      <c r="G483" t="s">
        <v>13</v>
      </c>
      <c r="H483">
        <v>3</v>
      </c>
      <c r="I483" t="s">
        <v>27</v>
      </c>
    </row>
    <row r="484" spans="1:9" x14ac:dyDescent="0.2">
      <c r="A484" t="str">
        <f t="shared" si="0"/>
        <v>36861Vaipahu611PocilloporidaeDessous</v>
      </c>
      <c r="B484" s="1">
        <v>36861</v>
      </c>
      <c r="C484" t="s">
        <v>23</v>
      </c>
      <c r="D484" s="19">
        <v>6</v>
      </c>
      <c r="E484">
        <v>11</v>
      </c>
      <c r="F484" t="s">
        <v>10</v>
      </c>
      <c r="G484" t="s">
        <v>8</v>
      </c>
      <c r="H484">
        <v>6</v>
      </c>
      <c r="I484" t="s">
        <v>27</v>
      </c>
    </row>
    <row r="485" spans="1:9" x14ac:dyDescent="0.2">
      <c r="A485" t="str">
        <f t="shared" si="0"/>
        <v>36861Vaipahu611PocilloporidaeDessus</v>
      </c>
      <c r="B485" s="1">
        <v>36861</v>
      </c>
      <c r="C485" t="s">
        <v>23</v>
      </c>
      <c r="D485" s="19">
        <v>6</v>
      </c>
      <c r="E485">
        <v>11</v>
      </c>
      <c r="F485" t="s">
        <v>10</v>
      </c>
      <c r="G485" t="s">
        <v>11</v>
      </c>
      <c r="H485">
        <v>1</v>
      </c>
      <c r="I485" t="s">
        <v>27</v>
      </c>
    </row>
    <row r="486" spans="1:9" x14ac:dyDescent="0.2">
      <c r="A486" t="str">
        <f t="shared" si="0"/>
        <v>36861Vaipahu611PoritidaeBords</v>
      </c>
      <c r="B486" s="1">
        <v>36861</v>
      </c>
      <c r="C486" t="s">
        <v>23</v>
      </c>
      <c r="D486" s="19">
        <v>6</v>
      </c>
      <c r="E486">
        <v>11</v>
      </c>
      <c r="F486" t="s">
        <v>7</v>
      </c>
      <c r="G486" t="s">
        <v>13</v>
      </c>
      <c r="H486">
        <v>2</v>
      </c>
      <c r="I486" t="s">
        <v>27</v>
      </c>
    </row>
    <row r="487" spans="1:9" x14ac:dyDescent="0.2">
      <c r="A487" t="str">
        <f t="shared" si="0"/>
        <v>36861Vaipahu612CassésBords</v>
      </c>
      <c r="B487" s="1">
        <v>36861</v>
      </c>
      <c r="C487" t="s">
        <v>23</v>
      </c>
      <c r="D487" s="19">
        <v>6</v>
      </c>
      <c r="E487">
        <v>12</v>
      </c>
      <c r="F487" t="s">
        <v>12</v>
      </c>
      <c r="G487" t="s">
        <v>13</v>
      </c>
      <c r="H487">
        <v>1</v>
      </c>
      <c r="I487" t="s">
        <v>27</v>
      </c>
    </row>
    <row r="488" spans="1:9" x14ac:dyDescent="0.2">
      <c r="A488" t="str">
        <f t="shared" si="0"/>
        <v>36861Vaipahu612PocilloporidaeBords</v>
      </c>
      <c r="B488" s="1">
        <v>36861</v>
      </c>
      <c r="C488" t="s">
        <v>23</v>
      </c>
      <c r="D488" s="19">
        <v>6</v>
      </c>
      <c r="E488">
        <v>12</v>
      </c>
      <c r="F488" t="s">
        <v>10</v>
      </c>
      <c r="G488" t="s">
        <v>13</v>
      </c>
      <c r="H488">
        <v>10</v>
      </c>
      <c r="I488" t="s">
        <v>27</v>
      </c>
    </row>
    <row r="489" spans="1:9" x14ac:dyDescent="0.2">
      <c r="A489" t="str">
        <f t="shared" si="0"/>
        <v>36861Vaipahu612PocilloporidaeDessous</v>
      </c>
      <c r="B489" s="1">
        <v>36861</v>
      </c>
      <c r="C489" t="s">
        <v>23</v>
      </c>
      <c r="D489" s="19">
        <v>6</v>
      </c>
      <c r="E489">
        <v>12</v>
      </c>
      <c r="F489" t="s">
        <v>10</v>
      </c>
      <c r="G489" t="s">
        <v>8</v>
      </c>
      <c r="H489">
        <v>3</v>
      </c>
      <c r="I489" t="s">
        <v>27</v>
      </c>
    </row>
    <row r="490" spans="1:9" x14ac:dyDescent="0.2">
      <c r="A490" t="str">
        <f t="shared" si="0"/>
        <v>36861Vaipahu612PocilloporidaeDessus</v>
      </c>
      <c r="B490" s="1">
        <v>36861</v>
      </c>
      <c r="C490" t="s">
        <v>23</v>
      </c>
      <c r="D490" s="19">
        <v>6</v>
      </c>
      <c r="E490">
        <v>12</v>
      </c>
      <c r="F490" t="s">
        <v>10</v>
      </c>
      <c r="G490" t="s">
        <v>11</v>
      </c>
      <c r="H490">
        <v>1</v>
      </c>
      <c r="I490" t="s">
        <v>27</v>
      </c>
    </row>
    <row r="491" spans="1:9" x14ac:dyDescent="0.2">
      <c r="A491" t="str">
        <f t="shared" si="0"/>
        <v>36861Vaipahu612PoritidaeBords</v>
      </c>
      <c r="B491" s="1">
        <v>36861</v>
      </c>
      <c r="C491" t="s">
        <v>23</v>
      </c>
      <c r="D491" s="19">
        <v>6</v>
      </c>
      <c r="E491">
        <v>12</v>
      </c>
      <c r="F491" t="s">
        <v>7</v>
      </c>
      <c r="G491" t="s">
        <v>13</v>
      </c>
      <c r="H491">
        <v>3</v>
      </c>
      <c r="I491" t="s">
        <v>27</v>
      </c>
    </row>
    <row r="492" spans="1:9" x14ac:dyDescent="0.2">
      <c r="A492" t="str">
        <f t="shared" si="0"/>
        <v>36861Vaipahu612PoritidaeDessous</v>
      </c>
      <c r="B492" s="1">
        <v>36861</v>
      </c>
      <c r="C492" t="s">
        <v>23</v>
      </c>
      <c r="D492" s="19">
        <v>6</v>
      </c>
      <c r="E492">
        <v>12</v>
      </c>
      <c r="F492" t="s">
        <v>7</v>
      </c>
      <c r="G492" t="s">
        <v>8</v>
      </c>
      <c r="H492">
        <v>1</v>
      </c>
      <c r="I492" t="s">
        <v>27</v>
      </c>
    </row>
    <row r="493" spans="1:9" x14ac:dyDescent="0.2">
      <c r="A493" t="str">
        <f t="shared" si="0"/>
        <v>36861Vaipahu612PoritidaeDessus</v>
      </c>
      <c r="B493" s="1">
        <v>36861</v>
      </c>
      <c r="C493" t="s">
        <v>23</v>
      </c>
      <c r="D493" s="19">
        <v>6</v>
      </c>
      <c r="E493">
        <v>12</v>
      </c>
      <c r="F493" t="s">
        <v>7</v>
      </c>
      <c r="G493" t="s">
        <v>11</v>
      </c>
      <c r="H493">
        <v>1</v>
      </c>
      <c r="I493" t="s">
        <v>27</v>
      </c>
    </row>
    <row r="494" spans="1:9" x14ac:dyDescent="0.2">
      <c r="A494" t="str">
        <f t="shared" si="0"/>
        <v>36861Vaipahu613</v>
      </c>
      <c r="B494" s="1">
        <v>36861</v>
      </c>
      <c r="C494" t="s">
        <v>23</v>
      </c>
      <c r="D494" s="19">
        <v>6</v>
      </c>
      <c r="E494">
        <v>13</v>
      </c>
      <c r="F494" t="s">
        <v>27</v>
      </c>
      <c r="G494" t="s">
        <v>27</v>
      </c>
      <c r="H494" t="s">
        <v>27</v>
      </c>
      <c r="I494" t="s">
        <v>31</v>
      </c>
    </row>
    <row r="495" spans="1:9" x14ac:dyDescent="0.2">
      <c r="A495" t="str">
        <f t="shared" si="0"/>
        <v>36861Vaipahu614CassésDessous</v>
      </c>
      <c r="B495" s="1">
        <v>36861</v>
      </c>
      <c r="C495" t="s">
        <v>23</v>
      </c>
      <c r="D495" s="19">
        <v>6</v>
      </c>
      <c r="E495">
        <v>14</v>
      </c>
      <c r="F495" t="s">
        <v>12</v>
      </c>
      <c r="G495" t="s">
        <v>8</v>
      </c>
      <c r="H495">
        <v>1</v>
      </c>
      <c r="I495" t="s">
        <v>27</v>
      </c>
    </row>
    <row r="496" spans="1:9" x14ac:dyDescent="0.2">
      <c r="A496" t="str">
        <f t="shared" si="0"/>
        <v>36861Vaipahu614CassésDessus</v>
      </c>
      <c r="B496" s="1">
        <v>36861</v>
      </c>
      <c r="C496" t="s">
        <v>23</v>
      </c>
      <c r="D496" s="19">
        <v>6</v>
      </c>
      <c r="E496">
        <v>14</v>
      </c>
      <c r="F496" t="s">
        <v>12</v>
      </c>
      <c r="G496" t="s">
        <v>11</v>
      </c>
      <c r="H496">
        <v>1</v>
      </c>
      <c r="I496" t="s">
        <v>27</v>
      </c>
    </row>
    <row r="497" spans="1:9" x14ac:dyDescent="0.2">
      <c r="A497" t="str">
        <f t="shared" si="0"/>
        <v>36861Vaipahu614PocilloporidaeBords</v>
      </c>
      <c r="B497" s="1">
        <v>36861</v>
      </c>
      <c r="C497" t="s">
        <v>23</v>
      </c>
      <c r="D497" s="19">
        <v>6</v>
      </c>
      <c r="E497">
        <v>14</v>
      </c>
      <c r="F497" t="s">
        <v>10</v>
      </c>
      <c r="G497" t="s">
        <v>13</v>
      </c>
      <c r="H497">
        <v>4</v>
      </c>
      <c r="I497" t="s">
        <v>27</v>
      </c>
    </row>
    <row r="498" spans="1:9" x14ac:dyDescent="0.2">
      <c r="A498" t="str">
        <f t="shared" si="0"/>
        <v>36861Vaipahu614PocilloporidaeDessous</v>
      </c>
      <c r="B498" s="1">
        <v>36861</v>
      </c>
      <c r="C498" t="s">
        <v>23</v>
      </c>
      <c r="D498" s="19">
        <v>6</v>
      </c>
      <c r="E498">
        <v>14</v>
      </c>
      <c r="F498" t="s">
        <v>10</v>
      </c>
      <c r="G498" t="s">
        <v>8</v>
      </c>
      <c r="H498">
        <v>2</v>
      </c>
      <c r="I498" t="s">
        <v>27</v>
      </c>
    </row>
    <row r="499" spans="1:9" x14ac:dyDescent="0.2">
      <c r="A499" t="str">
        <f t="shared" si="0"/>
        <v>36861Vaipahu614PocilloporidaeDessus</v>
      </c>
      <c r="B499" s="1">
        <v>36861</v>
      </c>
      <c r="C499" t="s">
        <v>23</v>
      </c>
      <c r="D499" s="19">
        <v>6</v>
      </c>
      <c r="E499">
        <v>14</v>
      </c>
      <c r="F499" t="s">
        <v>10</v>
      </c>
      <c r="G499" t="s">
        <v>11</v>
      </c>
      <c r="H499">
        <v>1</v>
      </c>
      <c r="I499" t="s">
        <v>27</v>
      </c>
    </row>
    <row r="500" spans="1:9" x14ac:dyDescent="0.2">
      <c r="A500" t="str">
        <f t="shared" si="0"/>
        <v>36861Vaipahu614PoritidaeBords</v>
      </c>
      <c r="B500" s="1">
        <v>36861</v>
      </c>
      <c r="C500" t="s">
        <v>23</v>
      </c>
      <c r="D500" s="19">
        <v>6</v>
      </c>
      <c r="E500">
        <v>14</v>
      </c>
      <c r="F500" t="s">
        <v>7</v>
      </c>
      <c r="G500" t="s">
        <v>13</v>
      </c>
      <c r="H500">
        <v>2</v>
      </c>
      <c r="I500" t="s">
        <v>27</v>
      </c>
    </row>
    <row r="501" spans="1:9" x14ac:dyDescent="0.2">
      <c r="A501" t="str">
        <f t="shared" si="0"/>
        <v>36861Vaipahu614PoritidaeDessous</v>
      </c>
      <c r="B501" s="1">
        <v>36861</v>
      </c>
      <c r="C501" t="s">
        <v>23</v>
      </c>
      <c r="D501" s="19">
        <v>6</v>
      </c>
      <c r="E501">
        <v>14</v>
      </c>
      <c r="F501" t="s">
        <v>7</v>
      </c>
      <c r="G501" t="s">
        <v>8</v>
      </c>
      <c r="H501">
        <v>1</v>
      </c>
      <c r="I501" t="s">
        <v>27</v>
      </c>
    </row>
    <row r="502" spans="1:9" x14ac:dyDescent="0.2">
      <c r="A502" t="str">
        <f t="shared" si="0"/>
        <v>36861Vaipahu615AcroporidaeDessous</v>
      </c>
      <c r="B502" s="1">
        <v>36861</v>
      </c>
      <c r="C502" t="s">
        <v>23</v>
      </c>
      <c r="D502" s="19">
        <v>6</v>
      </c>
      <c r="E502">
        <v>15</v>
      </c>
      <c r="F502" t="s">
        <v>17</v>
      </c>
      <c r="G502" t="s">
        <v>8</v>
      </c>
      <c r="H502">
        <v>1</v>
      </c>
      <c r="I502" t="s">
        <v>27</v>
      </c>
    </row>
    <row r="503" spans="1:9" x14ac:dyDescent="0.2">
      <c r="A503" t="str">
        <f t="shared" si="0"/>
        <v>36861Vaipahu615CassésBords</v>
      </c>
      <c r="B503" s="1">
        <v>36861</v>
      </c>
      <c r="C503" t="s">
        <v>23</v>
      </c>
      <c r="D503" s="19">
        <v>6</v>
      </c>
      <c r="E503">
        <v>15</v>
      </c>
      <c r="F503" t="s">
        <v>12</v>
      </c>
      <c r="G503" t="s">
        <v>13</v>
      </c>
      <c r="H503">
        <v>3</v>
      </c>
      <c r="I503" t="s">
        <v>27</v>
      </c>
    </row>
    <row r="504" spans="1:9" x14ac:dyDescent="0.2">
      <c r="A504" t="str">
        <f t="shared" si="0"/>
        <v>36861Vaipahu615CassésDessus</v>
      </c>
      <c r="B504" s="1">
        <v>36861</v>
      </c>
      <c r="C504" t="s">
        <v>23</v>
      </c>
      <c r="D504" s="19">
        <v>6</v>
      </c>
      <c r="E504">
        <v>15</v>
      </c>
      <c r="F504" t="s">
        <v>12</v>
      </c>
      <c r="G504" t="s">
        <v>11</v>
      </c>
      <c r="H504">
        <v>1</v>
      </c>
      <c r="I504" t="s">
        <v>27</v>
      </c>
    </row>
    <row r="505" spans="1:9" x14ac:dyDescent="0.2">
      <c r="A505" t="str">
        <f t="shared" si="0"/>
        <v>36861Vaipahu615PocilloporidaeBords</v>
      </c>
      <c r="B505" s="1">
        <v>36861</v>
      </c>
      <c r="C505" t="s">
        <v>23</v>
      </c>
      <c r="D505" s="19">
        <v>6</v>
      </c>
      <c r="E505">
        <v>15</v>
      </c>
      <c r="F505" t="s">
        <v>10</v>
      </c>
      <c r="G505" t="s">
        <v>13</v>
      </c>
      <c r="H505">
        <v>8</v>
      </c>
      <c r="I505" t="s">
        <v>27</v>
      </c>
    </row>
    <row r="506" spans="1:9" x14ac:dyDescent="0.2">
      <c r="A506" t="str">
        <f t="shared" si="0"/>
        <v>36861Vaipahu615PocilloporidaeDessous</v>
      </c>
      <c r="B506" s="1">
        <v>36861</v>
      </c>
      <c r="C506" t="s">
        <v>23</v>
      </c>
      <c r="D506" s="19">
        <v>6</v>
      </c>
      <c r="E506">
        <v>15</v>
      </c>
      <c r="F506" t="s">
        <v>10</v>
      </c>
      <c r="G506" t="s">
        <v>8</v>
      </c>
      <c r="H506">
        <v>1</v>
      </c>
      <c r="I506" t="s">
        <v>27</v>
      </c>
    </row>
    <row r="507" spans="1:9" x14ac:dyDescent="0.2">
      <c r="A507" t="str">
        <f t="shared" si="0"/>
        <v>36861Vaipahu616CassésBords</v>
      </c>
      <c r="B507" s="1">
        <v>36861</v>
      </c>
      <c r="C507" t="s">
        <v>23</v>
      </c>
      <c r="D507" s="19">
        <v>6</v>
      </c>
      <c r="E507">
        <v>16</v>
      </c>
      <c r="F507" t="s">
        <v>12</v>
      </c>
      <c r="G507" t="s">
        <v>13</v>
      </c>
      <c r="H507">
        <v>2</v>
      </c>
      <c r="I507" t="s">
        <v>27</v>
      </c>
    </row>
    <row r="508" spans="1:9" x14ac:dyDescent="0.2">
      <c r="A508" t="str">
        <f t="shared" si="0"/>
        <v>36861Vaipahu616PocilloporidaeBords</v>
      </c>
      <c r="B508" s="1">
        <v>36861</v>
      </c>
      <c r="C508" t="s">
        <v>23</v>
      </c>
      <c r="D508" s="19">
        <v>6</v>
      </c>
      <c r="E508">
        <v>16</v>
      </c>
      <c r="F508" t="s">
        <v>10</v>
      </c>
      <c r="G508" t="s">
        <v>13</v>
      </c>
      <c r="H508">
        <v>8</v>
      </c>
      <c r="I508" t="s">
        <v>27</v>
      </c>
    </row>
    <row r="509" spans="1:9" x14ac:dyDescent="0.2">
      <c r="A509" t="str">
        <f t="shared" si="0"/>
        <v>36861Vaipahu616PocilloporidaeDessous</v>
      </c>
      <c r="B509" s="1">
        <v>36861</v>
      </c>
      <c r="C509" t="s">
        <v>23</v>
      </c>
      <c r="D509" s="19">
        <v>6</v>
      </c>
      <c r="E509">
        <v>16</v>
      </c>
      <c r="F509" t="s">
        <v>10</v>
      </c>
      <c r="G509" t="s">
        <v>8</v>
      </c>
      <c r="H509">
        <v>5</v>
      </c>
      <c r="I509" t="s">
        <v>27</v>
      </c>
    </row>
    <row r="510" spans="1:9" x14ac:dyDescent="0.2">
      <c r="A510" t="str">
        <f t="shared" si="0"/>
        <v>36861Vaipahu616PoritidaeDessous</v>
      </c>
      <c r="B510" s="1">
        <v>36861</v>
      </c>
      <c r="C510" t="s">
        <v>23</v>
      </c>
      <c r="D510" s="19">
        <v>6</v>
      </c>
      <c r="E510">
        <v>16</v>
      </c>
      <c r="F510" t="s">
        <v>7</v>
      </c>
      <c r="G510" t="s">
        <v>8</v>
      </c>
      <c r="H510">
        <v>3</v>
      </c>
      <c r="I510" t="s">
        <v>27</v>
      </c>
    </row>
    <row r="511" spans="1:9" x14ac:dyDescent="0.2">
      <c r="A511" t="str">
        <f t="shared" ref="A511:A574" si="255">B511 &amp; C511&amp; D511&amp; E511 &amp; F511 &amp;G511</f>
        <v>36861Vaipahu617</v>
      </c>
      <c r="B511" s="1">
        <v>36861</v>
      </c>
      <c r="C511" t="s">
        <v>23</v>
      </c>
      <c r="D511" s="19">
        <v>6</v>
      </c>
      <c r="E511">
        <v>17</v>
      </c>
      <c r="F511" t="s">
        <v>27</v>
      </c>
      <c r="G511" t="s">
        <v>27</v>
      </c>
      <c r="H511" t="s">
        <v>27</v>
      </c>
      <c r="I511" t="s">
        <v>31</v>
      </c>
    </row>
    <row r="512" spans="1:9" x14ac:dyDescent="0.2">
      <c r="A512" t="str">
        <f t="shared" si="255"/>
        <v>36861Vaipahu618AutresDessous</v>
      </c>
      <c r="B512" s="1">
        <v>36861</v>
      </c>
      <c r="C512" t="s">
        <v>23</v>
      </c>
      <c r="D512" s="19">
        <v>6</v>
      </c>
      <c r="E512">
        <v>18</v>
      </c>
      <c r="F512" t="s">
        <v>14</v>
      </c>
      <c r="G512" t="s">
        <v>8</v>
      </c>
      <c r="H512">
        <v>1</v>
      </c>
      <c r="I512" t="s">
        <v>27</v>
      </c>
    </row>
    <row r="513" spans="1:9" x14ac:dyDescent="0.2">
      <c r="A513" t="str">
        <f t="shared" si="255"/>
        <v>36861Vaipahu618CassésDessous</v>
      </c>
      <c r="B513" s="1">
        <v>36861</v>
      </c>
      <c r="C513" t="s">
        <v>23</v>
      </c>
      <c r="D513" s="19">
        <v>6</v>
      </c>
      <c r="E513">
        <v>18</v>
      </c>
      <c r="F513" t="s">
        <v>12</v>
      </c>
      <c r="G513" t="s">
        <v>8</v>
      </c>
      <c r="H513">
        <v>1</v>
      </c>
      <c r="I513" t="s">
        <v>27</v>
      </c>
    </row>
    <row r="514" spans="1:9" x14ac:dyDescent="0.2">
      <c r="A514" t="str">
        <f t="shared" si="255"/>
        <v>36861Vaipahu618PocilloporidaeDessous</v>
      </c>
      <c r="B514" s="1">
        <v>36861</v>
      </c>
      <c r="C514" t="s">
        <v>23</v>
      </c>
      <c r="D514" s="19">
        <v>6</v>
      </c>
      <c r="E514">
        <v>18</v>
      </c>
      <c r="F514" t="s">
        <v>10</v>
      </c>
      <c r="G514" t="s">
        <v>8</v>
      </c>
      <c r="H514">
        <v>8</v>
      </c>
    </row>
    <row r="515" spans="1:9" x14ac:dyDescent="0.2">
      <c r="A515" t="str">
        <f t="shared" si="255"/>
        <v>36861Vaipahu618PoritidaeDessous</v>
      </c>
      <c r="B515" s="1">
        <v>36861</v>
      </c>
      <c r="C515" t="s">
        <v>23</v>
      </c>
      <c r="D515" s="19">
        <v>6</v>
      </c>
      <c r="E515">
        <v>18</v>
      </c>
      <c r="F515" t="s">
        <v>7</v>
      </c>
      <c r="G515" t="s">
        <v>8</v>
      </c>
      <c r="H515">
        <v>2</v>
      </c>
      <c r="I515" t="s">
        <v>27</v>
      </c>
    </row>
    <row r="516" spans="1:9" x14ac:dyDescent="0.2">
      <c r="A516" t="str">
        <f t="shared" si="255"/>
        <v>36861Vaipahu619CassésDessus</v>
      </c>
      <c r="B516" s="1">
        <v>36861</v>
      </c>
      <c r="C516" t="s">
        <v>23</v>
      </c>
      <c r="D516" s="19">
        <v>6</v>
      </c>
      <c r="E516">
        <v>19</v>
      </c>
      <c r="F516" t="s">
        <v>12</v>
      </c>
      <c r="G516" t="s">
        <v>11</v>
      </c>
      <c r="H516">
        <v>2</v>
      </c>
      <c r="I516" t="s">
        <v>27</v>
      </c>
    </row>
    <row r="517" spans="1:9" x14ac:dyDescent="0.2">
      <c r="A517" t="str">
        <f t="shared" si="255"/>
        <v>36861Vaipahu619PocilloporidaeDessous</v>
      </c>
      <c r="B517" s="1">
        <v>36861</v>
      </c>
      <c r="C517" t="s">
        <v>23</v>
      </c>
      <c r="D517" s="19">
        <v>6</v>
      </c>
      <c r="E517">
        <v>19</v>
      </c>
      <c r="F517" t="s">
        <v>10</v>
      </c>
      <c r="G517" t="s">
        <v>8</v>
      </c>
      <c r="H517">
        <v>3</v>
      </c>
      <c r="I517" t="s">
        <v>27</v>
      </c>
    </row>
    <row r="518" spans="1:9" x14ac:dyDescent="0.2">
      <c r="A518" t="str">
        <f t="shared" si="255"/>
        <v>36861Vaipahu619PocilloporidaeDessus</v>
      </c>
      <c r="B518" s="1">
        <v>36861</v>
      </c>
      <c r="C518" t="s">
        <v>23</v>
      </c>
      <c r="D518" s="19">
        <v>6</v>
      </c>
      <c r="E518">
        <v>19</v>
      </c>
      <c r="F518" t="s">
        <v>10</v>
      </c>
      <c r="G518" t="s">
        <v>11</v>
      </c>
      <c r="H518">
        <v>1</v>
      </c>
      <c r="I518" t="s">
        <v>27</v>
      </c>
    </row>
    <row r="519" spans="1:9" x14ac:dyDescent="0.2">
      <c r="A519" t="str">
        <f t="shared" si="255"/>
        <v>36861Vaipahu620CassésDessous</v>
      </c>
      <c r="B519" s="1">
        <v>36861</v>
      </c>
      <c r="C519" t="s">
        <v>23</v>
      </c>
      <c r="D519" s="19">
        <v>6</v>
      </c>
      <c r="E519">
        <v>20</v>
      </c>
      <c r="F519" t="s">
        <v>12</v>
      </c>
      <c r="G519" t="s">
        <v>8</v>
      </c>
      <c r="H519">
        <v>1</v>
      </c>
      <c r="I519" t="s">
        <v>27</v>
      </c>
    </row>
    <row r="520" spans="1:9" x14ac:dyDescent="0.2">
      <c r="A520" t="str">
        <f t="shared" si="255"/>
        <v>36861Vaipahu620CassésDessus</v>
      </c>
      <c r="B520" s="1">
        <v>36861</v>
      </c>
      <c r="C520" t="s">
        <v>23</v>
      </c>
      <c r="D520" s="19">
        <v>6</v>
      </c>
      <c r="E520">
        <v>20</v>
      </c>
      <c r="F520" t="s">
        <v>12</v>
      </c>
      <c r="G520" t="s">
        <v>11</v>
      </c>
      <c r="H520">
        <v>1</v>
      </c>
      <c r="I520" t="s">
        <v>27</v>
      </c>
    </row>
    <row r="521" spans="1:9" x14ac:dyDescent="0.2">
      <c r="A521" t="str">
        <f t="shared" si="255"/>
        <v>36861Vaipahu620PocilloporidaeBords</v>
      </c>
      <c r="B521" s="1">
        <v>36861</v>
      </c>
      <c r="C521" t="s">
        <v>23</v>
      </c>
      <c r="D521" s="19">
        <v>6</v>
      </c>
      <c r="E521">
        <v>20</v>
      </c>
      <c r="F521" t="s">
        <v>10</v>
      </c>
      <c r="G521" t="s">
        <v>13</v>
      </c>
      <c r="H521">
        <v>9</v>
      </c>
      <c r="I521" t="s">
        <v>27</v>
      </c>
    </row>
    <row r="522" spans="1:9" x14ac:dyDescent="0.2">
      <c r="A522" t="str">
        <f t="shared" si="255"/>
        <v>36861Vaipahu620PocilloporidaeDessous</v>
      </c>
      <c r="B522" s="1">
        <v>36861</v>
      </c>
      <c r="C522" t="s">
        <v>23</v>
      </c>
      <c r="D522" s="19">
        <v>6</v>
      </c>
      <c r="E522">
        <v>20</v>
      </c>
      <c r="F522" t="s">
        <v>10</v>
      </c>
      <c r="G522" t="s">
        <v>8</v>
      </c>
      <c r="H522">
        <v>2</v>
      </c>
      <c r="I522" t="s">
        <v>27</v>
      </c>
    </row>
    <row r="523" spans="1:9" x14ac:dyDescent="0.2">
      <c r="A523" t="str">
        <f t="shared" si="255"/>
        <v>36861Vaipahu620PoritidaeBords</v>
      </c>
      <c r="B523" s="1">
        <v>36861</v>
      </c>
      <c r="C523" t="s">
        <v>23</v>
      </c>
      <c r="D523" s="19">
        <v>6</v>
      </c>
      <c r="E523">
        <v>20</v>
      </c>
      <c r="F523" t="s">
        <v>7</v>
      </c>
      <c r="G523" t="s">
        <v>13</v>
      </c>
      <c r="H523">
        <v>2</v>
      </c>
      <c r="I523" t="s">
        <v>27</v>
      </c>
    </row>
    <row r="524" spans="1:9" x14ac:dyDescent="0.2">
      <c r="A524" t="str">
        <f t="shared" si="255"/>
        <v>36861Vaipahu620PoritidaeDessous</v>
      </c>
      <c r="B524" s="1">
        <v>36861</v>
      </c>
      <c r="C524" t="s">
        <v>23</v>
      </c>
      <c r="D524" s="19">
        <v>6</v>
      </c>
      <c r="E524">
        <v>20</v>
      </c>
      <c r="F524" t="s">
        <v>7</v>
      </c>
      <c r="G524" t="s">
        <v>8</v>
      </c>
      <c r="H524">
        <v>1</v>
      </c>
      <c r="I524" t="s">
        <v>27</v>
      </c>
    </row>
    <row r="525" spans="1:9" x14ac:dyDescent="0.2">
      <c r="A525" t="str">
        <f t="shared" si="255"/>
        <v>36861Vaipahu1221AcroporidaeDessous</v>
      </c>
      <c r="B525" s="1">
        <v>36861</v>
      </c>
      <c r="C525" t="s">
        <v>23</v>
      </c>
      <c r="D525" s="19">
        <v>12</v>
      </c>
      <c r="E525">
        <v>21</v>
      </c>
      <c r="F525" t="s">
        <v>17</v>
      </c>
      <c r="G525" t="s">
        <v>8</v>
      </c>
      <c r="H525">
        <v>1</v>
      </c>
      <c r="I525" t="s">
        <v>27</v>
      </c>
    </row>
    <row r="526" spans="1:9" x14ac:dyDescent="0.2">
      <c r="A526" t="str">
        <f t="shared" si="255"/>
        <v>36861Vaipahu1221PocilloporidaeDessous</v>
      </c>
      <c r="B526" s="1">
        <v>36861</v>
      </c>
      <c r="C526" t="s">
        <v>23</v>
      </c>
      <c r="D526" s="19">
        <v>12</v>
      </c>
      <c r="E526">
        <v>21</v>
      </c>
      <c r="F526" t="s">
        <v>10</v>
      </c>
      <c r="G526" t="s">
        <v>8</v>
      </c>
      <c r="H526">
        <v>2</v>
      </c>
      <c r="I526" t="s">
        <v>27</v>
      </c>
    </row>
    <row r="527" spans="1:9" x14ac:dyDescent="0.2">
      <c r="A527" t="str">
        <f t="shared" si="255"/>
        <v>36861Vaipahu1221PocilloporidaeDessus</v>
      </c>
      <c r="B527" s="1">
        <v>36861</v>
      </c>
      <c r="C527" t="s">
        <v>23</v>
      </c>
      <c r="D527" s="19">
        <v>12</v>
      </c>
      <c r="E527">
        <v>21</v>
      </c>
      <c r="F527" t="s">
        <v>10</v>
      </c>
      <c r="G527" t="s">
        <v>11</v>
      </c>
      <c r="H527">
        <v>1</v>
      </c>
      <c r="I527" t="s">
        <v>27</v>
      </c>
    </row>
    <row r="528" spans="1:9" x14ac:dyDescent="0.2">
      <c r="A528" t="str">
        <f t="shared" si="255"/>
        <v>36861Vaipahu1221PoritidaeDessous</v>
      </c>
      <c r="B528" s="1">
        <v>36861</v>
      </c>
      <c r="C528" t="s">
        <v>23</v>
      </c>
      <c r="D528" s="19">
        <v>12</v>
      </c>
      <c r="E528">
        <v>21</v>
      </c>
      <c r="F528" t="s">
        <v>7</v>
      </c>
      <c r="G528" t="s">
        <v>8</v>
      </c>
      <c r="H528">
        <v>1</v>
      </c>
      <c r="I528" t="s">
        <v>27</v>
      </c>
    </row>
    <row r="529" spans="1:9" x14ac:dyDescent="0.2">
      <c r="A529" t="str">
        <f t="shared" si="255"/>
        <v>36861Vaipahu1222PocilloporidaeDessus</v>
      </c>
      <c r="B529" s="1">
        <v>36861</v>
      </c>
      <c r="C529" t="s">
        <v>23</v>
      </c>
      <c r="D529" s="19">
        <v>12</v>
      </c>
      <c r="E529">
        <v>22</v>
      </c>
      <c r="F529" t="s">
        <v>10</v>
      </c>
      <c r="G529" t="s">
        <v>11</v>
      </c>
      <c r="H529">
        <v>1</v>
      </c>
      <c r="I529" t="s">
        <v>27</v>
      </c>
    </row>
    <row r="530" spans="1:9" x14ac:dyDescent="0.2">
      <c r="A530" t="str">
        <f t="shared" si="255"/>
        <v>36861Vaipahu1222PoritidaeDessous</v>
      </c>
      <c r="B530" s="1">
        <v>36861</v>
      </c>
      <c r="C530" t="s">
        <v>23</v>
      </c>
      <c r="D530" s="19">
        <v>12</v>
      </c>
      <c r="E530">
        <v>22</v>
      </c>
      <c r="F530" t="s">
        <v>7</v>
      </c>
      <c r="G530" t="s">
        <v>8</v>
      </c>
      <c r="H530">
        <v>1</v>
      </c>
      <c r="I530" t="s">
        <v>27</v>
      </c>
    </row>
    <row r="531" spans="1:9" x14ac:dyDescent="0.2">
      <c r="A531" t="str">
        <f t="shared" si="255"/>
        <v>36861Vaipahu1223AcroporidaeDessous</v>
      </c>
      <c r="B531" s="1">
        <v>36861</v>
      </c>
      <c r="C531" t="s">
        <v>23</v>
      </c>
      <c r="D531" s="19">
        <v>12</v>
      </c>
      <c r="E531">
        <v>23</v>
      </c>
      <c r="F531" t="s">
        <v>17</v>
      </c>
      <c r="G531" t="s">
        <v>8</v>
      </c>
      <c r="H531">
        <v>1</v>
      </c>
      <c r="I531" t="s">
        <v>27</v>
      </c>
    </row>
    <row r="532" spans="1:9" x14ac:dyDescent="0.2">
      <c r="A532" t="str">
        <f t="shared" si="255"/>
        <v>36861Vaipahu1223CassésDessus</v>
      </c>
      <c r="B532" s="1">
        <v>36861</v>
      </c>
      <c r="C532" t="s">
        <v>23</v>
      </c>
      <c r="D532" s="19">
        <v>12</v>
      </c>
      <c r="E532">
        <v>23</v>
      </c>
      <c r="F532" t="s">
        <v>12</v>
      </c>
      <c r="G532" t="s">
        <v>11</v>
      </c>
      <c r="H532">
        <v>1</v>
      </c>
      <c r="I532" t="s">
        <v>27</v>
      </c>
    </row>
    <row r="533" spans="1:9" x14ac:dyDescent="0.2">
      <c r="A533" t="str">
        <f t="shared" si="255"/>
        <v>36861Vaipahu1223PocilloporidaeDessous</v>
      </c>
      <c r="B533" s="1">
        <v>36861</v>
      </c>
      <c r="C533" t="s">
        <v>23</v>
      </c>
      <c r="D533" s="19">
        <v>12</v>
      </c>
      <c r="E533">
        <v>23</v>
      </c>
      <c r="F533" t="s">
        <v>10</v>
      </c>
      <c r="G533" t="s">
        <v>8</v>
      </c>
      <c r="H533">
        <v>2</v>
      </c>
      <c r="I533" t="s">
        <v>27</v>
      </c>
    </row>
    <row r="534" spans="1:9" x14ac:dyDescent="0.2">
      <c r="A534" t="str">
        <f t="shared" si="255"/>
        <v>36861Vaipahu1223PoritidaeDessous</v>
      </c>
      <c r="B534" s="1">
        <v>36861</v>
      </c>
      <c r="C534" t="s">
        <v>23</v>
      </c>
      <c r="D534" s="19">
        <v>12</v>
      </c>
      <c r="E534">
        <v>23</v>
      </c>
      <c r="F534" t="s">
        <v>7</v>
      </c>
      <c r="G534" t="s">
        <v>8</v>
      </c>
      <c r="H534">
        <v>2</v>
      </c>
      <c r="I534" t="s">
        <v>27</v>
      </c>
    </row>
    <row r="535" spans="1:9" x14ac:dyDescent="0.2">
      <c r="A535" t="str">
        <f t="shared" si="255"/>
        <v>36861Vaipahu1224PoritidaeBords</v>
      </c>
      <c r="B535" s="1">
        <v>36861</v>
      </c>
      <c r="C535" t="s">
        <v>23</v>
      </c>
      <c r="D535" s="19">
        <v>12</v>
      </c>
      <c r="E535">
        <v>24</v>
      </c>
      <c r="F535" t="s">
        <v>7</v>
      </c>
      <c r="G535" t="s">
        <v>13</v>
      </c>
      <c r="H535">
        <v>1</v>
      </c>
      <c r="I535" t="s">
        <v>27</v>
      </c>
    </row>
    <row r="536" spans="1:9" x14ac:dyDescent="0.2">
      <c r="A536" t="str">
        <f t="shared" si="255"/>
        <v>36861Vaipahu1224PoritidaeDessous</v>
      </c>
      <c r="B536" s="1">
        <v>36861</v>
      </c>
      <c r="C536" t="s">
        <v>23</v>
      </c>
      <c r="D536" s="19">
        <v>12</v>
      </c>
      <c r="E536">
        <v>24</v>
      </c>
      <c r="F536" t="s">
        <v>7</v>
      </c>
      <c r="G536" t="s">
        <v>8</v>
      </c>
      <c r="H536">
        <v>1</v>
      </c>
      <c r="I536" t="s">
        <v>27</v>
      </c>
    </row>
    <row r="537" spans="1:9" x14ac:dyDescent="0.2">
      <c r="A537" t="str">
        <f t="shared" si="255"/>
        <v>36861Vaipahu1225AcroporidaeDessous</v>
      </c>
      <c r="B537" s="1">
        <v>36861</v>
      </c>
      <c r="C537" t="s">
        <v>23</v>
      </c>
      <c r="D537" s="19">
        <v>12</v>
      </c>
      <c r="E537">
        <v>25</v>
      </c>
      <c r="F537" t="s">
        <v>17</v>
      </c>
      <c r="G537" t="s">
        <v>8</v>
      </c>
      <c r="H537">
        <v>1</v>
      </c>
      <c r="I537" t="s">
        <v>27</v>
      </c>
    </row>
    <row r="538" spans="1:9" x14ac:dyDescent="0.2">
      <c r="A538" t="str">
        <f t="shared" si="255"/>
        <v>36861Vaipahu1225CassésDessous</v>
      </c>
      <c r="B538" s="1">
        <v>36861</v>
      </c>
      <c r="C538" t="s">
        <v>23</v>
      </c>
      <c r="D538" s="19">
        <v>12</v>
      </c>
      <c r="E538">
        <v>25</v>
      </c>
      <c r="F538" t="s">
        <v>12</v>
      </c>
      <c r="G538" t="s">
        <v>8</v>
      </c>
      <c r="H538">
        <v>1</v>
      </c>
      <c r="I538" t="s">
        <v>27</v>
      </c>
    </row>
    <row r="539" spans="1:9" x14ac:dyDescent="0.2">
      <c r="A539" t="str">
        <f t="shared" si="255"/>
        <v>36861Vaipahu1225PocilloporidaeDessous</v>
      </c>
      <c r="B539" s="1">
        <v>36861</v>
      </c>
      <c r="C539" t="s">
        <v>23</v>
      </c>
      <c r="D539" s="19">
        <v>12</v>
      </c>
      <c r="E539">
        <v>25</v>
      </c>
      <c r="F539" t="s">
        <v>10</v>
      </c>
      <c r="G539" t="s">
        <v>8</v>
      </c>
      <c r="H539">
        <v>8</v>
      </c>
      <c r="I539" t="s">
        <v>27</v>
      </c>
    </row>
    <row r="540" spans="1:9" x14ac:dyDescent="0.2">
      <c r="A540" t="str">
        <f t="shared" si="255"/>
        <v>36861Vaipahu1225PoritidaeDessous</v>
      </c>
      <c r="B540" s="1">
        <v>36861</v>
      </c>
      <c r="C540" t="s">
        <v>23</v>
      </c>
      <c r="D540" s="19">
        <v>12</v>
      </c>
      <c r="E540">
        <v>25</v>
      </c>
      <c r="F540" t="s">
        <v>7</v>
      </c>
      <c r="G540" t="s">
        <v>8</v>
      </c>
      <c r="H540">
        <v>3</v>
      </c>
      <c r="I540" t="s">
        <v>27</v>
      </c>
    </row>
    <row r="541" spans="1:9" x14ac:dyDescent="0.2">
      <c r="A541" t="str">
        <f t="shared" si="255"/>
        <v>36861Vaipahu1226CassésBords</v>
      </c>
      <c r="B541" s="1">
        <v>36861</v>
      </c>
      <c r="C541" t="s">
        <v>23</v>
      </c>
      <c r="D541" s="19">
        <v>12</v>
      </c>
      <c r="E541">
        <v>26</v>
      </c>
      <c r="F541" t="s">
        <v>12</v>
      </c>
      <c r="G541" t="s">
        <v>13</v>
      </c>
      <c r="H541">
        <v>1</v>
      </c>
      <c r="I541" t="s">
        <v>27</v>
      </c>
    </row>
    <row r="542" spans="1:9" x14ac:dyDescent="0.2">
      <c r="A542" t="str">
        <f t="shared" si="255"/>
        <v>36861Vaipahu1227PoritidaeDessous</v>
      </c>
      <c r="B542" s="1">
        <v>36861</v>
      </c>
      <c r="C542" t="s">
        <v>23</v>
      </c>
      <c r="D542" s="19">
        <v>12</v>
      </c>
      <c r="E542">
        <v>27</v>
      </c>
      <c r="F542" t="s">
        <v>7</v>
      </c>
      <c r="G542" t="s">
        <v>8</v>
      </c>
      <c r="H542">
        <v>1</v>
      </c>
      <c r="I542" t="s">
        <v>27</v>
      </c>
    </row>
    <row r="543" spans="1:9" x14ac:dyDescent="0.2">
      <c r="A543" t="str">
        <f t="shared" si="255"/>
        <v>36861Vaipahu1228CassésDessus</v>
      </c>
      <c r="B543" s="1">
        <v>36861</v>
      </c>
      <c r="C543" t="s">
        <v>23</v>
      </c>
      <c r="D543" s="19">
        <v>12</v>
      </c>
      <c r="E543">
        <v>28</v>
      </c>
      <c r="F543" t="s">
        <v>12</v>
      </c>
      <c r="G543" t="s">
        <v>11</v>
      </c>
      <c r="H543">
        <v>1</v>
      </c>
      <c r="I543" t="s">
        <v>27</v>
      </c>
    </row>
    <row r="544" spans="1:9" x14ac:dyDescent="0.2">
      <c r="A544" t="str">
        <f t="shared" si="255"/>
        <v>36861Vaipahu1228PocilloporidaeDessous</v>
      </c>
      <c r="B544" s="1">
        <v>36861</v>
      </c>
      <c r="C544" t="s">
        <v>23</v>
      </c>
      <c r="D544" s="19">
        <v>12</v>
      </c>
      <c r="E544">
        <v>28</v>
      </c>
      <c r="F544" t="s">
        <v>10</v>
      </c>
      <c r="G544" t="s">
        <v>8</v>
      </c>
      <c r="H544">
        <v>1</v>
      </c>
      <c r="I544" t="s">
        <v>27</v>
      </c>
    </row>
    <row r="545" spans="1:9" x14ac:dyDescent="0.2">
      <c r="A545" t="str">
        <f t="shared" si="255"/>
        <v>36861Vaipahu1228PoritidaeDessous</v>
      </c>
      <c r="B545" s="1">
        <v>36861</v>
      </c>
      <c r="C545" t="s">
        <v>23</v>
      </c>
      <c r="D545" s="19">
        <v>12</v>
      </c>
      <c r="E545">
        <v>28</v>
      </c>
      <c r="F545" t="s">
        <v>7</v>
      </c>
      <c r="G545" t="s">
        <v>8</v>
      </c>
      <c r="H545">
        <v>4</v>
      </c>
      <c r="I545" t="s">
        <v>27</v>
      </c>
    </row>
    <row r="546" spans="1:9" x14ac:dyDescent="0.2">
      <c r="A546" t="str">
        <f t="shared" si="255"/>
        <v>36861Vaipahu1229PocilloporidaeDessous</v>
      </c>
      <c r="B546" s="1">
        <v>36861</v>
      </c>
      <c r="C546" t="s">
        <v>23</v>
      </c>
      <c r="D546" s="19">
        <v>12</v>
      </c>
      <c r="E546">
        <v>29</v>
      </c>
      <c r="F546" t="s">
        <v>10</v>
      </c>
      <c r="G546" t="s">
        <v>8</v>
      </c>
      <c r="H546">
        <v>1</v>
      </c>
      <c r="I546" t="s">
        <v>27</v>
      </c>
    </row>
    <row r="547" spans="1:9" x14ac:dyDescent="0.2">
      <c r="A547" t="str">
        <f t="shared" si="255"/>
        <v>36861Vaipahu1229PocilloporidaeDessus</v>
      </c>
      <c r="B547" s="1">
        <v>36861</v>
      </c>
      <c r="C547" t="s">
        <v>23</v>
      </c>
      <c r="D547" s="19">
        <v>12</v>
      </c>
      <c r="E547">
        <v>29</v>
      </c>
      <c r="F547" t="s">
        <v>10</v>
      </c>
      <c r="G547" t="s">
        <v>11</v>
      </c>
      <c r="H547">
        <v>3</v>
      </c>
      <c r="I547" t="s">
        <v>27</v>
      </c>
    </row>
    <row r="548" spans="1:9" x14ac:dyDescent="0.2">
      <c r="A548" t="str">
        <f t="shared" si="255"/>
        <v>36861Vaipahu1230CassésDessous</v>
      </c>
      <c r="B548" s="1">
        <v>36861</v>
      </c>
      <c r="C548" t="s">
        <v>23</v>
      </c>
      <c r="D548" s="19">
        <v>12</v>
      </c>
      <c r="E548">
        <v>30</v>
      </c>
      <c r="F548" t="s">
        <v>12</v>
      </c>
      <c r="G548" t="s">
        <v>8</v>
      </c>
      <c r="H548">
        <v>1</v>
      </c>
      <c r="I548" t="s">
        <v>27</v>
      </c>
    </row>
    <row r="549" spans="1:9" x14ac:dyDescent="0.2">
      <c r="A549" t="str">
        <f t="shared" si="255"/>
        <v>36861Vaipahu1230PocilloporidaeDessous</v>
      </c>
      <c r="B549" s="1">
        <v>36861</v>
      </c>
      <c r="C549" t="s">
        <v>23</v>
      </c>
      <c r="D549" s="19">
        <v>12</v>
      </c>
      <c r="E549">
        <v>30</v>
      </c>
      <c r="F549" t="s">
        <v>10</v>
      </c>
      <c r="G549" t="s">
        <v>8</v>
      </c>
      <c r="H549">
        <v>1</v>
      </c>
      <c r="I549" t="s">
        <v>27</v>
      </c>
    </row>
    <row r="550" spans="1:9" x14ac:dyDescent="0.2">
      <c r="A550" t="str">
        <f t="shared" si="255"/>
        <v>36861Vaipahu1231PocilloporidaeDessous</v>
      </c>
      <c r="B550" s="1">
        <v>36861</v>
      </c>
      <c r="C550" t="s">
        <v>23</v>
      </c>
      <c r="D550" s="19">
        <v>12</v>
      </c>
      <c r="E550">
        <v>31</v>
      </c>
      <c r="F550" t="s">
        <v>10</v>
      </c>
      <c r="G550" t="s">
        <v>8</v>
      </c>
      <c r="H550">
        <v>2</v>
      </c>
      <c r="I550" t="s">
        <v>27</v>
      </c>
    </row>
    <row r="551" spans="1:9" x14ac:dyDescent="0.2">
      <c r="A551" t="str">
        <f t="shared" si="255"/>
        <v>36861Vaipahu1231PoritidaeDessous</v>
      </c>
      <c r="B551" s="1">
        <v>36861</v>
      </c>
      <c r="C551" t="s">
        <v>23</v>
      </c>
      <c r="D551" s="19">
        <v>12</v>
      </c>
      <c r="E551">
        <v>31</v>
      </c>
      <c r="F551" t="s">
        <v>7</v>
      </c>
      <c r="G551" t="s">
        <v>8</v>
      </c>
      <c r="H551">
        <v>1</v>
      </c>
      <c r="I551" t="s">
        <v>27</v>
      </c>
    </row>
    <row r="552" spans="1:9" x14ac:dyDescent="0.2">
      <c r="A552" t="str">
        <f t="shared" si="255"/>
        <v>36861Vaipahu1232AcroporidaeDessous</v>
      </c>
      <c r="B552" s="1">
        <v>36861</v>
      </c>
      <c r="C552" t="s">
        <v>23</v>
      </c>
      <c r="D552" s="19">
        <v>12</v>
      </c>
      <c r="E552">
        <v>32</v>
      </c>
      <c r="F552" t="s">
        <v>17</v>
      </c>
      <c r="G552" t="s">
        <v>8</v>
      </c>
      <c r="H552">
        <v>1</v>
      </c>
      <c r="I552" t="s">
        <v>27</v>
      </c>
    </row>
    <row r="553" spans="1:9" x14ac:dyDescent="0.2">
      <c r="A553" t="str">
        <f t="shared" si="255"/>
        <v>36861Vaipahu1232PocilloporidaeDessous</v>
      </c>
      <c r="B553" s="1">
        <v>36861</v>
      </c>
      <c r="C553" t="s">
        <v>23</v>
      </c>
      <c r="D553" s="19">
        <v>12</v>
      </c>
      <c r="E553">
        <v>32</v>
      </c>
      <c r="F553" t="s">
        <v>10</v>
      </c>
      <c r="G553" t="s">
        <v>8</v>
      </c>
      <c r="H553">
        <v>2</v>
      </c>
      <c r="I553" t="s">
        <v>27</v>
      </c>
    </row>
    <row r="554" spans="1:9" x14ac:dyDescent="0.2">
      <c r="A554" t="str">
        <f t="shared" si="255"/>
        <v>36861Vaipahu1232PoritidaeDessous</v>
      </c>
      <c r="B554" s="1">
        <v>36861</v>
      </c>
      <c r="C554" t="s">
        <v>23</v>
      </c>
      <c r="D554" s="19">
        <v>12</v>
      </c>
      <c r="E554">
        <v>32</v>
      </c>
      <c r="F554" t="s">
        <v>7</v>
      </c>
      <c r="G554" t="s">
        <v>8</v>
      </c>
      <c r="H554">
        <v>1</v>
      </c>
      <c r="I554" t="s">
        <v>27</v>
      </c>
    </row>
    <row r="555" spans="1:9" x14ac:dyDescent="0.2">
      <c r="A555" t="str">
        <f t="shared" si="255"/>
        <v>36861Vaipahu1233PocilloporidaeDessous</v>
      </c>
      <c r="B555" s="1">
        <v>36861</v>
      </c>
      <c r="C555" t="s">
        <v>23</v>
      </c>
      <c r="D555" s="19">
        <v>12</v>
      </c>
      <c r="E555">
        <v>33</v>
      </c>
      <c r="F555" t="s">
        <v>10</v>
      </c>
      <c r="G555" t="s">
        <v>8</v>
      </c>
      <c r="H555">
        <v>7</v>
      </c>
      <c r="I555" t="s">
        <v>27</v>
      </c>
    </row>
    <row r="556" spans="1:9" x14ac:dyDescent="0.2">
      <c r="A556" t="str">
        <f t="shared" si="255"/>
        <v>36861Vaipahu1233PocilloporidaeDessus</v>
      </c>
      <c r="B556" s="1">
        <v>36861</v>
      </c>
      <c r="C556" t="s">
        <v>23</v>
      </c>
      <c r="D556" s="19">
        <v>12</v>
      </c>
      <c r="E556">
        <v>33</v>
      </c>
      <c r="F556" t="s">
        <v>10</v>
      </c>
      <c r="G556" t="s">
        <v>11</v>
      </c>
      <c r="H556">
        <v>1</v>
      </c>
      <c r="I556" t="s">
        <v>27</v>
      </c>
    </row>
    <row r="557" spans="1:9" x14ac:dyDescent="0.2">
      <c r="A557" t="str">
        <f t="shared" si="255"/>
        <v>36861Vaipahu1234Autres</v>
      </c>
      <c r="B557" s="1">
        <v>36861</v>
      </c>
      <c r="C557" t="s">
        <v>23</v>
      </c>
      <c r="D557" s="19">
        <v>12</v>
      </c>
      <c r="E557">
        <v>34</v>
      </c>
      <c r="F557" t="s">
        <v>14</v>
      </c>
      <c r="H557">
        <v>0</v>
      </c>
    </row>
    <row r="558" spans="1:9" x14ac:dyDescent="0.2">
      <c r="A558" t="str">
        <f t="shared" si="255"/>
        <v>36861Vaipahu1235AcroporidaeBords</v>
      </c>
      <c r="B558" s="1">
        <v>36861</v>
      </c>
      <c r="C558" t="s">
        <v>23</v>
      </c>
      <c r="D558" s="19">
        <v>12</v>
      </c>
      <c r="E558">
        <v>35</v>
      </c>
      <c r="F558" t="s">
        <v>17</v>
      </c>
      <c r="G558" t="s">
        <v>13</v>
      </c>
      <c r="H558">
        <v>2</v>
      </c>
      <c r="I558" t="s">
        <v>27</v>
      </c>
    </row>
    <row r="559" spans="1:9" x14ac:dyDescent="0.2">
      <c r="A559" t="str">
        <f t="shared" si="255"/>
        <v>36861Vaipahu1235PocilloporidaeBords</v>
      </c>
      <c r="B559" s="1">
        <v>36861</v>
      </c>
      <c r="C559" t="s">
        <v>23</v>
      </c>
      <c r="D559" s="19">
        <v>12</v>
      </c>
      <c r="E559">
        <v>35</v>
      </c>
      <c r="F559" t="s">
        <v>10</v>
      </c>
      <c r="G559" t="s">
        <v>13</v>
      </c>
      <c r="H559">
        <v>2</v>
      </c>
      <c r="I559" t="s">
        <v>27</v>
      </c>
    </row>
    <row r="560" spans="1:9" x14ac:dyDescent="0.2">
      <c r="A560" t="str">
        <f t="shared" si="255"/>
        <v>36861Vaipahu1235PocilloporidaeDessous</v>
      </c>
      <c r="B560" s="1">
        <v>36861</v>
      </c>
      <c r="C560" t="s">
        <v>23</v>
      </c>
      <c r="D560" s="19">
        <v>12</v>
      </c>
      <c r="E560">
        <v>35</v>
      </c>
      <c r="F560" t="s">
        <v>10</v>
      </c>
      <c r="G560" t="s">
        <v>8</v>
      </c>
      <c r="H560">
        <v>1</v>
      </c>
      <c r="I560" t="s">
        <v>27</v>
      </c>
    </row>
    <row r="561" spans="1:9" x14ac:dyDescent="0.2">
      <c r="A561" t="str">
        <f t="shared" si="255"/>
        <v>36861Vaipahu1235PocilloporidaeDessus</v>
      </c>
      <c r="B561" s="1">
        <v>36861</v>
      </c>
      <c r="C561" t="s">
        <v>23</v>
      </c>
      <c r="D561" s="19">
        <v>12</v>
      </c>
      <c r="E561">
        <v>35</v>
      </c>
      <c r="F561" t="s">
        <v>10</v>
      </c>
      <c r="G561" t="s">
        <v>11</v>
      </c>
      <c r="H561">
        <v>2</v>
      </c>
      <c r="I561" t="s">
        <v>27</v>
      </c>
    </row>
    <row r="562" spans="1:9" x14ac:dyDescent="0.2">
      <c r="A562" t="str">
        <f t="shared" si="255"/>
        <v>36861Vaipahu1235PoritidaeBords</v>
      </c>
      <c r="B562" s="1">
        <v>36861</v>
      </c>
      <c r="C562" t="s">
        <v>23</v>
      </c>
      <c r="D562" s="19">
        <v>12</v>
      </c>
      <c r="E562">
        <v>35</v>
      </c>
      <c r="F562" t="s">
        <v>7</v>
      </c>
      <c r="G562" t="s">
        <v>13</v>
      </c>
      <c r="H562">
        <v>2</v>
      </c>
      <c r="I562" t="s">
        <v>27</v>
      </c>
    </row>
    <row r="563" spans="1:9" x14ac:dyDescent="0.2">
      <c r="A563" t="str">
        <f t="shared" si="255"/>
        <v>36861Vaipahu1235PoritidaeDessous</v>
      </c>
      <c r="B563" s="1">
        <v>36861</v>
      </c>
      <c r="C563" t="s">
        <v>23</v>
      </c>
      <c r="D563" s="19">
        <v>12</v>
      </c>
      <c r="E563">
        <v>35</v>
      </c>
      <c r="F563" t="s">
        <v>7</v>
      </c>
      <c r="G563" t="s">
        <v>8</v>
      </c>
      <c r="H563">
        <v>2</v>
      </c>
      <c r="I563" t="s">
        <v>27</v>
      </c>
    </row>
    <row r="564" spans="1:9" x14ac:dyDescent="0.2">
      <c r="A564" t="str">
        <f t="shared" si="255"/>
        <v>36861Vaipahu1236Autres</v>
      </c>
      <c r="B564" s="1">
        <v>36861</v>
      </c>
      <c r="C564" t="s">
        <v>23</v>
      </c>
      <c r="D564" s="19">
        <v>12</v>
      </c>
      <c r="E564">
        <v>36</v>
      </c>
      <c r="F564" t="s">
        <v>14</v>
      </c>
      <c r="H564">
        <v>0</v>
      </c>
    </row>
    <row r="565" spans="1:9" x14ac:dyDescent="0.2">
      <c r="A565" t="str">
        <f t="shared" si="255"/>
        <v>36861Vaipahu1237CassésDessous</v>
      </c>
      <c r="B565" s="1">
        <v>36861</v>
      </c>
      <c r="C565" t="s">
        <v>23</v>
      </c>
      <c r="D565" s="19">
        <v>12</v>
      </c>
      <c r="E565">
        <v>37</v>
      </c>
      <c r="F565" t="s">
        <v>12</v>
      </c>
      <c r="G565" t="s">
        <v>8</v>
      </c>
      <c r="H565">
        <v>1</v>
      </c>
      <c r="I565" t="s">
        <v>27</v>
      </c>
    </row>
    <row r="566" spans="1:9" x14ac:dyDescent="0.2">
      <c r="A566" t="str">
        <f t="shared" si="255"/>
        <v>36861Vaipahu1237PocilloporidaeDessous</v>
      </c>
      <c r="B566" s="1">
        <v>36861</v>
      </c>
      <c r="C566" t="s">
        <v>23</v>
      </c>
      <c r="D566" s="19">
        <v>12</v>
      </c>
      <c r="E566">
        <v>37</v>
      </c>
      <c r="F566" t="s">
        <v>10</v>
      </c>
      <c r="G566" t="s">
        <v>8</v>
      </c>
      <c r="H566">
        <v>1</v>
      </c>
      <c r="I566" t="s">
        <v>27</v>
      </c>
    </row>
    <row r="567" spans="1:9" x14ac:dyDescent="0.2">
      <c r="A567" t="str">
        <f t="shared" si="255"/>
        <v>36861Vaipahu1237PoritidaeDessous</v>
      </c>
      <c r="B567" s="1">
        <v>36861</v>
      </c>
      <c r="C567" t="s">
        <v>23</v>
      </c>
      <c r="D567" s="19">
        <v>12</v>
      </c>
      <c r="E567">
        <v>37</v>
      </c>
      <c r="F567" t="s">
        <v>7</v>
      </c>
      <c r="G567" t="s">
        <v>8</v>
      </c>
      <c r="H567">
        <v>2</v>
      </c>
      <c r="I567" t="s">
        <v>27</v>
      </c>
    </row>
    <row r="568" spans="1:9" x14ac:dyDescent="0.2">
      <c r="A568" t="str">
        <f t="shared" si="255"/>
        <v>36861Vaipahu1238CassésDessous</v>
      </c>
      <c r="B568" s="1">
        <v>36861</v>
      </c>
      <c r="C568" t="s">
        <v>23</v>
      </c>
      <c r="D568" s="19">
        <v>12</v>
      </c>
      <c r="E568">
        <v>38</v>
      </c>
      <c r="F568" t="s">
        <v>12</v>
      </c>
      <c r="G568" t="s">
        <v>8</v>
      </c>
      <c r="H568">
        <v>1</v>
      </c>
      <c r="I568" t="s">
        <v>27</v>
      </c>
    </row>
    <row r="569" spans="1:9" x14ac:dyDescent="0.2">
      <c r="A569" t="str">
        <f t="shared" si="255"/>
        <v>36861Vaipahu1239Autres</v>
      </c>
      <c r="B569" s="1">
        <v>36861</v>
      </c>
      <c r="C569" t="s">
        <v>23</v>
      </c>
      <c r="D569" s="19">
        <v>12</v>
      </c>
      <c r="E569">
        <v>39</v>
      </c>
      <c r="F569" t="s">
        <v>14</v>
      </c>
      <c r="H569">
        <v>0</v>
      </c>
    </row>
    <row r="570" spans="1:9" x14ac:dyDescent="0.2">
      <c r="A570" t="str">
        <f t="shared" si="255"/>
        <v>36861Vaipahu1240AcroporidaeBords</v>
      </c>
      <c r="B570" s="1">
        <v>36861</v>
      </c>
      <c r="C570" t="s">
        <v>23</v>
      </c>
      <c r="D570" s="19">
        <v>12</v>
      </c>
      <c r="E570">
        <v>40</v>
      </c>
      <c r="F570" t="s">
        <v>17</v>
      </c>
      <c r="G570" t="s">
        <v>13</v>
      </c>
      <c r="H570">
        <v>1</v>
      </c>
      <c r="I570" t="s">
        <v>27</v>
      </c>
    </row>
    <row r="571" spans="1:9" x14ac:dyDescent="0.2">
      <c r="A571" t="str">
        <f t="shared" si="255"/>
        <v>36861Vaipahu1240PocilloporidaeBords</v>
      </c>
      <c r="B571" s="1">
        <v>36861</v>
      </c>
      <c r="C571" t="s">
        <v>23</v>
      </c>
      <c r="D571" s="19">
        <v>12</v>
      </c>
      <c r="E571">
        <v>40</v>
      </c>
      <c r="F571" t="s">
        <v>10</v>
      </c>
      <c r="G571" t="s">
        <v>13</v>
      </c>
      <c r="H571">
        <v>5</v>
      </c>
      <c r="I571" t="s">
        <v>27</v>
      </c>
    </row>
    <row r="572" spans="1:9" x14ac:dyDescent="0.2">
      <c r="A572" t="str">
        <f t="shared" si="255"/>
        <v>36861Vaipahu1240PocilloporidaeDessous</v>
      </c>
      <c r="B572" s="1">
        <v>36861</v>
      </c>
      <c r="C572" t="s">
        <v>23</v>
      </c>
      <c r="D572" s="19">
        <v>12</v>
      </c>
      <c r="E572">
        <v>40</v>
      </c>
      <c r="F572" t="s">
        <v>10</v>
      </c>
      <c r="G572" t="s">
        <v>8</v>
      </c>
      <c r="H572">
        <v>3</v>
      </c>
      <c r="I572" t="s">
        <v>27</v>
      </c>
    </row>
    <row r="573" spans="1:9" x14ac:dyDescent="0.2">
      <c r="A573" t="str">
        <f t="shared" si="255"/>
        <v>36861Vaipahu1240PocilloporidaeDessus</v>
      </c>
      <c r="B573" s="1">
        <v>36861</v>
      </c>
      <c r="C573" t="s">
        <v>23</v>
      </c>
      <c r="D573" s="19">
        <v>12</v>
      </c>
      <c r="E573">
        <v>40</v>
      </c>
      <c r="F573" t="s">
        <v>10</v>
      </c>
      <c r="G573" t="s">
        <v>11</v>
      </c>
      <c r="H573">
        <v>1</v>
      </c>
      <c r="I573" t="s">
        <v>27</v>
      </c>
    </row>
    <row r="574" spans="1:9" x14ac:dyDescent="0.2">
      <c r="A574" t="str">
        <f t="shared" si="255"/>
        <v>36861Vaipahu1240PoritidaeBords</v>
      </c>
      <c r="B574" s="1">
        <v>36861</v>
      </c>
      <c r="C574" t="s">
        <v>23</v>
      </c>
      <c r="D574" s="19">
        <v>12</v>
      </c>
      <c r="E574">
        <v>40</v>
      </c>
      <c r="F574" t="s">
        <v>7</v>
      </c>
      <c r="G574" t="s">
        <v>13</v>
      </c>
      <c r="H574">
        <v>2</v>
      </c>
      <c r="I574" t="s">
        <v>27</v>
      </c>
    </row>
    <row r="575" spans="1:9" x14ac:dyDescent="0.2">
      <c r="A575" t="str">
        <f t="shared" ref="A575:A638" si="256">B575 &amp; C575&amp; D575&amp; E575 &amp; F575 &amp;G575</f>
        <v>36861Vaipahu1240PoritidaeDessous</v>
      </c>
      <c r="B575" s="1">
        <v>36861</v>
      </c>
      <c r="C575" t="s">
        <v>23</v>
      </c>
      <c r="D575" s="19">
        <v>12</v>
      </c>
      <c r="E575">
        <v>40</v>
      </c>
      <c r="F575" t="s">
        <v>7</v>
      </c>
      <c r="G575" t="s">
        <v>8</v>
      </c>
      <c r="H575">
        <v>1</v>
      </c>
      <c r="I575" t="s">
        <v>27</v>
      </c>
    </row>
    <row r="576" spans="1:9" x14ac:dyDescent="0.2">
      <c r="A576" t="str">
        <f t="shared" si="256"/>
        <v>36861Vaipahu1841CassésDessus</v>
      </c>
      <c r="B576" s="1">
        <v>36861</v>
      </c>
      <c r="C576" t="s">
        <v>23</v>
      </c>
      <c r="D576" s="19">
        <v>18</v>
      </c>
      <c r="E576">
        <v>41</v>
      </c>
      <c r="F576" t="s">
        <v>12</v>
      </c>
      <c r="G576" t="s">
        <v>11</v>
      </c>
      <c r="H576">
        <v>1</v>
      </c>
      <c r="I576" t="s">
        <v>27</v>
      </c>
    </row>
    <row r="577" spans="1:9" x14ac:dyDescent="0.2">
      <c r="A577" t="str">
        <f t="shared" si="256"/>
        <v>36861Vaipahu1841PocilloporidaeDessus</v>
      </c>
      <c r="B577" s="1">
        <v>36861</v>
      </c>
      <c r="C577" t="s">
        <v>23</v>
      </c>
      <c r="D577" s="19">
        <v>18</v>
      </c>
      <c r="E577">
        <v>41</v>
      </c>
      <c r="F577" t="s">
        <v>10</v>
      </c>
      <c r="G577" t="s">
        <v>11</v>
      </c>
      <c r="H577">
        <v>1</v>
      </c>
      <c r="I577" t="s">
        <v>27</v>
      </c>
    </row>
    <row r="578" spans="1:9" x14ac:dyDescent="0.2">
      <c r="A578" t="str">
        <f t="shared" si="256"/>
        <v>36861Vaipahu1842CassésDessous</v>
      </c>
      <c r="B578" s="1">
        <v>36861</v>
      </c>
      <c r="C578" t="s">
        <v>23</v>
      </c>
      <c r="D578" s="19">
        <v>18</v>
      </c>
      <c r="E578">
        <v>42</v>
      </c>
      <c r="F578" t="s">
        <v>12</v>
      </c>
      <c r="G578" t="s">
        <v>8</v>
      </c>
      <c r="H578">
        <v>1</v>
      </c>
      <c r="I578" t="s">
        <v>27</v>
      </c>
    </row>
    <row r="579" spans="1:9" x14ac:dyDescent="0.2">
      <c r="A579" t="str">
        <f t="shared" si="256"/>
        <v>36861Vaipahu1842CassésDessus</v>
      </c>
      <c r="B579" s="1">
        <v>36861</v>
      </c>
      <c r="C579" t="s">
        <v>23</v>
      </c>
      <c r="D579" s="19">
        <v>18</v>
      </c>
      <c r="E579">
        <v>42</v>
      </c>
      <c r="F579" t="s">
        <v>12</v>
      </c>
      <c r="G579" t="s">
        <v>11</v>
      </c>
      <c r="H579">
        <v>1</v>
      </c>
      <c r="I579" t="s">
        <v>27</v>
      </c>
    </row>
    <row r="580" spans="1:9" x14ac:dyDescent="0.2">
      <c r="A580" t="str">
        <f t="shared" si="256"/>
        <v>36861Vaipahu1842PocilloporidaeDessous</v>
      </c>
      <c r="B580" s="1">
        <v>36861</v>
      </c>
      <c r="C580" t="s">
        <v>23</v>
      </c>
      <c r="D580" s="19">
        <v>18</v>
      </c>
      <c r="E580">
        <v>42</v>
      </c>
      <c r="F580" t="s">
        <v>10</v>
      </c>
      <c r="G580" t="s">
        <v>8</v>
      </c>
      <c r="H580">
        <v>12</v>
      </c>
      <c r="I580" t="s">
        <v>27</v>
      </c>
    </row>
    <row r="581" spans="1:9" x14ac:dyDescent="0.2">
      <c r="A581" t="str">
        <f t="shared" si="256"/>
        <v>36861Vaipahu1842PocilloporidaeDessus</v>
      </c>
      <c r="B581" s="1">
        <v>36861</v>
      </c>
      <c r="C581" t="s">
        <v>23</v>
      </c>
      <c r="D581" s="19">
        <v>18</v>
      </c>
      <c r="E581">
        <v>42</v>
      </c>
      <c r="F581" t="s">
        <v>10</v>
      </c>
      <c r="G581" t="s">
        <v>11</v>
      </c>
      <c r="H581">
        <v>1</v>
      </c>
      <c r="I581" t="s">
        <v>27</v>
      </c>
    </row>
    <row r="582" spans="1:9" x14ac:dyDescent="0.2">
      <c r="A582" t="str">
        <f t="shared" si="256"/>
        <v>36861Vaipahu1842PoritidaeDessous</v>
      </c>
      <c r="B582" s="1">
        <v>36861</v>
      </c>
      <c r="C582" t="s">
        <v>23</v>
      </c>
      <c r="D582" s="19">
        <v>18</v>
      </c>
      <c r="E582">
        <v>42</v>
      </c>
      <c r="F582" t="s">
        <v>7</v>
      </c>
      <c r="G582" t="s">
        <v>8</v>
      </c>
      <c r="H582">
        <v>2</v>
      </c>
      <c r="I582" t="s">
        <v>27</v>
      </c>
    </row>
    <row r="583" spans="1:9" x14ac:dyDescent="0.2">
      <c r="A583" t="str">
        <f t="shared" si="256"/>
        <v>36861Vaipahu1843CassésDessous</v>
      </c>
      <c r="B583" s="1">
        <v>36861</v>
      </c>
      <c r="C583" t="s">
        <v>23</v>
      </c>
      <c r="D583" s="19">
        <v>18</v>
      </c>
      <c r="E583">
        <v>43</v>
      </c>
      <c r="F583" t="s">
        <v>12</v>
      </c>
      <c r="G583" t="s">
        <v>8</v>
      </c>
      <c r="H583">
        <v>2</v>
      </c>
      <c r="I583" t="s">
        <v>27</v>
      </c>
    </row>
    <row r="584" spans="1:9" x14ac:dyDescent="0.2">
      <c r="A584" t="str">
        <f t="shared" si="256"/>
        <v>36861Vaipahu1843PocilloporidaeDessous</v>
      </c>
      <c r="B584" s="1">
        <v>36861</v>
      </c>
      <c r="C584" t="s">
        <v>23</v>
      </c>
      <c r="D584" s="19">
        <v>18</v>
      </c>
      <c r="E584">
        <v>43</v>
      </c>
      <c r="F584" t="s">
        <v>10</v>
      </c>
      <c r="G584" t="s">
        <v>8</v>
      </c>
      <c r="H584">
        <v>1</v>
      </c>
      <c r="I584" t="s">
        <v>27</v>
      </c>
    </row>
    <row r="585" spans="1:9" x14ac:dyDescent="0.2">
      <c r="A585" t="str">
        <f t="shared" si="256"/>
        <v>36861Vaipahu1843PocilloporidaeDessus</v>
      </c>
      <c r="B585" s="1">
        <v>36861</v>
      </c>
      <c r="C585" t="s">
        <v>23</v>
      </c>
      <c r="D585" s="19">
        <v>18</v>
      </c>
      <c r="E585">
        <v>43</v>
      </c>
      <c r="F585" t="s">
        <v>10</v>
      </c>
      <c r="G585" t="s">
        <v>11</v>
      </c>
      <c r="H585">
        <v>3</v>
      </c>
      <c r="I585" t="s">
        <v>27</v>
      </c>
    </row>
    <row r="586" spans="1:9" x14ac:dyDescent="0.2">
      <c r="A586" t="str">
        <f t="shared" si="256"/>
        <v>36861Vaipahu1844PocilloporidaeBords</v>
      </c>
      <c r="B586" s="1">
        <v>36861</v>
      </c>
      <c r="C586" t="s">
        <v>23</v>
      </c>
      <c r="D586" s="19">
        <v>18</v>
      </c>
      <c r="E586">
        <v>44</v>
      </c>
      <c r="F586" t="s">
        <v>10</v>
      </c>
      <c r="G586" t="s">
        <v>13</v>
      </c>
      <c r="H586">
        <v>1</v>
      </c>
      <c r="I586" t="s">
        <v>27</v>
      </c>
    </row>
    <row r="587" spans="1:9" x14ac:dyDescent="0.2">
      <c r="A587" t="str">
        <f t="shared" si="256"/>
        <v>36861Vaipahu1845AcroporidaeDessous</v>
      </c>
      <c r="B587" s="1">
        <v>36861</v>
      </c>
      <c r="C587" t="s">
        <v>23</v>
      </c>
      <c r="D587" s="19">
        <v>18</v>
      </c>
      <c r="E587">
        <v>45</v>
      </c>
      <c r="F587" t="s">
        <v>17</v>
      </c>
      <c r="G587" t="s">
        <v>8</v>
      </c>
      <c r="H587">
        <v>2</v>
      </c>
      <c r="I587" t="s">
        <v>27</v>
      </c>
    </row>
    <row r="588" spans="1:9" x14ac:dyDescent="0.2">
      <c r="A588" t="str">
        <f t="shared" si="256"/>
        <v>36861Vaipahu1845CassésDessus</v>
      </c>
      <c r="B588" s="1">
        <v>36861</v>
      </c>
      <c r="C588" t="s">
        <v>23</v>
      </c>
      <c r="D588" s="19">
        <v>18</v>
      </c>
      <c r="E588">
        <v>45</v>
      </c>
      <c r="F588" t="s">
        <v>12</v>
      </c>
      <c r="G588" t="s">
        <v>11</v>
      </c>
      <c r="H588">
        <v>1</v>
      </c>
      <c r="I588" t="s">
        <v>27</v>
      </c>
    </row>
    <row r="589" spans="1:9" x14ac:dyDescent="0.2">
      <c r="A589" t="str">
        <f t="shared" si="256"/>
        <v>36861Vaipahu1845PocilloporidaeBords</v>
      </c>
      <c r="B589" s="1">
        <v>36861</v>
      </c>
      <c r="C589" t="s">
        <v>23</v>
      </c>
      <c r="D589" s="19">
        <v>18</v>
      </c>
      <c r="E589">
        <v>45</v>
      </c>
      <c r="F589" t="s">
        <v>10</v>
      </c>
      <c r="G589" t="s">
        <v>13</v>
      </c>
      <c r="H589">
        <v>3</v>
      </c>
      <c r="I589" t="s">
        <v>27</v>
      </c>
    </row>
    <row r="590" spans="1:9" x14ac:dyDescent="0.2">
      <c r="A590" t="str">
        <f t="shared" si="256"/>
        <v>36861Vaipahu1845PocilloporidaeDessous</v>
      </c>
      <c r="B590" s="1">
        <v>36861</v>
      </c>
      <c r="C590" t="s">
        <v>23</v>
      </c>
      <c r="D590" s="19">
        <v>18</v>
      </c>
      <c r="E590">
        <v>45</v>
      </c>
      <c r="F590" t="s">
        <v>10</v>
      </c>
      <c r="G590" t="s">
        <v>8</v>
      </c>
      <c r="H590">
        <v>10</v>
      </c>
      <c r="I590" t="s">
        <v>27</v>
      </c>
    </row>
    <row r="591" spans="1:9" x14ac:dyDescent="0.2">
      <c r="A591" t="str">
        <f t="shared" si="256"/>
        <v>36861Vaipahu1845PoritidaeDessous</v>
      </c>
      <c r="B591" s="1">
        <v>36861</v>
      </c>
      <c r="C591" t="s">
        <v>23</v>
      </c>
      <c r="D591" s="19">
        <v>18</v>
      </c>
      <c r="E591">
        <v>45</v>
      </c>
      <c r="F591" t="s">
        <v>7</v>
      </c>
      <c r="G591" t="s">
        <v>8</v>
      </c>
      <c r="H591">
        <v>4</v>
      </c>
      <c r="I591" t="s">
        <v>27</v>
      </c>
    </row>
    <row r="592" spans="1:9" x14ac:dyDescent="0.2">
      <c r="A592" t="str">
        <f t="shared" si="256"/>
        <v>36861Vaipahu1846CassésDessous</v>
      </c>
      <c r="B592" s="1">
        <v>36861</v>
      </c>
      <c r="C592" t="s">
        <v>23</v>
      </c>
      <c r="D592" s="19">
        <v>18</v>
      </c>
      <c r="E592">
        <v>46</v>
      </c>
      <c r="F592" t="s">
        <v>12</v>
      </c>
      <c r="G592" t="s">
        <v>8</v>
      </c>
      <c r="H592">
        <v>1</v>
      </c>
      <c r="I592" t="s">
        <v>27</v>
      </c>
    </row>
    <row r="593" spans="1:9" x14ac:dyDescent="0.2">
      <c r="A593" t="str">
        <f t="shared" si="256"/>
        <v>36861Vaipahu1846CassésDessus</v>
      </c>
      <c r="B593" s="1">
        <v>36861</v>
      </c>
      <c r="C593" t="s">
        <v>23</v>
      </c>
      <c r="D593" s="19">
        <v>18</v>
      </c>
      <c r="E593">
        <v>46</v>
      </c>
      <c r="F593" t="s">
        <v>12</v>
      </c>
      <c r="G593" t="s">
        <v>11</v>
      </c>
      <c r="H593">
        <v>1</v>
      </c>
      <c r="I593" t="s">
        <v>27</v>
      </c>
    </row>
    <row r="594" spans="1:9" x14ac:dyDescent="0.2">
      <c r="A594" t="str">
        <f t="shared" si="256"/>
        <v>36861Vaipahu1846PocilloporidaeDessous</v>
      </c>
      <c r="B594" s="1">
        <v>36861</v>
      </c>
      <c r="C594" t="s">
        <v>23</v>
      </c>
      <c r="D594" s="19">
        <v>18</v>
      </c>
      <c r="E594">
        <v>46</v>
      </c>
      <c r="F594" t="s">
        <v>10</v>
      </c>
      <c r="G594" t="s">
        <v>8</v>
      </c>
      <c r="H594">
        <v>3</v>
      </c>
      <c r="I594" t="s">
        <v>27</v>
      </c>
    </row>
    <row r="595" spans="1:9" x14ac:dyDescent="0.2">
      <c r="A595" t="str">
        <f t="shared" si="256"/>
        <v>36861Vaipahu1847PocilloporidaeDessous</v>
      </c>
      <c r="B595" s="1">
        <v>36861</v>
      </c>
      <c r="C595" t="s">
        <v>23</v>
      </c>
      <c r="D595" s="19">
        <v>18</v>
      </c>
      <c r="E595">
        <v>47</v>
      </c>
      <c r="F595" t="s">
        <v>10</v>
      </c>
      <c r="G595" t="s">
        <v>8</v>
      </c>
      <c r="H595">
        <v>14</v>
      </c>
      <c r="I595" t="s">
        <v>27</v>
      </c>
    </row>
    <row r="596" spans="1:9" x14ac:dyDescent="0.2">
      <c r="A596" t="str">
        <f t="shared" si="256"/>
        <v>36861Vaipahu1847PocilloporidaeDessus</v>
      </c>
      <c r="B596" s="1">
        <v>36861</v>
      </c>
      <c r="C596" t="s">
        <v>23</v>
      </c>
      <c r="D596" s="19">
        <v>18</v>
      </c>
      <c r="E596">
        <v>47</v>
      </c>
      <c r="F596" t="s">
        <v>10</v>
      </c>
      <c r="G596" t="s">
        <v>11</v>
      </c>
      <c r="H596">
        <v>1</v>
      </c>
      <c r="I596" t="s">
        <v>27</v>
      </c>
    </row>
    <row r="597" spans="1:9" x14ac:dyDescent="0.2">
      <c r="A597" t="str">
        <f t="shared" si="256"/>
        <v>36861Vaipahu1847PoritidaeDessous</v>
      </c>
      <c r="B597" s="1">
        <v>36861</v>
      </c>
      <c r="C597" t="s">
        <v>23</v>
      </c>
      <c r="D597" s="19">
        <v>18</v>
      </c>
      <c r="E597">
        <v>47</v>
      </c>
      <c r="F597" t="s">
        <v>7</v>
      </c>
      <c r="G597" t="s">
        <v>8</v>
      </c>
      <c r="H597">
        <v>1</v>
      </c>
      <c r="I597" t="s">
        <v>27</v>
      </c>
    </row>
    <row r="598" spans="1:9" x14ac:dyDescent="0.2">
      <c r="A598" t="str">
        <f t="shared" si="256"/>
        <v>36861Vaipahu1848CassésDessous</v>
      </c>
      <c r="B598" s="1">
        <v>36861</v>
      </c>
      <c r="C598" t="s">
        <v>23</v>
      </c>
      <c r="D598" s="19">
        <v>18</v>
      </c>
      <c r="E598">
        <v>48</v>
      </c>
      <c r="F598" t="s">
        <v>12</v>
      </c>
      <c r="G598" t="s">
        <v>8</v>
      </c>
      <c r="H598">
        <v>2</v>
      </c>
      <c r="I598" t="s">
        <v>27</v>
      </c>
    </row>
    <row r="599" spans="1:9" x14ac:dyDescent="0.2">
      <c r="A599" t="str">
        <f t="shared" si="256"/>
        <v>36861Vaipahu1848PocilloporidaeBords</v>
      </c>
      <c r="B599" s="1">
        <v>36861</v>
      </c>
      <c r="C599" t="s">
        <v>23</v>
      </c>
      <c r="D599" s="19">
        <v>18</v>
      </c>
      <c r="E599">
        <v>48</v>
      </c>
      <c r="F599" t="s">
        <v>10</v>
      </c>
      <c r="G599" t="s">
        <v>13</v>
      </c>
      <c r="H599">
        <v>1</v>
      </c>
      <c r="I599" t="s">
        <v>27</v>
      </c>
    </row>
    <row r="600" spans="1:9" x14ac:dyDescent="0.2">
      <c r="A600" t="str">
        <f t="shared" si="256"/>
        <v>36861Vaipahu1848PocilloporidaeDessous</v>
      </c>
      <c r="B600" s="1">
        <v>36861</v>
      </c>
      <c r="C600" t="s">
        <v>23</v>
      </c>
      <c r="D600" s="19">
        <v>18</v>
      </c>
      <c r="E600">
        <v>48</v>
      </c>
      <c r="F600" t="s">
        <v>10</v>
      </c>
      <c r="G600" t="s">
        <v>8</v>
      </c>
      <c r="H600">
        <v>9</v>
      </c>
      <c r="I600" t="s">
        <v>27</v>
      </c>
    </row>
    <row r="601" spans="1:9" x14ac:dyDescent="0.2">
      <c r="A601" t="str">
        <f t="shared" si="256"/>
        <v>36861Vaipahu1848PoritidaeDessous</v>
      </c>
      <c r="B601" s="1">
        <v>36861</v>
      </c>
      <c r="C601" t="s">
        <v>23</v>
      </c>
      <c r="D601" s="19">
        <v>18</v>
      </c>
      <c r="E601">
        <v>48</v>
      </c>
      <c r="F601" t="s">
        <v>7</v>
      </c>
      <c r="G601" t="s">
        <v>8</v>
      </c>
      <c r="H601">
        <v>1</v>
      </c>
      <c r="I601" t="s">
        <v>27</v>
      </c>
    </row>
    <row r="602" spans="1:9" x14ac:dyDescent="0.2">
      <c r="A602" t="str">
        <f t="shared" si="256"/>
        <v>36861Vaipahu1849PocilloporidaeDessous</v>
      </c>
      <c r="B602" s="1">
        <v>36861</v>
      </c>
      <c r="C602" t="s">
        <v>23</v>
      </c>
      <c r="D602" s="19">
        <v>18</v>
      </c>
      <c r="E602">
        <v>49</v>
      </c>
      <c r="F602" t="s">
        <v>10</v>
      </c>
      <c r="G602" t="s">
        <v>8</v>
      </c>
      <c r="H602">
        <v>6</v>
      </c>
      <c r="I602" t="s">
        <v>27</v>
      </c>
    </row>
    <row r="603" spans="1:9" x14ac:dyDescent="0.2">
      <c r="A603" t="str">
        <f t="shared" si="256"/>
        <v>36861Vaipahu1849PocilloporidaeDessus</v>
      </c>
      <c r="B603" s="1">
        <v>36861</v>
      </c>
      <c r="C603" t="s">
        <v>23</v>
      </c>
      <c r="D603" s="19">
        <v>18</v>
      </c>
      <c r="E603">
        <v>49</v>
      </c>
      <c r="F603" t="s">
        <v>10</v>
      </c>
      <c r="G603" t="s">
        <v>11</v>
      </c>
      <c r="H603">
        <v>1</v>
      </c>
      <c r="I603" t="s">
        <v>27</v>
      </c>
    </row>
    <row r="604" spans="1:9" x14ac:dyDescent="0.2">
      <c r="A604" t="str">
        <f t="shared" si="256"/>
        <v>36861Vaipahu1850AcroporidaeDessous</v>
      </c>
      <c r="B604" s="1">
        <v>36861</v>
      </c>
      <c r="C604" t="s">
        <v>23</v>
      </c>
      <c r="D604" s="19">
        <v>18</v>
      </c>
      <c r="E604">
        <v>50</v>
      </c>
      <c r="F604" t="s">
        <v>17</v>
      </c>
      <c r="G604" t="s">
        <v>8</v>
      </c>
      <c r="H604">
        <v>1</v>
      </c>
      <c r="I604" t="s">
        <v>27</v>
      </c>
    </row>
    <row r="605" spans="1:9" x14ac:dyDescent="0.2">
      <c r="A605" t="str">
        <f t="shared" si="256"/>
        <v>36861Vaipahu1850CassésBords</v>
      </c>
      <c r="B605" s="1">
        <v>36861</v>
      </c>
      <c r="C605" t="s">
        <v>23</v>
      </c>
      <c r="D605" s="19">
        <v>18</v>
      </c>
      <c r="E605">
        <v>50</v>
      </c>
      <c r="F605" t="s">
        <v>12</v>
      </c>
      <c r="G605" t="s">
        <v>13</v>
      </c>
      <c r="H605">
        <v>1</v>
      </c>
      <c r="I605" t="s">
        <v>27</v>
      </c>
    </row>
    <row r="606" spans="1:9" x14ac:dyDescent="0.2">
      <c r="A606" t="str">
        <f t="shared" si="256"/>
        <v>36861Vaipahu1850PocilloporidaeBords</v>
      </c>
      <c r="B606" s="1">
        <v>36861</v>
      </c>
      <c r="C606" t="s">
        <v>23</v>
      </c>
      <c r="D606" s="19">
        <v>18</v>
      </c>
      <c r="E606">
        <v>50</v>
      </c>
      <c r="F606" t="s">
        <v>10</v>
      </c>
      <c r="G606" t="s">
        <v>13</v>
      </c>
      <c r="H606">
        <v>6</v>
      </c>
      <c r="I606" t="s">
        <v>27</v>
      </c>
    </row>
    <row r="607" spans="1:9" x14ac:dyDescent="0.2">
      <c r="A607" t="str">
        <f t="shared" si="256"/>
        <v>36861Vaipahu1850PocilloporidaeDessous</v>
      </c>
      <c r="B607" s="1">
        <v>36861</v>
      </c>
      <c r="C607" t="s">
        <v>23</v>
      </c>
      <c r="D607" s="19">
        <v>18</v>
      </c>
      <c r="E607">
        <v>50</v>
      </c>
      <c r="F607" t="s">
        <v>10</v>
      </c>
      <c r="G607" t="s">
        <v>8</v>
      </c>
      <c r="H607">
        <v>2</v>
      </c>
      <c r="I607" t="s">
        <v>27</v>
      </c>
    </row>
    <row r="608" spans="1:9" x14ac:dyDescent="0.2">
      <c r="A608" t="str">
        <f t="shared" si="256"/>
        <v>36861Vaipahu1850PocilloporidaeDessus</v>
      </c>
      <c r="B608" s="1">
        <v>36861</v>
      </c>
      <c r="C608" t="s">
        <v>23</v>
      </c>
      <c r="D608" s="19">
        <v>18</v>
      </c>
      <c r="E608">
        <v>50</v>
      </c>
      <c r="F608" t="s">
        <v>10</v>
      </c>
      <c r="G608" t="s">
        <v>11</v>
      </c>
      <c r="H608">
        <v>2</v>
      </c>
      <c r="I608" t="s">
        <v>27</v>
      </c>
    </row>
    <row r="609" spans="1:9" x14ac:dyDescent="0.2">
      <c r="A609" t="str">
        <f t="shared" si="256"/>
        <v>36861Vaipahu1850PoritidaeBords</v>
      </c>
      <c r="B609" s="1">
        <v>36861</v>
      </c>
      <c r="C609" t="s">
        <v>23</v>
      </c>
      <c r="D609" s="19">
        <v>18</v>
      </c>
      <c r="E609">
        <v>50</v>
      </c>
      <c r="F609" t="s">
        <v>7</v>
      </c>
      <c r="G609" t="s">
        <v>13</v>
      </c>
      <c r="H609">
        <v>1</v>
      </c>
      <c r="I609" t="s">
        <v>27</v>
      </c>
    </row>
    <row r="610" spans="1:9" x14ac:dyDescent="0.2">
      <c r="A610" t="str">
        <f t="shared" si="256"/>
        <v>36861Vaipahu1851Autres</v>
      </c>
      <c r="B610" s="1">
        <v>36861</v>
      </c>
      <c r="C610" t="s">
        <v>23</v>
      </c>
      <c r="D610" s="19">
        <v>18</v>
      </c>
      <c r="E610">
        <v>51</v>
      </c>
      <c r="F610" t="s">
        <v>14</v>
      </c>
      <c r="H610">
        <v>0</v>
      </c>
    </row>
    <row r="611" spans="1:9" x14ac:dyDescent="0.2">
      <c r="A611" t="str">
        <f t="shared" si="256"/>
        <v>36861Vaipahu1852AutresDessus</v>
      </c>
      <c r="B611" s="1">
        <v>36861</v>
      </c>
      <c r="C611" t="s">
        <v>23</v>
      </c>
      <c r="D611" s="19">
        <v>18</v>
      </c>
      <c r="E611">
        <v>52</v>
      </c>
      <c r="F611" t="s">
        <v>14</v>
      </c>
      <c r="G611" t="s">
        <v>11</v>
      </c>
      <c r="H611">
        <v>1</v>
      </c>
      <c r="I611" t="s">
        <v>27</v>
      </c>
    </row>
    <row r="612" spans="1:9" x14ac:dyDescent="0.2">
      <c r="A612" t="str">
        <f t="shared" si="256"/>
        <v>36861Vaipahu1852CassésDessus</v>
      </c>
      <c r="B612" s="1">
        <v>36861</v>
      </c>
      <c r="C612" t="s">
        <v>23</v>
      </c>
      <c r="D612" s="19">
        <v>18</v>
      </c>
      <c r="E612">
        <v>52</v>
      </c>
      <c r="F612" t="s">
        <v>12</v>
      </c>
      <c r="G612" t="s">
        <v>11</v>
      </c>
      <c r="H612">
        <v>1</v>
      </c>
      <c r="I612" t="s">
        <v>27</v>
      </c>
    </row>
    <row r="613" spans="1:9" x14ac:dyDescent="0.2">
      <c r="A613" t="str">
        <f t="shared" si="256"/>
        <v>36861Vaipahu1852PocilloporidaeDessous</v>
      </c>
      <c r="B613" s="1">
        <v>36861</v>
      </c>
      <c r="C613" t="s">
        <v>23</v>
      </c>
      <c r="D613" s="19">
        <v>18</v>
      </c>
      <c r="E613">
        <v>52</v>
      </c>
      <c r="F613" t="s">
        <v>10</v>
      </c>
      <c r="G613" t="s">
        <v>8</v>
      </c>
      <c r="H613">
        <v>2</v>
      </c>
      <c r="I613" t="s">
        <v>27</v>
      </c>
    </row>
    <row r="614" spans="1:9" x14ac:dyDescent="0.2">
      <c r="A614" t="str">
        <f t="shared" si="256"/>
        <v>36861Vaipahu1852PocilloporidaeDessus</v>
      </c>
      <c r="B614" s="1">
        <v>36861</v>
      </c>
      <c r="C614" t="s">
        <v>23</v>
      </c>
      <c r="D614" s="19">
        <v>18</v>
      </c>
      <c r="E614">
        <v>52</v>
      </c>
      <c r="F614" t="s">
        <v>10</v>
      </c>
      <c r="G614" t="s">
        <v>11</v>
      </c>
      <c r="H614">
        <v>1</v>
      </c>
      <c r="I614" t="s">
        <v>27</v>
      </c>
    </row>
    <row r="615" spans="1:9" x14ac:dyDescent="0.2">
      <c r="A615" t="str">
        <f t="shared" si="256"/>
        <v>36861Vaipahu1853CassésDessous</v>
      </c>
      <c r="B615" s="1">
        <v>36861</v>
      </c>
      <c r="C615" t="s">
        <v>23</v>
      </c>
      <c r="D615" s="19">
        <v>18</v>
      </c>
      <c r="E615">
        <v>53</v>
      </c>
      <c r="F615" t="s">
        <v>12</v>
      </c>
      <c r="G615" t="s">
        <v>8</v>
      </c>
      <c r="H615">
        <v>1</v>
      </c>
      <c r="I615" t="s">
        <v>27</v>
      </c>
    </row>
    <row r="616" spans="1:9" x14ac:dyDescent="0.2">
      <c r="A616" t="str">
        <f t="shared" si="256"/>
        <v>36861Vaipahu1853CassésDessus</v>
      </c>
      <c r="B616" s="1">
        <v>36861</v>
      </c>
      <c r="C616" t="s">
        <v>23</v>
      </c>
      <c r="D616" s="19">
        <v>18</v>
      </c>
      <c r="E616">
        <v>53</v>
      </c>
      <c r="F616" t="s">
        <v>12</v>
      </c>
      <c r="G616" t="s">
        <v>11</v>
      </c>
      <c r="H616">
        <v>1</v>
      </c>
      <c r="I616" t="s">
        <v>27</v>
      </c>
    </row>
    <row r="617" spans="1:9" x14ac:dyDescent="0.2">
      <c r="A617" t="str">
        <f t="shared" si="256"/>
        <v>36861Vaipahu1853PocilloporidaeDessous</v>
      </c>
      <c r="B617" s="1">
        <v>36861</v>
      </c>
      <c r="C617" t="s">
        <v>23</v>
      </c>
      <c r="D617" s="19">
        <v>18</v>
      </c>
      <c r="E617">
        <v>53</v>
      </c>
      <c r="F617" t="s">
        <v>10</v>
      </c>
      <c r="G617" t="s">
        <v>8</v>
      </c>
      <c r="H617">
        <v>6</v>
      </c>
      <c r="I617" t="s">
        <v>27</v>
      </c>
    </row>
    <row r="618" spans="1:9" x14ac:dyDescent="0.2">
      <c r="A618" t="str">
        <f t="shared" si="256"/>
        <v>36861Vaipahu1853PoritidaeDessous</v>
      </c>
      <c r="B618" s="1">
        <v>36861</v>
      </c>
      <c r="C618" t="s">
        <v>23</v>
      </c>
      <c r="D618" s="19">
        <v>18</v>
      </c>
      <c r="E618">
        <v>53</v>
      </c>
      <c r="F618" t="s">
        <v>7</v>
      </c>
      <c r="G618" t="s">
        <v>8</v>
      </c>
      <c r="H618">
        <v>1</v>
      </c>
      <c r="I618" t="s">
        <v>27</v>
      </c>
    </row>
    <row r="619" spans="1:9" x14ac:dyDescent="0.2">
      <c r="A619" t="str">
        <f t="shared" si="256"/>
        <v>36861Vaipahu1854PocilloporidaeDessous</v>
      </c>
      <c r="B619" s="1">
        <v>36861</v>
      </c>
      <c r="C619" t="s">
        <v>23</v>
      </c>
      <c r="D619" s="19">
        <v>18</v>
      </c>
      <c r="E619">
        <v>54</v>
      </c>
      <c r="F619" t="s">
        <v>10</v>
      </c>
      <c r="G619" t="s">
        <v>8</v>
      </c>
      <c r="H619">
        <v>3</v>
      </c>
      <c r="I619" t="s">
        <v>27</v>
      </c>
    </row>
    <row r="620" spans="1:9" x14ac:dyDescent="0.2">
      <c r="A620" t="str">
        <f t="shared" si="256"/>
        <v>36861Vaipahu1854PocilloporidaeDessus</v>
      </c>
      <c r="B620" s="1">
        <v>36861</v>
      </c>
      <c r="C620" t="s">
        <v>23</v>
      </c>
      <c r="D620" s="19">
        <v>18</v>
      </c>
      <c r="E620">
        <v>54</v>
      </c>
      <c r="F620" t="s">
        <v>10</v>
      </c>
      <c r="G620" t="s">
        <v>11</v>
      </c>
      <c r="H620">
        <v>1</v>
      </c>
      <c r="I620" t="s">
        <v>27</v>
      </c>
    </row>
    <row r="621" spans="1:9" x14ac:dyDescent="0.2">
      <c r="A621" t="str">
        <f t="shared" si="256"/>
        <v>36861Vaipahu1855CassésDessus</v>
      </c>
      <c r="B621" s="1">
        <v>36861</v>
      </c>
      <c r="C621" t="s">
        <v>23</v>
      </c>
      <c r="D621" s="19">
        <v>18</v>
      </c>
      <c r="E621">
        <v>55</v>
      </c>
      <c r="F621" t="s">
        <v>12</v>
      </c>
      <c r="G621" t="s">
        <v>11</v>
      </c>
      <c r="H621">
        <v>1</v>
      </c>
      <c r="I621" t="s">
        <v>27</v>
      </c>
    </row>
    <row r="622" spans="1:9" x14ac:dyDescent="0.2">
      <c r="A622" t="str">
        <f t="shared" si="256"/>
        <v>36861Vaipahu1855PocilloporidaeBords</v>
      </c>
      <c r="B622" s="1">
        <v>36861</v>
      </c>
      <c r="C622" t="s">
        <v>23</v>
      </c>
      <c r="D622" s="19">
        <v>18</v>
      </c>
      <c r="E622">
        <v>55</v>
      </c>
      <c r="F622" t="s">
        <v>10</v>
      </c>
      <c r="G622" t="s">
        <v>13</v>
      </c>
      <c r="H622">
        <v>1</v>
      </c>
      <c r="I622" t="s">
        <v>27</v>
      </c>
    </row>
    <row r="623" spans="1:9" x14ac:dyDescent="0.2">
      <c r="A623" t="str">
        <f t="shared" si="256"/>
        <v>36861Vaipahu1855PocilloporidaeDessous</v>
      </c>
      <c r="B623" s="1">
        <v>36861</v>
      </c>
      <c r="C623" t="s">
        <v>23</v>
      </c>
      <c r="D623" s="19">
        <v>18</v>
      </c>
      <c r="E623">
        <v>55</v>
      </c>
      <c r="F623" t="s">
        <v>10</v>
      </c>
      <c r="G623" t="s">
        <v>8</v>
      </c>
      <c r="H623">
        <v>4</v>
      </c>
      <c r="I623" t="s">
        <v>27</v>
      </c>
    </row>
    <row r="624" spans="1:9" x14ac:dyDescent="0.2">
      <c r="A624" t="str">
        <f t="shared" si="256"/>
        <v>36861Vaipahu1855PocilloporidaeDessus</v>
      </c>
      <c r="B624" s="1">
        <v>36861</v>
      </c>
      <c r="C624" t="s">
        <v>23</v>
      </c>
      <c r="D624" s="19">
        <v>18</v>
      </c>
      <c r="E624">
        <v>55</v>
      </c>
      <c r="F624" t="s">
        <v>10</v>
      </c>
      <c r="G624" t="s">
        <v>11</v>
      </c>
      <c r="H624">
        <v>1</v>
      </c>
      <c r="I624" t="s">
        <v>27</v>
      </c>
    </row>
    <row r="625" spans="1:9" x14ac:dyDescent="0.2">
      <c r="A625" t="str">
        <f t="shared" si="256"/>
        <v>36861Vaipahu1856PocilloporidaeDessous</v>
      </c>
      <c r="B625" s="1">
        <v>36861</v>
      </c>
      <c r="C625" t="s">
        <v>23</v>
      </c>
      <c r="D625" s="19">
        <v>18</v>
      </c>
      <c r="E625">
        <v>56</v>
      </c>
      <c r="F625" t="s">
        <v>10</v>
      </c>
      <c r="G625" t="s">
        <v>8</v>
      </c>
      <c r="H625">
        <v>1</v>
      </c>
      <c r="I625" t="s">
        <v>27</v>
      </c>
    </row>
    <row r="626" spans="1:9" x14ac:dyDescent="0.2">
      <c r="A626" t="str">
        <f t="shared" si="256"/>
        <v>36861Vaipahu1857CassésDessus</v>
      </c>
      <c r="B626" s="1">
        <v>36861</v>
      </c>
      <c r="C626" t="s">
        <v>23</v>
      </c>
      <c r="D626" s="19">
        <v>18</v>
      </c>
      <c r="E626">
        <v>57</v>
      </c>
      <c r="F626" t="s">
        <v>12</v>
      </c>
      <c r="G626" t="s">
        <v>11</v>
      </c>
      <c r="H626">
        <v>2</v>
      </c>
      <c r="I626" t="s">
        <v>27</v>
      </c>
    </row>
    <row r="627" spans="1:9" x14ac:dyDescent="0.2">
      <c r="A627" t="str">
        <f t="shared" si="256"/>
        <v>36861Vaipahu1857PocilloporidaeDessous</v>
      </c>
      <c r="B627" s="1">
        <v>36861</v>
      </c>
      <c r="C627" t="s">
        <v>23</v>
      </c>
      <c r="D627" s="19">
        <v>18</v>
      </c>
      <c r="E627">
        <v>57</v>
      </c>
      <c r="F627" t="s">
        <v>10</v>
      </c>
      <c r="G627" t="s">
        <v>8</v>
      </c>
      <c r="H627">
        <v>4</v>
      </c>
      <c r="I627" t="s">
        <v>27</v>
      </c>
    </row>
    <row r="628" spans="1:9" x14ac:dyDescent="0.2">
      <c r="A628" t="str">
        <f t="shared" si="256"/>
        <v>36861Vaipahu1857PocilloporidaeDessus</v>
      </c>
      <c r="B628" s="1">
        <v>36861</v>
      </c>
      <c r="C628" t="s">
        <v>23</v>
      </c>
      <c r="D628" s="19">
        <v>18</v>
      </c>
      <c r="E628">
        <v>57</v>
      </c>
      <c r="F628" t="s">
        <v>10</v>
      </c>
      <c r="G628" t="s">
        <v>11</v>
      </c>
      <c r="H628">
        <v>1</v>
      </c>
      <c r="I628" t="s">
        <v>27</v>
      </c>
    </row>
    <row r="629" spans="1:9" x14ac:dyDescent="0.2">
      <c r="A629" t="str">
        <f t="shared" si="256"/>
        <v>36861Vaipahu1858PocilloporidaeBords</v>
      </c>
      <c r="B629" s="1">
        <v>36861</v>
      </c>
      <c r="C629" t="s">
        <v>23</v>
      </c>
      <c r="D629" s="19">
        <v>18</v>
      </c>
      <c r="E629">
        <v>58</v>
      </c>
      <c r="F629" t="s">
        <v>10</v>
      </c>
      <c r="G629" t="s">
        <v>13</v>
      </c>
      <c r="H629">
        <v>1</v>
      </c>
      <c r="I629" t="s">
        <v>27</v>
      </c>
    </row>
    <row r="630" spans="1:9" x14ac:dyDescent="0.2">
      <c r="A630" t="str">
        <f t="shared" si="256"/>
        <v>36861Vaipahu1858PocilloporidaeDessous</v>
      </c>
      <c r="B630" s="1">
        <v>36861</v>
      </c>
      <c r="C630" t="s">
        <v>23</v>
      </c>
      <c r="D630" s="19">
        <v>18</v>
      </c>
      <c r="E630">
        <v>58</v>
      </c>
      <c r="F630" t="s">
        <v>10</v>
      </c>
      <c r="G630" t="s">
        <v>8</v>
      </c>
      <c r="H630">
        <v>7</v>
      </c>
      <c r="I630" t="s">
        <v>27</v>
      </c>
    </row>
    <row r="631" spans="1:9" x14ac:dyDescent="0.2">
      <c r="A631" t="str">
        <f t="shared" si="256"/>
        <v>36861Vaipahu1858PocilloporidaeDessus</v>
      </c>
      <c r="B631" s="1">
        <v>36861</v>
      </c>
      <c r="C631" t="s">
        <v>23</v>
      </c>
      <c r="D631" s="19">
        <v>18</v>
      </c>
      <c r="E631">
        <v>58</v>
      </c>
      <c r="F631" t="s">
        <v>10</v>
      </c>
      <c r="G631" t="s">
        <v>11</v>
      </c>
      <c r="H631">
        <v>1</v>
      </c>
      <c r="I631" t="s">
        <v>27</v>
      </c>
    </row>
    <row r="632" spans="1:9" x14ac:dyDescent="0.2">
      <c r="A632" t="str">
        <f t="shared" si="256"/>
        <v>36861Vaipahu1859PocilloporidaeBords</v>
      </c>
      <c r="B632" s="1">
        <v>36861</v>
      </c>
      <c r="C632" t="s">
        <v>23</v>
      </c>
      <c r="D632" s="19">
        <v>18</v>
      </c>
      <c r="E632">
        <v>59</v>
      </c>
      <c r="F632" t="s">
        <v>10</v>
      </c>
      <c r="G632" t="s">
        <v>13</v>
      </c>
      <c r="H632">
        <v>2</v>
      </c>
      <c r="I632" t="s">
        <v>27</v>
      </c>
    </row>
    <row r="633" spans="1:9" x14ac:dyDescent="0.2">
      <c r="A633" t="str">
        <f t="shared" si="256"/>
        <v>36861Vaipahu1859PoritidaeDessous</v>
      </c>
      <c r="B633" s="1">
        <v>36861</v>
      </c>
      <c r="C633" t="s">
        <v>23</v>
      </c>
      <c r="D633" s="19">
        <v>18</v>
      </c>
      <c r="E633">
        <v>59</v>
      </c>
      <c r="F633" t="s">
        <v>7</v>
      </c>
      <c r="G633" t="s">
        <v>8</v>
      </c>
      <c r="H633">
        <v>1</v>
      </c>
      <c r="I633" t="s">
        <v>27</v>
      </c>
    </row>
    <row r="634" spans="1:9" x14ac:dyDescent="0.2">
      <c r="A634" t="str">
        <f t="shared" si="256"/>
        <v>36861Vaipahu1860CassésDessus</v>
      </c>
      <c r="B634" s="1">
        <v>36861</v>
      </c>
      <c r="C634" t="s">
        <v>23</v>
      </c>
      <c r="D634" s="19">
        <v>18</v>
      </c>
      <c r="E634">
        <v>60</v>
      </c>
      <c r="F634" t="s">
        <v>12</v>
      </c>
      <c r="G634" t="s">
        <v>11</v>
      </c>
      <c r="H634">
        <v>1</v>
      </c>
      <c r="I634" t="s">
        <v>27</v>
      </c>
    </row>
    <row r="635" spans="1:9" x14ac:dyDescent="0.2">
      <c r="A635" t="str">
        <f t="shared" si="256"/>
        <v>36861Vaipahu1860PocilloporidaeDessous</v>
      </c>
      <c r="B635" s="1">
        <v>36861</v>
      </c>
      <c r="C635" t="s">
        <v>23</v>
      </c>
      <c r="D635" s="19">
        <v>18</v>
      </c>
      <c r="E635">
        <v>60</v>
      </c>
      <c r="F635" t="s">
        <v>10</v>
      </c>
      <c r="G635" t="s">
        <v>8</v>
      </c>
      <c r="H635">
        <v>1</v>
      </c>
      <c r="I635" t="s">
        <v>27</v>
      </c>
    </row>
    <row r="636" spans="1:9" x14ac:dyDescent="0.2">
      <c r="A636" t="str">
        <f t="shared" si="256"/>
        <v>36861Tiahura661PocilloporidaeDessous</v>
      </c>
      <c r="B636" s="1">
        <v>36861</v>
      </c>
      <c r="C636" t="s">
        <v>24</v>
      </c>
      <c r="D636" s="19">
        <v>6</v>
      </c>
      <c r="E636">
        <v>61</v>
      </c>
      <c r="F636" t="s">
        <v>10</v>
      </c>
      <c r="G636" t="s">
        <v>8</v>
      </c>
      <c r="H636">
        <v>1</v>
      </c>
      <c r="I636" t="s">
        <v>27</v>
      </c>
    </row>
    <row r="637" spans="1:9" x14ac:dyDescent="0.2">
      <c r="A637" t="str">
        <f t="shared" si="256"/>
        <v>36861Tiahura662Autres</v>
      </c>
      <c r="B637" s="1">
        <v>36861</v>
      </c>
      <c r="C637" t="s">
        <v>24</v>
      </c>
      <c r="D637" s="19">
        <v>6</v>
      </c>
      <c r="E637">
        <v>62</v>
      </c>
      <c r="F637" t="s">
        <v>14</v>
      </c>
      <c r="H637">
        <v>0</v>
      </c>
    </row>
    <row r="638" spans="1:9" x14ac:dyDescent="0.2">
      <c r="A638" t="str">
        <f t="shared" si="256"/>
        <v>36861Tiahura663CassésDessus</v>
      </c>
      <c r="B638" s="1">
        <v>36861</v>
      </c>
      <c r="C638" t="s">
        <v>24</v>
      </c>
      <c r="D638" s="19">
        <v>6</v>
      </c>
      <c r="E638">
        <v>63</v>
      </c>
      <c r="F638" t="s">
        <v>12</v>
      </c>
      <c r="G638" t="s">
        <v>11</v>
      </c>
      <c r="H638">
        <v>1</v>
      </c>
      <c r="I638" t="s">
        <v>27</v>
      </c>
    </row>
    <row r="639" spans="1:9" x14ac:dyDescent="0.2">
      <c r="A639" t="str">
        <f t="shared" ref="A639:A702" si="257">B639 &amp; C639&amp; D639&amp; E639 &amp; F639 &amp;G639</f>
        <v>36861Tiahura663PocilloporidaeDessous</v>
      </c>
      <c r="B639" s="1">
        <v>36861</v>
      </c>
      <c r="C639" t="s">
        <v>24</v>
      </c>
      <c r="D639" s="19">
        <v>6</v>
      </c>
      <c r="E639">
        <v>63</v>
      </c>
      <c r="F639" t="s">
        <v>10</v>
      </c>
      <c r="G639" t="s">
        <v>8</v>
      </c>
      <c r="H639">
        <v>1</v>
      </c>
      <c r="I639" t="s">
        <v>27</v>
      </c>
    </row>
    <row r="640" spans="1:9" x14ac:dyDescent="0.2">
      <c r="A640" t="str">
        <f t="shared" si="257"/>
        <v>36861Tiahura664PocilloporidaeDessus</v>
      </c>
      <c r="B640" s="1">
        <v>36861</v>
      </c>
      <c r="C640" t="s">
        <v>24</v>
      </c>
      <c r="D640" s="19">
        <v>6</v>
      </c>
      <c r="E640">
        <v>64</v>
      </c>
      <c r="F640" t="s">
        <v>10</v>
      </c>
      <c r="G640" t="s">
        <v>11</v>
      </c>
      <c r="H640">
        <v>1</v>
      </c>
      <c r="I640" t="s">
        <v>27</v>
      </c>
    </row>
    <row r="641" spans="1:9" x14ac:dyDescent="0.2">
      <c r="A641" t="str">
        <f t="shared" si="257"/>
        <v>36861Tiahura665CassésDessous</v>
      </c>
      <c r="B641" s="1">
        <v>36861</v>
      </c>
      <c r="C641" t="s">
        <v>24</v>
      </c>
      <c r="D641" s="19">
        <v>6</v>
      </c>
      <c r="E641">
        <v>65</v>
      </c>
      <c r="F641" t="s">
        <v>12</v>
      </c>
      <c r="G641" t="s">
        <v>8</v>
      </c>
      <c r="H641">
        <v>1</v>
      </c>
      <c r="I641" t="s">
        <v>27</v>
      </c>
    </row>
    <row r="642" spans="1:9" x14ac:dyDescent="0.2">
      <c r="A642" t="str">
        <f t="shared" si="257"/>
        <v>36861Tiahura665PocilloporidaeBords</v>
      </c>
      <c r="B642" s="1">
        <v>36861</v>
      </c>
      <c r="C642" t="s">
        <v>24</v>
      </c>
      <c r="D642" s="19">
        <v>6</v>
      </c>
      <c r="E642">
        <v>65</v>
      </c>
      <c r="F642" t="s">
        <v>10</v>
      </c>
      <c r="G642" t="s">
        <v>13</v>
      </c>
      <c r="H642">
        <v>1</v>
      </c>
      <c r="I642" t="s">
        <v>27</v>
      </c>
    </row>
    <row r="643" spans="1:9" x14ac:dyDescent="0.2">
      <c r="A643" t="str">
        <f t="shared" si="257"/>
        <v>36861Tiahura665PocilloporidaeDessous</v>
      </c>
      <c r="B643" s="1">
        <v>36861</v>
      </c>
      <c r="C643" t="s">
        <v>24</v>
      </c>
      <c r="D643" s="19">
        <v>6</v>
      </c>
      <c r="E643">
        <v>65</v>
      </c>
      <c r="F643" t="s">
        <v>10</v>
      </c>
      <c r="G643" t="s">
        <v>8</v>
      </c>
      <c r="H643">
        <v>2</v>
      </c>
      <c r="I643" t="s">
        <v>27</v>
      </c>
    </row>
    <row r="644" spans="1:9" x14ac:dyDescent="0.2">
      <c r="A644" t="str">
        <f t="shared" si="257"/>
        <v>36861Tiahura665PoritidaeDessous</v>
      </c>
      <c r="B644" s="1">
        <v>36861</v>
      </c>
      <c r="C644" t="s">
        <v>24</v>
      </c>
      <c r="D644" s="19">
        <v>6</v>
      </c>
      <c r="E644">
        <v>65</v>
      </c>
      <c r="F644" t="s">
        <v>7</v>
      </c>
      <c r="G644" t="s">
        <v>8</v>
      </c>
      <c r="H644">
        <v>2</v>
      </c>
      <c r="I644" t="s">
        <v>27</v>
      </c>
    </row>
    <row r="645" spans="1:9" x14ac:dyDescent="0.2">
      <c r="A645" t="str">
        <f t="shared" si="257"/>
        <v>36861Tiahura666PocilloporidaeBords</v>
      </c>
      <c r="B645" s="1">
        <v>36861</v>
      </c>
      <c r="C645" t="s">
        <v>24</v>
      </c>
      <c r="D645" s="19">
        <v>6</v>
      </c>
      <c r="E645">
        <v>66</v>
      </c>
      <c r="F645" t="s">
        <v>10</v>
      </c>
      <c r="G645" t="s">
        <v>13</v>
      </c>
      <c r="H645">
        <v>1</v>
      </c>
      <c r="I645" t="s">
        <v>27</v>
      </c>
    </row>
    <row r="646" spans="1:9" x14ac:dyDescent="0.2">
      <c r="A646" t="str">
        <f t="shared" si="257"/>
        <v>36861Tiahura667PocilloporidaeBords</v>
      </c>
      <c r="B646" s="1">
        <v>36861</v>
      </c>
      <c r="C646" t="s">
        <v>24</v>
      </c>
      <c r="D646" s="19">
        <v>6</v>
      </c>
      <c r="E646">
        <v>67</v>
      </c>
      <c r="F646" t="s">
        <v>10</v>
      </c>
      <c r="G646" t="s">
        <v>13</v>
      </c>
      <c r="H646">
        <v>1</v>
      </c>
      <c r="I646" t="s">
        <v>27</v>
      </c>
    </row>
    <row r="647" spans="1:9" x14ac:dyDescent="0.2">
      <c r="A647" t="str">
        <f t="shared" si="257"/>
        <v>36861Tiahura667PocilloporidaeDessous</v>
      </c>
      <c r="B647" s="1">
        <v>36861</v>
      </c>
      <c r="C647" t="s">
        <v>24</v>
      </c>
      <c r="D647" s="19">
        <v>6</v>
      </c>
      <c r="E647">
        <v>67</v>
      </c>
      <c r="F647" t="s">
        <v>10</v>
      </c>
      <c r="G647" t="s">
        <v>8</v>
      </c>
      <c r="H647">
        <v>4</v>
      </c>
      <c r="I647" t="s">
        <v>27</v>
      </c>
    </row>
    <row r="648" spans="1:9" x14ac:dyDescent="0.2">
      <c r="A648" t="str">
        <f t="shared" si="257"/>
        <v>36861Tiahura668PocilloporidaeDessus</v>
      </c>
      <c r="B648" s="1">
        <v>36861</v>
      </c>
      <c r="C648" t="s">
        <v>24</v>
      </c>
      <c r="D648" s="19">
        <v>6</v>
      </c>
      <c r="E648">
        <v>68</v>
      </c>
      <c r="F648" t="s">
        <v>10</v>
      </c>
      <c r="G648" t="s">
        <v>11</v>
      </c>
      <c r="H648">
        <v>1</v>
      </c>
      <c r="I648" t="s">
        <v>27</v>
      </c>
    </row>
    <row r="649" spans="1:9" x14ac:dyDescent="0.2">
      <c r="A649" t="str">
        <f t="shared" si="257"/>
        <v>36861Tiahura669PocilloporidaeDessous</v>
      </c>
      <c r="B649" s="1">
        <v>36861</v>
      </c>
      <c r="C649" t="s">
        <v>24</v>
      </c>
      <c r="D649" s="19">
        <v>6</v>
      </c>
      <c r="E649">
        <v>69</v>
      </c>
      <c r="F649" t="s">
        <v>10</v>
      </c>
      <c r="G649" t="s">
        <v>8</v>
      </c>
      <c r="H649">
        <v>3</v>
      </c>
      <c r="I649" t="s">
        <v>27</v>
      </c>
    </row>
    <row r="650" spans="1:9" x14ac:dyDescent="0.2">
      <c r="A650" t="str">
        <f t="shared" si="257"/>
        <v>36861Tiahura670PocilloporidaeBords</v>
      </c>
      <c r="B650" s="1">
        <v>36861</v>
      </c>
      <c r="C650" t="s">
        <v>24</v>
      </c>
      <c r="D650" s="19">
        <v>6</v>
      </c>
      <c r="E650">
        <v>70</v>
      </c>
      <c r="F650" t="s">
        <v>10</v>
      </c>
      <c r="G650" t="s">
        <v>13</v>
      </c>
      <c r="H650">
        <v>2</v>
      </c>
      <c r="I650" t="s">
        <v>27</v>
      </c>
    </row>
    <row r="651" spans="1:9" x14ac:dyDescent="0.2">
      <c r="A651" t="str">
        <f t="shared" si="257"/>
        <v>36861Tiahura670PocilloporidaeDessous</v>
      </c>
      <c r="B651" s="1">
        <v>36861</v>
      </c>
      <c r="C651" t="s">
        <v>24</v>
      </c>
      <c r="D651" s="19">
        <v>6</v>
      </c>
      <c r="E651">
        <v>70</v>
      </c>
      <c r="F651" t="s">
        <v>10</v>
      </c>
      <c r="G651" t="s">
        <v>8</v>
      </c>
      <c r="H651">
        <v>3</v>
      </c>
      <c r="I651" t="s">
        <v>27</v>
      </c>
    </row>
    <row r="652" spans="1:9" x14ac:dyDescent="0.2">
      <c r="A652" t="str">
        <f t="shared" si="257"/>
        <v>36861Tiahura670PoritidaeBords</v>
      </c>
      <c r="B652" s="1">
        <v>36861</v>
      </c>
      <c r="C652" t="s">
        <v>24</v>
      </c>
      <c r="D652" s="19">
        <v>6</v>
      </c>
      <c r="E652">
        <v>70</v>
      </c>
      <c r="F652" t="s">
        <v>7</v>
      </c>
      <c r="G652" t="s">
        <v>13</v>
      </c>
      <c r="H652">
        <v>2</v>
      </c>
      <c r="I652" t="s">
        <v>27</v>
      </c>
    </row>
    <row r="653" spans="1:9" x14ac:dyDescent="0.2">
      <c r="A653" t="str">
        <f t="shared" si="257"/>
        <v>36861Tiahura670PoritidaeDessous</v>
      </c>
      <c r="B653" s="1">
        <v>36861</v>
      </c>
      <c r="C653" t="s">
        <v>24</v>
      </c>
      <c r="D653" s="19">
        <v>6</v>
      </c>
      <c r="E653">
        <v>70</v>
      </c>
      <c r="F653" t="s">
        <v>7</v>
      </c>
      <c r="G653" t="s">
        <v>8</v>
      </c>
      <c r="H653">
        <v>1</v>
      </c>
      <c r="I653" t="s">
        <v>27</v>
      </c>
    </row>
    <row r="654" spans="1:9" x14ac:dyDescent="0.2">
      <c r="A654" t="str">
        <f t="shared" si="257"/>
        <v>36861Tiahura671CassésDessous</v>
      </c>
      <c r="B654" s="1">
        <v>36861</v>
      </c>
      <c r="C654" t="s">
        <v>24</v>
      </c>
      <c r="D654" s="19">
        <v>6</v>
      </c>
      <c r="E654">
        <v>71</v>
      </c>
      <c r="F654" t="s">
        <v>12</v>
      </c>
      <c r="G654" t="s">
        <v>8</v>
      </c>
      <c r="H654">
        <v>1</v>
      </c>
      <c r="I654" t="s">
        <v>27</v>
      </c>
    </row>
    <row r="655" spans="1:9" x14ac:dyDescent="0.2">
      <c r="A655" t="str">
        <f t="shared" si="257"/>
        <v>36861Tiahura671PocilloporidaeBords</v>
      </c>
      <c r="B655" s="1">
        <v>36861</v>
      </c>
      <c r="C655" t="s">
        <v>24</v>
      </c>
      <c r="D655" s="19">
        <v>6</v>
      </c>
      <c r="E655">
        <v>71</v>
      </c>
      <c r="F655" t="s">
        <v>10</v>
      </c>
      <c r="G655" t="s">
        <v>13</v>
      </c>
      <c r="H655">
        <v>2</v>
      </c>
      <c r="I655" t="s">
        <v>27</v>
      </c>
    </row>
    <row r="656" spans="1:9" x14ac:dyDescent="0.2">
      <c r="A656" t="str">
        <f t="shared" si="257"/>
        <v>36861Tiahura671PocilloporidaeDessous</v>
      </c>
      <c r="B656" s="1">
        <v>36861</v>
      </c>
      <c r="C656" t="s">
        <v>24</v>
      </c>
      <c r="D656" s="19">
        <v>6</v>
      </c>
      <c r="E656">
        <v>71</v>
      </c>
      <c r="F656" t="s">
        <v>10</v>
      </c>
      <c r="G656" t="s">
        <v>8</v>
      </c>
      <c r="H656">
        <v>3</v>
      </c>
      <c r="I656" t="s">
        <v>27</v>
      </c>
    </row>
    <row r="657" spans="1:9" x14ac:dyDescent="0.2">
      <c r="A657" t="str">
        <f t="shared" si="257"/>
        <v>36861Tiahura671PoritidaeDessous</v>
      </c>
      <c r="B657" s="1">
        <v>36861</v>
      </c>
      <c r="C657" t="s">
        <v>24</v>
      </c>
      <c r="D657" s="19">
        <v>6</v>
      </c>
      <c r="E657">
        <v>71</v>
      </c>
      <c r="F657" t="s">
        <v>7</v>
      </c>
      <c r="G657" t="s">
        <v>8</v>
      </c>
      <c r="H657">
        <v>1</v>
      </c>
      <c r="I657" t="s">
        <v>27</v>
      </c>
    </row>
    <row r="658" spans="1:9" x14ac:dyDescent="0.2">
      <c r="A658" t="str">
        <f t="shared" si="257"/>
        <v>36861Tiahura672PocilloporidaeBords</v>
      </c>
      <c r="B658" s="1">
        <v>36861</v>
      </c>
      <c r="C658" t="s">
        <v>24</v>
      </c>
      <c r="D658" s="19">
        <v>6</v>
      </c>
      <c r="E658">
        <v>72</v>
      </c>
      <c r="F658" t="s">
        <v>10</v>
      </c>
      <c r="G658" t="s">
        <v>13</v>
      </c>
      <c r="H658">
        <v>1</v>
      </c>
      <c r="I658" t="s">
        <v>27</v>
      </c>
    </row>
    <row r="659" spans="1:9" x14ac:dyDescent="0.2">
      <c r="A659" t="str">
        <f t="shared" si="257"/>
        <v>36861Tiahura672PocilloporidaeDessous</v>
      </c>
      <c r="B659" s="1">
        <v>36861</v>
      </c>
      <c r="C659" t="s">
        <v>24</v>
      </c>
      <c r="D659" s="19">
        <v>6</v>
      </c>
      <c r="E659">
        <v>72</v>
      </c>
      <c r="F659" t="s">
        <v>10</v>
      </c>
      <c r="G659" t="s">
        <v>8</v>
      </c>
      <c r="H659">
        <v>2</v>
      </c>
      <c r="I659" t="s">
        <v>27</v>
      </c>
    </row>
    <row r="660" spans="1:9" x14ac:dyDescent="0.2">
      <c r="A660" t="str">
        <f t="shared" si="257"/>
        <v>36861Tiahura673PocilloporidaeBords</v>
      </c>
      <c r="B660" s="1">
        <v>36861</v>
      </c>
      <c r="C660" t="s">
        <v>24</v>
      </c>
      <c r="D660" s="19">
        <v>6</v>
      </c>
      <c r="E660">
        <v>73</v>
      </c>
      <c r="F660" t="s">
        <v>10</v>
      </c>
      <c r="G660" t="s">
        <v>13</v>
      </c>
      <c r="H660">
        <v>1</v>
      </c>
      <c r="I660" t="s">
        <v>27</v>
      </c>
    </row>
    <row r="661" spans="1:9" x14ac:dyDescent="0.2">
      <c r="A661" t="str">
        <f t="shared" si="257"/>
        <v>36861Tiahura674PocilloporidaeDessous</v>
      </c>
      <c r="B661" s="1">
        <v>36861</v>
      </c>
      <c r="C661" t="s">
        <v>24</v>
      </c>
      <c r="D661" s="19">
        <v>6</v>
      </c>
      <c r="E661">
        <v>74</v>
      </c>
      <c r="F661" t="s">
        <v>10</v>
      </c>
      <c r="G661" t="s">
        <v>8</v>
      </c>
      <c r="H661">
        <v>4</v>
      </c>
      <c r="I661" t="s">
        <v>27</v>
      </c>
    </row>
    <row r="662" spans="1:9" x14ac:dyDescent="0.2">
      <c r="A662" t="str">
        <f t="shared" si="257"/>
        <v>36861Tiahura675PocilloporidaeBords</v>
      </c>
      <c r="B662" s="1">
        <v>36861</v>
      </c>
      <c r="C662" t="s">
        <v>24</v>
      </c>
      <c r="D662" s="19">
        <v>6</v>
      </c>
      <c r="E662">
        <v>75</v>
      </c>
      <c r="F662" t="s">
        <v>10</v>
      </c>
      <c r="G662" t="s">
        <v>13</v>
      </c>
      <c r="H662">
        <v>1</v>
      </c>
      <c r="I662" t="s">
        <v>27</v>
      </c>
    </row>
    <row r="663" spans="1:9" x14ac:dyDescent="0.2">
      <c r="A663" t="str">
        <f t="shared" si="257"/>
        <v>36861Tiahura675PocilloporidaeDessous</v>
      </c>
      <c r="B663" s="1">
        <v>36861</v>
      </c>
      <c r="C663" t="s">
        <v>24</v>
      </c>
      <c r="D663" s="19">
        <v>6</v>
      </c>
      <c r="E663">
        <v>75</v>
      </c>
      <c r="F663" t="s">
        <v>10</v>
      </c>
      <c r="G663" t="s">
        <v>8</v>
      </c>
      <c r="H663">
        <v>1</v>
      </c>
      <c r="I663" t="s">
        <v>27</v>
      </c>
    </row>
    <row r="664" spans="1:9" x14ac:dyDescent="0.2">
      <c r="A664" t="str">
        <f t="shared" si="257"/>
        <v>36861Tiahura675PocilloporidaeDessus</v>
      </c>
      <c r="B664" s="1">
        <v>36861</v>
      </c>
      <c r="C664" t="s">
        <v>24</v>
      </c>
      <c r="D664" s="19">
        <v>6</v>
      </c>
      <c r="E664">
        <v>75</v>
      </c>
      <c r="F664" t="s">
        <v>10</v>
      </c>
      <c r="G664" t="s">
        <v>11</v>
      </c>
      <c r="H664">
        <v>1</v>
      </c>
      <c r="I664" t="s">
        <v>27</v>
      </c>
    </row>
    <row r="665" spans="1:9" x14ac:dyDescent="0.2">
      <c r="A665" t="str">
        <f t="shared" si="257"/>
        <v>36861Tiahura675PoritidaeBords</v>
      </c>
      <c r="B665" s="1">
        <v>36861</v>
      </c>
      <c r="C665" t="s">
        <v>24</v>
      </c>
      <c r="D665" s="19">
        <v>6</v>
      </c>
      <c r="E665">
        <v>75</v>
      </c>
      <c r="F665" t="s">
        <v>7</v>
      </c>
      <c r="G665" t="s">
        <v>13</v>
      </c>
      <c r="H665">
        <v>3</v>
      </c>
      <c r="I665" t="s">
        <v>27</v>
      </c>
    </row>
    <row r="666" spans="1:9" x14ac:dyDescent="0.2">
      <c r="A666" t="str">
        <f t="shared" si="257"/>
        <v>36861Tiahura675PoritidaeDessous</v>
      </c>
      <c r="B666" s="1">
        <v>36861</v>
      </c>
      <c r="C666" t="s">
        <v>24</v>
      </c>
      <c r="D666" s="19">
        <v>6</v>
      </c>
      <c r="E666">
        <v>75</v>
      </c>
      <c r="F666" t="s">
        <v>7</v>
      </c>
      <c r="G666" t="s">
        <v>8</v>
      </c>
      <c r="H666">
        <v>1</v>
      </c>
      <c r="I666" t="s">
        <v>27</v>
      </c>
    </row>
    <row r="667" spans="1:9" x14ac:dyDescent="0.2">
      <c r="A667" t="str">
        <f t="shared" si="257"/>
        <v>36861Tiahura676PocilloporidaeBords</v>
      </c>
      <c r="B667" s="1">
        <v>36861</v>
      </c>
      <c r="C667" t="s">
        <v>24</v>
      </c>
      <c r="D667" s="19">
        <v>6</v>
      </c>
      <c r="E667">
        <v>76</v>
      </c>
      <c r="F667" t="s">
        <v>10</v>
      </c>
      <c r="G667" t="s">
        <v>13</v>
      </c>
      <c r="H667">
        <v>1</v>
      </c>
      <c r="I667" t="s">
        <v>27</v>
      </c>
    </row>
    <row r="668" spans="1:9" x14ac:dyDescent="0.2">
      <c r="A668" t="str">
        <f t="shared" si="257"/>
        <v>36861Tiahura676PocilloporidaeDessous</v>
      </c>
      <c r="B668" s="1">
        <v>36861</v>
      </c>
      <c r="C668" t="s">
        <v>24</v>
      </c>
      <c r="D668" s="19">
        <v>6</v>
      </c>
      <c r="E668">
        <v>76</v>
      </c>
      <c r="F668" t="s">
        <v>10</v>
      </c>
      <c r="G668" t="s">
        <v>8</v>
      </c>
      <c r="H668">
        <v>1</v>
      </c>
      <c r="I668" t="s">
        <v>27</v>
      </c>
    </row>
    <row r="669" spans="1:9" x14ac:dyDescent="0.2">
      <c r="A669" t="str">
        <f t="shared" si="257"/>
        <v>36861Tiahura676PocilloporidaeDessus</v>
      </c>
      <c r="B669" s="1">
        <v>36861</v>
      </c>
      <c r="C669" t="s">
        <v>24</v>
      </c>
      <c r="D669" s="19">
        <v>6</v>
      </c>
      <c r="E669">
        <v>76</v>
      </c>
      <c r="F669" t="s">
        <v>10</v>
      </c>
      <c r="G669" t="s">
        <v>11</v>
      </c>
      <c r="H669">
        <v>1</v>
      </c>
      <c r="I669" t="s">
        <v>27</v>
      </c>
    </row>
    <row r="670" spans="1:9" x14ac:dyDescent="0.2">
      <c r="A670" t="str">
        <f t="shared" si="257"/>
        <v>36861Tiahura677CassésDessus</v>
      </c>
      <c r="B670" s="1">
        <v>36861</v>
      </c>
      <c r="C670" t="s">
        <v>24</v>
      </c>
      <c r="D670" s="19">
        <v>6</v>
      </c>
      <c r="E670">
        <v>77</v>
      </c>
      <c r="F670" t="s">
        <v>12</v>
      </c>
      <c r="G670" t="s">
        <v>11</v>
      </c>
      <c r="H670">
        <v>1</v>
      </c>
      <c r="I670" t="s">
        <v>27</v>
      </c>
    </row>
    <row r="671" spans="1:9" x14ac:dyDescent="0.2">
      <c r="A671" t="str">
        <f t="shared" si="257"/>
        <v>36861Tiahura677PocilloporidaeBords</v>
      </c>
      <c r="B671" s="1">
        <v>36861</v>
      </c>
      <c r="C671" t="s">
        <v>24</v>
      </c>
      <c r="D671" s="19">
        <v>6</v>
      </c>
      <c r="E671">
        <v>77</v>
      </c>
      <c r="F671" t="s">
        <v>10</v>
      </c>
      <c r="G671" t="s">
        <v>13</v>
      </c>
      <c r="H671">
        <v>7</v>
      </c>
      <c r="I671" t="s">
        <v>27</v>
      </c>
    </row>
    <row r="672" spans="1:9" x14ac:dyDescent="0.2">
      <c r="A672" t="str">
        <f t="shared" si="257"/>
        <v>36861Tiahura677PocilloporidaeDessous</v>
      </c>
      <c r="B672" s="1">
        <v>36861</v>
      </c>
      <c r="C672" t="s">
        <v>24</v>
      </c>
      <c r="D672" s="19">
        <v>6</v>
      </c>
      <c r="E672">
        <v>77</v>
      </c>
      <c r="F672" t="s">
        <v>10</v>
      </c>
      <c r="G672" t="s">
        <v>8</v>
      </c>
      <c r="H672">
        <v>15</v>
      </c>
      <c r="I672" t="s">
        <v>27</v>
      </c>
    </row>
    <row r="673" spans="1:9" x14ac:dyDescent="0.2">
      <c r="A673" t="str">
        <f t="shared" si="257"/>
        <v>36861Tiahura677PoritidaeBords</v>
      </c>
      <c r="B673" s="1">
        <v>36861</v>
      </c>
      <c r="C673" t="s">
        <v>24</v>
      </c>
      <c r="D673" s="19">
        <v>6</v>
      </c>
      <c r="E673">
        <v>77</v>
      </c>
      <c r="F673" t="s">
        <v>7</v>
      </c>
      <c r="G673" t="s">
        <v>13</v>
      </c>
      <c r="H673">
        <v>7</v>
      </c>
      <c r="I673" t="s">
        <v>27</v>
      </c>
    </row>
    <row r="674" spans="1:9" x14ac:dyDescent="0.2">
      <c r="A674" t="str">
        <f t="shared" si="257"/>
        <v>36861Tiahura677PoritidaeDessous</v>
      </c>
      <c r="B674" s="1">
        <v>36861</v>
      </c>
      <c r="C674" t="s">
        <v>24</v>
      </c>
      <c r="D674" s="19">
        <v>6</v>
      </c>
      <c r="E674">
        <v>77</v>
      </c>
      <c r="F674" t="s">
        <v>7</v>
      </c>
      <c r="G674" t="s">
        <v>8</v>
      </c>
      <c r="H674">
        <v>5</v>
      </c>
      <c r="I674" t="s">
        <v>27</v>
      </c>
    </row>
    <row r="675" spans="1:9" x14ac:dyDescent="0.2">
      <c r="A675" t="str">
        <f t="shared" si="257"/>
        <v>36861Tiahura678PocilloporidaeBords</v>
      </c>
      <c r="B675" s="1">
        <v>36861</v>
      </c>
      <c r="C675" t="s">
        <v>24</v>
      </c>
      <c r="D675" s="19">
        <v>6</v>
      </c>
      <c r="E675">
        <v>78</v>
      </c>
      <c r="F675" t="s">
        <v>10</v>
      </c>
      <c r="G675" t="s">
        <v>13</v>
      </c>
      <c r="H675">
        <v>1</v>
      </c>
      <c r="I675" t="s">
        <v>27</v>
      </c>
    </row>
    <row r="676" spans="1:9" x14ac:dyDescent="0.2">
      <c r="A676" t="str">
        <f t="shared" si="257"/>
        <v>36861Tiahura678PocilloporidaeDessous</v>
      </c>
      <c r="B676" s="1">
        <v>36861</v>
      </c>
      <c r="C676" t="s">
        <v>24</v>
      </c>
      <c r="D676" s="19">
        <v>6</v>
      </c>
      <c r="E676">
        <v>78</v>
      </c>
      <c r="F676" t="s">
        <v>10</v>
      </c>
      <c r="G676" t="s">
        <v>8</v>
      </c>
      <c r="H676">
        <v>1</v>
      </c>
      <c r="I676" t="s">
        <v>27</v>
      </c>
    </row>
    <row r="677" spans="1:9" x14ac:dyDescent="0.2">
      <c r="A677" t="str">
        <f t="shared" si="257"/>
        <v>36861Tiahura678PoritidaeDessous</v>
      </c>
      <c r="B677" s="1">
        <v>36861</v>
      </c>
      <c r="C677" t="s">
        <v>24</v>
      </c>
      <c r="D677" s="19">
        <v>6</v>
      </c>
      <c r="E677">
        <v>78</v>
      </c>
      <c r="F677" t="s">
        <v>7</v>
      </c>
      <c r="G677" t="s">
        <v>8</v>
      </c>
      <c r="H677">
        <v>1</v>
      </c>
      <c r="I677" t="s">
        <v>27</v>
      </c>
    </row>
    <row r="678" spans="1:9" x14ac:dyDescent="0.2">
      <c r="A678" t="str">
        <f t="shared" si="257"/>
        <v>36861Tiahura679PocilloporidaeBords</v>
      </c>
      <c r="B678" s="1">
        <v>36861</v>
      </c>
      <c r="C678" t="s">
        <v>24</v>
      </c>
      <c r="D678" s="19">
        <v>6</v>
      </c>
      <c r="E678">
        <v>79</v>
      </c>
      <c r="F678" t="s">
        <v>10</v>
      </c>
      <c r="G678" t="s">
        <v>13</v>
      </c>
      <c r="H678">
        <v>10</v>
      </c>
      <c r="I678" t="s">
        <v>27</v>
      </c>
    </row>
    <row r="679" spans="1:9" x14ac:dyDescent="0.2">
      <c r="A679" t="str">
        <f t="shared" si="257"/>
        <v>36861Tiahura679PocilloporidaeDessous</v>
      </c>
      <c r="B679" s="1">
        <v>36861</v>
      </c>
      <c r="C679" t="s">
        <v>24</v>
      </c>
      <c r="D679" s="19">
        <v>6</v>
      </c>
      <c r="E679">
        <v>79</v>
      </c>
      <c r="F679" t="s">
        <v>10</v>
      </c>
      <c r="G679" t="s">
        <v>8</v>
      </c>
      <c r="H679">
        <v>3</v>
      </c>
      <c r="I679" t="s">
        <v>27</v>
      </c>
    </row>
    <row r="680" spans="1:9" x14ac:dyDescent="0.2">
      <c r="A680" t="str">
        <f t="shared" si="257"/>
        <v>36861Tiahura679PocilloporidaeDessus</v>
      </c>
      <c r="B680" s="1">
        <v>36861</v>
      </c>
      <c r="C680" t="s">
        <v>24</v>
      </c>
      <c r="D680" s="19">
        <v>6</v>
      </c>
      <c r="E680">
        <v>79</v>
      </c>
      <c r="F680" t="s">
        <v>10</v>
      </c>
      <c r="G680" t="s">
        <v>11</v>
      </c>
      <c r="H680">
        <v>3</v>
      </c>
      <c r="I680" t="s">
        <v>27</v>
      </c>
    </row>
    <row r="681" spans="1:9" x14ac:dyDescent="0.2">
      <c r="A681" t="str">
        <f t="shared" si="257"/>
        <v>36861Tiahura679PoritidaeBords</v>
      </c>
      <c r="B681" s="1">
        <v>36861</v>
      </c>
      <c r="C681" t="s">
        <v>24</v>
      </c>
      <c r="D681" s="19">
        <v>6</v>
      </c>
      <c r="E681">
        <v>79</v>
      </c>
      <c r="F681" t="s">
        <v>7</v>
      </c>
      <c r="G681" t="s">
        <v>13</v>
      </c>
      <c r="H681">
        <v>1</v>
      </c>
      <c r="I681" t="s">
        <v>27</v>
      </c>
    </row>
    <row r="682" spans="1:9" x14ac:dyDescent="0.2">
      <c r="A682" t="str">
        <f t="shared" si="257"/>
        <v>36861Tiahura680PocilloporidaeBords</v>
      </c>
      <c r="B682" s="1">
        <v>36861</v>
      </c>
      <c r="C682" t="s">
        <v>24</v>
      </c>
      <c r="D682" s="19">
        <v>6</v>
      </c>
      <c r="E682">
        <v>80</v>
      </c>
      <c r="F682" t="s">
        <v>10</v>
      </c>
      <c r="G682" t="s">
        <v>13</v>
      </c>
      <c r="H682">
        <v>1</v>
      </c>
      <c r="I682" t="s">
        <v>27</v>
      </c>
    </row>
    <row r="683" spans="1:9" x14ac:dyDescent="0.2">
      <c r="A683" t="str">
        <f t="shared" si="257"/>
        <v>36861Tiahura680PocilloporidaeDessous</v>
      </c>
      <c r="B683" s="1">
        <v>36861</v>
      </c>
      <c r="C683" t="s">
        <v>24</v>
      </c>
      <c r="D683" s="19">
        <v>6</v>
      </c>
      <c r="E683">
        <v>80</v>
      </c>
      <c r="F683" t="s">
        <v>10</v>
      </c>
      <c r="G683" t="s">
        <v>8</v>
      </c>
      <c r="H683">
        <v>4</v>
      </c>
      <c r="I683" t="s">
        <v>27</v>
      </c>
    </row>
    <row r="684" spans="1:9" x14ac:dyDescent="0.2">
      <c r="A684" t="str">
        <f t="shared" si="257"/>
        <v>36861Tiahura680PoritidaeBords</v>
      </c>
      <c r="B684" s="1">
        <v>36861</v>
      </c>
      <c r="C684" t="s">
        <v>24</v>
      </c>
      <c r="D684" s="19">
        <v>6</v>
      </c>
      <c r="E684">
        <v>80</v>
      </c>
      <c r="F684" t="s">
        <v>7</v>
      </c>
      <c r="G684" t="s">
        <v>13</v>
      </c>
      <c r="H684">
        <v>1</v>
      </c>
      <c r="I684" t="s">
        <v>27</v>
      </c>
    </row>
    <row r="685" spans="1:9" x14ac:dyDescent="0.2">
      <c r="A685" t="str">
        <f t="shared" si="257"/>
        <v>36861Tiahura1281PocilloporidaeDessous</v>
      </c>
      <c r="B685" s="1">
        <v>36861</v>
      </c>
      <c r="C685" t="s">
        <v>24</v>
      </c>
      <c r="D685" s="19">
        <v>12</v>
      </c>
      <c r="E685">
        <v>81</v>
      </c>
      <c r="F685" t="s">
        <v>10</v>
      </c>
      <c r="G685" t="s">
        <v>8</v>
      </c>
      <c r="H685">
        <v>2</v>
      </c>
      <c r="I685" t="s">
        <v>27</v>
      </c>
    </row>
    <row r="686" spans="1:9" x14ac:dyDescent="0.2">
      <c r="A686" t="str">
        <f t="shared" si="257"/>
        <v>36861Tiahura1281PoritidaeDessous</v>
      </c>
      <c r="B686" s="1">
        <v>36861</v>
      </c>
      <c r="C686" t="s">
        <v>24</v>
      </c>
      <c r="D686" s="19">
        <v>12</v>
      </c>
      <c r="E686">
        <v>81</v>
      </c>
      <c r="F686" t="s">
        <v>7</v>
      </c>
      <c r="G686" t="s">
        <v>8</v>
      </c>
      <c r="H686">
        <v>2</v>
      </c>
      <c r="I686" t="s">
        <v>27</v>
      </c>
    </row>
    <row r="687" spans="1:9" x14ac:dyDescent="0.2">
      <c r="A687" t="str">
        <f t="shared" si="257"/>
        <v>36861Tiahura1282PoritidaeBords</v>
      </c>
      <c r="B687" s="1">
        <v>36861</v>
      </c>
      <c r="C687" t="s">
        <v>24</v>
      </c>
      <c r="D687" s="19">
        <v>12</v>
      </c>
      <c r="E687">
        <v>82</v>
      </c>
      <c r="F687" t="s">
        <v>7</v>
      </c>
      <c r="G687" t="s">
        <v>13</v>
      </c>
      <c r="H687">
        <v>6</v>
      </c>
      <c r="I687" t="s">
        <v>27</v>
      </c>
    </row>
    <row r="688" spans="1:9" x14ac:dyDescent="0.2">
      <c r="A688" t="str">
        <f t="shared" si="257"/>
        <v>36861Tiahura1282PoritidaeDessous</v>
      </c>
      <c r="B688" s="1">
        <v>36861</v>
      </c>
      <c r="C688" t="s">
        <v>24</v>
      </c>
      <c r="D688" s="19">
        <v>12</v>
      </c>
      <c r="E688">
        <v>82</v>
      </c>
      <c r="F688" t="s">
        <v>7</v>
      </c>
      <c r="G688" t="s">
        <v>8</v>
      </c>
      <c r="H688">
        <v>1</v>
      </c>
      <c r="I688" t="s">
        <v>27</v>
      </c>
    </row>
    <row r="689" spans="1:9" x14ac:dyDescent="0.2">
      <c r="A689" t="str">
        <f t="shared" si="257"/>
        <v>36861Tiahura1283AcroporidaeDessous</v>
      </c>
      <c r="B689" s="1">
        <v>36861</v>
      </c>
      <c r="C689" t="s">
        <v>24</v>
      </c>
      <c r="D689" s="19">
        <v>12</v>
      </c>
      <c r="E689">
        <v>83</v>
      </c>
      <c r="F689" t="s">
        <v>17</v>
      </c>
      <c r="G689" t="s">
        <v>8</v>
      </c>
      <c r="H689">
        <v>1</v>
      </c>
      <c r="I689" t="s">
        <v>27</v>
      </c>
    </row>
    <row r="690" spans="1:9" x14ac:dyDescent="0.2">
      <c r="A690" t="str">
        <f t="shared" si="257"/>
        <v>36861Tiahura1283CassésDessous</v>
      </c>
      <c r="B690" s="1">
        <v>36861</v>
      </c>
      <c r="C690" t="s">
        <v>24</v>
      </c>
      <c r="D690" s="19">
        <v>12</v>
      </c>
      <c r="E690">
        <v>83</v>
      </c>
      <c r="F690" t="s">
        <v>12</v>
      </c>
      <c r="G690" t="s">
        <v>8</v>
      </c>
      <c r="H690">
        <v>1</v>
      </c>
      <c r="I690" t="s">
        <v>27</v>
      </c>
    </row>
    <row r="691" spans="1:9" x14ac:dyDescent="0.2">
      <c r="A691" t="str">
        <f t="shared" si="257"/>
        <v>36861Tiahura1283PocilloporidaeDessous</v>
      </c>
      <c r="B691" s="1">
        <v>36861</v>
      </c>
      <c r="C691" t="s">
        <v>24</v>
      </c>
      <c r="D691" s="19">
        <v>12</v>
      </c>
      <c r="E691">
        <v>83</v>
      </c>
      <c r="F691" t="s">
        <v>10</v>
      </c>
      <c r="G691" t="s">
        <v>8</v>
      </c>
      <c r="H691">
        <v>4</v>
      </c>
      <c r="I691" t="s">
        <v>27</v>
      </c>
    </row>
    <row r="692" spans="1:9" x14ac:dyDescent="0.2">
      <c r="A692" t="str">
        <f t="shared" si="257"/>
        <v>36861Tiahura1283PoritidaeDessous</v>
      </c>
      <c r="B692" s="1">
        <v>36861</v>
      </c>
      <c r="C692" t="s">
        <v>24</v>
      </c>
      <c r="D692" s="19">
        <v>12</v>
      </c>
      <c r="E692">
        <v>83</v>
      </c>
      <c r="F692" t="s">
        <v>7</v>
      </c>
      <c r="G692" t="s">
        <v>8</v>
      </c>
      <c r="H692">
        <v>2</v>
      </c>
      <c r="I692" t="s">
        <v>27</v>
      </c>
    </row>
    <row r="693" spans="1:9" x14ac:dyDescent="0.2">
      <c r="A693" t="str">
        <f t="shared" si="257"/>
        <v>36861Tiahura1284AcroporidaeDessous</v>
      </c>
      <c r="B693" s="1">
        <v>36861</v>
      </c>
      <c r="C693" t="s">
        <v>24</v>
      </c>
      <c r="D693" s="19">
        <v>12</v>
      </c>
      <c r="E693">
        <v>84</v>
      </c>
      <c r="F693" t="s">
        <v>17</v>
      </c>
      <c r="G693" t="s">
        <v>8</v>
      </c>
      <c r="H693">
        <v>1</v>
      </c>
      <c r="I693" t="s">
        <v>27</v>
      </c>
    </row>
    <row r="694" spans="1:9" x14ac:dyDescent="0.2">
      <c r="A694" t="str">
        <f t="shared" si="257"/>
        <v>36861Tiahura1284PocilloporidaeBords</v>
      </c>
      <c r="B694" s="1">
        <v>36861</v>
      </c>
      <c r="C694" t="s">
        <v>24</v>
      </c>
      <c r="D694" s="19">
        <v>12</v>
      </c>
      <c r="E694">
        <v>84</v>
      </c>
      <c r="F694" t="s">
        <v>10</v>
      </c>
      <c r="G694" t="s">
        <v>13</v>
      </c>
      <c r="H694">
        <v>1</v>
      </c>
      <c r="I694" t="s">
        <v>27</v>
      </c>
    </row>
    <row r="695" spans="1:9" x14ac:dyDescent="0.2">
      <c r="A695" t="str">
        <f t="shared" si="257"/>
        <v>36861Tiahura1284PocilloporidaeDessous</v>
      </c>
      <c r="B695" s="1">
        <v>36861</v>
      </c>
      <c r="C695" t="s">
        <v>24</v>
      </c>
      <c r="D695" s="19">
        <v>12</v>
      </c>
      <c r="E695">
        <v>84</v>
      </c>
      <c r="F695" t="s">
        <v>10</v>
      </c>
      <c r="G695" t="s">
        <v>8</v>
      </c>
      <c r="H695">
        <v>3</v>
      </c>
      <c r="I695" t="s">
        <v>27</v>
      </c>
    </row>
    <row r="696" spans="1:9" x14ac:dyDescent="0.2">
      <c r="A696" t="str">
        <f t="shared" si="257"/>
        <v>36861Tiahura1284PoritidaeDessous</v>
      </c>
      <c r="B696" s="1">
        <v>36861</v>
      </c>
      <c r="C696" t="s">
        <v>24</v>
      </c>
      <c r="D696" s="19">
        <v>12</v>
      </c>
      <c r="E696">
        <v>84</v>
      </c>
      <c r="F696" t="s">
        <v>7</v>
      </c>
      <c r="G696" t="s">
        <v>8</v>
      </c>
      <c r="H696">
        <v>1</v>
      </c>
      <c r="I696" t="s">
        <v>27</v>
      </c>
    </row>
    <row r="697" spans="1:9" x14ac:dyDescent="0.2">
      <c r="A697" t="str">
        <f t="shared" si="257"/>
        <v>36861Tiahura1285AcroporidaeDessous</v>
      </c>
      <c r="B697" s="1">
        <v>36861</v>
      </c>
      <c r="C697" t="s">
        <v>24</v>
      </c>
      <c r="D697" s="19">
        <v>12</v>
      </c>
      <c r="E697">
        <v>85</v>
      </c>
      <c r="F697" t="s">
        <v>17</v>
      </c>
      <c r="G697" t="s">
        <v>8</v>
      </c>
      <c r="H697">
        <v>1</v>
      </c>
      <c r="I697" t="s">
        <v>27</v>
      </c>
    </row>
    <row r="698" spans="1:9" x14ac:dyDescent="0.2">
      <c r="A698" t="str">
        <f t="shared" si="257"/>
        <v>36861Tiahura1285PocilloporidaeDessous</v>
      </c>
      <c r="B698" s="1">
        <v>36861</v>
      </c>
      <c r="C698" t="s">
        <v>24</v>
      </c>
      <c r="D698" s="19">
        <v>12</v>
      </c>
      <c r="E698">
        <v>85</v>
      </c>
      <c r="F698" t="s">
        <v>10</v>
      </c>
      <c r="G698" t="s">
        <v>8</v>
      </c>
      <c r="H698">
        <v>2</v>
      </c>
      <c r="I698" t="s">
        <v>27</v>
      </c>
    </row>
    <row r="699" spans="1:9" x14ac:dyDescent="0.2">
      <c r="A699" t="str">
        <f t="shared" si="257"/>
        <v>36861Tiahura1286PocilloporidaeDessous</v>
      </c>
      <c r="B699" s="1">
        <v>36861</v>
      </c>
      <c r="C699" t="s">
        <v>24</v>
      </c>
      <c r="D699" s="19">
        <v>12</v>
      </c>
      <c r="E699">
        <v>86</v>
      </c>
      <c r="F699" t="s">
        <v>10</v>
      </c>
      <c r="G699" t="s">
        <v>8</v>
      </c>
      <c r="H699">
        <v>9</v>
      </c>
      <c r="I699" t="s">
        <v>27</v>
      </c>
    </row>
    <row r="700" spans="1:9" x14ac:dyDescent="0.2">
      <c r="A700" t="str">
        <f t="shared" si="257"/>
        <v>36861Tiahura1287CassésDessous</v>
      </c>
      <c r="B700" s="1">
        <v>36861</v>
      </c>
      <c r="C700" t="s">
        <v>24</v>
      </c>
      <c r="D700" s="19">
        <v>12</v>
      </c>
      <c r="E700">
        <v>87</v>
      </c>
      <c r="F700" t="s">
        <v>12</v>
      </c>
      <c r="G700" t="s">
        <v>8</v>
      </c>
      <c r="H700">
        <v>1</v>
      </c>
      <c r="I700" t="s">
        <v>27</v>
      </c>
    </row>
    <row r="701" spans="1:9" x14ac:dyDescent="0.2">
      <c r="A701" t="str">
        <f t="shared" si="257"/>
        <v>36861Tiahura1287PocilloporidaeBords</v>
      </c>
      <c r="B701" s="1">
        <v>36861</v>
      </c>
      <c r="C701" t="s">
        <v>24</v>
      </c>
      <c r="D701" s="19">
        <v>12</v>
      </c>
      <c r="E701">
        <v>87</v>
      </c>
      <c r="F701" t="s">
        <v>10</v>
      </c>
      <c r="G701" t="s">
        <v>13</v>
      </c>
      <c r="H701">
        <v>1</v>
      </c>
      <c r="I701" t="s">
        <v>27</v>
      </c>
    </row>
    <row r="702" spans="1:9" x14ac:dyDescent="0.2">
      <c r="A702" t="str">
        <f t="shared" si="257"/>
        <v>36861Tiahura1287PocilloporidaeDessous</v>
      </c>
      <c r="B702" s="1">
        <v>36861</v>
      </c>
      <c r="C702" t="s">
        <v>24</v>
      </c>
      <c r="D702" s="19">
        <v>12</v>
      </c>
      <c r="E702">
        <v>87</v>
      </c>
      <c r="F702" t="s">
        <v>10</v>
      </c>
      <c r="G702" t="s">
        <v>8</v>
      </c>
      <c r="H702">
        <v>1</v>
      </c>
      <c r="I702" t="s">
        <v>27</v>
      </c>
    </row>
    <row r="703" spans="1:9" x14ac:dyDescent="0.2">
      <c r="A703" t="str">
        <f t="shared" ref="A703:A766" si="258">B703 &amp; C703&amp; D703&amp; E703 &amp; F703 &amp;G703</f>
        <v>36861Tiahura1287PoritidaeDessous</v>
      </c>
      <c r="B703" s="1">
        <v>36861</v>
      </c>
      <c r="C703" t="s">
        <v>24</v>
      </c>
      <c r="D703" s="19">
        <v>12</v>
      </c>
      <c r="E703">
        <v>87</v>
      </c>
      <c r="F703" t="s">
        <v>7</v>
      </c>
      <c r="G703" t="s">
        <v>8</v>
      </c>
      <c r="H703">
        <v>1</v>
      </c>
      <c r="I703" t="s">
        <v>27</v>
      </c>
    </row>
    <row r="704" spans="1:9" x14ac:dyDescent="0.2">
      <c r="A704" t="str">
        <f t="shared" si="258"/>
        <v>36861Tiahura1288Autres</v>
      </c>
      <c r="B704" s="1">
        <v>36861</v>
      </c>
      <c r="C704" t="s">
        <v>24</v>
      </c>
      <c r="D704" s="19">
        <v>12</v>
      </c>
      <c r="E704">
        <v>88</v>
      </c>
      <c r="F704" t="s">
        <v>14</v>
      </c>
      <c r="H704">
        <v>0</v>
      </c>
    </row>
    <row r="705" spans="1:9" x14ac:dyDescent="0.2">
      <c r="A705" t="str">
        <f t="shared" si="258"/>
        <v>36861Tiahura1289CassésDessous</v>
      </c>
      <c r="B705" s="1">
        <v>36861</v>
      </c>
      <c r="C705" t="s">
        <v>24</v>
      </c>
      <c r="D705" s="19">
        <v>12</v>
      </c>
      <c r="E705">
        <v>89</v>
      </c>
      <c r="F705" t="s">
        <v>12</v>
      </c>
      <c r="G705" t="s">
        <v>8</v>
      </c>
      <c r="H705">
        <v>1</v>
      </c>
      <c r="I705" t="s">
        <v>27</v>
      </c>
    </row>
    <row r="706" spans="1:9" x14ac:dyDescent="0.2">
      <c r="A706" t="str">
        <f t="shared" si="258"/>
        <v>36861Tiahura1289PocilloporidaeDessous</v>
      </c>
      <c r="B706" s="1">
        <v>36861</v>
      </c>
      <c r="C706" t="s">
        <v>24</v>
      </c>
      <c r="D706" s="19">
        <v>12</v>
      </c>
      <c r="E706">
        <v>89</v>
      </c>
      <c r="F706" t="s">
        <v>10</v>
      </c>
      <c r="G706" t="s">
        <v>8</v>
      </c>
      <c r="H706">
        <v>2</v>
      </c>
      <c r="I706" t="s">
        <v>27</v>
      </c>
    </row>
    <row r="707" spans="1:9" x14ac:dyDescent="0.2">
      <c r="A707" t="str">
        <f t="shared" si="258"/>
        <v>36861Tiahura1289PoritidaeDessous</v>
      </c>
      <c r="B707" s="1">
        <v>36861</v>
      </c>
      <c r="C707" t="s">
        <v>24</v>
      </c>
      <c r="D707" s="19">
        <v>12</v>
      </c>
      <c r="E707">
        <v>89</v>
      </c>
      <c r="F707" t="s">
        <v>7</v>
      </c>
      <c r="G707" t="s">
        <v>8</v>
      </c>
      <c r="H707">
        <v>2</v>
      </c>
      <c r="I707" t="s">
        <v>27</v>
      </c>
    </row>
    <row r="708" spans="1:9" x14ac:dyDescent="0.2">
      <c r="A708" t="str">
        <f t="shared" si="258"/>
        <v>36861Tiahura1290PoritidaeDessous</v>
      </c>
      <c r="B708" s="1">
        <v>36861</v>
      </c>
      <c r="C708" t="s">
        <v>24</v>
      </c>
      <c r="D708" s="19">
        <v>12</v>
      </c>
      <c r="E708">
        <v>90</v>
      </c>
      <c r="F708" t="s">
        <v>7</v>
      </c>
      <c r="G708" t="s">
        <v>8</v>
      </c>
      <c r="H708">
        <v>2</v>
      </c>
      <c r="I708" t="s">
        <v>27</v>
      </c>
    </row>
    <row r="709" spans="1:9" x14ac:dyDescent="0.2">
      <c r="A709" t="str">
        <f t="shared" si="258"/>
        <v>36861Tiahura1291PocilloporidaeDessous</v>
      </c>
      <c r="B709" s="1">
        <v>36861</v>
      </c>
      <c r="C709" t="s">
        <v>24</v>
      </c>
      <c r="D709" s="19">
        <v>12</v>
      </c>
      <c r="E709">
        <v>91</v>
      </c>
      <c r="F709" t="s">
        <v>10</v>
      </c>
      <c r="G709" t="s">
        <v>8</v>
      </c>
      <c r="H709">
        <v>3</v>
      </c>
      <c r="I709" t="s">
        <v>27</v>
      </c>
    </row>
    <row r="710" spans="1:9" x14ac:dyDescent="0.2">
      <c r="A710" t="str">
        <f t="shared" si="258"/>
        <v>36861Tiahura1291PoritidaeDessous</v>
      </c>
      <c r="B710" s="1">
        <v>36861</v>
      </c>
      <c r="C710" t="s">
        <v>24</v>
      </c>
      <c r="D710" s="19">
        <v>12</v>
      </c>
      <c r="E710">
        <v>91</v>
      </c>
      <c r="F710" t="s">
        <v>7</v>
      </c>
      <c r="G710" t="s">
        <v>8</v>
      </c>
      <c r="H710">
        <v>3</v>
      </c>
      <c r="I710" t="s">
        <v>27</v>
      </c>
    </row>
    <row r="711" spans="1:9" x14ac:dyDescent="0.2">
      <c r="A711" t="str">
        <f t="shared" si="258"/>
        <v>36861Tiahura1292PocilloporidaeDessous</v>
      </c>
      <c r="B711" s="1">
        <v>36861</v>
      </c>
      <c r="C711" t="s">
        <v>24</v>
      </c>
      <c r="D711" s="19">
        <v>12</v>
      </c>
      <c r="E711">
        <v>92</v>
      </c>
      <c r="F711" t="s">
        <v>10</v>
      </c>
      <c r="G711" t="s">
        <v>8</v>
      </c>
      <c r="H711">
        <v>5</v>
      </c>
      <c r="I711" t="s">
        <v>27</v>
      </c>
    </row>
    <row r="712" spans="1:9" x14ac:dyDescent="0.2">
      <c r="A712" t="str">
        <f t="shared" si="258"/>
        <v>36861Tiahura1292PoritidaeDessous</v>
      </c>
      <c r="B712" s="1">
        <v>36861</v>
      </c>
      <c r="C712" t="s">
        <v>24</v>
      </c>
      <c r="D712" s="19">
        <v>12</v>
      </c>
      <c r="E712">
        <v>92</v>
      </c>
      <c r="F712" t="s">
        <v>7</v>
      </c>
      <c r="G712" t="s">
        <v>8</v>
      </c>
      <c r="H712">
        <v>1</v>
      </c>
      <c r="I712" t="s">
        <v>27</v>
      </c>
    </row>
    <row r="713" spans="1:9" x14ac:dyDescent="0.2">
      <c r="A713" t="str">
        <f t="shared" si="258"/>
        <v>36861Tiahura1293AcroporidaeDessous</v>
      </c>
      <c r="B713" s="1">
        <v>36861</v>
      </c>
      <c r="C713" t="s">
        <v>24</v>
      </c>
      <c r="D713" s="19">
        <v>12</v>
      </c>
      <c r="E713">
        <v>93</v>
      </c>
      <c r="F713" t="s">
        <v>17</v>
      </c>
      <c r="G713" t="s">
        <v>8</v>
      </c>
      <c r="H713">
        <v>1</v>
      </c>
      <c r="I713" t="s">
        <v>27</v>
      </c>
    </row>
    <row r="714" spans="1:9" x14ac:dyDescent="0.2">
      <c r="A714" t="str">
        <f t="shared" si="258"/>
        <v>36861Tiahura1293CassésDessous</v>
      </c>
      <c r="B714" s="1">
        <v>36861</v>
      </c>
      <c r="C714" t="s">
        <v>24</v>
      </c>
      <c r="D714" s="19">
        <v>12</v>
      </c>
      <c r="E714">
        <v>93</v>
      </c>
      <c r="F714" t="s">
        <v>12</v>
      </c>
      <c r="G714" t="s">
        <v>8</v>
      </c>
      <c r="H714">
        <v>1</v>
      </c>
      <c r="I714" t="s">
        <v>27</v>
      </c>
    </row>
    <row r="715" spans="1:9" x14ac:dyDescent="0.2">
      <c r="A715" t="str">
        <f t="shared" si="258"/>
        <v>36861Tiahura1293PocilloporidaeDessous</v>
      </c>
      <c r="B715" s="1">
        <v>36861</v>
      </c>
      <c r="C715" t="s">
        <v>24</v>
      </c>
      <c r="D715" s="19">
        <v>12</v>
      </c>
      <c r="E715">
        <v>93</v>
      </c>
      <c r="F715" t="s">
        <v>10</v>
      </c>
      <c r="G715" t="s">
        <v>8</v>
      </c>
      <c r="H715">
        <v>3</v>
      </c>
      <c r="I715" t="s">
        <v>27</v>
      </c>
    </row>
    <row r="716" spans="1:9" x14ac:dyDescent="0.2">
      <c r="A716" t="str">
        <f t="shared" si="258"/>
        <v>36861Tiahura1293PoritidaeBords</v>
      </c>
      <c r="B716" s="1">
        <v>36861</v>
      </c>
      <c r="C716" t="s">
        <v>24</v>
      </c>
      <c r="D716" s="19">
        <v>12</v>
      </c>
      <c r="E716">
        <v>93</v>
      </c>
      <c r="F716" t="s">
        <v>7</v>
      </c>
      <c r="G716" t="s">
        <v>13</v>
      </c>
      <c r="H716">
        <v>1</v>
      </c>
      <c r="I716" t="s">
        <v>27</v>
      </c>
    </row>
    <row r="717" spans="1:9" x14ac:dyDescent="0.2">
      <c r="A717" t="str">
        <f t="shared" si="258"/>
        <v>36861Tiahura1293PoritidaeDessous</v>
      </c>
      <c r="B717" s="1">
        <v>36861</v>
      </c>
      <c r="C717" t="s">
        <v>24</v>
      </c>
      <c r="D717" s="19">
        <v>12</v>
      </c>
      <c r="E717">
        <v>93</v>
      </c>
      <c r="F717" t="s">
        <v>7</v>
      </c>
      <c r="G717" t="s">
        <v>8</v>
      </c>
      <c r="H717">
        <v>2</v>
      </c>
      <c r="I717" t="s">
        <v>27</v>
      </c>
    </row>
    <row r="718" spans="1:9" x14ac:dyDescent="0.2">
      <c r="A718" t="str">
        <f t="shared" si="258"/>
        <v>36861Tiahura1294AcroporidaeDessous</v>
      </c>
      <c r="B718" s="1">
        <v>36861</v>
      </c>
      <c r="C718" t="s">
        <v>24</v>
      </c>
      <c r="D718" s="19">
        <v>12</v>
      </c>
      <c r="E718">
        <v>94</v>
      </c>
      <c r="F718" t="s">
        <v>17</v>
      </c>
      <c r="G718" t="s">
        <v>8</v>
      </c>
      <c r="H718">
        <v>1</v>
      </c>
      <c r="I718" t="s">
        <v>27</v>
      </c>
    </row>
    <row r="719" spans="1:9" x14ac:dyDescent="0.2">
      <c r="A719" t="str">
        <f t="shared" si="258"/>
        <v>36861Tiahura1294PocilloporidaeDessous</v>
      </c>
      <c r="B719" s="1">
        <v>36861</v>
      </c>
      <c r="C719" t="s">
        <v>24</v>
      </c>
      <c r="D719" s="19">
        <v>12</v>
      </c>
      <c r="E719">
        <v>94</v>
      </c>
      <c r="F719" t="s">
        <v>10</v>
      </c>
      <c r="G719" t="s">
        <v>8</v>
      </c>
      <c r="H719">
        <v>2</v>
      </c>
      <c r="I719" t="s">
        <v>27</v>
      </c>
    </row>
    <row r="720" spans="1:9" x14ac:dyDescent="0.2">
      <c r="A720" t="str">
        <f t="shared" si="258"/>
        <v>36861Tiahura1295PocilloporidaeDessous</v>
      </c>
      <c r="B720" s="1">
        <v>36861</v>
      </c>
      <c r="C720" t="s">
        <v>24</v>
      </c>
      <c r="D720" s="19">
        <v>12</v>
      </c>
      <c r="E720">
        <v>95</v>
      </c>
      <c r="F720" t="s">
        <v>10</v>
      </c>
      <c r="G720" t="s">
        <v>8</v>
      </c>
      <c r="H720">
        <v>1</v>
      </c>
      <c r="I720" t="s">
        <v>27</v>
      </c>
    </row>
    <row r="721" spans="1:9" x14ac:dyDescent="0.2">
      <c r="A721" t="str">
        <f t="shared" si="258"/>
        <v>36861Tiahura1295PocilloporidaeDessus</v>
      </c>
      <c r="B721" s="1">
        <v>36861</v>
      </c>
      <c r="C721" t="s">
        <v>24</v>
      </c>
      <c r="D721" s="19">
        <v>12</v>
      </c>
      <c r="E721">
        <v>95</v>
      </c>
      <c r="F721" t="s">
        <v>10</v>
      </c>
      <c r="G721" t="s">
        <v>11</v>
      </c>
      <c r="H721">
        <v>2</v>
      </c>
      <c r="I721" t="s">
        <v>27</v>
      </c>
    </row>
    <row r="722" spans="1:9" x14ac:dyDescent="0.2">
      <c r="A722" t="str">
        <f t="shared" si="258"/>
        <v>36861Tiahura1295PoritidaeDessous</v>
      </c>
      <c r="B722" s="1">
        <v>36861</v>
      </c>
      <c r="C722" t="s">
        <v>24</v>
      </c>
      <c r="D722" s="19">
        <v>12</v>
      </c>
      <c r="E722">
        <v>95</v>
      </c>
      <c r="F722" t="s">
        <v>7</v>
      </c>
      <c r="G722" t="s">
        <v>8</v>
      </c>
      <c r="H722">
        <v>2</v>
      </c>
      <c r="I722" t="s">
        <v>27</v>
      </c>
    </row>
    <row r="723" spans="1:9" x14ac:dyDescent="0.2">
      <c r="A723" t="str">
        <f t="shared" si="258"/>
        <v>36861Tiahura1296PocilloporidaeBords</v>
      </c>
      <c r="B723" s="1">
        <v>36861</v>
      </c>
      <c r="C723" t="s">
        <v>24</v>
      </c>
      <c r="D723" s="19">
        <v>12</v>
      </c>
      <c r="E723">
        <v>96</v>
      </c>
      <c r="F723" t="s">
        <v>10</v>
      </c>
      <c r="G723" t="s">
        <v>13</v>
      </c>
      <c r="H723">
        <v>3</v>
      </c>
      <c r="I723" t="s">
        <v>27</v>
      </c>
    </row>
    <row r="724" spans="1:9" x14ac:dyDescent="0.2">
      <c r="A724" t="str">
        <f t="shared" si="258"/>
        <v>36861Tiahura1297PocilloporidaeDessus</v>
      </c>
      <c r="B724" s="1">
        <v>36861</v>
      </c>
      <c r="C724" t="s">
        <v>24</v>
      </c>
      <c r="D724" s="19">
        <v>12</v>
      </c>
      <c r="E724">
        <v>97</v>
      </c>
      <c r="F724" t="s">
        <v>10</v>
      </c>
      <c r="G724" t="s">
        <v>11</v>
      </c>
      <c r="H724">
        <v>1</v>
      </c>
      <c r="I724" t="s">
        <v>27</v>
      </c>
    </row>
    <row r="725" spans="1:9" x14ac:dyDescent="0.2">
      <c r="A725" t="str">
        <f t="shared" si="258"/>
        <v>36861Tiahura1298AcroporidaeDessous</v>
      </c>
      <c r="B725" s="1">
        <v>36861</v>
      </c>
      <c r="C725" t="s">
        <v>24</v>
      </c>
      <c r="D725" s="19">
        <v>12</v>
      </c>
      <c r="E725">
        <v>98</v>
      </c>
      <c r="F725" t="s">
        <v>17</v>
      </c>
      <c r="G725" t="s">
        <v>8</v>
      </c>
      <c r="H725">
        <v>4</v>
      </c>
      <c r="I725" t="s">
        <v>27</v>
      </c>
    </row>
    <row r="726" spans="1:9" x14ac:dyDescent="0.2">
      <c r="A726" t="str">
        <f t="shared" si="258"/>
        <v>36861Tiahura1298PocilloporidaeDessous</v>
      </c>
      <c r="B726" s="1">
        <v>36861</v>
      </c>
      <c r="C726" t="s">
        <v>24</v>
      </c>
      <c r="D726" s="19">
        <v>12</v>
      </c>
      <c r="E726">
        <v>98</v>
      </c>
      <c r="F726" t="s">
        <v>10</v>
      </c>
      <c r="G726" t="s">
        <v>8</v>
      </c>
      <c r="H726">
        <v>9</v>
      </c>
      <c r="I726" t="s">
        <v>27</v>
      </c>
    </row>
    <row r="727" spans="1:9" x14ac:dyDescent="0.2">
      <c r="A727" t="str">
        <f t="shared" si="258"/>
        <v>36861Tiahura1298PoritidaeDessous</v>
      </c>
      <c r="B727" s="1">
        <v>36861</v>
      </c>
      <c r="C727" t="s">
        <v>24</v>
      </c>
      <c r="D727" s="19">
        <v>12</v>
      </c>
      <c r="E727">
        <v>98</v>
      </c>
      <c r="F727" t="s">
        <v>7</v>
      </c>
      <c r="G727" t="s">
        <v>8</v>
      </c>
      <c r="H727">
        <v>1</v>
      </c>
      <c r="I727" t="s">
        <v>27</v>
      </c>
    </row>
    <row r="728" spans="1:9" x14ac:dyDescent="0.2">
      <c r="A728" t="str">
        <f t="shared" si="258"/>
        <v>36861Tiahura1299</v>
      </c>
      <c r="B728" s="1">
        <v>36861</v>
      </c>
      <c r="C728" t="s">
        <v>24</v>
      </c>
      <c r="D728" s="19">
        <v>12</v>
      </c>
      <c r="E728">
        <v>99</v>
      </c>
      <c r="F728" t="s">
        <v>27</v>
      </c>
      <c r="G728" t="s">
        <v>27</v>
      </c>
      <c r="H728" t="s">
        <v>27</v>
      </c>
      <c r="I728" t="s">
        <v>31</v>
      </c>
    </row>
    <row r="729" spans="1:9" x14ac:dyDescent="0.2">
      <c r="A729" t="str">
        <f t="shared" si="258"/>
        <v>36861Tiahura12100CassésDessous</v>
      </c>
      <c r="B729" s="1">
        <v>36861</v>
      </c>
      <c r="C729" t="s">
        <v>24</v>
      </c>
      <c r="D729" s="19">
        <v>12</v>
      </c>
      <c r="E729">
        <v>100</v>
      </c>
      <c r="F729" t="s">
        <v>12</v>
      </c>
      <c r="G729" t="s">
        <v>8</v>
      </c>
      <c r="H729">
        <v>1</v>
      </c>
      <c r="I729" t="s">
        <v>27</v>
      </c>
    </row>
    <row r="730" spans="1:9" x14ac:dyDescent="0.2">
      <c r="A730" t="str">
        <f t="shared" si="258"/>
        <v>36861Tiahura12100PocilloporidaeDessous</v>
      </c>
      <c r="B730" s="1">
        <v>36861</v>
      </c>
      <c r="C730" t="s">
        <v>24</v>
      </c>
      <c r="D730" s="19">
        <v>12</v>
      </c>
      <c r="E730">
        <v>100</v>
      </c>
      <c r="F730" t="s">
        <v>10</v>
      </c>
      <c r="G730" t="s">
        <v>8</v>
      </c>
      <c r="H730">
        <v>1</v>
      </c>
      <c r="I730" t="s">
        <v>27</v>
      </c>
    </row>
    <row r="731" spans="1:9" x14ac:dyDescent="0.2">
      <c r="A731" t="str">
        <f t="shared" si="258"/>
        <v>36861Tiahura12100PocilloporidaeDessus</v>
      </c>
      <c r="B731" s="1">
        <v>36861</v>
      </c>
      <c r="C731" t="s">
        <v>24</v>
      </c>
      <c r="D731" s="19">
        <v>12</v>
      </c>
      <c r="E731">
        <v>100</v>
      </c>
      <c r="F731" t="s">
        <v>10</v>
      </c>
      <c r="G731" t="s">
        <v>11</v>
      </c>
      <c r="H731">
        <v>1</v>
      </c>
      <c r="I731" t="s">
        <v>27</v>
      </c>
    </row>
    <row r="732" spans="1:9" x14ac:dyDescent="0.2">
      <c r="A732" t="str">
        <f t="shared" si="258"/>
        <v>36861Tiahura18101AcroporidaeDessous</v>
      </c>
      <c r="B732" s="1">
        <v>36861</v>
      </c>
      <c r="C732" t="s">
        <v>24</v>
      </c>
      <c r="D732" s="19">
        <v>18</v>
      </c>
      <c r="E732">
        <v>101</v>
      </c>
      <c r="F732" t="s">
        <v>17</v>
      </c>
      <c r="G732" t="s">
        <v>8</v>
      </c>
      <c r="H732">
        <v>1</v>
      </c>
      <c r="I732" t="s">
        <v>27</v>
      </c>
    </row>
    <row r="733" spans="1:9" x14ac:dyDescent="0.2">
      <c r="A733" t="str">
        <f t="shared" si="258"/>
        <v>36861Tiahura18101CassésDessous</v>
      </c>
      <c r="B733" s="1">
        <v>36861</v>
      </c>
      <c r="C733" t="s">
        <v>24</v>
      </c>
      <c r="D733" s="19">
        <v>18</v>
      </c>
      <c r="E733">
        <v>101</v>
      </c>
      <c r="F733" t="s">
        <v>12</v>
      </c>
      <c r="G733" t="s">
        <v>8</v>
      </c>
      <c r="H733">
        <v>3</v>
      </c>
      <c r="I733" t="s">
        <v>27</v>
      </c>
    </row>
    <row r="734" spans="1:9" x14ac:dyDescent="0.2">
      <c r="A734" t="str">
        <f t="shared" si="258"/>
        <v>36861Tiahura18101PocilloporidaeDessous</v>
      </c>
      <c r="B734" s="1">
        <v>36861</v>
      </c>
      <c r="C734" t="s">
        <v>24</v>
      </c>
      <c r="D734" s="19">
        <v>18</v>
      </c>
      <c r="E734">
        <v>101</v>
      </c>
      <c r="F734" t="s">
        <v>10</v>
      </c>
      <c r="G734" t="s">
        <v>8</v>
      </c>
      <c r="H734">
        <v>1</v>
      </c>
      <c r="I734" t="s">
        <v>27</v>
      </c>
    </row>
    <row r="735" spans="1:9" x14ac:dyDescent="0.2">
      <c r="A735" t="str">
        <f t="shared" si="258"/>
        <v>36861Tiahura18101PoritidaeDessous</v>
      </c>
      <c r="B735" s="1">
        <v>36861</v>
      </c>
      <c r="C735" t="s">
        <v>24</v>
      </c>
      <c r="D735" s="19">
        <v>18</v>
      </c>
      <c r="E735">
        <v>101</v>
      </c>
      <c r="F735" t="s">
        <v>7</v>
      </c>
      <c r="G735" t="s">
        <v>8</v>
      </c>
      <c r="H735">
        <v>2</v>
      </c>
      <c r="I735" t="s">
        <v>27</v>
      </c>
    </row>
    <row r="736" spans="1:9" x14ac:dyDescent="0.2">
      <c r="A736" t="str">
        <f t="shared" si="258"/>
        <v>36861Tiahura18102Autres</v>
      </c>
      <c r="B736" s="1">
        <v>36861</v>
      </c>
      <c r="C736" t="s">
        <v>24</v>
      </c>
      <c r="D736" s="19">
        <v>18</v>
      </c>
      <c r="E736">
        <v>102</v>
      </c>
      <c r="F736" t="s">
        <v>14</v>
      </c>
      <c r="H736">
        <v>0</v>
      </c>
    </row>
    <row r="737" spans="1:9" x14ac:dyDescent="0.2">
      <c r="A737" t="str">
        <f t="shared" si="258"/>
        <v>36861Tiahura18103PoritidaeBords</v>
      </c>
      <c r="B737" s="1">
        <v>36861</v>
      </c>
      <c r="C737" t="s">
        <v>24</v>
      </c>
      <c r="D737" s="19">
        <v>18</v>
      </c>
      <c r="E737">
        <v>103</v>
      </c>
      <c r="F737" t="s">
        <v>7</v>
      </c>
      <c r="G737" t="s">
        <v>13</v>
      </c>
      <c r="H737">
        <v>2</v>
      </c>
      <c r="I737" t="s">
        <v>27</v>
      </c>
    </row>
    <row r="738" spans="1:9" x14ac:dyDescent="0.2">
      <c r="A738" t="str">
        <f t="shared" si="258"/>
        <v>36861Tiahura18104PocilloporidaeDessous</v>
      </c>
      <c r="B738" s="1">
        <v>36861</v>
      </c>
      <c r="C738" t="s">
        <v>24</v>
      </c>
      <c r="D738" s="19">
        <v>18</v>
      </c>
      <c r="E738">
        <v>104</v>
      </c>
      <c r="F738" t="s">
        <v>10</v>
      </c>
      <c r="G738" t="s">
        <v>8</v>
      </c>
      <c r="H738">
        <v>3</v>
      </c>
      <c r="I738" t="s">
        <v>27</v>
      </c>
    </row>
    <row r="739" spans="1:9" x14ac:dyDescent="0.2">
      <c r="A739" t="str">
        <f t="shared" si="258"/>
        <v>36861Tiahura18105PocilloporidaeDessous</v>
      </c>
      <c r="B739" s="1">
        <v>36861</v>
      </c>
      <c r="C739" t="s">
        <v>24</v>
      </c>
      <c r="D739" s="19">
        <v>18</v>
      </c>
      <c r="E739">
        <v>105</v>
      </c>
      <c r="F739" t="s">
        <v>10</v>
      </c>
      <c r="G739" t="s">
        <v>8</v>
      </c>
      <c r="H739">
        <v>3</v>
      </c>
      <c r="I739" t="s">
        <v>27</v>
      </c>
    </row>
    <row r="740" spans="1:9" x14ac:dyDescent="0.2">
      <c r="A740" t="str">
        <f t="shared" si="258"/>
        <v>36861Tiahura18106CassésDessus</v>
      </c>
      <c r="B740" s="1">
        <v>36861</v>
      </c>
      <c r="C740" t="s">
        <v>24</v>
      </c>
      <c r="D740" s="19">
        <v>18</v>
      </c>
      <c r="E740">
        <v>106</v>
      </c>
      <c r="F740" t="s">
        <v>12</v>
      </c>
      <c r="G740" t="s">
        <v>11</v>
      </c>
      <c r="H740">
        <v>1</v>
      </c>
      <c r="I740" t="s">
        <v>27</v>
      </c>
    </row>
    <row r="741" spans="1:9" x14ac:dyDescent="0.2">
      <c r="A741" t="str">
        <f t="shared" si="258"/>
        <v>36861Tiahura18107PocilloporidaeDessous</v>
      </c>
      <c r="B741" s="1">
        <v>36861</v>
      </c>
      <c r="C741" t="s">
        <v>24</v>
      </c>
      <c r="D741" s="19">
        <v>18</v>
      </c>
      <c r="E741">
        <v>107</v>
      </c>
      <c r="F741" t="s">
        <v>10</v>
      </c>
      <c r="G741" t="s">
        <v>8</v>
      </c>
      <c r="H741">
        <v>2</v>
      </c>
      <c r="I741" t="s">
        <v>27</v>
      </c>
    </row>
    <row r="742" spans="1:9" x14ac:dyDescent="0.2">
      <c r="A742" t="str">
        <f t="shared" si="258"/>
        <v>36861Tiahura18107PoritidaeDessous</v>
      </c>
      <c r="B742" s="1">
        <v>36861</v>
      </c>
      <c r="C742" t="s">
        <v>24</v>
      </c>
      <c r="D742" s="19">
        <v>18</v>
      </c>
      <c r="E742">
        <v>107</v>
      </c>
      <c r="F742" t="s">
        <v>7</v>
      </c>
      <c r="G742" t="s">
        <v>8</v>
      </c>
      <c r="H742">
        <v>1</v>
      </c>
      <c r="I742" t="s">
        <v>27</v>
      </c>
    </row>
    <row r="743" spans="1:9" x14ac:dyDescent="0.2">
      <c r="A743" t="str">
        <f t="shared" si="258"/>
        <v>36861Tiahura18108PocilloporidaeDessous</v>
      </c>
      <c r="B743" s="1">
        <v>36861</v>
      </c>
      <c r="C743" t="s">
        <v>24</v>
      </c>
      <c r="D743" s="19">
        <v>18</v>
      </c>
      <c r="E743">
        <v>108</v>
      </c>
      <c r="F743" t="s">
        <v>10</v>
      </c>
      <c r="G743" t="s">
        <v>8</v>
      </c>
      <c r="H743">
        <v>5</v>
      </c>
      <c r="I743" t="s">
        <v>27</v>
      </c>
    </row>
    <row r="744" spans="1:9" x14ac:dyDescent="0.2">
      <c r="A744" t="str">
        <f t="shared" si="258"/>
        <v>36861Tiahura18109PocilloporidaeBords</v>
      </c>
      <c r="B744" s="1">
        <v>36861</v>
      </c>
      <c r="C744" t="s">
        <v>24</v>
      </c>
      <c r="D744" s="19">
        <v>18</v>
      </c>
      <c r="E744">
        <v>109</v>
      </c>
      <c r="F744" t="s">
        <v>10</v>
      </c>
      <c r="G744" t="s">
        <v>13</v>
      </c>
      <c r="H744">
        <v>2</v>
      </c>
      <c r="I744" t="s">
        <v>27</v>
      </c>
    </row>
    <row r="745" spans="1:9" x14ac:dyDescent="0.2">
      <c r="A745" t="str">
        <f t="shared" si="258"/>
        <v>36861Tiahura18109PocilloporidaeDessous</v>
      </c>
      <c r="B745" s="1">
        <v>36861</v>
      </c>
      <c r="C745" t="s">
        <v>24</v>
      </c>
      <c r="D745" s="19">
        <v>18</v>
      </c>
      <c r="E745">
        <v>109</v>
      </c>
      <c r="F745" t="s">
        <v>10</v>
      </c>
      <c r="G745" t="s">
        <v>8</v>
      </c>
      <c r="H745">
        <v>8</v>
      </c>
      <c r="I745" t="s">
        <v>27</v>
      </c>
    </row>
    <row r="746" spans="1:9" x14ac:dyDescent="0.2">
      <c r="A746" t="str">
        <f t="shared" si="258"/>
        <v>36861Tiahura18110AcroporidaeDessous</v>
      </c>
      <c r="B746" s="1">
        <v>36861</v>
      </c>
      <c r="C746" t="s">
        <v>24</v>
      </c>
      <c r="D746" s="19">
        <v>18</v>
      </c>
      <c r="E746">
        <v>110</v>
      </c>
      <c r="F746" t="s">
        <v>17</v>
      </c>
      <c r="G746" t="s">
        <v>8</v>
      </c>
      <c r="H746">
        <v>1</v>
      </c>
      <c r="I746" t="s">
        <v>27</v>
      </c>
    </row>
    <row r="747" spans="1:9" x14ac:dyDescent="0.2">
      <c r="A747" t="str">
        <f t="shared" si="258"/>
        <v>36861Tiahura18110PocilloporidaeDessous</v>
      </c>
      <c r="B747" s="1">
        <v>36861</v>
      </c>
      <c r="C747" t="s">
        <v>24</v>
      </c>
      <c r="D747" s="19">
        <v>18</v>
      </c>
      <c r="E747">
        <v>110</v>
      </c>
      <c r="F747" t="s">
        <v>10</v>
      </c>
      <c r="G747" t="s">
        <v>8</v>
      </c>
      <c r="H747">
        <v>5</v>
      </c>
      <c r="I747" t="s">
        <v>27</v>
      </c>
    </row>
    <row r="748" spans="1:9" x14ac:dyDescent="0.2">
      <c r="A748" t="str">
        <f t="shared" si="258"/>
        <v>36861Tiahura18110PoritidaeDessous</v>
      </c>
      <c r="B748" s="1">
        <v>36861</v>
      </c>
      <c r="C748" t="s">
        <v>24</v>
      </c>
      <c r="D748" s="19">
        <v>18</v>
      </c>
      <c r="E748">
        <v>110</v>
      </c>
      <c r="F748" t="s">
        <v>7</v>
      </c>
      <c r="G748" t="s">
        <v>8</v>
      </c>
      <c r="H748">
        <v>1</v>
      </c>
      <c r="I748" t="s">
        <v>27</v>
      </c>
    </row>
    <row r="749" spans="1:9" x14ac:dyDescent="0.2">
      <c r="A749" t="str">
        <f t="shared" si="258"/>
        <v>36861Tiahura18111PocilloporidaeDessous</v>
      </c>
      <c r="B749" s="1">
        <v>36861</v>
      </c>
      <c r="C749" t="s">
        <v>24</v>
      </c>
      <c r="D749" s="19">
        <v>18</v>
      </c>
      <c r="E749">
        <v>111</v>
      </c>
      <c r="F749" t="s">
        <v>10</v>
      </c>
      <c r="G749" t="s">
        <v>8</v>
      </c>
      <c r="H749">
        <v>5</v>
      </c>
      <c r="I749" t="s">
        <v>27</v>
      </c>
    </row>
    <row r="750" spans="1:9" x14ac:dyDescent="0.2">
      <c r="A750" t="str">
        <f t="shared" si="258"/>
        <v>36861Tiahura18111PoritidaeDessous</v>
      </c>
      <c r="B750" s="1">
        <v>36861</v>
      </c>
      <c r="C750" t="s">
        <v>24</v>
      </c>
      <c r="D750" s="19">
        <v>18</v>
      </c>
      <c r="E750">
        <v>111</v>
      </c>
      <c r="F750" t="s">
        <v>7</v>
      </c>
      <c r="G750" t="s">
        <v>8</v>
      </c>
      <c r="H750">
        <v>1</v>
      </c>
      <c r="I750" t="s">
        <v>27</v>
      </c>
    </row>
    <row r="751" spans="1:9" x14ac:dyDescent="0.2">
      <c r="A751" t="str">
        <f t="shared" si="258"/>
        <v>36861Tiahura18112PocilloporidaeBords</v>
      </c>
      <c r="B751" s="1">
        <v>36861</v>
      </c>
      <c r="C751" t="s">
        <v>24</v>
      </c>
      <c r="D751" s="19">
        <v>18</v>
      </c>
      <c r="E751">
        <v>112</v>
      </c>
      <c r="F751" t="s">
        <v>10</v>
      </c>
      <c r="G751" t="s">
        <v>13</v>
      </c>
      <c r="H751">
        <v>1</v>
      </c>
      <c r="I751" t="s">
        <v>27</v>
      </c>
    </row>
    <row r="752" spans="1:9" x14ac:dyDescent="0.2">
      <c r="A752" t="str">
        <f t="shared" si="258"/>
        <v>36861Tiahura18112PocilloporidaeDessus</v>
      </c>
      <c r="B752" s="1">
        <v>36861</v>
      </c>
      <c r="C752" t="s">
        <v>24</v>
      </c>
      <c r="D752" s="19">
        <v>18</v>
      </c>
      <c r="E752">
        <v>112</v>
      </c>
      <c r="F752" t="s">
        <v>10</v>
      </c>
      <c r="G752" t="s">
        <v>11</v>
      </c>
      <c r="H752">
        <v>1</v>
      </c>
      <c r="I752" t="s">
        <v>27</v>
      </c>
    </row>
    <row r="753" spans="1:9" x14ac:dyDescent="0.2">
      <c r="A753" t="str">
        <f t="shared" si="258"/>
        <v>36861Tiahura18112PoritidaeBords</v>
      </c>
      <c r="B753" s="1">
        <v>36861</v>
      </c>
      <c r="C753" t="s">
        <v>24</v>
      </c>
      <c r="D753" s="19">
        <v>18</v>
      </c>
      <c r="E753">
        <v>112</v>
      </c>
      <c r="F753" t="s">
        <v>7</v>
      </c>
      <c r="G753" t="s">
        <v>13</v>
      </c>
      <c r="H753">
        <v>1</v>
      </c>
      <c r="I753" t="s">
        <v>27</v>
      </c>
    </row>
    <row r="754" spans="1:9" x14ac:dyDescent="0.2">
      <c r="A754" t="str">
        <f t="shared" si="258"/>
        <v>36861Tiahura18113AcroporidaeBords</v>
      </c>
      <c r="B754" s="1">
        <v>36861</v>
      </c>
      <c r="C754" t="s">
        <v>24</v>
      </c>
      <c r="D754" s="19">
        <v>18</v>
      </c>
      <c r="E754">
        <v>113</v>
      </c>
      <c r="F754" t="s">
        <v>17</v>
      </c>
      <c r="G754" t="s">
        <v>13</v>
      </c>
      <c r="H754">
        <v>1</v>
      </c>
      <c r="I754" t="s">
        <v>27</v>
      </c>
    </row>
    <row r="755" spans="1:9" x14ac:dyDescent="0.2">
      <c r="A755" t="str">
        <f t="shared" si="258"/>
        <v>36861Tiahura18113CassésBords</v>
      </c>
      <c r="B755" s="1">
        <v>36861</v>
      </c>
      <c r="C755" t="s">
        <v>24</v>
      </c>
      <c r="D755" s="19">
        <v>18</v>
      </c>
      <c r="E755">
        <v>113</v>
      </c>
      <c r="F755" t="s">
        <v>12</v>
      </c>
      <c r="G755" t="s">
        <v>13</v>
      </c>
      <c r="H755">
        <v>1</v>
      </c>
      <c r="I755" t="s">
        <v>27</v>
      </c>
    </row>
    <row r="756" spans="1:9" x14ac:dyDescent="0.2">
      <c r="A756" t="str">
        <f t="shared" si="258"/>
        <v>36861Tiahura18113PocilloporidaeBords</v>
      </c>
      <c r="B756" s="1">
        <v>36861</v>
      </c>
      <c r="C756" t="s">
        <v>24</v>
      </c>
      <c r="D756" s="19">
        <v>18</v>
      </c>
      <c r="E756">
        <v>113</v>
      </c>
      <c r="F756" t="s">
        <v>10</v>
      </c>
      <c r="G756" t="s">
        <v>13</v>
      </c>
      <c r="H756">
        <v>2</v>
      </c>
      <c r="I756" t="s">
        <v>27</v>
      </c>
    </row>
    <row r="757" spans="1:9" x14ac:dyDescent="0.2">
      <c r="A757" t="str">
        <f t="shared" si="258"/>
        <v>36861Tiahura18114AcroporidaeBords</v>
      </c>
      <c r="B757" s="1">
        <v>36861</v>
      </c>
      <c r="C757" t="s">
        <v>24</v>
      </c>
      <c r="D757" s="19">
        <v>18</v>
      </c>
      <c r="E757">
        <v>114</v>
      </c>
      <c r="F757" t="s">
        <v>17</v>
      </c>
      <c r="G757" t="s">
        <v>13</v>
      </c>
      <c r="H757">
        <v>1</v>
      </c>
      <c r="I757" t="s">
        <v>27</v>
      </c>
    </row>
    <row r="758" spans="1:9" x14ac:dyDescent="0.2">
      <c r="A758" t="str">
        <f t="shared" si="258"/>
        <v>36861Tiahura18114CassésDessus</v>
      </c>
      <c r="B758" s="1">
        <v>36861</v>
      </c>
      <c r="C758" t="s">
        <v>24</v>
      </c>
      <c r="D758" s="19">
        <v>18</v>
      </c>
      <c r="E758">
        <v>114</v>
      </c>
      <c r="F758" t="s">
        <v>12</v>
      </c>
      <c r="G758" t="s">
        <v>11</v>
      </c>
      <c r="H758">
        <v>1</v>
      </c>
      <c r="I758" t="s">
        <v>27</v>
      </c>
    </row>
    <row r="759" spans="1:9" x14ac:dyDescent="0.2">
      <c r="A759" t="str">
        <f t="shared" si="258"/>
        <v>36861Tiahura18114PocilloporidaeBords</v>
      </c>
      <c r="B759" s="1">
        <v>36861</v>
      </c>
      <c r="C759" t="s">
        <v>24</v>
      </c>
      <c r="D759" s="19">
        <v>18</v>
      </c>
      <c r="E759">
        <v>114</v>
      </c>
      <c r="F759" t="s">
        <v>10</v>
      </c>
      <c r="G759" t="s">
        <v>13</v>
      </c>
      <c r="H759">
        <v>1</v>
      </c>
      <c r="I759" t="s">
        <v>27</v>
      </c>
    </row>
    <row r="760" spans="1:9" x14ac:dyDescent="0.2">
      <c r="A760" t="str">
        <f t="shared" si="258"/>
        <v>36861Tiahura18114PocilloporidaeDessous</v>
      </c>
      <c r="B760" s="1">
        <v>36861</v>
      </c>
      <c r="C760" t="s">
        <v>24</v>
      </c>
      <c r="D760" s="19">
        <v>18</v>
      </c>
      <c r="E760">
        <v>114</v>
      </c>
      <c r="F760" t="s">
        <v>10</v>
      </c>
      <c r="G760" t="s">
        <v>8</v>
      </c>
      <c r="H760">
        <v>2</v>
      </c>
      <c r="I760" t="s">
        <v>27</v>
      </c>
    </row>
    <row r="761" spans="1:9" x14ac:dyDescent="0.2">
      <c r="A761" t="str">
        <f t="shared" si="258"/>
        <v>36861Tiahura18115AcroporidaeDessous</v>
      </c>
      <c r="B761" s="1">
        <v>36861</v>
      </c>
      <c r="C761" t="s">
        <v>24</v>
      </c>
      <c r="D761" s="19">
        <v>18</v>
      </c>
      <c r="E761">
        <v>115</v>
      </c>
      <c r="F761" t="s">
        <v>17</v>
      </c>
      <c r="G761" t="s">
        <v>8</v>
      </c>
      <c r="H761">
        <v>1</v>
      </c>
      <c r="I761" t="s">
        <v>27</v>
      </c>
    </row>
    <row r="762" spans="1:9" x14ac:dyDescent="0.2">
      <c r="A762" t="str">
        <f t="shared" si="258"/>
        <v>36861Tiahura18115PocilloporidaeDessous</v>
      </c>
      <c r="B762" s="1">
        <v>36861</v>
      </c>
      <c r="C762" t="s">
        <v>24</v>
      </c>
      <c r="D762" s="19">
        <v>18</v>
      </c>
      <c r="E762">
        <v>115</v>
      </c>
      <c r="F762" t="s">
        <v>10</v>
      </c>
      <c r="G762" t="s">
        <v>8</v>
      </c>
      <c r="H762">
        <v>2</v>
      </c>
      <c r="I762" t="s">
        <v>27</v>
      </c>
    </row>
    <row r="763" spans="1:9" x14ac:dyDescent="0.2">
      <c r="A763" t="str">
        <f t="shared" si="258"/>
        <v>36861Tiahura18115PoritidaeDessous</v>
      </c>
      <c r="B763" s="1">
        <v>36861</v>
      </c>
      <c r="C763" t="s">
        <v>24</v>
      </c>
      <c r="D763" s="19">
        <v>18</v>
      </c>
      <c r="E763">
        <v>115</v>
      </c>
      <c r="F763" t="s">
        <v>7</v>
      </c>
      <c r="G763" t="s">
        <v>8</v>
      </c>
      <c r="H763">
        <v>1</v>
      </c>
      <c r="I763" t="s">
        <v>27</v>
      </c>
    </row>
    <row r="764" spans="1:9" x14ac:dyDescent="0.2">
      <c r="A764" t="str">
        <f t="shared" si="258"/>
        <v>36861Tiahura18116PocilloporidaeDessous</v>
      </c>
      <c r="B764" s="1">
        <v>36861</v>
      </c>
      <c r="C764" t="s">
        <v>24</v>
      </c>
      <c r="D764" s="19">
        <v>18</v>
      </c>
      <c r="E764">
        <v>116</v>
      </c>
      <c r="F764" t="s">
        <v>10</v>
      </c>
      <c r="G764" t="s">
        <v>8</v>
      </c>
      <c r="H764">
        <v>2</v>
      </c>
      <c r="I764" t="s">
        <v>27</v>
      </c>
    </row>
    <row r="765" spans="1:9" x14ac:dyDescent="0.2">
      <c r="A765" t="str">
        <f t="shared" si="258"/>
        <v>36861Tiahura18117PocilloporidaeDessous</v>
      </c>
      <c r="B765" s="1">
        <v>36861</v>
      </c>
      <c r="C765" t="s">
        <v>24</v>
      </c>
      <c r="D765" s="19">
        <v>18</v>
      </c>
      <c r="E765">
        <v>117</v>
      </c>
      <c r="F765" t="s">
        <v>10</v>
      </c>
      <c r="G765" t="s">
        <v>8</v>
      </c>
      <c r="H765">
        <v>1</v>
      </c>
      <c r="I765" t="s">
        <v>27</v>
      </c>
    </row>
    <row r="766" spans="1:9" x14ac:dyDescent="0.2">
      <c r="A766" t="str">
        <f t="shared" si="258"/>
        <v>36861Tiahura18117PoritidaeDessous</v>
      </c>
      <c r="B766" s="1">
        <v>36861</v>
      </c>
      <c r="C766" t="s">
        <v>24</v>
      </c>
      <c r="D766" s="19">
        <v>18</v>
      </c>
      <c r="E766">
        <v>117</v>
      </c>
      <c r="F766" t="s">
        <v>7</v>
      </c>
      <c r="G766" t="s">
        <v>8</v>
      </c>
      <c r="H766">
        <v>1</v>
      </c>
      <c r="I766" t="s">
        <v>27</v>
      </c>
    </row>
    <row r="767" spans="1:9" x14ac:dyDescent="0.2">
      <c r="A767" t="str">
        <f t="shared" ref="A767:A830" si="259">B767 &amp; C767&amp; D767&amp; E767 &amp; F767 &amp;G767</f>
        <v>36861Tiahura18118PocilloporidaeBords</v>
      </c>
      <c r="B767" s="1">
        <v>36861</v>
      </c>
      <c r="C767" t="s">
        <v>24</v>
      </c>
      <c r="D767" s="19">
        <v>18</v>
      </c>
      <c r="E767">
        <v>118</v>
      </c>
      <c r="F767" t="s">
        <v>10</v>
      </c>
      <c r="G767" t="s">
        <v>13</v>
      </c>
      <c r="H767">
        <v>3</v>
      </c>
      <c r="I767" t="s">
        <v>27</v>
      </c>
    </row>
    <row r="768" spans="1:9" x14ac:dyDescent="0.2">
      <c r="A768" t="str">
        <f t="shared" si="259"/>
        <v>36861Tiahura18118PocilloporidaeDessous</v>
      </c>
      <c r="B768" s="1">
        <v>36861</v>
      </c>
      <c r="C768" t="s">
        <v>24</v>
      </c>
      <c r="D768" s="19">
        <v>18</v>
      </c>
      <c r="E768">
        <v>118</v>
      </c>
      <c r="F768" t="s">
        <v>10</v>
      </c>
      <c r="G768" t="s">
        <v>8</v>
      </c>
      <c r="H768">
        <v>5</v>
      </c>
      <c r="I768" t="s">
        <v>27</v>
      </c>
    </row>
    <row r="769" spans="1:9" x14ac:dyDescent="0.2">
      <c r="A769" t="str">
        <f t="shared" si="259"/>
        <v>36861Tiahura18118PoritidaeBords</v>
      </c>
      <c r="B769" s="1">
        <v>36861</v>
      </c>
      <c r="C769" t="s">
        <v>24</v>
      </c>
      <c r="D769" s="19">
        <v>18</v>
      </c>
      <c r="E769">
        <v>118</v>
      </c>
      <c r="F769" t="s">
        <v>7</v>
      </c>
      <c r="G769" t="s">
        <v>13</v>
      </c>
      <c r="H769">
        <v>2</v>
      </c>
      <c r="I769" t="s">
        <v>27</v>
      </c>
    </row>
    <row r="770" spans="1:9" x14ac:dyDescent="0.2">
      <c r="A770" t="str">
        <f t="shared" si="259"/>
        <v>36861Tiahura18119PocilloporidaeBords</v>
      </c>
      <c r="B770" s="1">
        <v>36861</v>
      </c>
      <c r="C770" t="s">
        <v>24</v>
      </c>
      <c r="D770" s="19">
        <v>18</v>
      </c>
      <c r="E770">
        <v>119</v>
      </c>
      <c r="F770" t="s">
        <v>10</v>
      </c>
      <c r="G770" t="s">
        <v>13</v>
      </c>
      <c r="H770">
        <v>3</v>
      </c>
      <c r="I770" t="s">
        <v>27</v>
      </c>
    </row>
    <row r="771" spans="1:9" x14ac:dyDescent="0.2">
      <c r="A771" t="str">
        <f t="shared" si="259"/>
        <v>36861Tiahura18119PocilloporidaeDessous</v>
      </c>
      <c r="B771" s="1">
        <v>36861</v>
      </c>
      <c r="C771" t="s">
        <v>24</v>
      </c>
      <c r="D771" s="19">
        <v>18</v>
      </c>
      <c r="E771">
        <v>119</v>
      </c>
      <c r="F771" t="s">
        <v>10</v>
      </c>
      <c r="G771" t="s">
        <v>8</v>
      </c>
      <c r="H771">
        <v>1</v>
      </c>
      <c r="I771" t="s">
        <v>27</v>
      </c>
    </row>
    <row r="772" spans="1:9" x14ac:dyDescent="0.2">
      <c r="A772" t="str">
        <f t="shared" si="259"/>
        <v>36861Tiahura18119PoritidaeDessus</v>
      </c>
      <c r="B772" s="1">
        <v>36861</v>
      </c>
      <c r="C772" t="s">
        <v>24</v>
      </c>
      <c r="D772" s="19">
        <v>18</v>
      </c>
      <c r="E772">
        <v>119</v>
      </c>
      <c r="F772" t="s">
        <v>7</v>
      </c>
      <c r="G772" t="s">
        <v>11</v>
      </c>
      <c r="H772">
        <v>1</v>
      </c>
      <c r="I772" t="s">
        <v>27</v>
      </c>
    </row>
    <row r="773" spans="1:9" x14ac:dyDescent="0.2">
      <c r="A773" t="str">
        <f t="shared" si="259"/>
        <v>36861Tiahura18120CassésBords</v>
      </c>
      <c r="B773" s="1">
        <v>36861</v>
      </c>
      <c r="C773" t="s">
        <v>24</v>
      </c>
      <c r="D773" s="19">
        <v>18</v>
      </c>
      <c r="E773">
        <v>120</v>
      </c>
      <c r="F773" t="s">
        <v>12</v>
      </c>
      <c r="G773" t="s">
        <v>13</v>
      </c>
      <c r="H773">
        <v>1</v>
      </c>
      <c r="I773" t="s">
        <v>27</v>
      </c>
    </row>
    <row r="774" spans="1:9" x14ac:dyDescent="0.2">
      <c r="A774" t="str">
        <f t="shared" si="259"/>
        <v>36861Tiahura18120PocilloporidaeBords</v>
      </c>
      <c r="B774" s="1">
        <v>36861</v>
      </c>
      <c r="C774" t="s">
        <v>24</v>
      </c>
      <c r="D774" s="19">
        <v>18</v>
      </c>
      <c r="E774">
        <v>120</v>
      </c>
      <c r="F774" t="s">
        <v>10</v>
      </c>
      <c r="G774" t="s">
        <v>13</v>
      </c>
      <c r="H774">
        <v>3</v>
      </c>
      <c r="I774" t="s">
        <v>27</v>
      </c>
    </row>
    <row r="775" spans="1:9" x14ac:dyDescent="0.2">
      <c r="A775" t="str">
        <f t="shared" si="259"/>
        <v>36861Tiahura18120PocilloporidaeDessous</v>
      </c>
      <c r="B775" s="1">
        <v>36861</v>
      </c>
      <c r="C775" t="s">
        <v>24</v>
      </c>
      <c r="D775" s="19">
        <v>18</v>
      </c>
      <c r="E775">
        <v>120</v>
      </c>
      <c r="F775" t="s">
        <v>10</v>
      </c>
      <c r="G775" t="s">
        <v>8</v>
      </c>
      <c r="H775">
        <v>6</v>
      </c>
      <c r="I775" t="s">
        <v>27</v>
      </c>
    </row>
    <row r="776" spans="1:9" x14ac:dyDescent="0.2">
      <c r="A776" t="str">
        <f t="shared" si="259"/>
        <v>36861Tiahura18120PocilloporidaeDessus</v>
      </c>
      <c r="B776" s="1">
        <v>36861</v>
      </c>
      <c r="C776" t="s">
        <v>24</v>
      </c>
      <c r="D776" s="19">
        <v>18</v>
      </c>
      <c r="E776">
        <v>120</v>
      </c>
      <c r="F776" t="s">
        <v>10</v>
      </c>
      <c r="G776" t="s">
        <v>11</v>
      </c>
      <c r="H776">
        <v>2</v>
      </c>
      <c r="I776" t="s">
        <v>27</v>
      </c>
    </row>
    <row r="777" spans="1:9" x14ac:dyDescent="0.2">
      <c r="A777" t="str">
        <f t="shared" si="259"/>
        <v>36861Haapiti12121CassésDessus</v>
      </c>
      <c r="B777" s="1">
        <v>36861</v>
      </c>
      <c r="C777" t="s">
        <v>25</v>
      </c>
      <c r="D777" s="19">
        <v>12</v>
      </c>
      <c r="E777">
        <v>121</v>
      </c>
      <c r="F777" t="s">
        <v>12</v>
      </c>
      <c r="G777" t="s">
        <v>11</v>
      </c>
      <c r="H777">
        <v>1</v>
      </c>
      <c r="I777" t="s">
        <v>27</v>
      </c>
    </row>
    <row r="778" spans="1:9" x14ac:dyDescent="0.2">
      <c r="A778" t="str">
        <f t="shared" si="259"/>
        <v>36861Haapiti6121PocilloporidaeDessous</v>
      </c>
      <c r="B778" s="1">
        <v>36861</v>
      </c>
      <c r="C778" t="s">
        <v>25</v>
      </c>
      <c r="D778" s="19">
        <v>6</v>
      </c>
      <c r="E778">
        <v>121</v>
      </c>
      <c r="F778" t="s">
        <v>10</v>
      </c>
      <c r="G778" t="s">
        <v>8</v>
      </c>
      <c r="H778">
        <v>1</v>
      </c>
      <c r="I778" t="s">
        <v>27</v>
      </c>
    </row>
    <row r="779" spans="1:9" x14ac:dyDescent="0.2">
      <c r="A779" t="str">
        <f t="shared" si="259"/>
        <v>36861Haapiti6121PoritidaeDessus</v>
      </c>
      <c r="B779" s="1">
        <v>36861</v>
      </c>
      <c r="C779" t="s">
        <v>25</v>
      </c>
      <c r="D779" s="19">
        <v>6</v>
      </c>
      <c r="E779">
        <v>121</v>
      </c>
      <c r="F779" t="s">
        <v>7</v>
      </c>
      <c r="G779" t="s">
        <v>11</v>
      </c>
      <c r="H779">
        <v>1</v>
      </c>
      <c r="I779" t="s">
        <v>27</v>
      </c>
    </row>
    <row r="780" spans="1:9" x14ac:dyDescent="0.2">
      <c r="A780" t="str">
        <f t="shared" si="259"/>
        <v>36861Haapiti6122Autres</v>
      </c>
      <c r="B780" s="1">
        <v>36861</v>
      </c>
      <c r="C780" t="s">
        <v>25</v>
      </c>
      <c r="D780" s="19">
        <v>6</v>
      </c>
      <c r="E780">
        <v>122</v>
      </c>
      <c r="F780" t="s">
        <v>14</v>
      </c>
      <c r="H780">
        <v>0</v>
      </c>
    </row>
    <row r="781" spans="1:9" x14ac:dyDescent="0.2">
      <c r="A781" t="str">
        <f t="shared" si="259"/>
        <v>36861Haapiti6123Autres</v>
      </c>
      <c r="B781" s="1">
        <v>36861</v>
      </c>
      <c r="C781" t="s">
        <v>25</v>
      </c>
      <c r="D781" s="19">
        <v>6</v>
      </c>
      <c r="E781">
        <v>123</v>
      </c>
      <c r="F781" t="s">
        <v>14</v>
      </c>
      <c r="H781">
        <v>0</v>
      </c>
    </row>
    <row r="782" spans="1:9" x14ac:dyDescent="0.2">
      <c r="A782" t="str">
        <f t="shared" si="259"/>
        <v>36861Haapiti6124Autres</v>
      </c>
      <c r="B782" s="1">
        <v>36861</v>
      </c>
      <c r="C782" t="s">
        <v>25</v>
      </c>
      <c r="D782" s="19">
        <v>6</v>
      </c>
      <c r="E782">
        <v>124</v>
      </c>
      <c r="F782" t="s">
        <v>14</v>
      </c>
      <c r="H782">
        <v>0</v>
      </c>
    </row>
    <row r="783" spans="1:9" x14ac:dyDescent="0.2">
      <c r="A783" t="str">
        <f t="shared" si="259"/>
        <v>36861Haapiti6125PocilloporidaeDessous</v>
      </c>
      <c r="B783" s="1">
        <v>36861</v>
      </c>
      <c r="C783" t="s">
        <v>25</v>
      </c>
      <c r="D783" s="19">
        <v>6</v>
      </c>
      <c r="E783">
        <v>125</v>
      </c>
      <c r="F783" t="s">
        <v>10</v>
      </c>
      <c r="G783" t="s">
        <v>8</v>
      </c>
      <c r="H783">
        <v>1</v>
      </c>
      <c r="I783" t="s">
        <v>27</v>
      </c>
    </row>
    <row r="784" spans="1:9" x14ac:dyDescent="0.2">
      <c r="A784" t="str">
        <f t="shared" si="259"/>
        <v>36861Haapiti6126PocilloporidaeDessus</v>
      </c>
      <c r="B784" s="1">
        <v>36861</v>
      </c>
      <c r="C784" t="s">
        <v>25</v>
      </c>
      <c r="D784" s="19">
        <v>6</v>
      </c>
      <c r="E784">
        <v>126</v>
      </c>
      <c r="F784" t="s">
        <v>10</v>
      </c>
      <c r="G784" t="s">
        <v>11</v>
      </c>
      <c r="H784">
        <v>1</v>
      </c>
      <c r="I784" t="s">
        <v>27</v>
      </c>
    </row>
    <row r="785" spans="1:9" x14ac:dyDescent="0.2">
      <c r="A785" t="str">
        <f t="shared" si="259"/>
        <v>36861Haapiti6127PocilloporidaeBords</v>
      </c>
      <c r="B785" s="1">
        <v>36861</v>
      </c>
      <c r="C785" t="s">
        <v>25</v>
      </c>
      <c r="D785" s="19">
        <v>6</v>
      </c>
      <c r="E785">
        <v>127</v>
      </c>
      <c r="F785" t="s">
        <v>10</v>
      </c>
      <c r="G785" t="s">
        <v>13</v>
      </c>
      <c r="H785">
        <v>2</v>
      </c>
      <c r="I785" t="s">
        <v>27</v>
      </c>
    </row>
    <row r="786" spans="1:9" x14ac:dyDescent="0.2">
      <c r="A786" t="str">
        <f t="shared" si="259"/>
        <v>36861Haapiti6127PocilloporidaeDessous</v>
      </c>
      <c r="B786" s="1">
        <v>36861</v>
      </c>
      <c r="C786" t="s">
        <v>25</v>
      </c>
      <c r="D786" s="19">
        <v>6</v>
      </c>
      <c r="E786">
        <v>127</v>
      </c>
      <c r="F786" t="s">
        <v>10</v>
      </c>
      <c r="G786" t="s">
        <v>8</v>
      </c>
      <c r="H786">
        <v>2</v>
      </c>
      <c r="I786" t="s">
        <v>27</v>
      </c>
    </row>
    <row r="787" spans="1:9" x14ac:dyDescent="0.2">
      <c r="A787" t="str">
        <f t="shared" si="259"/>
        <v>36861Haapiti6127PoritidaeBords</v>
      </c>
      <c r="B787" s="1">
        <v>36861</v>
      </c>
      <c r="C787" t="s">
        <v>25</v>
      </c>
      <c r="D787" s="19">
        <v>6</v>
      </c>
      <c r="E787">
        <v>127</v>
      </c>
      <c r="F787" t="s">
        <v>7</v>
      </c>
      <c r="G787" t="s">
        <v>13</v>
      </c>
      <c r="H787">
        <v>2</v>
      </c>
      <c r="I787" t="s">
        <v>27</v>
      </c>
    </row>
    <row r="788" spans="1:9" x14ac:dyDescent="0.2">
      <c r="A788" t="str">
        <f t="shared" si="259"/>
        <v>36861Haapiti6128Autres</v>
      </c>
      <c r="B788" s="1">
        <v>36861</v>
      </c>
      <c r="C788" t="s">
        <v>25</v>
      </c>
      <c r="D788" s="19">
        <v>6</v>
      </c>
      <c r="E788">
        <v>128</v>
      </c>
      <c r="F788" t="s">
        <v>14</v>
      </c>
      <c r="H788">
        <v>0</v>
      </c>
    </row>
    <row r="789" spans="1:9" x14ac:dyDescent="0.2">
      <c r="A789" t="str">
        <f t="shared" si="259"/>
        <v>36861Haapiti6129Autres</v>
      </c>
      <c r="B789" s="1">
        <v>36861</v>
      </c>
      <c r="C789" t="s">
        <v>25</v>
      </c>
      <c r="D789" s="19">
        <v>6</v>
      </c>
      <c r="E789">
        <v>129</v>
      </c>
      <c r="F789" t="s">
        <v>14</v>
      </c>
      <c r="H789">
        <v>0</v>
      </c>
    </row>
    <row r="790" spans="1:9" x14ac:dyDescent="0.2">
      <c r="A790" t="str">
        <f t="shared" si="259"/>
        <v>36861Haapiti6130PocilloporidaeDessous</v>
      </c>
      <c r="B790" s="1">
        <v>36861</v>
      </c>
      <c r="C790" t="s">
        <v>25</v>
      </c>
      <c r="D790" s="19">
        <v>6</v>
      </c>
      <c r="E790">
        <v>130</v>
      </c>
      <c r="F790" t="s">
        <v>10</v>
      </c>
      <c r="G790" t="s">
        <v>8</v>
      </c>
      <c r="H790">
        <v>3</v>
      </c>
      <c r="I790" t="s">
        <v>27</v>
      </c>
    </row>
    <row r="791" spans="1:9" x14ac:dyDescent="0.2">
      <c r="A791" t="str">
        <f t="shared" si="259"/>
        <v>36861Haapiti6130PoritidaeDessous</v>
      </c>
      <c r="B791" s="1">
        <v>36861</v>
      </c>
      <c r="C791" t="s">
        <v>25</v>
      </c>
      <c r="D791" s="19">
        <v>6</v>
      </c>
      <c r="E791">
        <v>130</v>
      </c>
      <c r="F791" t="s">
        <v>7</v>
      </c>
      <c r="G791" t="s">
        <v>8</v>
      </c>
      <c r="H791">
        <v>2</v>
      </c>
      <c r="I791" t="s">
        <v>27</v>
      </c>
    </row>
    <row r="792" spans="1:9" x14ac:dyDescent="0.2">
      <c r="A792" t="str">
        <f t="shared" si="259"/>
        <v>36861Haapiti6131CassésDessous</v>
      </c>
      <c r="B792" s="1">
        <v>36861</v>
      </c>
      <c r="C792" t="s">
        <v>25</v>
      </c>
      <c r="D792" s="19">
        <v>6</v>
      </c>
      <c r="E792">
        <v>131</v>
      </c>
      <c r="F792" t="s">
        <v>12</v>
      </c>
      <c r="G792" t="s">
        <v>8</v>
      </c>
      <c r="H792">
        <v>1</v>
      </c>
      <c r="I792" t="s">
        <v>27</v>
      </c>
    </row>
    <row r="793" spans="1:9" x14ac:dyDescent="0.2">
      <c r="A793" t="str">
        <f t="shared" si="259"/>
        <v>36861Haapiti6132PocilloporidaeDessous</v>
      </c>
      <c r="B793" s="1">
        <v>36861</v>
      </c>
      <c r="C793" t="s">
        <v>25</v>
      </c>
      <c r="D793" s="19">
        <v>6</v>
      </c>
      <c r="E793">
        <v>132</v>
      </c>
      <c r="F793" t="s">
        <v>10</v>
      </c>
      <c r="G793" t="s">
        <v>8</v>
      </c>
      <c r="H793">
        <v>3</v>
      </c>
      <c r="I793" t="s">
        <v>27</v>
      </c>
    </row>
    <row r="794" spans="1:9" x14ac:dyDescent="0.2">
      <c r="A794" t="str">
        <f t="shared" si="259"/>
        <v>36861Haapiti6132PoritidaeBords</v>
      </c>
      <c r="B794" s="1">
        <v>36861</v>
      </c>
      <c r="C794" t="s">
        <v>25</v>
      </c>
      <c r="D794" s="19">
        <v>6</v>
      </c>
      <c r="E794">
        <v>132</v>
      </c>
      <c r="F794" t="s">
        <v>7</v>
      </c>
      <c r="G794" t="s">
        <v>13</v>
      </c>
      <c r="H794">
        <v>1</v>
      </c>
      <c r="I794" t="s">
        <v>27</v>
      </c>
    </row>
    <row r="795" spans="1:9" x14ac:dyDescent="0.2">
      <c r="A795" t="str">
        <f t="shared" si="259"/>
        <v>36861Haapiti6132PoritidaeDessous</v>
      </c>
      <c r="B795" s="1">
        <v>36861</v>
      </c>
      <c r="C795" t="s">
        <v>25</v>
      </c>
      <c r="D795" s="19">
        <v>6</v>
      </c>
      <c r="E795">
        <v>132</v>
      </c>
      <c r="F795" t="s">
        <v>7</v>
      </c>
      <c r="G795" t="s">
        <v>8</v>
      </c>
      <c r="H795">
        <v>1</v>
      </c>
      <c r="I795" t="s">
        <v>27</v>
      </c>
    </row>
    <row r="796" spans="1:9" x14ac:dyDescent="0.2">
      <c r="A796" t="str">
        <f t="shared" si="259"/>
        <v>36861Haapiti6133PocilloporidaeDessous</v>
      </c>
      <c r="B796" s="1">
        <v>36861</v>
      </c>
      <c r="C796" t="s">
        <v>25</v>
      </c>
      <c r="D796" s="19">
        <v>6</v>
      </c>
      <c r="E796">
        <v>133</v>
      </c>
      <c r="F796" t="s">
        <v>10</v>
      </c>
      <c r="G796" t="s">
        <v>8</v>
      </c>
      <c r="H796">
        <v>2</v>
      </c>
      <c r="I796" t="s">
        <v>27</v>
      </c>
    </row>
    <row r="797" spans="1:9" x14ac:dyDescent="0.2">
      <c r="A797" t="str">
        <f t="shared" si="259"/>
        <v>36861Haapiti6133PoritidaeDessous</v>
      </c>
      <c r="B797" s="1">
        <v>36861</v>
      </c>
      <c r="C797" t="s">
        <v>25</v>
      </c>
      <c r="D797" s="19">
        <v>6</v>
      </c>
      <c r="E797">
        <v>133</v>
      </c>
      <c r="F797" t="s">
        <v>7</v>
      </c>
      <c r="G797" t="s">
        <v>8</v>
      </c>
      <c r="H797">
        <v>1</v>
      </c>
      <c r="I797" t="s">
        <v>27</v>
      </c>
    </row>
    <row r="798" spans="1:9" x14ac:dyDescent="0.2">
      <c r="A798" t="str">
        <f t="shared" si="259"/>
        <v>36861Haapiti6134AcroporidaeDessous</v>
      </c>
      <c r="B798" s="1">
        <v>36861</v>
      </c>
      <c r="C798" t="s">
        <v>25</v>
      </c>
      <c r="D798" s="19">
        <v>6</v>
      </c>
      <c r="E798">
        <v>134</v>
      </c>
      <c r="F798" t="s">
        <v>17</v>
      </c>
      <c r="G798" t="s">
        <v>8</v>
      </c>
      <c r="H798">
        <v>1</v>
      </c>
      <c r="I798" t="s">
        <v>27</v>
      </c>
    </row>
    <row r="799" spans="1:9" x14ac:dyDescent="0.2">
      <c r="A799" t="str">
        <f t="shared" si="259"/>
        <v>36861Haapiti6134PocilloporidaeDessous</v>
      </c>
      <c r="B799" s="1">
        <v>36861</v>
      </c>
      <c r="C799" t="s">
        <v>25</v>
      </c>
      <c r="D799" s="19">
        <v>6</v>
      </c>
      <c r="E799">
        <v>134</v>
      </c>
      <c r="F799" t="s">
        <v>10</v>
      </c>
      <c r="G799" t="s">
        <v>8</v>
      </c>
      <c r="H799">
        <v>15</v>
      </c>
      <c r="I799" t="s">
        <v>27</v>
      </c>
    </row>
    <row r="800" spans="1:9" x14ac:dyDescent="0.2">
      <c r="A800" t="str">
        <f t="shared" si="259"/>
        <v>36861Haapiti6135PocilloporidaeBords</v>
      </c>
      <c r="B800" s="1">
        <v>36861</v>
      </c>
      <c r="C800" t="s">
        <v>25</v>
      </c>
      <c r="D800" s="19">
        <v>6</v>
      </c>
      <c r="E800">
        <v>135</v>
      </c>
      <c r="F800" t="s">
        <v>10</v>
      </c>
      <c r="G800" t="s">
        <v>13</v>
      </c>
      <c r="H800">
        <v>1</v>
      </c>
      <c r="I800" t="s">
        <v>27</v>
      </c>
    </row>
    <row r="801" spans="1:9" x14ac:dyDescent="0.2">
      <c r="A801" t="str">
        <f t="shared" si="259"/>
        <v>36861Haapiti6135PocilloporidaeDessous</v>
      </c>
      <c r="B801" s="1">
        <v>36861</v>
      </c>
      <c r="C801" t="s">
        <v>25</v>
      </c>
      <c r="D801" s="19">
        <v>6</v>
      </c>
      <c r="E801">
        <v>135</v>
      </c>
      <c r="F801" t="s">
        <v>10</v>
      </c>
      <c r="G801" t="s">
        <v>8</v>
      </c>
      <c r="H801">
        <v>1</v>
      </c>
      <c r="I801" t="s">
        <v>27</v>
      </c>
    </row>
    <row r="802" spans="1:9" x14ac:dyDescent="0.2">
      <c r="A802" t="str">
        <f t="shared" si="259"/>
        <v>36861Haapiti6135PocilloporidaeDessus</v>
      </c>
      <c r="B802" s="1">
        <v>36861</v>
      </c>
      <c r="C802" t="s">
        <v>25</v>
      </c>
      <c r="D802" s="19">
        <v>6</v>
      </c>
      <c r="E802">
        <v>135</v>
      </c>
      <c r="F802" t="s">
        <v>10</v>
      </c>
      <c r="G802" t="s">
        <v>11</v>
      </c>
      <c r="H802">
        <v>2</v>
      </c>
      <c r="I802" t="s">
        <v>27</v>
      </c>
    </row>
    <row r="803" spans="1:9" x14ac:dyDescent="0.2">
      <c r="A803" t="str">
        <f t="shared" si="259"/>
        <v>36861Haapiti6136CassésDessus</v>
      </c>
      <c r="B803" s="1">
        <v>36861</v>
      </c>
      <c r="C803" t="s">
        <v>25</v>
      </c>
      <c r="D803" s="19">
        <v>6</v>
      </c>
      <c r="E803">
        <v>136</v>
      </c>
      <c r="F803" t="s">
        <v>12</v>
      </c>
      <c r="G803" t="s">
        <v>11</v>
      </c>
      <c r="H803">
        <v>1</v>
      </c>
      <c r="I803" t="s">
        <v>27</v>
      </c>
    </row>
    <row r="804" spans="1:9" x14ac:dyDescent="0.2">
      <c r="A804" t="str">
        <f t="shared" si="259"/>
        <v>36861Haapiti6136PocilloporidaeBords</v>
      </c>
      <c r="B804" s="1">
        <v>36861</v>
      </c>
      <c r="C804" t="s">
        <v>25</v>
      </c>
      <c r="D804" s="19">
        <v>6</v>
      </c>
      <c r="E804">
        <v>136</v>
      </c>
      <c r="F804" t="s">
        <v>10</v>
      </c>
      <c r="G804" t="s">
        <v>13</v>
      </c>
      <c r="H804">
        <v>1</v>
      </c>
      <c r="I804" t="s">
        <v>27</v>
      </c>
    </row>
    <row r="805" spans="1:9" x14ac:dyDescent="0.2">
      <c r="A805" t="str">
        <f t="shared" si="259"/>
        <v>36861Haapiti6137AcroporidaeDessous</v>
      </c>
      <c r="B805" s="1">
        <v>36861</v>
      </c>
      <c r="C805" t="s">
        <v>25</v>
      </c>
      <c r="D805" s="19">
        <v>6</v>
      </c>
      <c r="E805">
        <v>137</v>
      </c>
      <c r="F805" t="s">
        <v>17</v>
      </c>
      <c r="G805" t="s">
        <v>8</v>
      </c>
      <c r="H805">
        <v>3</v>
      </c>
      <c r="I805" t="s">
        <v>27</v>
      </c>
    </row>
    <row r="806" spans="1:9" x14ac:dyDescent="0.2">
      <c r="A806" t="str">
        <f t="shared" si="259"/>
        <v>36861Haapiti6137PocilloporidaeDessous</v>
      </c>
      <c r="B806" s="1">
        <v>36861</v>
      </c>
      <c r="C806" t="s">
        <v>25</v>
      </c>
      <c r="D806" s="19">
        <v>6</v>
      </c>
      <c r="E806">
        <v>137</v>
      </c>
      <c r="F806" t="s">
        <v>10</v>
      </c>
      <c r="G806" t="s">
        <v>8</v>
      </c>
      <c r="H806">
        <v>11</v>
      </c>
      <c r="I806" t="s">
        <v>27</v>
      </c>
    </row>
    <row r="807" spans="1:9" x14ac:dyDescent="0.2">
      <c r="A807" t="str">
        <f t="shared" si="259"/>
        <v>36861Haapiti6137PoritidaeDessous</v>
      </c>
      <c r="B807" s="1">
        <v>36861</v>
      </c>
      <c r="C807" t="s">
        <v>25</v>
      </c>
      <c r="D807" s="19">
        <v>6</v>
      </c>
      <c r="E807">
        <v>137</v>
      </c>
      <c r="F807" t="s">
        <v>7</v>
      </c>
      <c r="G807" t="s">
        <v>8</v>
      </c>
      <c r="H807">
        <v>1</v>
      </c>
      <c r="I807" t="s">
        <v>27</v>
      </c>
    </row>
    <row r="808" spans="1:9" x14ac:dyDescent="0.2">
      <c r="A808" t="str">
        <f t="shared" si="259"/>
        <v>36861Haapiti6138Autres</v>
      </c>
      <c r="B808" s="1">
        <v>36861</v>
      </c>
      <c r="C808" t="s">
        <v>25</v>
      </c>
      <c r="D808" s="19">
        <v>6</v>
      </c>
      <c r="E808">
        <v>138</v>
      </c>
      <c r="F808" t="s">
        <v>14</v>
      </c>
      <c r="H808">
        <v>0</v>
      </c>
    </row>
    <row r="809" spans="1:9" x14ac:dyDescent="0.2">
      <c r="A809" t="str">
        <f t="shared" si="259"/>
        <v>36861Haapiti6139Autres</v>
      </c>
      <c r="B809" s="1">
        <v>36861</v>
      </c>
      <c r="C809" t="s">
        <v>25</v>
      </c>
      <c r="D809" s="19">
        <v>6</v>
      </c>
      <c r="E809">
        <v>139</v>
      </c>
      <c r="F809" t="s">
        <v>14</v>
      </c>
      <c r="H809">
        <v>0</v>
      </c>
    </row>
    <row r="810" spans="1:9" x14ac:dyDescent="0.2">
      <c r="A810" t="str">
        <f t="shared" si="259"/>
        <v>36861Haapiti6140Autres</v>
      </c>
      <c r="B810" s="1">
        <v>36861</v>
      </c>
      <c r="C810" t="s">
        <v>25</v>
      </c>
      <c r="D810" s="19">
        <v>6</v>
      </c>
      <c r="E810">
        <v>140</v>
      </c>
      <c r="F810" t="s">
        <v>14</v>
      </c>
      <c r="H810">
        <v>0</v>
      </c>
    </row>
    <row r="811" spans="1:9" x14ac:dyDescent="0.2">
      <c r="A811" t="str">
        <f t="shared" si="259"/>
        <v>36861Haapiti12141PocilloporidaeDessous</v>
      </c>
      <c r="B811" s="1">
        <v>36861</v>
      </c>
      <c r="C811" t="s">
        <v>25</v>
      </c>
      <c r="D811" s="19">
        <v>12</v>
      </c>
      <c r="E811">
        <v>141</v>
      </c>
      <c r="F811" t="s">
        <v>10</v>
      </c>
      <c r="G811" t="s">
        <v>8</v>
      </c>
      <c r="H811">
        <v>1</v>
      </c>
      <c r="I811" t="s">
        <v>27</v>
      </c>
    </row>
    <row r="812" spans="1:9" x14ac:dyDescent="0.2">
      <c r="A812" t="str">
        <f t="shared" si="259"/>
        <v>36861Haapiti12142CassésDessus</v>
      </c>
      <c r="B812" s="1">
        <v>36861</v>
      </c>
      <c r="C812" t="s">
        <v>25</v>
      </c>
      <c r="D812" s="19">
        <v>12</v>
      </c>
      <c r="E812">
        <v>142</v>
      </c>
      <c r="F812" t="s">
        <v>12</v>
      </c>
      <c r="G812" t="s">
        <v>11</v>
      </c>
      <c r="H812">
        <v>1</v>
      </c>
      <c r="I812" t="s">
        <v>27</v>
      </c>
    </row>
    <row r="813" spans="1:9" x14ac:dyDescent="0.2">
      <c r="A813" t="str">
        <f t="shared" si="259"/>
        <v>36861Haapiti12142PocilloporidaeBords</v>
      </c>
      <c r="B813" s="1">
        <v>36861</v>
      </c>
      <c r="C813" t="s">
        <v>25</v>
      </c>
      <c r="D813" s="19">
        <v>12</v>
      </c>
      <c r="E813">
        <v>142</v>
      </c>
      <c r="F813" t="s">
        <v>10</v>
      </c>
      <c r="G813" t="s">
        <v>13</v>
      </c>
      <c r="H813">
        <v>1</v>
      </c>
      <c r="I813" t="s">
        <v>27</v>
      </c>
    </row>
    <row r="814" spans="1:9" x14ac:dyDescent="0.2">
      <c r="A814" t="str">
        <f t="shared" si="259"/>
        <v>36861Haapiti12143PocilloporidaeDessous</v>
      </c>
      <c r="B814" s="1">
        <v>36861</v>
      </c>
      <c r="C814" t="s">
        <v>25</v>
      </c>
      <c r="D814" s="19">
        <v>12</v>
      </c>
      <c r="E814">
        <v>143</v>
      </c>
      <c r="F814" t="s">
        <v>10</v>
      </c>
      <c r="G814" t="s">
        <v>8</v>
      </c>
      <c r="H814">
        <v>4</v>
      </c>
      <c r="I814" t="s">
        <v>27</v>
      </c>
    </row>
    <row r="815" spans="1:9" x14ac:dyDescent="0.2">
      <c r="A815" t="str">
        <f t="shared" si="259"/>
        <v>36861Haapiti12144PocilloporidaeDessous</v>
      </c>
      <c r="B815" s="1">
        <v>36861</v>
      </c>
      <c r="C815" t="s">
        <v>25</v>
      </c>
      <c r="D815" s="19">
        <v>12</v>
      </c>
      <c r="E815">
        <v>144</v>
      </c>
      <c r="F815" t="s">
        <v>10</v>
      </c>
      <c r="G815" t="s">
        <v>8</v>
      </c>
      <c r="H815">
        <v>2</v>
      </c>
      <c r="I815" t="s">
        <v>27</v>
      </c>
    </row>
    <row r="816" spans="1:9" x14ac:dyDescent="0.2">
      <c r="A816" t="str">
        <f t="shared" si="259"/>
        <v>36861Haapiti12144PoritidaeDessous</v>
      </c>
      <c r="B816" s="1">
        <v>36861</v>
      </c>
      <c r="C816" t="s">
        <v>25</v>
      </c>
      <c r="D816" s="19">
        <v>12</v>
      </c>
      <c r="E816">
        <v>144</v>
      </c>
      <c r="F816" t="s">
        <v>7</v>
      </c>
      <c r="G816" t="s">
        <v>8</v>
      </c>
      <c r="H816">
        <v>2</v>
      </c>
      <c r="I816" t="s">
        <v>27</v>
      </c>
    </row>
    <row r="817" spans="1:9" x14ac:dyDescent="0.2">
      <c r="A817" t="str">
        <f t="shared" si="259"/>
        <v>36861Haapiti12145PocilloporidaeDessus</v>
      </c>
      <c r="B817" s="1">
        <v>36861</v>
      </c>
      <c r="C817" t="s">
        <v>25</v>
      </c>
      <c r="D817" s="19">
        <v>12</v>
      </c>
      <c r="E817">
        <v>145</v>
      </c>
      <c r="F817" t="s">
        <v>10</v>
      </c>
      <c r="G817" t="s">
        <v>11</v>
      </c>
      <c r="H817">
        <v>1</v>
      </c>
      <c r="I817" t="s">
        <v>27</v>
      </c>
    </row>
    <row r="818" spans="1:9" x14ac:dyDescent="0.2">
      <c r="A818" t="str">
        <f t="shared" si="259"/>
        <v>36861Haapiti12146CassésBords</v>
      </c>
      <c r="B818" s="1">
        <v>36861</v>
      </c>
      <c r="C818" t="s">
        <v>25</v>
      </c>
      <c r="D818" s="19">
        <v>12</v>
      </c>
      <c r="E818">
        <v>146</v>
      </c>
      <c r="F818" t="s">
        <v>12</v>
      </c>
      <c r="G818" t="s">
        <v>13</v>
      </c>
      <c r="H818">
        <v>1</v>
      </c>
      <c r="I818" t="s">
        <v>27</v>
      </c>
    </row>
    <row r="819" spans="1:9" x14ac:dyDescent="0.2">
      <c r="A819" t="str">
        <f t="shared" si="259"/>
        <v>36861Haapiti12146PocilloporidaeDessous</v>
      </c>
      <c r="B819" s="1">
        <v>36861</v>
      </c>
      <c r="C819" t="s">
        <v>25</v>
      </c>
      <c r="D819" s="19">
        <v>12</v>
      </c>
      <c r="E819">
        <v>146</v>
      </c>
      <c r="F819" t="s">
        <v>10</v>
      </c>
      <c r="G819" t="s">
        <v>8</v>
      </c>
      <c r="H819">
        <v>2</v>
      </c>
      <c r="I819" t="s">
        <v>27</v>
      </c>
    </row>
    <row r="820" spans="1:9" x14ac:dyDescent="0.2">
      <c r="A820" t="str">
        <f t="shared" si="259"/>
        <v>36861Haapiti12147CassésDessus</v>
      </c>
      <c r="B820" s="1">
        <v>36861</v>
      </c>
      <c r="C820" t="s">
        <v>25</v>
      </c>
      <c r="D820" s="19">
        <v>12</v>
      </c>
      <c r="E820">
        <v>147</v>
      </c>
      <c r="F820" t="s">
        <v>12</v>
      </c>
      <c r="G820" t="s">
        <v>11</v>
      </c>
      <c r="H820">
        <v>1</v>
      </c>
      <c r="I820" t="s">
        <v>27</v>
      </c>
    </row>
    <row r="821" spans="1:9" x14ac:dyDescent="0.2">
      <c r="A821" t="str">
        <f t="shared" si="259"/>
        <v>36861Haapiti12147PoritidaeDessous</v>
      </c>
      <c r="B821" s="1">
        <v>36861</v>
      </c>
      <c r="C821" t="s">
        <v>25</v>
      </c>
      <c r="D821" s="19">
        <v>12</v>
      </c>
      <c r="E821">
        <v>147</v>
      </c>
      <c r="F821" t="s">
        <v>7</v>
      </c>
      <c r="G821" t="s">
        <v>8</v>
      </c>
      <c r="H821">
        <v>1</v>
      </c>
      <c r="I821" t="s">
        <v>27</v>
      </c>
    </row>
    <row r="822" spans="1:9" x14ac:dyDescent="0.2">
      <c r="A822" t="str">
        <f t="shared" si="259"/>
        <v>36861Haapiti12148PocilloporidaeDessous</v>
      </c>
      <c r="B822" s="1">
        <v>36861</v>
      </c>
      <c r="C822" t="s">
        <v>25</v>
      </c>
      <c r="D822" s="19">
        <v>12</v>
      </c>
      <c r="E822">
        <v>148</v>
      </c>
      <c r="F822" t="s">
        <v>10</v>
      </c>
      <c r="G822" t="s">
        <v>8</v>
      </c>
      <c r="H822">
        <v>2</v>
      </c>
      <c r="I822" t="s">
        <v>27</v>
      </c>
    </row>
    <row r="823" spans="1:9" x14ac:dyDescent="0.2">
      <c r="A823" t="str">
        <f t="shared" si="259"/>
        <v>36861Haapiti12149Autres</v>
      </c>
      <c r="B823" s="1">
        <v>36861</v>
      </c>
      <c r="C823" t="s">
        <v>25</v>
      </c>
      <c r="D823" s="19">
        <v>12</v>
      </c>
      <c r="E823">
        <v>149</v>
      </c>
      <c r="F823" t="s">
        <v>14</v>
      </c>
      <c r="H823">
        <v>0</v>
      </c>
    </row>
    <row r="824" spans="1:9" x14ac:dyDescent="0.2">
      <c r="A824" t="str">
        <f t="shared" si="259"/>
        <v>36861Haapiti12150CassésDessus</v>
      </c>
      <c r="B824" s="1">
        <v>36861</v>
      </c>
      <c r="C824" t="s">
        <v>25</v>
      </c>
      <c r="D824" s="19">
        <v>12</v>
      </c>
      <c r="E824">
        <v>150</v>
      </c>
      <c r="F824" t="s">
        <v>12</v>
      </c>
      <c r="G824" t="s">
        <v>11</v>
      </c>
      <c r="H824">
        <v>1</v>
      </c>
      <c r="I824" t="s">
        <v>27</v>
      </c>
    </row>
    <row r="825" spans="1:9" x14ac:dyDescent="0.2">
      <c r="A825" t="str">
        <f t="shared" si="259"/>
        <v>36861Haapiti12151CassésDessous</v>
      </c>
      <c r="B825" s="1">
        <v>36861</v>
      </c>
      <c r="C825" t="s">
        <v>25</v>
      </c>
      <c r="D825" s="19">
        <v>12</v>
      </c>
      <c r="E825">
        <v>151</v>
      </c>
      <c r="F825" t="s">
        <v>12</v>
      </c>
      <c r="G825" t="s">
        <v>8</v>
      </c>
      <c r="H825">
        <v>1</v>
      </c>
      <c r="I825" t="s">
        <v>27</v>
      </c>
    </row>
    <row r="826" spans="1:9" x14ac:dyDescent="0.2">
      <c r="A826" t="str">
        <f t="shared" si="259"/>
        <v>36861Haapiti12151PocilloporidaeDessous</v>
      </c>
      <c r="B826" s="1">
        <v>36861</v>
      </c>
      <c r="C826" t="s">
        <v>25</v>
      </c>
      <c r="D826" s="19">
        <v>12</v>
      </c>
      <c r="E826">
        <v>151</v>
      </c>
      <c r="F826" t="s">
        <v>10</v>
      </c>
      <c r="G826" t="s">
        <v>8</v>
      </c>
      <c r="H826">
        <v>1</v>
      </c>
      <c r="I826" t="s">
        <v>27</v>
      </c>
    </row>
    <row r="827" spans="1:9" x14ac:dyDescent="0.2">
      <c r="A827" t="str">
        <f t="shared" si="259"/>
        <v>36861Haapiti12151PoritidaeDessous</v>
      </c>
      <c r="B827" s="1">
        <v>36861</v>
      </c>
      <c r="C827" t="s">
        <v>25</v>
      </c>
      <c r="D827" s="19">
        <v>12</v>
      </c>
      <c r="E827">
        <v>151</v>
      </c>
      <c r="F827" t="s">
        <v>7</v>
      </c>
      <c r="G827" t="s">
        <v>8</v>
      </c>
      <c r="H827">
        <v>1</v>
      </c>
      <c r="I827" t="s">
        <v>27</v>
      </c>
    </row>
    <row r="828" spans="1:9" x14ac:dyDescent="0.2">
      <c r="A828" t="str">
        <f t="shared" si="259"/>
        <v>36861Haapiti12152Autres</v>
      </c>
      <c r="B828" s="1">
        <v>36861</v>
      </c>
      <c r="C828" t="s">
        <v>25</v>
      </c>
      <c r="D828" s="19">
        <v>12</v>
      </c>
      <c r="E828">
        <v>152</v>
      </c>
      <c r="F828" t="s">
        <v>14</v>
      </c>
      <c r="H828">
        <v>0</v>
      </c>
    </row>
    <row r="829" spans="1:9" x14ac:dyDescent="0.2">
      <c r="A829" t="str">
        <f t="shared" si="259"/>
        <v>36861Haapiti12153Autres</v>
      </c>
      <c r="B829" s="1">
        <v>36861</v>
      </c>
      <c r="C829" t="s">
        <v>25</v>
      </c>
      <c r="D829" s="19">
        <v>12</v>
      </c>
      <c r="E829">
        <v>153</v>
      </c>
      <c r="F829" t="s">
        <v>14</v>
      </c>
      <c r="H829">
        <v>0</v>
      </c>
    </row>
    <row r="830" spans="1:9" x14ac:dyDescent="0.2">
      <c r="A830" t="str">
        <f t="shared" si="259"/>
        <v>36861Haapiti12154PocilloporidaeBords</v>
      </c>
      <c r="B830" s="1">
        <v>36861</v>
      </c>
      <c r="C830" t="s">
        <v>25</v>
      </c>
      <c r="D830" s="19">
        <v>12</v>
      </c>
      <c r="E830">
        <v>154</v>
      </c>
      <c r="F830" t="s">
        <v>10</v>
      </c>
      <c r="G830" t="s">
        <v>13</v>
      </c>
      <c r="H830">
        <v>3</v>
      </c>
      <c r="I830" t="s">
        <v>27</v>
      </c>
    </row>
    <row r="831" spans="1:9" x14ac:dyDescent="0.2">
      <c r="A831" t="str">
        <f t="shared" ref="A831:A894" si="260">B831 &amp; C831&amp; D831&amp; E831 &amp; F831 &amp;G831</f>
        <v>36861Haapiti12155PocilloporidaeDessus</v>
      </c>
      <c r="B831" s="1">
        <v>36861</v>
      </c>
      <c r="C831" t="s">
        <v>25</v>
      </c>
      <c r="D831" s="19">
        <v>12</v>
      </c>
      <c r="E831">
        <v>155</v>
      </c>
      <c r="F831" t="s">
        <v>10</v>
      </c>
      <c r="G831" t="s">
        <v>11</v>
      </c>
      <c r="H831">
        <v>2</v>
      </c>
      <c r="I831" t="s">
        <v>27</v>
      </c>
    </row>
    <row r="832" spans="1:9" x14ac:dyDescent="0.2">
      <c r="A832" t="str">
        <f t="shared" si="260"/>
        <v>36861Haapiti12156PocilloporidaeDessous</v>
      </c>
      <c r="B832" s="1">
        <v>36861</v>
      </c>
      <c r="C832" t="s">
        <v>25</v>
      </c>
      <c r="D832" s="19">
        <v>12</v>
      </c>
      <c r="E832">
        <v>156</v>
      </c>
      <c r="F832" t="s">
        <v>10</v>
      </c>
      <c r="G832" t="s">
        <v>8</v>
      </c>
      <c r="H832">
        <v>1</v>
      </c>
      <c r="I832" t="s">
        <v>27</v>
      </c>
    </row>
    <row r="833" spans="1:9" x14ac:dyDescent="0.2">
      <c r="A833" t="str">
        <f t="shared" si="260"/>
        <v>36861Haapiti12157PocilloporidaeDessous</v>
      </c>
      <c r="B833" s="1">
        <v>36861</v>
      </c>
      <c r="C833" t="s">
        <v>25</v>
      </c>
      <c r="D833" s="19">
        <v>12</v>
      </c>
      <c r="E833">
        <v>157</v>
      </c>
      <c r="F833" t="s">
        <v>10</v>
      </c>
      <c r="G833" t="s">
        <v>8</v>
      </c>
      <c r="H833">
        <v>1</v>
      </c>
      <c r="I833" t="s">
        <v>27</v>
      </c>
    </row>
    <row r="834" spans="1:9" x14ac:dyDescent="0.2">
      <c r="A834" t="str">
        <f t="shared" si="260"/>
        <v>36861Haapiti12157PocilloporidaeDessus</v>
      </c>
      <c r="B834" s="1">
        <v>36861</v>
      </c>
      <c r="C834" t="s">
        <v>25</v>
      </c>
      <c r="D834" s="19">
        <v>12</v>
      </c>
      <c r="E834">
        <v>157</v>
      </c>
      <c r="F834" t="s">
        <v>10</v>
      </c>
      <c r="G834" t="s">
        <v>11</v>
      </c>
      <c r="H834">
        <v>1</v>
      </c>
      <c r="I834" t="s">
        <v>27</v>
      </c>
    </row>
    <row r="835" spans="1:9" x14ac:dyDescent="0.2">
      <c r="A835" t="str">
        <f t="shared" si="260"/>
        <v>36861Haapiti12158Autres</v>
      </c>
      <c r="B835" s="1">
        <v>36861</v>
      </c>
      <c r="C835" t="s">
        <v>25</v>
      </c>
      <c r="D835" s="19">
        <v>12</v>
      </c>
      <c r="E835">
        <v>158</v>
      </c>
      <c r="F835" t="s">
        <v>14</v>
      </c>
      <c r="H835">
        <v>0</v>
      </c>
    </row>
    <row r="836" spans="1:9" x14ac:dyDescent="0.2">
      <c r="A836" t="str">
        <f t="shared" si="260"/>
        <v>36861Haapiti12159CassésDessus</v>
      </c>
      <c r="B836" s="1">
        <v>36861</v>
      </c>
      <c r="C836" t="s">
        <v>25</v>
      </c>
      <c r="D836" s="19">
        <v>12</v>
      </c>
      <c r="E836">
        <v>159</v>
      </c>
      <c r="F836" t="s">
        <v>12</v>
      </c>
      <c r="G836" t="s">
        <v>11</v>
      </c>
      <c r="H836">
        <v>2</v>
      </c>
      <c r="I836" t="s">
        <v>27</v>
      </c>
    </row>
    <row r="837" spans="1:9" x14ac:dyDescent="0.2">
      <c r="A837" t="str">
        <f t="shared" si="260"/>
        <v>36861Haapiti12159PocilloporidaeDessous</v>
      </c>
      <c r="B837" s="1">
        <v>36861</v>
      </c>
      <c r="C837" t="s">
        <v>25</v>
      </c>
      <c r="D837" s="19">
        <v>12</v>
      </c>
      <c r="E837">
        <v>159</v>
      </c>
      <c r="F837" t="s">
        <v>10</v>
      </c>
      <c r="G837" t="s">
        <v>8</v>
      </c>
      <c r="H837">
        <v>1</v>
      </c>
      <c r="I837" t="s">
        <v>27</v>
      </c>
    </row>
    <row r="838" spans="1:9" x14ac:dyDescent="0.2">
      <c r="A838" t="str">
        <f t="shared" si="260"/>
        <v>36861Haapiti12160CassésDessus</v>
      </c>
      <c r="B838" s="1">
        <v>36861</v>
      </c>
      <c r="C838" t="s">
        <v>25</v>
      </c>
      <c r="D838" s="19">
        <v>12</v>
      </c>
      <c r="E838">
        <v>160</v>
      </c>
      <c r="F838" t="s">
        <v>12</v>
      </c>
      <c r="G838" t="s">
        <v>11</v>
      </c>
      <c r="H838">
        <v>1</v>
      </c>
      <c r="I838" t="s">
        <v>27</v>
      </c>
    </row>
    <row r="839" spans="1:9" x14ac:dyDescent="0.2">
      <c r="A839" t="str">
        <f t="shared" si="260"/>
        <v>36861Haapiti12160PoritidaeDessous</v>
      </c>
      <c r="B839" s="1">
        <v>36861</v>
      </c>
      <c r="C839" t="s">
        <v>25</v>
      </c>
      <c r="D839" s="19">
        <v>12</v>
      </c>
      <c r="E839">
        <v>160</v>
      </c>
      <c r="F839" t="s">
        <v>7</v>
      </c>
      <c r="G839" t="s">
        <v>8</v>
      </c>
      <c r="H839">
        <v>1</v>
      </c>
      <c r="I839" t="s">
        <v>27</v>
      </c>
    </row>
    <row r="840" spans="1:9" x14ac:dyDescent="0.2">
      <c r="A840" t="str">
        <f t="shared" si="260"/>
        <v>36861Haapiti18161PocilloporidaeDessus</v>
      </c>
      <c r="B840" s="1">
        <v>36861</v>
      </c>
      <c r="C840" t="s">
        <v>25</v>
      </c>
      <c r="D840" s="19">
        <v>18</v>
      </c>
      <c r="E840">
        <v>161</v>
      </c>
      <c r="F840" t="s">
        <v>10</v>
      </c>
      <c r="G840" t="s">
        <v>11</v>
      </c>
      <c r="H840">
        <v>1</v>
      </c>
      <c r="I840" t="s">
        <v>27</v>
      </c>
    </row>
    <row r="841" spans="1:9" x14ac:dyDescent="0.2">
      <c r="A841" t="str">
        <f t="shared" si="260"/>
        <v>36861Haapiti18162PocilloporidaeBords</v>
      </c>
      <c r="B841" s="1">
        <v>36861</v>
      </c>
      <c r="C841" t="s">
        <v>25</v>
      </c>
      <c r="D841" s="19">
        <v>18</v>
      </c>
      <c r="E841">
        <v>162</v>
      </c>
      <c r="F841" t="s">
        <v>10</v>
      </c>
      <c r="G841" t="s">
        <v>13</v>
      </c>
      <c r="H841">
        <v>2</v>
      </c>
      <c r="I841" t="s">
        <v>27</v>
      </c>
    </row>
    <row r="842" spans="1:9" x14ac:dyDescent="0.2">
      <c r="A842" t="str">
        <f t="shared" si="260"/>
        <v>36861Haapiti18162PoritidaeBords</v>
      </c>
      <c r="B842" s="1">
        <v>36861</v>
      </c>
      <c r="C842" t="s">
        <v>25</v>
      </c>
      <c r="D842" s="19">
        <v>18</v>
      </c>
      <c r="E842">
        <v>162</v>
      </c>
      <c r="F842" t="s">
        <v>7</v>
      </c>
      <c r="G842" t="s">
        <v>13</v>
      </c>
      <c r="H842">
        <v>1</v>
      </c>
      <c r="I842" t="s">
        <v>27</v>
      </c>
    </row>
    <row r="843" spans="1:9" x14ac:dyDescent="0.2">
      <c r="A843" t="str">
        <f t="shared" si="260"/>
        <v>36861Haapiti18162PoritidaeDessous</v>
      </c>
      <c r="B843" s="1">
        <v>36861</v>
      </c>
      <c r="C843" t="s">
        <v>25</v>
      </c>
      <c r="D843" s="19">
        <v>18</v>
      </c>
      <c r="E843">
        <v>162</v>
      </c>
      <c r="F843" t="s">
        <v>7</v>
      </c>
      <c r="G843" t="s">
        <v>8</v>
      </c>
      <c r="H843">
        <v>1</v>
      </c>
      <c r="I843" t="s">
        <v>27</v>
      </c>
    </row>
    <row r="844" spans="1:9" x14ac:dyDescent="0.2">
      <c r="A844" t="str">
        <f t="shared" si="260"/>
        <v>36861Haapiti18162PoritidaeDessus</v>
      </c>
      <c r="B844" s="1">
        <v>36861</v>
      </c>
      <c r="C844" t="s">
        <v>25</v>
      </c>
      <c r="D844" s="19">
        <v>18</v>
      </c>
      <c r="E844">
        <v>162</v>
      </c>
      <c r="F844" t="s">
        <v>7</v>
      </c>
      <c r="G844" t="s">
        <v>11</v>
      </c>
      <c r="H844">
        <v>1</v>
      </c>
      <c r="I844" t="s">
        <v>27</v>
      </c>
    </row>
    <row r="845" spans="1:9" x14ac:dyDescent="0.2">
      <c r="A845" t="str">
        <f t="shared" si="260"/>
        <v>36861Haapiti18163Autres</v>
      </c>
      <c r="B845" s="1">
        <v>36861</v>
      </c>
      <c r="C845" t="s">
        <v>25</v>
      </c>
      <c r="D845" s="19">
        <v>18</v>
      </c>
      <c r="E845">
        <v>163</v>
      </c>
      <c r="F845" t="s">
        <v>14</v>
      </c>
      <c r="H845">
        <v>0</v>
      </c>
    </row>
    <row r="846" spans="1:9" x14ac:dyDescent="0.2">
      <c r="A846" t="str">
        <f t="shared" si="260"/>
        <v>36861Haapiti18164PocilloporidaeDessus</v>
      </c>
      <c r="B846" s="1">
        <v>36861</v>
      </c>
      <c r="C846" t="s">
        <v>25</v>
      </c>
      <c r="D846" s="19">
        <v>18</v>
      </c>
      <c r="E846">
        <v>164</v>
      </c>
      <c r="F846" t="s">
        <v>10</v>
      </c>
      <c r="G846" t="s">
        <v>11</v>
      </c>
      <c r="H846">
        <v>1</v>
      </c>
      <c r="I846" t="s">
        <v>27</v>
      </c>
    </row>
    <row r="847" spans="1:9" x14ac:dyDescent="0.2">
      <c r="A847" t="str">
        <f t="shared" si="260"/>
        <v>36861Haapiti18165AcroporidaeBords</v>
      </c>
      <c r="B847" s="1">
        <v>36861</v>
      </c>
      <c r="C847" t="s">
        <v>25</v>
      </c>
      <c r="D847" s="19">
        <v>18</v>
      </c>
      <c r="E847">
        <v>165</v>
      </c>
      <c r="F847" t="s">
        <v>17</v>
      </c>
      <c r="G847" t="s">
        <v>13</v>
      </c>
      <c r="H847">
        <v>1</v>
      </c>
      <c r="I847" t="s">
        <v>27</v>
      </c>
    </row>
    <row r="848" spans="1:9" x14ac:dyDescent="0.2">
      <c r="A848" t="str">
        <f t="shared" si="260"/>
        <v>36861Haapiti18165CassésBords</v>
      </c>
      <c r="B848" s="1">
        <v>36861</v>
      </c>
      <c r="C848" t="s">
        <v>25</v>
      </c>
      <c r="D848" s="19">
        <v>18</v>
      </c>
      <c r="E848">
        <v>165</v>
      </c>
      <c r="F848" t="s">
        <v>12</v>
      </c>
      <c r="G848" t="s">
        <v>13</v>
      </c>
      <c r="H848">
        <v>2</v>
      </c>
      <c r="I848" t="s">
        <v>27</v>
      </c>
    </row>
    <row r="849" spans="1:9" x14ac:dyDescent="0.2">
      <c r="A849" t="str">
        <f t="shared" si="260"/>
        <v>36861Haapiti18165CassésDessus</v>
      </c>
      <c r="B849" s="1">
        <v>36861</v>
      </c>
      <c r="C849" t="s">
        <v>25</v>
      </c>
      <c r="D849" s="19">
        <v>18</v>
      </c>
      <c r="E849">
        <v>165</v>
      </c>
      <c r="F849" t="s">
        <v>12</v>
      </c>
      <c r="G849" t="s">
        <v>11</v>
      </c>
      <c r="H849">
        <v>1</v>
      </c>
      <c r="I849" t="s">
        <v>27</v>
      </c>
    </row>
    <row r="850" spans="1:9" x14ac:dyDescent="0.2">
      <c r="A850" t="str">
        <f t="shared" si="260"/>
        <v>36861Haapiti18165PocilloporidaeBords</v>
      </c>
      <c r="B850" s="1">
        <v>36861</v>
      </c>
      <c r="C850" t="s">
        <v>25</v>
      </c>
      <c r="D850" s="19">
        <v>18</v>
      </c>
      <c r="E850">
        <v>165</v>
      </c>
      <c r="F850" t="s">
        <v>10</v>
      </c>
      <c r="G850" t="s">
        <v>13</v>
      </c>
      <c r="H850">
        <v>1</v>
      </c>
      <c r="I850" t="s">
        <v>27</v>
      </c>
    </row>
    <row r="851" spans="1:9" x14ac:dyDescent="0.2">
      <c r="A851" t="str">
        <f t="shared" si="260"/>
        <v>36861Haapiti18165PocilloporidaeDessous</v>
      </c>
      <c r="B851" s="1">
        <v>36861</v>
      </c>
      <c r="C851" t="s">
        <v>25</v>
      </c>
      <c r="D851" s="19">
        <v>18</v>
      </c>
      <c r="E851">
        <v>165</v>
      </c>
      <c r="F851" t="s">
        <v>10</v>
      </c>
      <c r="G851" t="s">
        <v>8</v>
      </c>
      <c r="H851">
        <v>3</v>
      </c>
      <c r="I851" t="s">
        <v>27</v>
      </c>
    </row>
    <row r="852" spans="1:9" x14ac:dyDescent="0.2">
      <c r="A852" t="str">
        <f t="shared" si="260"/>
        <v>36861Haapiti18166CassésDessus</v>
      </c>
      <c r="B852" s="1">
        <v>36861</v>
      </c>
      <c r="C852" t="s">
        <v>25</v>
      </c>
      <c r="D852" s="19">
        <v>18</v>
      </c>
      <c r="E852">
        <v>166</v>
      </c>
      <c r="F852" t="s">
        <v>12</v>
      </c>
      <c r="G852" t="s">
        <v>11</v>
      </c>
      <c r="H852">
        <v>1</v>
      </c>
      <c r="I852" t="s">
        <v>27</v>
      </c>
    </row>
    <row r="853" spans="1:9" x14ac:dyDescent="0.2">
      <c r="A853" t="str">
        <f t="shared" si="260"/>
        <v>36861Haapiti18166PocilloporidaeBords</v>
      </c>
      <c r="B853" s="1">
        <v>36861</v>
      </c>
      <c r="C853" t="s">
        <v>25</v>
      </c>
      <c r="D853" s="19">
        <v>18</v>
      </c>
      <c r="E853">
        <v>166</v>
      </c>
      <c r="F853" t="s">
        <v>10</v>
      </c>
      <c r="G853" t="s">
        <v>13</v>
      </c>
      <c r="H853">
        <v>2</v>
      </c>
      <c r="I853" t="s">
        <v>27</v>
      </c>
    </row>
    <row r="854" spans="1:9" x14ac:dyDescent="0.2">
      <c r="A854" t="str">
        <f t="shared" si="260"/>
        <v>36861Haapiti18166PocilloporidaeDessous</v>
      </c>
      <c r="B854" s="1">
        <v>36861</v>
      </c>
      <c r="C854" t="s">
        <v>25</v>
      </c>
      <c r="D854" s="19">
        <v>18</v>
      </c>
      <c r="E854">
        <v>166</v>
      </c>
      <c r="F854" t="s">
        <v>10</v>
      </c>
      <c r="G854" t="s">
        <v>8</v>
      </c>
      <c r="H854">
        <v>1</v>
      </c>
      <c r="I854" t="s">
        <v>27</v>
      </c>
    </row>
    <row r="855" spans="1:9" x14ac:dyDescent="0.2">
      <c r="A855" t="str">
        <f t="shared" si="260"/>
        <v>36861Haapiti18166PocilloporidaeDessus</v>
      </c>
      <c r="B855" s="1">
        <v>36861</v>
      </c>
      <c r="C855" t="s">
        <v>25</v>
      </c>
      <c r="D855" s="19">
        <v>18</v>
      </c>
      <c r="E855">
        <v>166</v>
      </c>
      <c r="F855" t="s">
        <v>10</v>
      </c>
      <c r="G855" t="s">
        <v>11</v>
      </c>
      <c r="H855">
        <v>4</v>
      </c>
      <c r="I855" t="s">
        <v>27</v>
      </c>
    </row>
    <row r="856" spans="1:9" x14ac:dyDescent="0.2">
      <c r="A856" t="str">
        <f t="shared" si="260"/>
        <v>36861Haapiti18167PocilloporidaeBords</v>
      </c>
      <c r="B856" s="1">
        <v>36861</v>
      </c>
      <c r="C856" t="s">
        <v>25</v>
      </c>
      <c r="D856" s="19">
        <v>18</v>
      </c>
      <c r="E856">
        <v>167</v>
      </c>
      <c r="F856" t="s">
        <v>10</v>
      </c>
      <c r="G856" t="s">
        <v>13</v>
      </c>
      <c r="H856">
        <v>1</v>
      </c>
      <c r="I856" t="s">
        <v>27</v>
      </c>
    </row>
    <row r="857" spans="1:9" x14ac:dyDescent="0.2">
      <c r="A857" t="str">
        <f t="shared" si="260"/>
        <v>36861Haapiti18167PocilloporidaeDessous</v>
      </c>
      <c r="B857" s="1">
        <v>36861</v>
      </c>
      <c r="C857" t="s">
        <v>25</v>
      </c>
      <c r="D857" s="19">
        <v>18</v>
      </c>
      <c r="E857">
        <v>167</v>
      </c>
      <c r="F857" t="s">
        <v>10</v>
      </c>
      <c r="G857" t="s">
        <v>8</v>
      </c>
      <c r="H857">
        <v>1</v>
      </c>
      <c r="I857" t="s">
        <v>27</v>
      </c>
    </row>
    <row r="858" spans="1:9" x14ac:dyDescent="0.2">
      <c r="A858" t="str">
        <f t="shared" si="260"/>
        <v>36861Haapiti18168Autres</v>
      </c>
      <c r="B858" s="1">
        <v>36861</v>
      </c>
      <c r="C858" t="s">
        <v>25</v>
      </c>
      <c r="D858" s="19">
        <v>18</v>
      </c>
      <c r="E858">
        <v>168</v>
      </c>
      <c r="F858" t="s">
        <v>14</v>
      </c>
      <c r="H858">
        <v>0</v>
      </c>
    </row>
    <row r="859" spans="1:9" x14ac:dyDescent="0.2">
      <c r="A859" t="str">
        <f t="shared" si="260"/>
        <v>36861Haapiti18169Autres</v>
      </c>
      <c r="B859" s="1">
        <v>36861</v>
      </c>
      <c r="C859" t="s">
        <v>25</v>
      </c>
      <c r="D859" s="19">
        <v>18</v>
      </c>
      <c r="E859">
        <v>169</v>
      </c>
      <c r="F859" t="s">
        <v>14</v>
      </c>
      <c r="H859">
        <v>0</v>
      </c>
    </row>
    <row r="860" spans="1:9" x14ac:dyDescent="0.2">
      <c r="A860" t="str">
        <f t="shared" si="260"/>
        <v>36861Haapiti18170Autres</v>
      </c>
      <c r="B860" s="1">
        <v>36861</v>
      </c>
      <c r="C860" t="s">
        <v>25</v>
      </c>
      <c r="D860" s="19">
        <v>18</v>
      </c>
      <c r="E860">
        <v>170</v>
      </c>
      <c r="F860" t="s">
        <v>14</v>
      </c>
      <c r="H860">
        <v>0</v>
      </c>
    </row>
    <row r="861" spans="1:9" x14ac:dyDescent="0.2">
      <c r="A861" t="str">
        <f t="shared" si="260"/>
        <v>36861Haapiti18171CassésBords</v>
      </c>
      <c r="B861" s="1">
        <v>36861</v>
      </c>
      <c r="C861" t="s">
        <v>25</v>
      </c>
      <c r="D861" s="19">
        <v>18</v>
      </c>
      <c r="E861">
        <v>171</v>
      </c>
      <c r="F861" t="s">
        <v>12</v>
      </c>
      <c r="G861" t="s">
        <v>13</v>
      </c>
      <c r="H861">
        <v>1</v>
      </c>
      <c r="I861" t="s">
        <v>27</v>
      </c>
    </row>
    <row r="862" spans="1:9" x14ac:dyDescent="0.2">
      <c r="A862" t="str">
        <f t="shared" si="260"/>
        <v>36861Haapiti18171PocilloporidaeBords</v>
      </c>
      <c r="B862" s="1">
        <v>36861</v>
      </c>
      <c r="C862" t="s">
        <v>25</v>
      </c>
      <c r="D862" s="19">
        <v>18</v>
      </c>
      <c r="E862">
        <v>171</v>
      </c>
      <c r="F862" t="s">
        <v>10</v>
      </c>
      <c r="G862" t="s">
        <v>13</v>
      </c>
      <c r="H862">
        <v>2</v>
      </c>
      <c r="I862" t="s">
        <v>27</v>
      </c>
    </row>
    <row r="863" spans="1:9" x14ac:dyDescent="0.2">
      <c r="A863" t="str">
        <f t="shared" si="260"/>
        <v>36861Haapiti18172PocilloporidaeDessous</v>
      </c>
      <c r="B863" s="1">
        <v>36861</v>
      </c>
      <c r="C863" t="s">
        <v>25</v>
      </c>
      <c r="D863" s="19">
        <v>18</v>
      </c>
      <c r="E863">
        <v>172</v>
      </c>
      <c r="F863" t="s">
        <v>10</v>
      </c>
      <c r="G863" t="s">
        <v>8</v>
      </c>
      <c r="H863">
        <v>5</v>
      </c>
      <c r="I863" t="s">
        <v>27</v>
      </c>
    </row>
    <row r="864" spans="1:9" x14ac:dyDescent="0.2">
      <c r="A864" t="str">
        <f t="shared" si="260"/>
        <v>36861Haapiti18172PocilloporidaeDessus</v>
      </c>
      <c r="B864" s="1">
        <v>36861</v>
      </c>
      <c r="C864" t="s">
        <v>25</v>
      </c>
      <c r="D864" s="19">
        <v>18</v>
      </c>
      <c r="E864">
        <v>172</v>
      </c>
      <c r="F864" t="s">
        <v>10</v>
      </c>
      <c r="G864" t="s">
        <v>11</v>
      </c>
      <c r="H864">
        <v>1</v>
      </c>
      <c r="I864" t="s">
        <v>27</v>
      </c>
    </row>
    <row r="865" spans="1:9" x14ac:dyDescent="0.2">
      <c r="A865" t="str">
        <f t="shared" si="260"/>
        <v>36861Haapiti18172PoritidaeDessus</v>
      </c>
      <c r="B865" s="1">
        <v>36861</v>
      </c>
      <c r="C865" t="s">
        <v>25</v>
      </c>
      <c r="D865" s="19">
        <v>18</v>
      </c>
      <c r="E865">
        <v>172</v>
      </c>
      <c r="F865" t="s">
        <v>7</v>
      </c>
      <c r="G865" t="s">
        <v>11</v>
      </c>
      <c r="H865">
        <v>1</v>
      </c>
      <c r="I865" t="s">
        <v>27</v>
      </c>
    </row>
    <row r="866" spans="1:9" x14ac:dyDescent="0.2">
      <c r="A866" t="str">
        <f t="shared" si="260"/>
        <v>36861Haapiti18173Autres</v>
      </c>
      <c r="B866" s="1">
        <v>36861</v>
      </c>
      <c r="C866" t="s">
        <v>25</v>
      </c>
      <c r="D866" s="19">
        <v>18</v>
      </c>
      <c r="E866">
        <v>173</v>
      </c>
      <c r="F866" t="s">
        <v>14</v>
      </c>
      <c r="H866">
        <v>0</v>
      </c>
    </row>
    <row r="867" spans="1:9" x14ac:dyDescent="0.2">
      <c r="A867" t="str">
        <f t="shared" si="260"/>
        <v>36861Haapiti18174CassésDessus</v>
      </c>
      <c r="B867" s="1">
        <v>36861</v>
      </c>
      <c r="C867" t="s">
        <v>25</v>
      </c>
      <c r="D867" s="19">
        <v>18</v>
      </c>
      <c r="E867">
        <v>174</v>
      </c>
      <c r="F867" t="s">
        <v>12</v>
      </c>
      <c r="G867" t="s">
        <v>11</v>
      </c>
      <c r="H867">
        <v>1</v>
      </c>
      <c r="I867" t="s">
        <v>27</v>
      </c>
    </row>
    <row r="868" spans="1:9" x14ac:dyDescent="0.2">
      <c r="A868" t="str">
        <f t="shared" si="260"/>
        <v>36861Haapiti18174PocilloporidaeDessous</v>
      </c>
      <c r="B868" s="1">
        <v>36861</v>
      </c>
      <c r="C868" t="s">
        <v>25</v>
      </c>
      <c r="D868" s="19">
        <v>18</v>
      </c>
      <c r="E868">
        <v>174</v>
      </c>
      <c r="F868" t="s">
        <v>10</v>
      </c>
      <c r="G868" t="s">
        <v>8</v>
      </c>
      <c r="H868">
        <v>2</v>
      </c>
      <c r="I868" t="s">
        <v>27</v>
      </c>
    </row>
    <row r="869" spans="1:9" x14ac:dyDescent="0.2">
      <c r="A869" t="str">
        <f t="shared" si="260"/>
        <v>36861Haapiti18175CassésDessus</v>
      </c>
      <c r="B869" s="1">
        <v>36861</v>
      </c>
      <c r="C869" t="s">
        <v>25</v>
      </c>
      <c r="D869" s="19">
        <v>18</v>
      </c>
      <c r="E869">
        <v>175</v>
      </c>
      <c r="F869" t="s">
        <v>12</v>
      </c>
      <c r="G869" t="s">
        <v>11</v>
      </c>
      <c r="H869">
        <v>1</v>
      </c>
      <c r="I869" t="s">
        <v>27</v>
      </c>
    </row>
    <row r="870" spans="1:9" x14ac:dyDescent="0.2">
      <c r="A870" t="str">
        <f t="shared" si="260"/>
        <v>36861Haapiti18175PocilloporidaeBords</v>
      </c>
      <c r="B870" s="1">
        <v>36861</v>
      </c>
      <c r="C870" t="s">
        <v>25</v>
      </c>
      <c r="D870" s="19">
        <v>18</v>
      </c>
      <c r="E870">
        <v>175</v>
      </c>
      <c r="F870" t="s">
        <v>10</v>
      </c>
      <c r="G870" t="s">
        <v>13</v>
      </c>
      <c r="H870">
        <v>2</v>
      </c>
      <c r="I870" t="s">
        <v>27</v>
      </c>
    </row>
    <row r="871" spans="1:9" x14ac:dyDescent="0.2">
      <c r="A871" t="str">
        <f t="shared" si="260"/>
        <v>36861Haapiti18175PocilloporidaeDessous</v>
      </c>
      <c r="B871" s="1">
        <v>36861</v>
      </c>
      <c r="C871" t="s">
        <v>25</v>
      </c>
      <c r="D871" s="19">
        <v>18</v>
      </c>
      <c r="E871">
        <v>175</v>
      </c>
      <c r="F871" t="s">
        <v>10</v>
      </c>
      <c r="G871" t="s">
        <v>8</v>
      </c>
      <c r="H871">
        <v>6</v>
      </c>
      <c r="I871" t="s">
        <v>27</v>
      </c>
    </row>
    <row r="872" spans="1:9" x14ac:dyDescent="0.2">
      <c r="A872" t="str">
        <f t="shared" si="260"/>
        <v>36861Haapiti18176CassésDessous</v>
      </c>
      <c r="B872" s="1">
        <v>36861</v>
      </c>
      <c r="C872" t="s">
        <v>25</v>
      </c>
      <c r="D872" s="19">
        <v>18</v>
      </c>
      <c r="E872">
        <v>176</v>
      </c>
      <c r="F872" t="s">
        <v>12</v>
      </c>
      <c r="G872" t="s">
        <v>8</v>
      </c>
      <c r="H872">
        <v>1</v>
      </c>
      <c r="I872" t="s">
        <v>27</v>
      </c>
    </row>
    <row r="873" spans="1:9" x14ac:dyDescent="0.2">
      <c r="A873" t="str">
        <f t="shared" si="260"/>
        <v>36861Haapiti18176PocilloporidaeBords</v>
      </c>
      <c r="B873" s="1">
        <v>36861</v>
      </c>
      <c r="C873" t="s">
        <v>25</v>
      </c>
      <c r="D873" s="19">
        <v>18</v>
      </c>
      <c r="E873">
        <v>176</v>
      </c>
      <c r="F873" t="s">
        <v>10</v>
      </c>
      <c r="G873" t="s">
        <v>13</v>
      </c>
      <c r="H873">
        <v>1</v>
      </c>
      <c r="I873" t="s">
        <v>27</v>
      </c>
    </row>
    <row r="874" spans="1:9" x14ac:dyDescent="0.2">
      <c r="A874" t="str">
        <f t="shared" si="260"/>
        <v>36861Haapiti18176PocilloporidaeDessous</v>
      </c>
      <c r="B874" s="1">
        <v>36861</v>
      </c>
      <c r="C874" t="s">
        <v>25</v>
      </c>
      <c r="D874" s="19">
        <v>18</v>
      </c>
      <c r="E874">
        <v>176</v>
      </c>
      <c r="F874" t="s">
        <v>10</v>
      </c>
      <c r="G874" t="s">
        <v>8</v>
      </c>
      <c r="H874">
        <v>1</v>
      </c>
      <c r="I874" t="s">
        <v>27</v>
      </c>
    </row>
    <row r="875" spans="1:9" x14ac:dyDescent="0.2">
      <c r="A875" t="str">
        <f t="shared" si="260"/>
        <v>36861Haapiti18177CassésDessus</v>
      </c>
      <c r="B875" s="1">
        <v>36861</v>
      </c>
      <c r="C875" t="s">
        <v>25</v>
      </c>
      <c r="D875" s="19">
        <v>18</v>
      </c>
      <c r="E875">
        <v>177</v>
      </c>
      <c r="F875" t="s">
        <v>12</v>
      </c>
      <c r="G875" t="s">
        <v>11</v>
      </c>
      <c r="H875">
        <v>2</v>
      </c>
      <c r="I875" t="s">
        <v>27</v>
      </c>
    </row>
    <row r="876" spans="1:9" x14ac:dyDescent="0.2">
      <c r="A876" t="str">
        <f t="shared" si="260"/>
        <v>36861Haapiti18177PocilloporidaeDessous</v>
      </c>
      <c r="B876" s="1">
        <v>36861</v>
      </c>
      <c r="C876" t="s">
        <v>25</v>
      </c>
      <c r="D876" s="19">
        <v>18</v>
      </c>
      <c r="E876">
        <v>177</v>
      </c>
      <c r="F876" t="s">
        <v>10</v>
      </c>
      <c r="G876" t="s">
        <v>8</v>
      </c>
      <c r="H876">
        <v>1</v>
      </c>
      <c r="I876" t="s">
        <v>27</v>
      </c>
    </row>
    <row r="877" spans="1:9" x14ac:dyDescent="0.2">
      <c r="A877" t="str">
        <f t="shared" si="260"/>
        <v>36861Haapiti18177PocilloporidaeDessus</v>
      </c>
      <c r="B877" s="1">
        <v>36861</v>
      </c>
      <c r="C877" t="s">
        <v>25</v>
      </c>
      <c r="D877" s="19">
        <v>18</v>
      </c>
      <c r="E877">
        <v>177</v>
      </c>
      <c r="F877" t="s">
        <v>10</v>
      </c>
      <c r="G877" t="s">
        <v>11</v>
      </c>
      <c r="H877">
        <v>1</v>
      </c>
      <c r="I877" t="s">
        <v>27</v>
      </c>
    </row>
    <row r="878" spans="1:9" x14ac:dyDescent="0.2">
      <c r="A878" t="str">
        <f t="shared" si="260"/>
        <v>36861Haapiti18178PocilloporidaeBords</v>
      </c>
      <c r="B878" s="1">
        <v>36861</v>
      </c>
      <c r="C878" t="s">
        <v>25</v>
      </c>
      <c r="D878" s="19">
        <v>18</v>
      </c>
      <c r="E878">
        <v>178</v>
      </c>
      <c r="F878" t="s">
        <v>10</v>
      </c>
      <c r="G878" t="s">
        <v>13</v>
      </c>
      <c r="H878">
        <v>1</v>
      </c>
      <c r="I878" t="s">
        <v>27</v>
      </c>
    </row>
    <row r="879" spans="1:9" x14ac:dyDescent="0.2">
      <c r="A879" t="str">
        <f t="shared" si="260"/>
        <v>36861Haapiti18178PocilloporidaeDessous</v>
      </c>
      <c r="B879" s="1">
        <v>36861</v>
      </c>
      <c r="C879" t="s">
        <v>25</v>
      </c>
      <c r="D879" s="19">
        <v>18</v>
      </c>
      <c r="E879">
        <v>178</v>
      </c>
      <c r="F879" t="s">
        <v>10</v>
      </c>
      <c r="G879" t="s">
        <v>8</v>
      </c>
      <c r="H879">
        <v>2</v>
      </c>
      <c r="I879" t="s">
        <v>27</v>
      </c>
    </row>
    <row r="880" spans="1:9" x14ac:dyDescent="0.2">
      <c r="A880" t="str">
        <f t="shared" si="260"/>
        <v>36861Haapiti18179PocilloporidaeBords</v>
      </c>
      <c r="B880" s="1">
        <v>36861</v>
      </c>
      <c r="C880" t="s">
        <v>25</v>
      </c>
      <c r="D880" s="19">
        <v>18</v>
      </c>
      <c r="E880">
        <v>179</v>
      </c>
      <c r="F880" t="s">
        <v>10</v>
      </c>
      <c r="G880" t="s">
        <v>13</v>
      </c>
      <c r="H880">
        <v>1</v>
      </c>
      <c r="I880" t="s">
        <v>27</v>
      </c>
    </row>
    <row r="881" spans="1:9" x14ac:dyDescent="0.2">
      <c r="A881" t="str">
        <f t="shared" si="260"/>
        <v>36861Haapiti18179PocilloporidaeDessous</v>
      </c>
      <c r="B881" s="1">
        <v>36861</v>
      </c>
      <c r="C881" t="s">
        <v>25</v>
      </c>
      <c r="D881" s="19">
        <v>18</v>
      </c>
      <c r="E881">
        <v>179</v>
      </c>
      <c r="F881" t="s">
        <v>10</v>
      </c>
      <c r="G881" t="s">
        <v>8</v>
      </c>
      <c r="H881">
        <v>1</v>
      </c>
      <c r="I881" t="s">
        <v>27</v>
      </c>
    </row>
    <row r="882" spans="1:9" x14ac:dyDescent="0.2">
      <c r="A882" t="str">
        <f t="shared" si="260"/>
        <v>36861Haapiti18180CassésDessus</v>
      </c>
      <c r="B882" s="1">
        <v>36861</v>
      </c>
      <c r="C882" t="s">
        <v>25</v>
      </c>
      <c r="D882" s="19">
        <v>18</v>
      </c>
      <c r="E882">
        <v>180</v>
      </c>
      <c r="F882" t="s">
        <v>12</v>
      </c>
      <c r="G882" t="s">
        <v>11</v>
      </c>
      <c r="H882">
        <v>1</v>
      </c>
      <c r="I882" t="s">
        <v>27</v>
      </c>
    </row>
    <row r="883" spans="1:9" x14ac:dyDescent="0.2">
      <c r="A883" t="str">
        <f t="shared" si="260"/>
        <v>36861Haapiti18180PocilloporidaeDessous</v>
      </c>
      <c r="B883" s="1">
        <v>36861</v>
      </c>
      <c r="C883" t="s">
        <v>25</v>
      </c>
      <c r="D883" s="19">
        <v>18</v>
      </c>
      <c r="E883">
        <v>180</v>
      </c>
      <c r="F883" t="s">
        <v>10</v>
      </c>
      <c r="G883" t="s">
        <v>8</v>
      </c>
      <c r="H883">
        <v>2</v>
      </c>
      <c r="I883" t="s">
        <v>27</v>
      </c>
    </row>
    <row r="884" spans="1:9" x14ac:dyDescent="0.2">
      <c r="A884" t="str">
        <f t="shared" si="260"/>
        <v>36861Haapiti18180PocilloporidaeDessus</v>
      </c>
      <c r="B884" s="1">
        <v>36861</v>
      </c>
      <c r="C884" t="s">
        <v>25</v>
      </c>
      <c r="D884" s="19">
        <v>18</v>
      </c>
      <c r="E884">
        <v>180</v>
      </c>
      <c r="F884" t="s">
        <v>10</v>
      </c>
      <c r="G884" t="s">
        <v>11</v>
      </c>
      <c r="H884">
        <v>5</v>
      </c>
      <c r="I884" t="s">
        <v>27</v>
      </c>
    </row>
    <row r="885" spans="1:9" x14ac:dyDescent="0.2">
      <c r="A885" t="str">
        <f t="shared" si="260"/>
        <v>37135Vaipahu61Autres</v>
      </c>
      <c r="B885" s="1">
        <v>37135</v>
      </c>
      <c r="C885" t="s">
        <v>23</v>
      </c>
      <c r="D885" s="19">
        <v>6</v>
      </c>
      <c r="E885">
        <v>1</v>
      </c>
      <c r="F885" t="s">
        <v>14</v>
      </c>
      <c r="H885">
        <v>0</v>
      </c>
    </row>
    <row r="886" spans="1:9" x14ac:dyDescent="0.2">
      <c r="A886" t="str">
        <f t="shared" si="260"/>
        <v>37135Vaipahu62AcroporidaeDessous</v>
      </c>
      <c r="B886" s="1">
        <v>37135</v>
      </c>
      <c r="C886" t="s">
        <v>23</v>
      </c>
      <c r="D886" s="19">
        <v>6</v>
      </c>
      <c r="E886">
        <v>2</v>
      </c>
      <c r="F886" t="s">
        <v>17</v>
      </c>
      <c r="G886" t="s">
        <v>8</v>
      </c>
      <c r="H886">
        <v>5</v>
      </c>
      <c r="I886" t="s">
        <v>27</v>
      </c>
    </row>
    <row r="887" spans="1:9" x14ac:dyDescent="0.2">
      <c r="A887" t="str">
        <f t="shared" si="260"/>
        <v>37135Vaipahu62PoritidaeDessous</v>
      </c>
      <c r="B887" s="1">
        <v>37135</v>
      </c>
      <c r="C887" t="s">
        <v>23</v>
      </c>
      <c r="D887" s="19">
        <v>6</v>
      </c>
      <c r="E887">
        <v>2</v>
      </c>
      <c r="F887" t="s">
        <v>7</v>
      </c>
      <c r="G887" t="s">
        <v>8</v>
      </c>
      <c r="H887">
        <v>1</v>
      </c>
      <c r="I887" t="s">
        <v>27</v>
      </c>
    </row>
    <row r="888" spans="1:9" x14ac:dyDescent="0.2">
      <c r="A888" t="str">
        <f t="shared" si="260"/>
        <v>37135Vaipahu63AcroporidaeDessous</v>
      </c>
      <c r="B888" s="1">
        <v>37135</v>
      </c>
      <c r="C888" t="s">
        <v>23</v>
      </c>
      <c r="D888" s="19">
        <v>6</v>
      </c>
      <c r="E888">
        <v>3</v>
      </c>
      <c r="F888" t="s">
        <v>17</v>
      </c>
      <c r="G888" t="s">
        <v>8</v>
      </c>
      <c r="H888">
        <v>1</v>
      </c>
      <c r="I888" t="s">
        <v>27</v>
      </c>
    </row>
    <row r="889" spans="1:9" x14ac:dyDescent="0.2">
      <c r="A889" t="str">
        <f t="shared" si="260"/>
        <v>37135Vaipahu64AcroporidaeDessous</v>
      </c>
      <c r="B889" s="1">
        <v>37135</v>
      </c>
      <c r="C889" t="s">
        <v>23</v>
      </c>
      <c r="D889" s="19">
        <v>6</v>
      </c>
      <c r="E889">
        <v>4</v>
      </c>
      <c r="F889" t="s">
        <v>17</v>
      </c>
      <c r="G889" t="s">
        <v>8</v>
      </c>
      <c r="H889">
        <v>3</v>
      </c>
      <c r="I889" t="s">
        <v>27</v>
      </c>
    </row>
    <row r="890" spans="1:9" x14ac:dyDescent="0.2">
      <c r="A890" t="str">
        <f t="shared" si="260"/>
        <v>37135Vaipahu65AcroporidaeDessous</v>
      </c>
      <c r="B890" s="1">
        <v>37135</v>
      </c>
      <c r="C890" t="s">
        <v>23</v>
      </c>
      <c r="D890" s="19">
        <v>6</v>
      </c>
      <c r="E890">
        <v>5</v>
      </c>
      <c r="F890" t="s">
        <v>17</v>
      </c>
      <c r="G890" t="s">
        <v>8</v>
      </c>
      <c r="H890">
        <v>5</v>
      </c>
      <c r="I890" t="s">
        <v>27</v>
      </c>
    </row>
    <row r="891" spans="1:9" x14ac:dyDescent="0.2">
      <c r="A891" t="str">
        <f t="shared" si="260"/>
        <v>37135Vaipahu65PoritidaeDessous</v>
      </c>
      <c r="B891" s="1">
        <v>37135</v>
      </c>
      <c r="C891" t="s">
        <v>23</v>
      </c>
      <c r="D891" s="19">
        <v>6</v>
      </c>
      <c r="E891">
        <v>5</v>
      </c>
      <c r="F891" t="s">
        <v>7</v>
      </c>
      <c r="G891" t="s">
        <v>8</v>
      </c>
      <c r="H891">
        <v>2</v>
      </c>
      <c r="I891" t="s">
        <v>27</v>
      </c>
    </row>
    <row r="892" spans="1:9" x14ac:dyDescent="0.2">
      <c r="A892" t="str">
        <f t="shared" si="260"/>
        <v>37135Vaipahu66Autres</v>
      </c>
      <c r="B892" s="1">
        <v>37135</v>
      </c>
      <c r="C892" t="s">
        <v>23</v>
      </c>
      <c r="D892" s="19">
        <v>6</v>
      </c>
      <c r="E892">
        <v>6</v>
      </c>
      <c r="F892" t="s">
        <v>14</v>
      </c>
      <c r="H892">
        <v>0</v>
      </c>
    </row>
    <row r="893" spans="1:9" x14ac:dyDescent="0.2">
      <c r="A893" t="str">
        <f t="shared" si="260"/>
        <v>37135Vaipahu67AcroporidaeBords</v>
      </c>
      <c r="B893" s="1">
        <v>37135</v>
      </c>
      <c r="C893" t="s">
        <v>23</v>
      </c>
      <c r="D893" s="19">
        <v>6</v>
      </c>
      <c r="E893">
        <v>7</v>
      </c>
      <c r="F893" t="s">
        <v>17</v>
      </c>
      <c r="G893" t="s">
        <v>13</v>
      </c>
      <c r="H893">
        <v>1</v>
      </c>
      <c r="I893" t="s">
        <v>27</v>
      </c>
    </row>
    <row r="894" spans="1:9" x14ac:dyDescent="0.2">
      <c r="A894" t="str">
        <f t="shared" si="260"/>
        <v>37135Vaipahu67CassésDessous</v>
      </c>
      <c r="B894" s="1">
        <v>37135</v>
      </c>
      <c r="C894" t="s">
        <v>23</v>
      </c>
      <c r="D894" s="19">
        <v>6</v>
      </c>
      <c r="E894">
        <v>7</v>
      </c>
      <c r="F894" t="s">
        <v>12</v>
      </c>
      <c r="G894" t="s">
        <v>8</v>
      </c>
      <c r="H894">
        <v>1</v>
      </c>
      <c r="I894" t="s">
        <v>27</v>
      </c>
    </row>
    <row r="895" spans="1:9" x14ac:dyDescent="0.2">
      <c r="A895" t="str">
        <f t="shared" ref="A895:A958" si="261">B895 &amp; C895&amp; D895&amp; E895 &amp; F895 &amp;G895</f>
        <v>37135Vaipahu68AcroporidaeBords</v>
      </c>
      <c r="B895" s="1">
        <v>37135</v>
      </c>
      <c r="C895" t="s">
        <v>23</v>
      </c>
      <c r="D895" s="19">
        <v>6</v>
      </c>
      <c r="E895">
        <v>8</v>
      </c>
      <c r="F895" t="s">
        <v>17</v>
      </c>
      <c r="G895" t="s">
        <v>13</v>
      </c>
      <c r="H895">
        <v>2</v>
      </c>
      <c r="I895" t="s">
        <v>27</v>
      </c>
    </row>
    <row r="896" spans="1:9" x14ac:dyDescent="0.2">
      <c r="A896" t="str">
        <f t="shared" si="261"/>
        <v>37135Vaipahu68AcroporidaeDessous</v>
      </c>
      <c r="B896" s="1">
        <v>37135</v>
      </c>
      <c r="C896" t="s">
        <v>23</v>
      </c>
      <c r="D896" s="19">
        <v>6</v>
      </c>
      <c r="E896">
        <v>8</v>
      </c>
      <c r="F896" t="s">
        <v>17</v>
      </c>
      <c r="G896" t="s">
        <v>8</v>
      </c>
      <c r="H896">
        <v>1</v>
      </c>
      <c r="I896" t="s">
        <v>27</v>
      </c>
    </row>
    <row r="897" spans="1:9" x14ac:dyDescent="0.2">
      <c r="A897" t="str">
        <f t="shared" si="261"/>
        <v>37135Vaipahu68CassésBords</v>
      </c>
      <c r="B897" s="1">
        <v>37135</v>
      </c>
      <c r="C897" t="s">
        <v>23</v>
      </c>
      <c r="D897" s="19">
        <v>6</v>
      </c>
      <c r="E897">
        <v>8</v>
      </c>
      <c r="F897" t="s">
        <v>12</v>
      </c>
      <c r="G897" t="s">
        <v>13</v>
      </c>
      <c r="H897">
        <v>1</v>
      </c>
      <c r="I897" t="s">
        <v>27</v>
      </c>
    </row>
    <row r="898" spans="1:9" x14ac:dyDescent="0.2">
      <c r="A898" t="str">
        <f t="shared" si="261"/>
        <v>37135Vaipahu68CassésDessous</v>
      </c>
      <c r="B898" s="1">
        <v>37135</v>
      </c>
      <c r="C898" t="s">
        <v>23</v>
      </c>
      <c r="D898" s="19">
        <v>6</v>
      </c>
      <c r="E898">
        <v>8</v>
      </c>
      <c r="F898" t="s">
        <v>12</v>
      </c>
      <c r="G898" t="s">
        <v>8</v>
      </c>
      <c r="H898">
        <v>1</v>
      </c>
      <c r="I898" t="s">
        <v>27</v>
      </c>
    </row>
    <row r="899" spans="1:9" x14ac:dyDescent="0.2">
      <c r="A899" t="str">
        <f t="shared" si="261"/>
        <v>37135Vaipahu69AcroporidaeBords</v>
      </c>
      <c r="B899" s="1">
        <v>37135</v>
      </c>
      <c r="C899" t="s">
        <v>23</v>
      </c>
      <c r="D899" s="19">
        <v>6</v>
      </c>
      <c r="E899">
        <v>9</v>
      </c>
      <c r="F899" t="s">
        <v>17</v>
      </c>
      <c r="G899" t="s">
        <v>13</v>
      </c>
      <c r="H899">
        <v>1</v>
      </c>
      <c r="I899" t="s">
        <v>27</v>
      </c>
    </row>
    <row r="900" spans="1:9" x14ac:dyDescent="0.2">
      <c r="A900" t="str">
        <f t="shared" si="261"/>
        <v>37135Vaipahu69AcroporidaeDessous</v>
      </c>
      <c r="B900" s="1">
        <v>37135</v>
      </c>
      <c r="C900" t="s">
        <v>23</v>
      </c>
      <c r="D900" s="19">
        <v>6</v>
      </c>
      <c r="E900">
        <v>9</v>
      </c>
      <c r="F900" t="s">
        <v>17</v>
      </c>
      <c r="G900" t="s">
        <v>8</v>
      </c>
      <c r="H900">
        <v>1</v>
      </c>
      <c r="I900" t="s">
        <v>27</v>
      </c>
    </row>
    <row r="901" spans="1:9" x14ac:dyDescent="0.2">
      <c r="A901" t="str">
        <f t="shared" si="261"/>
        <v>37135Vaipahu610AcroporidaeDessous</v>
      </c>
      <c r="B901" s="1">
        <v>37135</v>
      </c>
      <c r="C901" t="s">
        <v>23</v>
      </c>
      <c r="D901" s="19">
        <v>6</v>
      </c>
      <c r="E901">
        <v>10</v>
      </c>
      <c r="F901" t="s">
        <v>17</v>
      </c>
      <c r="G901" t="s">
        <v>8</v>
      </c>
      <c r="H901">
        <v>4</v>
      </c>
      <c r="I901" t="s">
        <v>27</v>
      </c>
    </row>
    <row r="902" spans="1:9" x14ac:dyDescent="0.2">
      <c r="A902" t="str">
        <f t="shared" si="261"/>
        <v>37135Vaipahu611</v>
      </c>
      <c r="B902" s="1">
        <v>37135</v>
      </c>
      <c r="C902" t="s">
        <v>23</v>
      </c>
      <c r="D902" s="19">
        <v>6</v>
      </c>
      <c r="E902">
        <v>11</v>
      </c>
      <c r="F902" t="s">
        <v>27</v>
      </c>
      <c r="G902" t="s">
        <v>27</v>
      </c>
      <c r="H902" t="s">
        <v>27</v>
      </c>
      <c r="I902" t="s">
        <v>31</v>
      </c>
    </row>
    <row r="903" spans="1:9" x14ac:dyDescent="0.2">
      <c r="A903" t="str">
        <f t="shared" si="261"/>
        <v>37135Vaipahu612AcroporidaeDessus</v>
      </c>
      <c r="B903" s="1">
        <v>37135</v>
      </c>
      <c r="C903" t="s">
        <v>23</v>
      </c>
      <c r="D903" s="19">
        <v>6</v>
      </c>
      <c r="E903">
        <v>12</v>
      </c>
      <c r="F903" t="s">
        <v>17</v>
      </c>
      <c r="G903" t="s">
        <v>11</v>
      </c>
      <c r="H903">
        <v>1</v>
      </c>
      <c r="I903" t="s">
        <v>27</v>
      </c>
    </row>
    <row r="904" spans="1:9" x14ac:dyDescent="0.2">
      <c r="A904" t="str">
        <f t="shared" si="261"/>
        <v>37135Vaipahu613AcroporidaeBords</v>
      </c>
      <c r="B904" s="1">
        <v>37135</v>
      </c>
      <c r="C904" t="s">
        <v>23</v>
      </c>
      <c r="D904" s="19">
        <v>6</v>
      </c>
      <c r="E904">
        <v>13</v>
      </c>
      <c r="F904" t="s">
        <v>17</v>
      </c>
      <c r="G904" t="s">
        <v>13</v>
      </c>
      <c r="H904">
        <v>1</v>
      </c>
      <c r="I904" t="s">
        <v>27</v>
      </c>
    </row>
    <row r="905" spans="1:9" x14ac:dyDescent="0.2">
      <c r="A905" t="str">
        <f t="shared" si="261"/>
        <v>37135Vaipahu613AcroporidaeDessous</v>
      </c>
      <c r="B905" s="1">
        <v>37135</v>
      </c>
      <c r="C905" t="s">
        <v>23</v>
      </c>
      <c r="D905" s="19">
        <v>6</v>
      </c>
      <c r="E905">
        <v>13</v>
      </c>
      <c r="F905" t="s">
        <v>17</v>
      </c>
      <c r="G905" t="s">
        <v>8</v>
      </c>
      <c r="H905">
        <v>1</v>
      </c>
      <c r="I905" t="s">
        <v>27</v>
      </c>
    </row>
    <row r="906" spans="1:9" x14ac:dyDescent="0.2">
      <c r="A906" t="str">
        <f t="shared" si="261"/>
        <v>37135Vaipahu614CassésBords</v>
      </c>
      <c r="B906" s="1">
        <v>37135</v>
      </c>
      <c r="C906" t="s">
        <v>23</v>
      </c>
      <c r="D906" s="19">
        <v>6</v>
      </c>
      <c r="E906">
        <v>14</v>
      </c>
      <c r="F906" t="s">
        <v>12</v>
      </c>
      <c r="G906" t="s">
        <v>13</v>
      </c>
      <c r="H906">
        <v>1</v>
      </c>
      <c r="I906" t="s">
        <v>27</v>
      </c>
    </row>
    <row r="907" spans="1:9" x14ac:dyDescent="0.2">
      <c r="A907" t="str">
        <f t="shared" si="261"/>
        <v>37135Vaipahu615AcroporidaeBords</v>
      </c>
      <c r="B907" s="1">
        <v>37135</v>
      </c>
      <c r="C907" t="s">
        <v>23</v>
      </c>
      <c r="D907" s="19">
        <v>6</v>
      </c>
      <c r="E907">
        <v>15</v>
      </c>
      <c r="F907" t="s">
        <v>17</v>
      </c>
      <c r="G907" t="s">
        <v>13</v>
      </c>
      <c r="H907">
        <v>1</v>
      </c>
      <c r="I907" t="s">
        <v>27</v>
      </c>
    </row>
    <row r="908" spans="1:9" x14ac:dyDescent="0.2">
      <c r="A908" t="str">
        <f t="shared" si="261"/>
        <v>37135Vaipahu616AcroporidaeDessous</v>
      </c>
      <c r="B908" s="1">
        <v>37135</v>
      </c>
      <c r="C908" t="s">
        <v>23</v>
      </c>
      <c r="D908" s="19">
        <v>6</v>
      </c>
      <c r="E908">
        <v>16</v>
      </c>
      <c r="F908" t="s">
        <v>17</v>
      </c>
      <c r="G908" t="s">
        <v>8</v>
      </c>
      <c r="H908">
        <v>2</v>
      </c>
      <c r="I908" t="s">
        <v>27</v>
      </c>
    </row>
    <row r="909" spans="1:9" x14ac:dyDescent="0.2">
      <c r="A909" t="str">
        <f t="shared" si="261"/>
        <v>37135Vaipahu617AcroporidaeBords</v>
      </c>
      <c r="B909" s="1">
        <v>37135</v>
      </c>
      <c r="C909" t="s">
        <v>23</v>
      </c>
      <c r="D909" s="19">
        <v>6</v>
      </c>
      <c r="E909">
        <v>17</v>
      </c>
      <c r="F909" t="s">
        <v>17</v>
      </c>
      <c r="G909" t="s">
        <v>13</v>
      </c>
      <c r="H909">
        <v>1</v>
      </c>
      <c r="I909" t="s">
        <v>27</v>
      </c>
    </row>
    <row r="910" spans="1:9" x14ac:dyDescent="0.2">
      <c r="A910" t="str">
        <f t="shared" si="261"/>
        <v>37135Vaipahu618AcroporidaeDessous</v>
      </c>
      <c r="B910" s="1">
        <v>37135</v>
      </c>
      <c r="C910" t="s">
        <v>23</v>
      </c>
      <c r="D910" s="19">
        <v>6</v>
      </c>
      <c r="E910">
        <v>18</v>
      </c>
      <c r="F910" t="s">
        <v>17</v>
      </c>
      <c r="G910" t="s">
        <v>8</v>
      </c>
      <c r="H910">
        <v>1</v>
      </c>
      <c r="I910" t="s">
        <v>27</v>
      </c>
    </row>
    <row r="911" spans="1:9" x14ac:dyDescent="0.2">
      <c r="A911" t="str">
        <f t="shared" si="261"/>
        <v>37135Vaipahu618PoritidaeDessous</v>
      </c>
      <c r="B911" s="1">
        <v>37135</v>
      </c>
      <c r="C911" t="s">
        <v>23</v>
      </c>
      <c r="D911" s="19">
        <v>6</v>
      </c>
      <c r="E911">
        <v>18</v>
      </c>
      <c r="F911" t="s">
        <v>7</v>
      </c>
      <c r="G911" t="s">
        <v>8</v>
      </c>
      <c r="H911">
        <v>1</v>
      </c>
      <c r="I911" t="s">
        <v>27</v>
      </c>
    </row>
    <row r="912" spans="1:9" x14ac:dyDescent="0.2">
      <c r="A912" t="str">
        <f t="shared" si="261"/>
        <v>37135Vaipahu619AcroporidaeBords</v>
      </c>
      <c r="B912" s="1">
        <v>37135</v>
      </c>
      <c r="C912" t="s">
        <v>23</v>
      </c>
      <c r="D912" s="19">
        <v>6</v>
      </c>
      <c r="E912">
        <v>19</v>
      </c>
      <c r="F912" t="s">
        <v>17</v>
      </c>
      <c r="G912" t="s">
        <v>13</v>
      </c>
      <c r="H912">
        <v>1</v>
      </c>
      <c r="I912" t="s">
        <v>27</v>
      </c>
    </row>
    <row r="913" spans="1:9" x14ac:dyDescent="0.2">
      <c r="A913" t="str">
        <f t="shared" si="261"/>
        <v>37135Vaipahu619AcroporidaeDessous</v>
      </c>
      <c r="B913" s="1">
        <v>37135</v>
      </c>
      <c r="C913" t="s">
        <v>23</v>
      </c>
      <c r="D913" s="19">
        <v>6</v>
      </c>
      <c r="E913">
        <v>19</v>
      </c>
      <c r="F913" t="s">
        <v>17</v>
      </c>
      <c r="G913" t="s">
        <v>8</v>
      </c>
      <c r="H913">
        <v>2</v>
      </c>
      <c r="I913" t="s">
        <v>27</v>
      </c>
    </row>
    <row r="914" spans="1:9" x14ac:dyDescent="0.2">
      <c r="A914" t="str">
        <f t="shared" si="261"/>
        <v>37135Vaipahu620AcroporidaeDessous</v>
      </c>
      <c r="B914" s="1">
        <v>37135</v>
      </c>
      <c r="C914" t="s">
        <v>23</v>
      </c>
      <c r="D914" s="19">
        <v>6</v>
      </c>
      <c r="E914">
        <v>20</v>
      </c>
      <c r="F914" t="s">
        <v>17</v>
      </c>
      <c r="G914" t="s">
        <v>8</v>
      </c>
      <c r="H914">
        <v>2</v>
      </c>
      <c r="I914" t="s">
        <v>27</v>
      </c>
    </row>
    <row r="915" spans="1:9" x14ac:dyDescent="0.2">
      <c r="A915" t="str">
        <f t="shared" si="261"/>
        <v>37135Vaipahu620PoritidaeDessous</v>
      </c>
      <c r="B915" s="1">
        <v>37135</v>
      </c>
      <c r="C915" t="s">
        <v>23</v>
      </c>
      <c r="D915" s="19">
        <v>6</v>
      </c>
      <c r="E915">
        <v>20</v>
      </c>
      <c r="F915" t="s">
        <v>7</v>
      </c>
      <c r="G915" t="s">
        <v>8</v>
      </c>
      <c r="H915">
        <v>1</v>
      </c>
      <c r="I915" t="s">
        <v>27</v>
      </c>
    </row>
    <row r="916" spans="1:9" x14ac:dyDescent="0.2">
      <c r="A916" t="str">
        <f t="shared" si="261"/>
        <v>37135Vaipahu1221Autres</v>
      </c>
      <c r="B916" s="1">
        <v>37135</v>
      </c>
      <c r="C916" t="s">
        <v>23</v>
      </c>
      <c r="D916" s="19">
        <v>12</v>
      </c>
      <c r="E916">
        <v>21</v>
      </c>
      <c r="F916" t="s">
        <v>14</v>
      </c>
      <c r="H916">
        <v>0</v>
      </c>
    </row>
    <row r="917" spans="1:9" x14ac:dyDescent="0.2">
      <c r="A917" t="str">
        <f t="shared" si="261"/>
        <v>37135Vaipahu1222AutresBords</v>
      </c>
      <c r="B917" s="1">
        <v>37135</v>
      </c>
      <c r="C917" t="s">
        <v>23</v>
      </c>
      <c r="D917" s="19">
        <v>12</v>
      </c>
      <c r="E917">
        <v>22</v>
      </c>
      <c r="F917" t="s">
        <v>14</v>
      </c>
      <c r="G917" t="s">
        <v>13</v>
      </c>
      <c r="H917">
        <v>1</v>
      </c>
      <c r="I917" t="s">
        <v>27</v>
      </c>
    </row>
    <row r="918" spans="1:9" x14ac:dyDescent="0.2">
      <c r="A918" t="str">
        <f t="shared" si="261"/>
        <v>37135Vaipahu1223Autres</v>
      </c>
      <c r="B918" s="1">
        <v>37135</v>
      </c>
      <c r="C918" t="s">
        <v>23</v>
      </c>
      <c r="D918" s="19">
        <v>12</v>
      </c>
      <c r="E918">
        <v>23</v>
      </c>
      <c r="F918" t="s">
        <v>14</v>
      </c>
      <c r="H918">
        <v>0</v>
      </c>
    </row>
    <row r="919" spans="1:9" x14ac:dyDescent="0.2">
      <c r="A919" t="str">
        <f t="shared" si="261"/>
        <v>37135Vaipahu1224Autres</v>
      </c>
      <c r="B919" s="1">
        <v>37135</v>
      </c>
      <c r="C919" t="s">
        <v>23</v>
      </c>
      <c r="D919" s="19">
        <v>12</v>
      </c>
      <c r="E919">
        <v>24</v>
      </c>
      <c r="F919" t="s">
        <v>14</v>
      </c>
      <c r="H919">
        <v>0</v>
      </c>
    </row>
    <row r="920" spans="1:9" x14ac:dyDescent="0.2">
      <c r="A920" t="str">
        <f t="shared" si="261"/>
        <v>37135Vaipahu1225AcroporidaeDessous</v>
      </c>
      <c r="B920" s="1">
        <v>37135</v>
      </c>
      <c r="C920" t="s">
        <v>23</v>
      </c>
      <c r="D920" s="19">
        <v>12</v>
      </c>
      <c r="E920">
        <v>25</v>
      </c>
      <c r="F920" t="s">
        <v>17</v>
      </c>
      <c r="G920" t="s">
        <v>8</v>
      </c>
      <c r="H920">
        <v>3</v>
      </c>
      <c r="I920" t="s">
        <v>27</v>
      </c>
    </row>
    <row r="921" spans="1:9" x14ac:dyDescent="0.2">
      <c r="A921" t="str">
        <f t="shared" si="261"/>
        <v>37135Vaipahu1226Autres</v>
      </c>
      <c r="B921" s="1">
        <v>37135</v>
      </c>
      <c r="C921" t="s">
        <v>23</v>
      </c>
      <c r="D921" s="19">
        <v>12</v>
      </c>
      <c r="E921">
        <v>26</v>
      </c>
      <c r="F921" t="s">
        <v>14</v>
      </c>
      <c r="H921">
        <v>0</v>
      </c>
    </row>
    <row r="922" spans="1:9" x14ac:dyDescent="0.2">
      <c r="A922" t="str">
        <f t="shared" si="261"/>
        <v>37135Vaipahu1227AcroporidaeDessous</v>
      </c>
      <c r="B922" s="1">
        <v>37135</v>
      </c>
      <c r="C922" t="s">
        <v>23</v>
      </c>
      <c r="D922" s="19">
        <v>12</v>
      </c>
      <c r="E922">
        <v>27</v>
      </c>
      <c r="F922" t="s">
        <v>17</v>
      </c>
      <c r="G922" t="s">
        <v>8</v>
      </c>
      <c r="H922">
        <v>1</v>
      </c>
      <c r="I922" t="s">
        <v>27</v>
      </c>
    </row>
    <row r="923" spans="1:9" x14ac:dyDescent="0.2">
      <c r="A923" t="str">
        <f t="shared" si="261"/>
        <v>37135Vaipahu1228AcroporidaeBords</v>
      </c>
      <c r="B923" s="1">
        <v>37135</v>
      </c>
      <c r="C923" t="s">
        <v>23</v>
      </c>
      <c r="D923" s="19">
        <v>12</v>
      </c>
      <c r="E923">
        <v>28</v>
      </c>
      <c r="F923" t="s">
        <v>17</v>
      </c>
      <c r="G923" t="s">
        <v>13</v>
      </c>
      <c r="H923">
        <v>1</v>
      </c>
      <c r="I923" t="s">
        <v>27</v>
      </c>
    </row>
    <row r="924" spans="1:9" x14ac:dyDescent="0.2">
      <c r="A924" t="str">
        <f t="shared" si="261"/>
        <v>37135Vaipahu1228PoritidaeBords</v>
      </c>
      <c r="B924" s="1">
        <v>37135</v>
      </c>
      <c r="C924" t="s">
        <v>23</v>
      </c>
      <c r="D924" s="19">
        <v>12</v>
      </c>
      <c r="E924">
        <v>28</v>
      </c>
      <c r="F924" t="s">
        <v>7</v>
      </c>
      <c r="G924" t="s">
        <v>13</v>
      </c>
      <c r="H924">
        <v>1</v>
      </c>
      <c r="I924" t="s">
        <v>27</v>
      </c>
    </row>
    <row r="925" spans="1:9" x14ac:dyDescent="0.2">
      <c r="A925" t="str">
        <f t="shared" si="261"/>
        <v>37135Vaipahu1228PoritidaeDessous</v>
      </c>
      <c r="B925" s="1">
        <v>37135</v>
      </c>
      <c r="C925" t="s">
        <v>23</v>
      </c>
      <c r="D925" s="19">
        <v>12</v>
      </c>
      <c r="E925">
        <v>28</v>
      </c>
      <c r="F925" t="s">
        <v>7</v>
      </c>
      <c r="G925" t="s">
        <v>8</v>
      </c>
      <c r="H925">
        <v>1</v>
      </c>
      <c r="I925" t="s">
        <v>27</v>
      </c>
    </row>
    <row r="926" spans="1:9" x14ac:dyDescent="0.2">
      <c r="A926" t="str">
        <f t="shared" si="261"/>
        <v>37135Vaipahu1229AcroporidaeDessous</v>
      </c>
      <c r="B926" s="1">
        <v>37135</v>
      </c>
      <c r="C926" t="s">
        <v>23</v>
      </c>
      <c r="D926" s="19">
        <v>12</v>
      </c>
      <c r="E926">
        <v>29</v>
      </c>
      <c r="F926" t="s">
        <v>17</v>
      </c>
      <c r="G926" t="s">
        <v>8</v>
      </c>
      <c r="H926">
        <v>1</v>
      </c>
      <c r="I926" t="s">
        <v>27</v>
      </c>
    </row>
    <row r="927" spans="1:9" x14ac:dyDescent="0.2">
      <c r="A927" t="str">
        <f t="shared" si="261"/>
        <v>37135Vaipahu1230</v>
      </c>
      <c r="B927" s="1">
        <v>37135</v>
      </c>
      <c r="C927" t="s">
        <v>23</v>
      </c>
      <c r="D927" s="19">
        <v>12</v>
      </c>
      <c r="E927">
        <v>30</v>
      </c>
      <c r="F927" t="s">
        <v>27</v>
      </c>
      <c r="G927" t="s">
        <v>27</v>
      </c>
      <c r="H927" t="s">
        <v>27</v>
      </c>
      <c r="I927" t="s">
        <v>31</v>
      </c>
    </row>
    <row r="928" spans="1:9" x14ac:dyDescent="0.2">
      <c r="A928" t="str">
        <f t="shared" si="261"/>
        <v>37135Vaipahu1231Autres</v>
      </c>
      <c r="B928" s="1">
        <v>37135</v>
      </c>
      <c r="C928" t="s">
        <v>23</v>
      </c>
      <c r="D928" s="19">
        <v>12</v>
      </c>
      <c r="E928">
        <v>31</v>
      </c>
      <c r="F928" t="s">
        <v>14</v>
      </c>
      <c r="H928">
        <v>0</v>
      </c>
    </row>
    <row r="929" spans="1:9" x14ac:dyDescent="0.2">
      <c r="A929" t="str">
        <f t="shared" si="261"/>
        <v>37135Vaipahu1232Autres</v>
      </c>
      <c r="B929" s="1">
        <v>37135</v>
      </c>
      <c r="C929" t="s">
        <v>23</v>
      </c>
      <c r="D929" s="19">
        <v>12</v>
      </c>
      <c r="E929">
        <v>32</v>
      </c>
      <c r="F929" t="s">
        <v>14</v>
      </c>
      <c r="H929">
        <v>0</v>
      </c>
    </row>
    <row r="930" spans="1:9" x14ac:dyDescent="0.2">
      <c r="A930" t="str">
        <f t="shared" si="261"/>
        <v>37135Vaipahu1233PoritidaeDessous</v>
      </c>
      <c r="B930" s="1">
        <v>37135</v>
      </c>
      <c r="C930" t="s">
        <v>23</v>
      </c>
      <c r="D930" s="19">
        <v>12</v>
      </c>
      <c r="E930">
        <v>33</v>
      </c>
      <c r="F930" t="s">
        <v>7</v>
      </c>
      <c r="G930" t="s">
        <v>8</v>
      </c>
      <c r="H930">
        <v>1</v>
      </c>
      <c r="I930" t="s">
        <v>27</v>
      </c>
    </row>
    <row r="931" spans="1:9" x14ac:dyDescent="0.2">
      <c r="A931" t="str">
        <f t="shared" si="261"/>
        <v>37135Vaipahu1234CassésDessous</v>
      </c>
      <c r="B931" s="1">
        <v>37135</v>
      </c>
      <c r="C931" t="s">
        <v>23</v>
      </c>
      <c r="D931" s="19">
        <v>12</v>
      </c>
      <c r="E931">
        <v>34</v>
      </c>
      <c r="F931" t="s">
        <v>12</v>
      </c>
      <c r="G931" t="s">
        <v>8</v>
      </c>
      <c r="H931">
        <v>1</v>
      </c>
      <c r="I931" t="s">
        <v>27</v>
      </c>
    </row>
    <row r="932" spans="1:9" x14ac:dyDescent="0.2">
      <c r="A932" t="str">
        <f t="shared" si="261"/>
        <v>37135Vaipahu1235AcroporidaeDessous</v>
      </c>
      <c r="B932" s="1">
        <v>37135</v>
      </c>
      <c r="C932" t="s">
        <v>23</v>
      </c>
      <c r="D932" s="19">
        <v>12</v>
      </c>
      <c r="E932">
        <v>35</v>
      </c>
      <c r="F932" t="s">
        <v>17</v>
      </c>
      <c r="G932" t="s">
        <v>8</v>
      </c>
      <c r="H932">
        <v>1</v>
      </c>
      <c r="I932" t="s">
        <v>27</v>
      </c>
    </row>
    <row r="933" spans="1:9" x14ac:dyDescent="0.2">
      <c r="A933" t="str">
        <f t="shared" si="261"/>
        <v>37135Vaipahu1236Autres</v>
      </c>
      <c r="B933" s="1">
        <v>37135</v>
      </c>
      <c r="C933" t="s">
        <v>23</v>
      </c>
      <c r="D933" s="19">
        <v>12</v>
      </c>
      <c r="E933">
        <v>36</v>
      </c>
      <c r="F933" t="s">
        <v>14</v>
      </c>
      <c r="H933">
        <v>0</v>
      </c>
    </row>
    <row r="934" spans="1:9" x14ac:dyDescent="0.2">
      <c r="A934" t="str">
        <f t="shared" si="261"/>
        <v>37135Vaipahu1237PoritidaeDessous</v>
      </c>
      <c r="B934" s="1">
        <v>37135</v>
      </c>
      <c r="C934" t="s">
        <v>23</v>
      </c>
      <c r="D934" s="19">
        <v>12</v>
      </c>
      <c r="E934">
        <v>37</v>
      </c>
      <c r="F934" t="s">
        <v>7</v>
      </c>
      <c r="G934" t="s">
        <v>8</v>
      </c>
      <c r="H934">
        <v>2</v>
      </c>
      <c r="I934" t="s">
        <v>27</v>
      </c>
    </row>
    <row r="935" spans="1:9" x14ac:dyDescent="0.2">
      <c r="A935" t="str">
        <f t="shared" si="261"/>
        <v>37135Vaipahu1238AcroporidaeBords</v>
      </c>
      <c r="B935" s="1">
        <v>37135</v>
      </c>
      <c r="C935" t="s">
        <v>23</v>
      </c>
      <c r="D935" s="19">
        <v>12</v>
      </c>
      <c r="E935">
        <v>38</v>
      </c>
      <c r="F935" t="s">
        <v>17</v>
      </c>
      <c r="G935" t="s">
        <v>13</v>
      </c>
      <c r="H935">
        <v>2</v>
      </c>
      <c r="I935" t="s">
        <v>27</v>
      </c>
    </row>
    <row r="936" spans="1:9" x14ac:dyDescent="0.2">
      <c r="A936" t="str">
        <f t="shared" si="261"/>
        <v>37135Vaipahu1239AcroporidaeDessous</v>
      </c>
      <c r="B936" s="1">
        <v>37135</v>
      </c>
      <c r="C936" t="s">
        <v>23</v>
      </c>
      <c r="D936" s="19">
        <v>12</v>
      </c>
      <c r="E936">
        <v>39</v>
      </c>
      <c r="F936" t="s">
        <v>17</v>
      </c>
      <c r="G936" t="s">
        <v>8</v>
      </c>
      <c r="H936">
        <v>1</v>
      </c>
      <c r="I936" t="s">
        <v>27</v>
      </c>
    </row>
    <row r="937" spans="1:9" x14ac:dyDescent="0.2">
      <c r="A937" t="str">
        <f t="shared" si="261"/>
        <v>37135Vaipahu1840Autres</v>
      </c>
      <c r="B937" s="1">
        <v>37135</v>
      </c>
      <c r="C937" t="s">
        <v>23</v>
      </c>
      <c r="D937" s="19">
        <v>18</v>
      </c>
      <c r="E937">
        <v>40</v>
      </c>
      <c r="F937" t="s">
        <v>14</v>
      </c>
      <c r="H937">
        <v>0</v>
      </c>
    </row>
    <row r="938" spans="1:9" x14ac:dyDescent="0.2">
      <c r="A938" t="str">
        <f t="shared" si="261"/>
        <v>37135Vaipahu1841Autres</v>
      </c>
      <c r="B938" s="1">
        <v>37135</v>
      </c>
      <c r="C938" t="s">
        <v>23</v>
      </c>
      <c r="D938" s="19">
        <v>18</v>
      </c>
      <c r="E938">
        <v>41</v>
      </c>
      <c r="F938" t="s">
        <v>14</v>
      </c>
      <c r="H938">
        <v>0</v>
      </c>
    </row>
    <row r="939" spans="1:9" x14ac:dyDescent="0.2">
      <c r="A939" t="str">
        <f t="shared" si="261"/>
        <v>37135Vaipahu1842Autres</v>
      </c>
      <c r="B939" s="1">
        <v>37135</v>
      </c>
      <c r="C939" t="s">
        <v>23</v>
      </c>
      <c r="D939" s="19">
        <v>18</v>
      </c>
      <c r="E939">
        <v>42</v>
      </c>
      <c r="F939" t="s">
        <v>14</v>
      </c>
      <c r="H939">
        <v>0</v>
      </c>
    </row>
    <row r="940" spans="1:9" x14ac:dyDescent="0.2">
      <c r="A940" t="str">
        <f t="shared" si="261"/>
        <v>37135Vaipahu1843Autres</v>
      </c>
      <c r="B940" s="1">
        <v>37135</v>
      </c>
      <c r="C940" t="s">
        <v>23</v>
      </c>
      <c r="D940" s="19">
        <v>18</v>
      </c>
      <c r="E940">
        <v>43</v>
      </c>
      <c r="F940" t="s">
        <v>14</v>
      </c>
      <c r="H940">
        <v>0</v>
      </c>
    </row>
    <row r="941" spans="1:9" x14ac:dyDescent="0.2">
      <c r="A941" t="str">
        <f t="shared" si="261"/>
        <v>37135Vaipahu1844Autres</v>
      </c>
      <c r="B941" s="1">
        <v>37135</v>
      </c>
      <c r="C941" t="s">
        <v>23</v>
      </c>
      <c r="D941" s="19">
        <v>18</v>
      </c>
      <c r="E941">
        <v>44</v>
      </c>
      <c r="F941" t="s">
        <v>14</v>
      </c>
      <c r="H941">
        <v>0</v>
      </c>
    </row>
    <row r="942" spans="1:9" x14ac:dyDescent="0.2">
      <c r="A942" t="str">
        <f t="shared" si="261"/>
        <v>37135Vaipahu1845Autres</v>
      </c>
      <c r="B942" s="1">
        <v>37135</v>
      </c>
      <c r="C942" t="s">
        <v>23</v>
      </c>
      <c r="D942" s="19">
        <v>18</v>
      </c>
      <c r="E942">
        <v>45</v>
      </c>
      <c r="F942" t="s">
        <v>14</v>
      </c>
      <c r="H942">
        <v>0</v>
      </c>
    </row>
    <row r="943" spans="1:9" x14ac:dyDescent="0.2">
      <c r="A943" t="str">
        <f t="shared" si="261"/>
        <v>37135Vaipahu1846AcroporidaeBords</v>
      </c>
      <c r="B943" s="1">
        <v>37135</v>
      </c>
      <c r="C943" t="s">
        <v>23</v>
      </c>
      <c r="D943" s="19">
        <v>18</v>
      </c>
      <c r="E943">
        <v>46</v>
      </c>
      <c r="F943" t="s">
        <v>17</v>
      </c>
      <c r="G943" t="s">
        <v>13</v>
      </c>
      <c r="H943">
        <v>1</v>
      </c>
      <c r="I943" t="s">
        <v>27</v>
      </c>
    </row>
    <row r="944" spans="1:9" x14ac:dyDescent="0.2">
      <c r="A944" t="str">
        <f t="shared" si="261"/>
        <v>37135Vaipahu1846AcroporidaeDessous</v>
      </c>
      <c r="B944" s="1">
        <v>37135</v>
      </c>
      <c r="C944" t="s">
        <v>23</v>
      </c>
      <c r="D944" s="19">
        <v>18</v>
      </c>
      <c r="E944">
        <v>46</v>
      </c>
      <c r="F944" t="s">
        <v>17</v>
      </c>
      <c r="G944" t="s">
        <v>8</v>
      </c>
      <c r="H944">
        <v>2</v>
      </c>
      <c r="I944" t="s">
        <v>27</v>
      </c>
    </row>
    <row r="945" spans="1:9" x14ac:dyDescent="0.2">
      <c r="A945" t="str">
        <f t="shared" si="261"/>
        <v>37135Vaipahu1847AcroporidaeDessous</v>
      </c>
      <c r="B945" s="1">
        <v>37135</v>
      </c>
      <c r="C945" t="s">
        <v>23</v>
      </c>
      <c r="D945" s="19">
        <v>18</v>
      </c>
      <c r="E945">
        <v>47</v>
      </c>
      <c r="F945" t="s">
        <v>17</v>
      </c>
      <c r="G945" t="s">
        <v>8</v>
      </c>
      <c r="H945">
        <v>1</v>
      </c>
      <c r="I945" t="s">
        <v>27</v>
      </c>
    </row>
    <row r="946" spans="1:9" x14ac:dyDescent="0.2">
      <c r="A946" t="str">
        <f t="shared" si="261"/>
        <v>37135Vaipahu1848Autres</v>
      </c>
      <c r="B946" s="1">
        <v>37135</v>
      </c>
      <c r="C946" t="s">
        <v>23</v>
      </c>
      <c r="D946" s="19">
        <v>18</v>
      </c>
      <c r="E946">
        <v>48</v>
      </c>
      <c r="F946" t="s">
        <v>14</v>
      </c>
      <c r="H946">
        <v>0</v>
      </c>
    </row>
    <row r="947" spans="1:9" x14ac:dyDescent="0.2">
      <c r="A947" t="str">
        <f t="shared" si="261"/>
        <v>37135Vaipahu1849Autres</v>
      </c>
      <c r="B947" s="1">
        <v>37135</v>
      </c>
      <c r="C947" t="s">
        <v>23</v>
      </c>
      <c r="D947" s="19">
        <v>18</v>
      </c>
      <c r="E947">
        <v>49</v>
      </c>
      <c r="F947" t="s">
        <v>14</v>
      </c>
      <c r="H947">
        <v>0</v>
      </c>
    </row>
    <row r="948" spans="1:9" x14ac:dyDescent="0.2">
      <c r="A948" t="str">
        <f t="shared" si="261"/>
        <v>37135Vaipahu1850</v>
      </c>
      <c r="B948" s="1">
        <v>37135</v>
      </c>
      <c r="C948" t="s">
        <v>23</v>
      </c>
      <c r="D948" s="19">
        <v>18</v>
      </c>
      <c r="E948">
        <v>50</v>
      </c>
      <c r="I948" t="s">
        <v>31</v>
      </c>
    </row>
    <row r="949" spans="1:9" x14ac:dyDescent="0.2">
      <c r="A949" t="str">
        <f t="shared" si="261"/>
        <v>37135Vaipahu1851</v>
      </c>
      <c r="B949" s="1">
        <v>37135</v>
      </c>
      <c r="C949" t="s">
        <v>23</v>
      </c>
      <c r="D949" s="19">
        <v>18</v>
      </c>
      <c r="E949">
        <v>51</v>
      </c>
      <c r="H949">
        <v>0</v>
      </c>
    </row>
    <row r="950" spans="1:9" x14ac:dyDescent="0.2">
      <c r="A950" t="str">
        <f t="shared" si="261"/>
        <v>37135Vaipahu1852AcroporidaeBords</v>
      </c>
      <c r="B950" s="1">
        <v>37135</v>
      </c>
      <c r="C950" t="s">
        <v>23</v>
      </c>
      <c r="D950" s="19">
        <v>18</v>
      </c>
      <c r="E950">
        <v>52</v>
      </c>
      <c r="F950" t="s">
        <v>17</v>
      </c>
      <c r="G950" t="s">
        <v>13</v>
      </c>
      <c r="H950">
        <v>1</v>
      </c>
      <c r="I950" t="s">
        <v>27</v>
      </c>
    </row>
    <row r="951" spans="1:9" x14ac:dyDescent="0.2">
      <c r="A951" t="str">
        <f t="shared" si="261"/>
        <v>37135Vaipahu1852AcroporidaeDessous</v>
      </c>
      <c r="B951" s="1">
        <v>37135</v>
      </c>
      <c r="C951" t="s">
        <v>23</v>
      </c>
      <c r="D951" s="19">
        <v>18</v>
      </c>
      <c r="E951">
        <v>52</v>
      </c>
      <c r="F951" t="s">
        <v>17</v>
      </c>
      <c r="G951" t="s">
        <v>8</v>
      </c>
      <c r="H951">
        <v>1</v>
      </c>
      <c r="I951" t="s">
        <v>27</v>
      </c>
    </row>
    <row r="952" spans="1:9" x14ac:dyDescent="0.2">
      <c r="A952" t="str">
        <f t="shared" si="261"/>
        <v>37135Vaipahu1853Autres</v>
      </c>
      <c r="B952" s="1">
        <v>37135</v>
      </c>
      <c r="C952" t="s">
        <v>23</v>
      </c>
      <c r="D952" s="19">
        <v>18</v>
      </c>
      <c r="E952">
        <v>53</v>
      </c>
      <c r="F952" t="s">
        <v>14</v>
      </c>
      <c r="H952">
        <v>0</v>
      </c>
    </row>
    <row r="953" spans="1:9" x14ac:dyDescent="0.2">
      <c r="A953" t="str">
        <f t="shared" si="261"/>
        <v>37135Vaipahu1854Autres</v>
      </c>
      <c r="B953" s="1">
        <v>37135</v>
      </c>
      <c r="C953" t="s">
        <v>23</v>
      </c>
      <c r="D953" s="19">
        <v>18</v>
      </c>
      <c r="E953">
        <v>54</v>
      </c>
      <c r="F953" t="s">
        <v>14</v>
      </c>
      <c r="H953">
        <v>0</v>
      </c>
    </row>
    <row r="954" spans="1:9" x14ac:dyDescent="0.2">
      <c r="A954" t="str">
        <f t="shared" si="261"/>
        <v>37135Vaipahu1855AcroporidaeDessous</v>
      </c>
      <c r="B954" s="1">
        <v>37135</v>
      </c>
      <c r="C954" t="s">
        <v>23</v>
      </c>
      <c r="D954" s="19">
        <v>18</v>
      </c>
      <c r="E954">
        <v>55</v>
      </c>
      <c r="F954" t="s">
        <v>17</v>
      </c>
      <c r="G954" t="s">
        <v>8</v>
      </c>
      <c r="H954">
        <v>1</v>
      </c>
      <c r="I954" t="s">
        <v>27</v>
      </c>
    </row>
    <row r="955" spans="1:9" x14ac:dyDescent="0.2">
      <c r="A955" t="str">
        <f t="shared" si="261"/>
        <v>37135Vaipahu1856AcroporidaeDessous</v>
      </c>
      <c r="B955" s="1">
        <v>37135</v>
      </c>
      <c r="C955" t="s">
        <v>23</v>
      </c>
      <c r="D955" s="19">
        <v>18</v>
      </c>
      <c r="E955">
        <v>56</v>
      </c>
      <c r="F955" t="s">
        <v>17</v>
      </c>
      <c r="G955" t="s">
        <v>8</v>
      </c>
      <c r="H955">
        <v>1</v>
      </c>
      <c r="I955" t="s">
        <v>27</v>
      </c>
    </row>
    <row r="956" spans="1:9" x14ac:dyDescent="0.2">
      <c r="A956" t="str">
        <f t="shared" si="261"/>
        <v>37135Vaipahu1857Autres</v>
      </c>
      <c r="B956" s="1">
        <v>37135</v>
      </c>
      <c r="C956" t="s">
        <v>23</v>
      </c>
      <c r="D956" s="19">
        <v>18</v>
      </c>
      <c r="E956">
        <v>57</v>
      </c>
      <c r="F956" t="s">
        <v>14</v>
      </c>
      <c r="H956">
        <v>0</v>
      </c>
    </row>
    <row r="957" spans="1:9" x14ac:dyDescent="0.2">
      <c r="A957" t="str">
        <f t="shared" si="261"/>
        <v>37135Vaipahu1858Autres</v>
      </c>
      <c r="B957" s="1">
        <v>37135</v>
      </c>
      <c r="C957" t="s">
        <v>23</v>
      </c>
      <c r="D957" s="19">
        <v>18</v>
      </c>
      <c r="E957">
        <v>58</v>
      </c>
      <c r="F957" t="s">
        <v>14</v>
      </c>
      <c r="H957">
        <v>0</v>
      </c>
    </row>
    <row r="958" spans="1:9" x14ac:dyDescent="0.2">
      <c r="A958" t="str">
        <f t="shared" si="261"/>
        <v>37135Vaipahu1859CassésDessous</v>
      </c>
      <c r="B958" s="1">
        <v>37135</v>
      </c>
      <c r="C958" t="s">
        <v>23</v>
      </c>
      <c r="D958" s="19">
        <v>18</v>
      </c>
      <c r="E958">
        <v>59</v>
      </c>
      <c r="F958" t="s">
        <v>12</v>
      </c>
      <c r="G958" t="s">
        <v>8</v>
      </c>
      <c r="H958">
        <v>1</v>
      </c>
      <c r="I958" t="s">
        <v>27</v>
      </c>
    </row>
    <row r="959" spans="1:9" x14ac:dyDescent="0.2">
      <c r="A959" t="str">
        <f t="shared" ref="A959:A1022" si="262">B959 &amp; C959&amp; D959&amp; E959 &amp; F959 &amp;G959</f>
        <v>37135Vaipahu1860Autres</v>
      </c>
      <c r="B959" s="1">
        <v>37135</v>
      </c>
      <c r="C959" t="s">
        <v>23</v>
      </c>
      <c r="D959" s="19">
        <v>18</v>
      </c>
      <c r="E959">
        <v>60</v>
      </c>
      <c r="F959" t="s">
        <v>14</v>
      </c>
      <c r="H959">
        <v>0</v>
      </c>
    </row>
    <row r="960" spans="1:9" x14ac:dyDescent="0.2">
      <c r="A960" t="str">
        <f t="shared" si="262"/>
        <v>37135Tiahura661Autres</v>
      </c>
      <c r="B960" s="1">
        <v>37135</v>
      </c>
      <c r="C960" t="s">
        <v>24</v>
      </c>
      <c r="D960" s="19">
        <v>6</v>
      </c>
      <c r="E960">
        <v>61</v>
      </c>
      <c r="F960" t="s">
        <v>14</v>
      </c>
      <c r="H960">
        <v>0</v>
      </c>
    </row>
    <row r="961" spans="1:9" x14ac:dyDescent="0.2">
      <c r="A961" t="str">
        <f t="shared" si="262"/>
        <v>37135Tiahura662Autres</v>
      </c>
      <c r="B961" s="1">
        <v>37135</v>
      </c>
      <c r="C961" t="s">
        <v>24</v>
      </c>
      <c r="D961" s="19">
        <v>6</v>
      </c>
      <c r="E961">
        <v>62</v>
      </c>
      <c r="F961" t="s">
        <v>14</v>
      </c>
      <c r="H961">
        <v>0</v>
      </c>
    </row>
    <row r="962" spans="1:9" x14ac:dyDescent="0.2">
      <c r="A962" t="str">
        <f t="shared" si="262"/>
        <v>37135Tiahura663Autres</v>
      </c>
      <c r="B962" s="1">
        <v>37135</v>
      </c>
      <c r="C962" t="s">
        <v>24</v>
      </c>
      <c r="D962" s="19">
        <v>6</v>
      </c>
      <c r="E962">
        <v>63</v>
      </c>
      <c r="F962" t="s">
        <v>14</v>
      </c>
      <c r="H962">
        <v>0</v>
      </c>
    </row>
    <row r="963" spans="1:9" x14ac:dyDescent="0.2">
      <c r="A963" t="str">
        <f t="shared" si="262"/>
        <v>37135Tiahura664Autres</v>
      </c>
      <c r="B963" s="1">
        <v>37135</v>
      </c>
      <c r="C963" t="s">
        <v>24</v>
      </c>
      <c r="D963" s="19">
        <v>6</v>
      </c>
      <c r="E963">
        <v>64</v>
      </c>
      <c r="F963" t="s">
        <v>14</v>
      </c>
      <c r="H963">
        <v>0</v>
      </c>
    </row>
    <row r="964" spans="1:9" x14ac:dyDescent="0.2">
      <c r="A964" t="str">
        <f t="shared" si="262"/>
        <v>37135Tiahura665Autres</v>
      </c>
      <c r="B964" s="1">
        <v>37135</v>
      </c>
      <c r="C964" t="s">
        <v>24</v>
      </c>
      <c r="D964" s="19">
        <v>6</v>
      </c>
      <c r="E964">
        <v>65</v>
      </c>
      <c r="F964" t="s">
        <v>14</v>
      </c>
      <c r="H964">
        <v>0</v>
      </c>
    </row>
    <row r="965" spans="1:9" x14ac:dyDescent="0.2">
      <c r="A965" t="str">
        <f t="shared" si="262"/>
        <v>37135Tiahura666Autres</v>
      </c>
      <c r="B965" s="1">
        <v>37135</v>
      </c>
      <c r="C965" t="s">
        <v>24</v>
      </c>
      <c r="D965" s="19">
        <v>6</v>
      </c>
      <c r="E965">
        <v>66</v>
      </c>
      <c r="F965" t="s">
        <v>14</v>
      </c>
      <c r="H965">
        <v>0</v>
      </c>
    </row>
    <row r="966" spans="1:9" x14ac:dyDescent="0.2">
      <c r="A966" t="str">
        <f t="shared" si="262"/>
        <v>37135Tiahura667AcroporidaeBords</v>
      </c>
      <c r="B966" s="1">
        <v>37135</v>
      </c>
      <c r="C966" t="s">
        <v>24</v>
      </c>
      <c r="D966" s="19">
        <v>6</v>
      </c>
      <c r="E966">
        <v>67</v>
      </c>
      <c r="F966" t="s">
        <v>17</v>
      </c>
      <c r="G966" t="s">
        <v>13</v>
      </c>
      <c r="H966">
        <v>1</v>
      </c>
      <c r="I966" t="s">
        <v>27</v>
      </c>
    </row>
    <row r="967" spans="1:9" x14ac:dyDescent="0.2">
      <c r="A967" t="str">
        <f t="shared" si="262"/>
        <v>37135Tiahura668AcroporidaeDessous</v>
      </c>
      <c r="B967" s="1">
        <v>37135</v>
      </c>
      <c r="C967" t="s">
        <v>24</v>
      </c>
      <c r="D967" s="19">
        <v>6</v>
      </c>
      <c r="E967">
        <v>68</v>
      </c>
      <c r="F967" t="s">
        <v>17</v>
      </c>
      <c r="G967" t="s">
        <v>8</v>
      </c>
      <c r="H967">
        <v>1</v>
      </c>
      <c r="I967" t="s">
        <v>27</v>
      </c>
    </row>
    <row r="968" spans="1:9" x14ac:dyDescent="0.2">
      <c r="A968" t="str">
        <f t="shared" si="262"/>
        <v>37135Tiahura668CassésDessous</v>
      </c>
      <c r="B968" s="1">
        <v>37135</v>
      </c>
      <c r="C968" t="s">
        <v>24</v>
      </c>
      <c r="D968" s="19">
        <v>6</v>
      </c>
      <c r="E968">
        <v>68</v>
      </c>
      <c r="F968" t="s">
        <v>12</v>
      </c>
      <c r="G968" t="s">
        <v>8</v>
      </c>
      <c r="H968">
        <v>1</v>
      </c>
      <c r="I968" t="s">
        <v>27</v>
      </c>
    </row>
    <row r="969" spans="1:9" x14ac:dyDescent="0.2">
      <c r="A969" t="str">
        <f t="shared" si="262"/>
        <v>37135Tiahura669Autres</v>
      </c>
      <c r="B969" s="1">
        <v>37135</v>
      </c>
      <c r="C969" t="s">
        <v>24</v>
      </c>
      <c r="D969" s="19">
        <v>6</v>
      </c>
      <c r="E969">
        <v>69</v>
      </c>
      <c r="F969" t="s">
        <v>14</v>
      </c>
      <c r="H969">
        <v>0</v>
      </c>
    </row>
    <row r="970" spans="1:9" x14ac:dyDescent="0.2">
      <c r="A970" t="str">
        <f t="shared" si="262"/>
        <v>37135Tiahura670Autres</v>
      </c>
      <c r="B970" s="1">
        <v>37135</v>
      </c>
      <c r="C970" t="s">
        <v>24</v>
      </c>
      <c r="D970" s="19">
        <v>6</v>
      </c>
      <c r="E970">
        <v>70</v>
      </c>
      <c r="F970" t="s">
        <v>14</v>
      </c>
      <c r="H970">
        <v>0</v>
      </c>
    </row>
    <row r="971" spans="1:9" x14ac:dyDescent="0.2">
      <c r="A971" t="str">
        <f t="shared" si="262"/>
        <v>37135Tiahura671</v>
      </c>
      <c r="B971" s="1">
        <v>37135</v>
      </c>
      <c r="C971" t="s">
        <v>24</v>
      </c>
      <c r="D971" s="19">
        <v>6</v>
      </c>
      <c r="E971">
        <v>71</v>
      </c>
      <c r="F971" t="s">
        <v>27</v>
      </c>
      <c r="G971" t="s">
        <v>27</v>
      </c>
      <c r="H971" t="s">
        <v>27</v>
      </c>
      <c r="I971" t="s">
        <v>31</v>
      </c>
    </row>
    <row r="972" spans="1:9" x14ac:dyDescent="0.2">
      <c r="A972" t="str">
        <f t="shared" si="262"/>
        <v>37135Tiahura672Autres</v>
      </c>
      <c r="B972" s="1">
        <v>37135</v>
      </c>
      <c r="C972" t="s">
        <v>24</v>
      </c>
      <c r="D972" s="19">
        <v>6</v>
      </c>
      <c r="E972">
        <v>72</v>
      </c>
      <c r="F972" t="s">
        <v>14</v>
      </c>
      <c r="H972">
        <v>0</v>
      </c>
    </row>
    <row r="973" spans="1:9" x14ac:dyDescent="0.2">
      <c r="A973" t="str">
        <f t="shared" si="262"/>
        <v>37135Tiahura673AcroporidaeBords</v>
      </c>
      <c r="B973" s="1">
        <v>37135</v>
      </c>
      <c r="C973" t="s">
        <v>24</v>
      </c>
      <c r="D973" s="19">
        <v>6</v>
      </c>
      <c r="E973">
        <v>73</v>
      </c>
      <c r="F973" t="s">
        <v>17</v>
      </c>
      <c r="G973" t="s">
        <v>13</v>
      </c>
      <c r="H973">
        <v>2</v>
      </c>
      <c r="I973" t="s">
        <v>27</v>
      </c>
    </row>
    <row r="974" spans="1:9" x14ac:dyDescent="0.2">
      <c r="A974" t="str">
        <f t="shared" si="262"/>
        <v>37135Tiahura673PocilloporidaeBords</v>
      </c>
      <c r="B974" s="1">
        <v>37135</v>
      </c>
      <c r="C974" t="s">
        <v>24</v>
      </c>
      <c r="D974" s="19">
        <v>6</v>
      </c>
      <c r="E974">
        <v>73</v>
      </c>
      <c r="F974" t="s">
        <v>10</v>
      </c>
      <c r="G974" t="s">
        <v>13</v>
      </c>
      <c r="H974">
        <v>1</v>
      </c>
      <c r="I974" t="s">
        <v>27</v>
      </c>
    </row>
    <row r="975" spans="1:9" x14ac:dyDescent="0.2">
      <c r="A975" t="str">
        <f t="shared" si="262"/>
        <v>37135Tiahura674Autres</v>
      </c>
      <c r="B975" s="1">
        <v>37135</v>
      </c>
      <c r="C975" t="s">
        <v>24</v>
      </c>
      <c r="D975" s="19">
        <v>6</v>
      </c>
      <c r="E975">
        <v>74</v>
      </c>
      <c r="F975" t="s">
        <v>14</v>
      </c>
      <c r="H975">
        <v>0</v>
      </c>
    </row>
    <row r="976" spans="1:9" x14ac:dyDescent="0.2">
      <c r="A976" t="str">
        <f t="shared" si="262"/>
        <v>37135Tiahura675AcroporidaeDessous</v>
      </c>
      <c r="B976" s="1">
        <v>37135</v>
      </c>
      <c r="C976" t="s">
        <v>24</v>
      </c>
      <c r="D976" s="19">
        <v>6</v>
      </c>
      <c r="E976">
        <v>75</v>
      </c>
      <c r="F976" t="s">
        <v>17</v>
      </c>
      <c r="G976" t="s">
        <v>8</v>
      </c>
      <c r="H976">
        <v>1</v>
      </c>
      <c r="I976" t="s">
        <v>27</v>
      </c>
    </row>
    <row r="977" spans="1:9" x14ac:dyDescent="0.2">
      <c r="A977" t="str">
        <f t="shared" si="262"/>
        <v>37135Tiahura676Autres</v>
      </c>
      <c r="B977" s="1">
        <v>37135</v>
      </c>
      <c r="C977" t="s">
        <v>24</v>
      </c>
      <c r="D977" s="19">
        <v>6</v>
      </c>
      <c r="E977">
        <v>76</v>
      </c>
      <c r="F977" t="s">
        <v>14</v>
      </c>
      <c r="H977">
        <v>0</v>
      </c>
    </row>
    <row r="978" spans="1:9" x14ac:dyDescent="0.2">
      <c r="A978" t="str">
        <f t="shared" si="262"/>
        <v>37135Tiahura677AcroporidaeDessous</v>
      </c>
      <c r="B978" s="1">
        <v>37135</v>
      </c>
      <c r="C978" t="s">
        <v>24</v>
      </c>
      <c r="D978" s="19">
        <v>6</v>
      </c>
      <c r="E978">
        <v>77</v>
      </c>
      <c r="F978" t="s">
        <v>17</v>
      </c>
      <c r="G978" t="s">
        <v>8</v>
      </c>
      <c r="H978">
        <v>2</v>
      </c>
      <c r="I978" t="s">
        <v>27</v>
      </c>
    </row>
    <row r="979" spans="1:9" x14ac:dyDescent="0.2">
      <c r="A979" t="str">
        <f t="shared" si="262"/>
        <v>37135Tiahura677CassésDessous</v>
      </c>
      <c r="B979" s="1">
        <v>37135</v>
      </c>
      <c r="C979" t="s">
        <v>24</v>
      </c>
      <c r="D979" s="19">
        <v>6</v>
      </c>
      <c r="E979">
        <v>77</v>
      </c>
      <c r="F979" t="s">
        <v>12</v>
      </c>
      <c r="G979" t="s">
        <v>8</v>
      </c>
      <c r="H979">
        <v>1</v>
      </c>
      <c r="I979" t="s">
        <v>27</v>
      </c>
    </row>
    <row r="980" spans="1:9" x14ac:dyDescent="0.2">
      <c r="A980" t="str">
        <f t="shared" si="262"/>
        <v>37135Tiahura677PocilloporidaeDessous</v>
      </c>
      <c r="B980" s="1">
        <v>37135</v>
      </c>
      <c r="C980" t="s">
        <v>24</v>
      </c>
      <c r="D980" s="19">
        <v>6</v>
      </c>
      <c r="E980">
        <v>77</v>
      </c>
      <c r="F980" t="s">
        <v>10</v>
      </c>
      <c r="G980" t="s">
        <v>8</v>
      </c>
      <c r="H980">
        <v>1</v>
      </c>
      <c r="I980" t="s">
        <v>27</v>
      </c>
    </row>
    <row r="981" spans="1:9" x14ac:dyDescent="0.2">
      <c r="A981" t="str">
        <f t="shared" si="262"/>
        <v>37135Tiahura678Autres</v>
      </c>
      <c r="B981" s="1">
        <v>37135</v>
      </c>
      <c r="C981" t="s">
        <v>24</v>
      </c>
      <c r="D981" s="19">
        <v>6</v>
      </c>
      <c r="E981">
        <v>78</v>
      </c>
      <c r="F981" t="s">
        <v>14</v>
      </c>
      <c r="H981">
        <v>0</v>
      </c>
    </row>
    <row r="982" spans="1:9" x14ac:dyDescent="0.2">
      <c r="A982" t="str">
        <f t="shared" si="262"/>
        <v>37135Tiahura679AcroporidaeBords</v>
      </c>
      <c r="B982" s="1">
        <v>37135</v>
      </c>
      <c r="C982" t="s">
        <v>24</v>
      </c>
      <c r="D982" s="19">
        <v>6</v>
      </c>
      <c r="E982">
        <v>79</v>
      </c>
      <c r="F982" t="s">
        <v>17</v>
      </c>
      <c r="G982" t="s">
        <v>13</v>
      </c>
      <c r="H982">
        <v>1</v>
      </c>
      <c r="I982" t="s">
        <v>27</v>
      </c>
    </row>
    <row r="983" spans="1:9" x14ac:dyDescent="0.2">
      <c r="A983" t="str">
        <f t="shared" si="262"/>
        <v>37135Tiahura680AcroporidaeDessous</v>
      </c>
      <c r="B983" s="1">
        <v>37135</v>
      </c>
      <c r="C983" t="s">
        <v>24</v>
      </c>
      <c r="D983" s="19">
        <v>6</v>
      </c>
      <c r="E983">
        <v>80</v>
      </c>
      <c r="F983" t="s">
        <v>17</v>
      </c>
      <c r="G983" t="s">
        <v>8</v>
      </c>
      <c r="H983">
        <v>2</v>
      </c>
      <c r="I983" t="s">
        <v>27</v>
      </c>
    </row>
    <row r="984" spans="1:9" x14ac:dyDescent="0.2">
      <c r="A984" t="str">
        <f t="shared" si="262"/>
        <v>37135Tiahura1281Autres</v>
      </c>
      <c r="B984" s="1">
        <v>37135</v>
      </c>
      <c r="C984" t="s">
        <v>24</v>
      </c>
      <c r="D984" s="19">
        <v>12</v>
      </c>
      <c r="E984">
        <v>81</v>
      </c>
      <c r="F984" t="s">
        <v>14</v>
      </c>
      <c r="H984">
        <v>0</v>
      </c>
    </row>
    <row r="985" spans="1:9" x14ac:dyDescent="0.2">
      <c r="A985" t="str">
        <f t="shared" si="262"/>
        <v>37135Tiahura1282PoritidaeBords</v>
      </c>
      <c r="B985" s="1">
        <v>37135</v>
      </c>
      <c r="C985" t="s">
        <v>24</v>
      </c>
      <c r="D985" s="19">
        <v>12</v>
      </c>
      <c r="E985">
        <v>82</v>
      </c>
      <c r="F985" t="s">
        <v>7</v>
      </c>
      <c r="G985" t="s">
        <v>13</v>
      </c>
      <c r="H985">
        <v>1</v>
      </c>
      <c r="I985" t="s">
        <v>27</v>
      </c>
    </row>
    <row r="986" spans="1:9" x14ac:dyDescent="0.2">
      <c r="A986" t="str">
        <f t="shared" si="262"/>
        <v>37135Tiahura1283Autres</v>
      </c>
      <c r="B986" s="1">
        <v>37135</v>
      </c>
      <c r="C986" t="s">
        <v>24</v>
      </c>
      <c r="D986" s="19">
        <v>12</v>
      </c>
      <c r="E986">
        <v>83</v>
      </c>
      <c r="F986" t="s">
        <v>14</v>
      </c>
      <c r="H986">
        <v>0</v>
      </c>
    </row>
    <row r="987" spans="1:9" x14ac:dyDescent="0.2">
      <c r="A987" t="str">
        <f t="shared" si="262"/>
        <v>37135Tiahura1284Autres</v>
      </c>
      <c r="B987" s="1">
        <v>37135</v>
      </c>
      <c r="C987" t="s">
        <v>24</v>
      </c>
      <c r="D987" s="19">
        <v>12</v>
      </c>
      <c r="E987">
        <v>84</v>
      </c>
      <c r="F987" t="s">
        <v>14</v>
      </c>
      <c r="H987">
        <v>0</v>
      </c>
    </row>
    <row r="988" spans="1:9" x14ac:dyDescent="0.2">
      <c r="A988" t="str">
        <f t="shared" si="262"/>
        <v>37135Tiahura1285Autres</v>
      </c>
      <c r="B988" s="1">
        <v>37135</v>
      </c>
      <c r="C988" t="s">
        <v>24</v>
      </c>
      <c r="D988" s="19">
        <v>12</v>
      </c>
      <c r="E988">
        <v>85</v>
      </c>
      <c r="F988" t="s">
        <v>14</v>
      </c>
      <c r="H988">
        <v>0</v>
      </c>
    </row>
    <row r="989" spans="1:9" x14ac:dyDescent="0.2">
      <c r="A989" t="str">
        <f t="shared" si="262"/>
        <v>37135Tiahura1286PoritidaeBords</v>
      </c>
      <c r="B989" s="1">
        <v>37135</v>
      </c>
      <c r="C989" t="s">
        <v>24</v>
      </c>
      <c r="D989" s="19">
        <v>12</v>
      </c>
      <c r="E989">
        <v>86</v>
      </c>
      <c r="F989" t="s">
        <v>7</v>
      </c>
      <c r="G989" t="s">
        <v>13</v>
      </c>
      <c r="H989">
        <v>1</v>
      </c>
      <c r="I989" t="s">
        <v>27</v>
      </c>
    </row>
    <row r="990" spans="1:9" x14ac:dyDescent="0.2">
      <c r="A990" t="str">
        <f t="shared" si="262"/>
        <v>37135Tiahura1287Autres</v>
      </c>
      <c r="B990" s="1">
        <v>37135</v>
      </c>
      <c r="C990" t="s">
        <v>24</v>
      </c>
      <c r="D990" s="19">
        <v>12</v>
      </c>
      <c r="E990">
        <v>87</v>
      </c>
      <c r="F990" t="s">
        <v>14</v>
      </c>
      <c r="H990">
        <v>0</v>
      </c>
    </row>
    <row r="991" spans="1:9" x14ac:dyDescent="0.2">
      <c r="A991" t="str">
        <f t="shared" si="262"/>
        <v>37135Tiahura1288</v>
      </c>
      <c r="B991" s="1">
        <v>37135</v>
      </c>
      <c r="C991" t="s">
        <v>24</v>
      </c>
      <c r="D991" s="19">
        <v>12</v>
      </c>
      <c r="E991">
        <v>88</v>
      </c>
      <c r="F991" t="s">
        <v>27</v>
      </c>
      <c r="G991" t="s">
        <v>27</v>
      </c>
      <c r="H991" t="s">
        <v>27</v>
      </c>
      <c r="I991" t="s">
        <v>31</v>
      </c>
    </row>
    <row r="992" spans="1:9" x14ac:dyDescent="0.2">
      <c r="A992" t="str">
        <f t="shared" si="262"/>
        <v>37135Tiahura1289PoritidaeBords</v>
      </c>
      <c r="B992" s="1">
        <v>37135</v>
      </c>
      <c r="C992" t="s">
        <v>24</v>
      </c>
      <c r="D992" s="19">
        <v>12</v>
      </c>
      <c r="E992">
        <v>89</v>
      </c>
      <c r="F992" t="s">
        <v>7</v>
      </c>
      <c r="G992" t="s">
        <v>13</v>
      </c>
      <c r="H992">
        <v>1</v>
      </c>
      <c r="I992" t="s">
        <v>27</v>
      </c>
    </row>
    <row r="993" spans="1:9" x14ac:dyDescent="0.2">
      <c r="A993" t="str">
        <f t="shared" si="262"/>
        <v>37135Tiahura1290Autres</v>
      </c>
      <c r="B993" s="1">
        <v>37135</v>
      </c>
      <c r="C993" t="s">
        <v>24</v>
      </c>
      <c r="D993" s="19">
        <v>12</v>
      </c>
      <c r="E993">
        <v>90</v>
      </c>
      <c r="F993" t="s">
        <v>14</v>
      </c>
      <c r="H993">
        <v>0</v>
      </c>
    </row>
    <row r="994" spans="1:9" x14ac:dyDescent="0.2">
      <c r="A994" t="str">
        <f t="shared" si="262"/>
        <v>37135Tiahura1291Autres</v>
      </c>
      <c r="B994" s="1">
        <v>37135</v>
      </c>
      <c r="C994" t="s">
        <v>24</v>
      </c>
      <c r="D994" s="19">
        <v>12</v>
      </c>
      <c r="E994">
        <v>91</v>
      </c>
      <c r="F994" t="s">
        <v>14</v>
      </c>
      <c r="H994">
        <v>0</v>
      </c>
    </row>
    <row r="995" spans="1:9" x14ac:dyDescent="0.2">
      <c r="A995" t="str">
        <f t="shared" si="262"/>
        <v>37135Tiahura1292PoritidaeBords</v>
      </c>
      <c r="B995" s="1">
        <v>37135</v>
      </c>
      <c r="C995" t="s">
        <v>24</v>
      </c>
      <c r="D995" s="19">
        <v>12</v>
      </c>
      <c r="E995">
        <v>92</v>
      </c>
      <c r="F995" t="s">
        <v>7</v>
      </c>
      <c r="G995" t="s">
        <v>13</v>
      </c>
      <c r="H995">
        <v>1</v>
      </c>
      <c r="I995" t="s">
        <v>27</v>
      </c>
    </row>
    <row r="996" spans="1:9" x14ac:dyDescent="0.2">
      <c r="A996" t="str">
        <f t="shared" si="262"/>
        <v>37135Tiahura1293PoritidaeDessous</v>
      </c>
      <c r="B996" s="1">
        <v>37135</v>
      </c>
      <c r="C996" t="s">
        <v>24</v>
      </c>
      <c r="D996" s="19">
        <v>12</v>
      </c>
      <c r="E996">
        <v>93</v>
      </c>
      <c r="F996" t="s">
        <v>7</v>
      </c>
      <c r="G996" t="s">
        <v>8</v>
      </c>
      <c r="H996">
        <v>2</v>
      </c>
      <c r="I996" t="s">
        <v>27</v>
      </c>
    </row>
    <row r="997" spans="1:9" x14ac:dyDescent="0.2">
      <c r="A997" t="str">
        <f t="shared" si="262"/>
        <v>37135Tiahura1294Autres</v>
      </c>
      <c r="B997" s="1">
        <v>37135</v>
      </c>
      <c r="C997" t="s">
        <v>24</v>
      </c>
      <c r="D997" s="19">
        <v>12</v>
      </c>
      <c r="E997">
        <v>94</v>
      </c>
      <c r="F997" t="s">
        <v>14</v>
      </c>
      <c r="H997">
        <v>0</v>
      </c>
    </row>
    <row r="998" spans="1:9" x14ac:dyDescent="0.2">
      <c r="A998" t="str">
        <f t="shared" si="262"/>
        <v>37135Tiahura1295Autres</v>
      </c>
      <c r="B998" s="1">
        <v>37135</v>
      </c>
      <c r="C998" t="s">
        <v>24</v>
      </c>
      <c r="D998" s="19">
        <v>12</v>
      </c>
      <c r="E998">
        <v>95</v>
      </c>
      <c r="F998" t="s">
        <v>14</v>
      </c>
      <c r="H998">
        <v>0</v>
      </c>
    </row>
    <row r="999" spans="1:9" x14ac:dyDescent="0.2">
      <c r="A999" t="str">
        <f t="shared" si="262"/>
        <v>37135Tiahura1296Autres</v>
      </c>
      <c r="B999" s="1">
        <v>37135</v>
      </c>
      <c r="C999" t="s">
        <v>24</v>
      </c>
      <c r="D999" s="19">
        <v>12</v>
      </c>
      <c r="E999">
        <v>96</v>
      </c>
      <c r="F999" t="s">
        <v>14</v>
      </c>
      <c r="H999">
        <v>0</v>
      </c>
    </row>
    <row r="1000" spans="1:9" x14ac:dyDescent="0.2">
      <c r="A1000" t="str">
        <f t="shared" si="262"/>
        <v>37135Tiahura1297Autres</v>
      </c>
      <c r="B1000" s="1">
        <v>37135</v>
      </c>
      <c r="C1000" t="s">
        <v>24</v>
      </c>
      <c r="D1000" s="19">
        <v>12</v>
      </c>
      <c r="E1000">
        <v>97</v>
      </c>
      <c r="F1000" t="s">
        <v>14</v>
      </c>
      <c r="H1000">
        <v>0</v>
      </c>
    </row>
    <row r="1001" spans="1:9" x14ac:dyDescent="0.2">
      <c r="A1001" t="str">
        <f t="shared" si="262"/>
        <v>37135Tiahura1298Autres</v>
      </c>
      <c r="B1001" s="1">
        <v>37135</v>
      </c>
      <c r="C1001" t="s">
        <v>24</v>
      </c>
      <c r="D1001" s="19">
        <v>12</v>
      </c>
      <c r="E1001">
        <v>98</v>
      </c>
      <c r="F1001" t="s">
        <v>14</v>
      </c>
      <c r="H1001">
        <v>0</v>
      </c>
    </row>
    <row r="1002" spans="1:9" x14ac:dyDescent="0.2">
      <c r="A1002" t="str">
        <f t="shared" si="262"/>
        <v>37135Tiahura1299AcroporidaeDessous</v>
      </c>
      <c r="B1002" s="1">
        <v>37135</v>
      </c>
      <c r="C1002" t="s">
        <v>24</v>
      </c>
      <c r="D1002" s="19">
        <v>12</v>
      </c>
      <c r="E1002">
        <v>99</v>
      </c>
      <c r="F1002" t="s">
        <v>17</v>
      </c>
      <c r="G1002" t="s">
        <v>8</v>
      </c>
      <c r="H1002">
        <v>2</v>
      </c>
      <c r="I1002" t="s">
        <v>27</v>
      </c>
    </row>
    <row r="1003" spans="1:9" x14ac:dyDescent="0.2">
      <c r="A1003" t="str">
        <f t="shared" si="262"/>
        <v>37135Tiahura1299PoritidaeDessous</v>
      </c>
      <c r="B1003" s="1">
        <v>37135</v>
      </c>
      <c r="C1003" t="s">
        <v>24</v>
      </c>
      <c r="D1003" s="19">
        <v>12</v>
      </c>
      <c r="E1003">
        <v>99</v>
      </c>
      <c r="F1003" t="s">
        <v>7</v>
      </c>
      <c r="G1003" t="s">
        <v>8</v>
      </c>
      <c r="H1003">
        <v>1</v>
      </c>
      <c r="I1003" t="s">
        <v>27</v>
      </c>
    </row>
    <row r="1004" spans="1:9" x14ac:dyDescent="0.2">
      <c r="A1004" t="str">
        <f t="shared" si="262"/>
        <v>37135Tiahura12100PoritidaeDessous</v>
      </c>
      <c r="B1004" s="1">
        <v>37135</v>
      </c>
      <c r="C1004" t="s">
        <v>24</v>
      </c>
      <c r="D1004" s="19">
        <v>12</v>
      </c>
      <c r="E1004">
        <v>100</v>
      </c>
      <c r="F1004" t="s">
        <v>7</v>
      </c>
      <c r="G1004" t="s">
        <v>8</v>
      </c>
      <c r="H1004">
        <v>1</v>
      </c>
      <c r="I1004" t="s">
        <v>27</v>
      </c>
    </row>
    <row r="1005" spans="1:9" x14ac:dyDescent="0.2">
      <c r="A1005" t="str">
        <f t="shared" si="262"/>
        <v>37135Tiahura18101PoritidaeDessous</v>
      </c>
      <c r="B1005" s="1">
        <v>37135</v>
      </c>
      <c r="C1005" t="s">
        <v>24</v>
      </c>
      <c r="D1005" s="19">
        <v>18</v>
      </c>
      <c r="E1005">
        <v>101</v>
      </c>
      <c r="F1005" t="s">
        <v>7</v>
      </c>
      <c r="G1005" t="s">
        <v>8</v>
      </c>
      <c r="H1005">
        <v>1</v>
      </c>
      <c r="I1005" t="s">
        <v>27</v>
      </c>
    </row>
    <row r="1006" spans="1:9" x14ac:dyDescent="0.2">
      <c r="A1006" t="str">
        <f t="shared" si="262"/>
        <v>37135Tiahura18102Autres</v>
      </c>
      <c r="B1006" s="1">
        <v>37135</v>
      </c>
      <c r="C1006" t="s">
        <v>24</v>
      </c>
      <c r="D1006" s="19">
        <v>18</v>
      </c>
      <c r="E1006">
        <v>102</v>
      </c>
      <c r="F1006" t="s">
        <v>14</v>
      </c>
      <c r="H1006">
        <v>0</v>
      </c>
    </row>
    <row r="1007" spans="1:9" x14ac:dyDescent="0.2">
      <c r="A1007" t="str">
        <f t="shared" si="262"/>
        <v>37135Tiahura18103Autres</v>
      </c>
      <c r="B1007" s="1">
        <v>37135</v>
      </c>
      <c r="C1007" t="s">
        <v>24</v>
      </c>
      <c r="D1007" s="19">
        <v>18</v>
      </c>
      <c r="E1007">
        <v>103</v>
      </c>
      <c r="F1007" t="s">
        <v>14</v>
      </c>
      <c r="H1007">
        <v>0</v>
      </c>
    </row>
    <row r="1008" spans="1:9" x14ac:dyDescent="0.2">
      <c r="A1008" t="str">
        <f t="shared" si="262"/>
        <v>37135Tiahura18104Autres</v>
      </c>
      <c r="B1008" s="1">
        <v>37135</v>
      </c>
      <c r="C1008" t="s">
        <v>24</v>
      </c>
      <c r="D1008" s="19">
        <v>18</v>
      </c>
      <c r="E1008">
        <v>104</v>
      </c>
      <c r="F1008" t="s">
        <v>14</v>
      </c>
      <c r="H1008">
        <v>0</v>
      </c>
    </row>
    <row r="1009" spans="1:9" x14ac:dyDescent="0.2">
      <c r="A1009" t="str">
        <f t="shared" si="262"/>
        <v>37135Tiahura18105Autres</v>
      </c>
      <c r="B1009" s="1">
        <v>37135</v>
      </c>
      <c r="C1009" t="s">
        <v>24</v>
      </c>
      <c r="D1009" s="19">
        <v>18</v>
      </c>
      <c r="E1009">
        <v>105</v>
      </c>
      <c r="F1009" t="s">
        <v>14</v>
      </c>
      <c r="H1009">
        <v>0</v>
      </c>
    </row>
    <row r="1010" spans="1:9" x14ac:dyDescent="0.2">
      <c r="A1010" t="str">
        <f t="shared" si="262"/>
        <v>37135Tiahura18106CassésDessous</v>
      </c>
      <c r="B1010" s="1">
        <v>37135</v>
      </c>
      <c r="C1010" t="s">
        <v>24</v>
      </c>
      <c r="D1010" s="19">
        <v>18</v>
      </c>
      <c r="E1010">
        <v>106</v>
      </c>
      <c r="F1010" t="s">
        <v>12</v>
      </c>
      <c r="G1010" t="s">
        <v>8</v>
      </c>
      <c r="H1010">
        <v>1</v>
      </c>
      <c r="I1010" t="s">
        <v>27</v>
      </c>
    </row>
    <row r="1011" spans="1:9" x14ac:dyDescent="0.2">
      <c r="A1011" t="str">
        <f t="shared" si="262"/>
        <v>37135Tiahura18107Autres</v>
      </c>
      <c r="B1011" s="1">
        <v>37135</v>
      </c>
      <c r="C1011" t="s">
        <v>24</v>
      </c>
      <c r="D1011" s="19">
        <v>18</v>
      </c>
      <c r="E1011">
        <v>107</v>
      </c>
      <c r="F1011" t="s">
        <v>14</v>
      </c>
      <c r="H1011">
        <v>0</v>
      </c>
    </row>
    <row r="1012" spans="1:9" x14ac:dyDescent="0.2">
      <c r="A1012" t="str">
        <f t="shared" si="262"/>
        <v>37135Tiahura18108AcroporidaeDessous</v>
      </c>
      <c r="B1012" s="1">
        <v>37135</v>
      </c>
      <c r="C1012" t="s">
        <v>24</v>
      </c>
      <c r="D1012" s="19">
        <v>18</v>
      </c>
      <c r="E1012">
        <v>108</v>
      </c>
      <c r="F1012" t="s">
        <v>17</v>
      </c>
      <c r="G1012" t="s">
        <v>8</v>
      </c>
      <c r="H1012">
        <v>1</v>
      </c>
      <c r="I1012" t="s">
        <v>27</v>
      </c>
    </row>
    <row r="1013" spans="1:9" x14ac:dyDescent="0.2">
      <c r="A1013" t="str">
        <f t="shared" si="262"/>
        <v>37135Tiahura18109AcroporidaeBords</v>
      </c>
      <c r="B1013" s="1">
        <v>37135</v>
      </c>
      <c r="C1013" t="s">
        <v>24</v>
      </c>
      <c r="D1013" s="19">
        <v>18</v>
      </c>
      <c r="E1013">
        <v>109</v>
      </c>
      <c r="F1013" t="s">
        <v>17</v>
      </c>
      <c r="G1013" t="s">
        <v>13</v>
      </c>
      <c r="H1013">
        <v>1</v>
      </c>
      <c r="I1013" t="s">
        <v>27</v>
      </c>
    </row>
    <row r="1014" spans="1:9" x14ac:dyDescent="0.2">
      <c r="A1014" t="str">
        <f t="shared" si="262"/>
        <v>37135Tiahura18110Autres</v>
      </c>
      <c r="B1014" s="1">
        <v>37135</v>
      </c>
      <c r="C1014" t="s">
        <v>24</v>
      </c>
      <c r="D1014" s="19">
        <v>18</v>
      </c>
      <c r="E1014">
        <v>110</v>
      </c>
      <c r="F1014" t="s">
        <v>14</v>
      </c>
      <c r="H1014">
        <v>0</v>
      </c>
    </row>
    <row r="1015" spans="1:9" x14ac:dyDescent="0.2">
      <c r="A1015" t="str">
        <f t="shared" si="262"/>
        <v>37135Tiahura18111</v>
      </c>
      <c r="B1015" s="1">
        <v>37135</v>
      </c>
      <c r="C1015" t="s">
        <v>24</v>
      </c>
      <c r="D1015" s="19">
        <v>18</v>
      </c>
      <c r="E1015">
        <v>111</v>
      </c>
      <c r="F1015" t="s">
        <v>27</v>
      </c>
      <c r="G1015" t="s">
        <v>27</v>
      </c>
      <c r="H1015" t="s">
        <v>27</v>
      </c>
      <c r="I1015" t="s">
        <v>31</v>
      </c>
    </row>
    <row r="1016" spans="1:9" x14ac:dyDescent="0.2">
      <c r="A1016" t="str">
        <f t="shared" si="262"/>
        <v>37135Tiahura18112Autres</v>
      </c>
      <c r="B1016" s="1">
        <v>37135</v>
      </c>
      <c r="C1016" t="s">
        <v>24</v>
      </c>
      <c r="D1016" s="19">
        <v>18</v>
      </c>
      <c r="E1016">
        <v>112</v>
      </c>
      <c r="F1016" t="s">
        <v>14</v>
      </c>
      <c r="H1016">
        <v>0</v>
      </c>
    </row>
    <row r="1017" spans="1:9" x14ac:dyDescent="0.2">
      <c r="A1017" t="str">
        <f t="shared" si="262"/>
        <v>37135Tiahura18113Autres</v>
      </c>
      <c r="B1017" s="1">
        <v>37135</v>
      </c>
      <c r="C1017" t="s">
        <v>24</v>
      </c>
      <c r="D1017" s="19">
        <v>18</v>
      </c>
      <c r="E1017">
        <v>113</v>
      </c>
      <c r="F1017" t="s">
        <v>14</v>
      </c>
      <c r="H1017">
        <v>0</v>
      </c>
    </row>
    <row r="1018" spans="1:9" x14ac:dyDescent="0.2">
      <c r="A1018" t="str">
        <f t="shared" si="262"/>
        <v>37135Tiahura18114AcroporidaeBords</v>
      </c>
      <c r="B1018" s="1">
        <v>37135</v>
      </c>
      <c r="C1018" t="s">
        <v>24</v>
      </c>
      <c r="D1018" s="19">
        <v>18</v>
      </c>
      <c r="E1018">
        <v>114</v>
      </c>
      <c r="F1018" t="s">
        <v>17</v>
      </c>
      <c r="G1018" t="s">
        <v>13</v>
      </c>
      <c r="H1018">
        <v>1</v>
      </c>
      <c r="I1018" t="s">
        <v>27</v>
      </c>
    </row>
    <row r="1019" spans="1:9" x14ac:dyDescent="0.2">
      <c r="A1019" t="str">
        <f t="shared" si="262"/>
        <v>37135Tiahura18115Autres</v>
      </c>
      <c r="B1019" s="1">
        <v>37135</v>
      </c>
      <c r="C1019" t="s">
        <v>24</v>
      </c>
      <c r="D1019" s="19">
        <v>18</v>
      </c>
      <c r="E1019">
        <v>115</v>
      </c>
      <c r="F1019" t="s">
        <v>14</v>
      </c>
      <c r="H1019">
        <v>0</v>
      </c>
    </row>
    <row r="1020" spans="1:9" x14ac:dyDescent="0.2">
      <c r="A1020" t="str">
        <f t="shared" si="262"/>
        <v>37135Tiahura18116AutresDessus</v>
      </c>
      <c r="B1020" s="1">
        <v>37135</v>
      </c>
      <c r="C1020" t="s">
        <v>24</v>
      </c>
      <c r="D1020" s="19">
        <v>18</v>
      </c>
      <c r="E1020">
        <v>116</v>
      </c>
      <c r="F1020" t="s">
        <v>14</v>
      </c>
      <c r="G1020" t="s">
        <v>11</v>
      </c>
      <c r="H1020">
        <v>1</v>
      </c>
      <c r="I1020" t="s">
        <v>27</v>
      </c>
    </row>
    <row r="1021" spans="1:9" x14ac:dyDescent="0.2">
      <c r="A1021" t="str">
        <f t="shared" si="262"/>
        <v>37135Tiahura18117Autres</v>
      </c>
      <c r="B1021" s="1">
        <v>37135</v>
      </c>
      <c r="C1021" t="s">
        <v>24</v>
      </c>
      <c r="D1021" s="19">
        <v>18</v>
      </c>
      <c r="E1021">
        <v>117</v>
      </c>
      <c r="F1021" t="s">
        <v>14</v>
      </c>
      <c r="H1021">
        <v>0</v>
      </c>
    </row>
    <row r="1022" spans="1:9" x14ac:dyDescent="0.2">
      <c r="A1022" t="str">
        <f t="shared" si="262"/>
        <v>37135Tiahura18118AcroporidaeBords</v>
      </c>
      <c r="B1022" s="1">
        <v>37135</v>
      </c>
      <c r="C1022" t="s">
        <v>24</v>
      </c>
      <c r="D1022" s="19">
        <v>18</v>
      </c>
      <c r="E1022">
        <v>118</v>
      </c>
      <c r="F1022" t="s">
        <v>17</v>
      </c>
      <c r="G1022" t="s">
        <v>13</v>
      </c>
      <c r="H1022">
        <v>2</v>
      </c>
      <c r="I1022" t="s">
        <v>27</v>
      </c>
    </row>
    <row r="1023" spans="1:9" x14ac:dyDescent="0.2">
      <c r="A1023" t="str">
        <f t="shared" ref="A1023:A1086" si="263">B1023 &amp; C1023&amp; D1023&amp; E1023 &amp; F1023 &amp;G1023</f>
        <v>37135Tiahura18118AcroporidaeDessus</v>
      </c>
      <c r="B1023" s="1">
        <v>37135</v>
      </c>
      <c r="C1023" t="s">
        <v>24</v>
      </c>
      <c r="D1023" s="19">
        <v>18</v>
      </c>
      <c r="E1023">
        <v>118</v>
      </c>
      <c r="F1023" t="s">
        <v>17</v>
      </c>
      <c r="G1023" t="s">
        <v>11</v>
      </c>
      <c r="H1023">
        <v>1</v>
      </c>
      <c r="I1023" t="s">
        <v>27</v>
      </c>
    </row>
    <row r="1024" spans="1:9" x14ac:dyDescent="0.2">
      <c r="A1024" t="str">
        <f t="shared" si="263"/>
        <v>37135Tiahura18119AcroporidaeBords</v>
      </c>
      <c r="B1024" s="1">
        <v>37135</v>
      </c>
      <c r="C1024" t="s">
        <v>24</v>
      </c>
      <c r="D1024" s="19">
        <v>18</v>
      </c>
      <c r="E1024">
        <v>119</v>
      </c>
      <c r="F1024" t="s">
        <v>17</v>
      </c>
      <c r="G1024" t="s">
        <v>13</v>
      </c>
      <c r="H1024">
        <v>1</v>
      </c>
      <c r="I1024" t="s">
        <v>27</v>
      </c>
    </row>
    <row r="1025" spans="1:9" x14ac:dyDescent="0.2">
      <c r="A1025" t="str">
        <f t="shared" si="263"/>
        <v>37135Tiahura18120Autres</v>
      </c>
      <c r="B1025" s="1">
        <v>37135</v>
      </c>
      <c r="C1025" t="s">
        <v>24</v>
      </c>
      <c r="D1025" s="19">
        <v>18</v>
      </c>
      <c r="E1025">
        <v>120</v>
      </c>
      <c r="F1025" t="s">
        <v>14</v>
      </c>
      <c r="H1025">
        <v>0</v>
      </c>
    </row>
    <row r="1026" spans="1:9" x14ac:dyDescent="0.2">
      <c r="A1026" t="str">
        <f t="shared" si="263"/>
        <v>37135Haapiti6121Autres</v>
      </c>
      <c r="B1026" s="1">
        <v>37135</v>
      </c>
      <c r="C1026" t="s">
        <v>25</v>
      </c>
      <c r="D1026" s="19">
        <v>6</v>
      </c>
      <c r="E1026">
        <v>121</v>
      </c>
      <c r="F1026" t="s">
        <v>14</v>
      </c>
      <c r="H1026">
        <v>0</v>
      </c>
    </row>
    <row r="1027" spans="1:9" x14ac:dyDescent="0.2">
      <c r="A1027" t="str">
        <f t="shared" si="263"/>
        <v>37135Haapiti6122Autres</v>
      </c>
      <c r="B1027" s="1">
        <v>37135</v>
      </c>
      <c r="C1027" t="s">
        <v>25</v>
      </c>
      <c r="D1027" s="19">
        <v>6</v>
      </c>
      <c r="E1027">
        <v>122</v>
      </c>
      <c r="F1027" t="s">
        <v>14</v>
      </c>
      <c r="H1027">
        <v>0</v>
      </c>
    </row>
    <row r="1028" spans="1:9" x14ac:dyDescent="0.2">
      <c r="A1028" t="str">
        <f t="shared" si="263"/>
        <v>37135Haapiti6123Autres</v>
      </c>
      <c r="B1028" s="1">
        <v>37135</v>
      </c>
      <c r="C1028" t="s">
        <v>25</v>
      </c>
      <c r="D1028" s="19">
        <v>6</v>
      </c>
      <c r="E1028">
        <v>123</v>
      </c>
      <c r="F1028" t="s">
        <v>14</v>
      </c>
      <c r="H1028">
        <v>0</v>
      </c>
    </row>
    <row r="1029" spans="1:9" x14ac:dyDescent="0.2">
      <c r="A1029" t="str">
        <f t="shared" si="263"/>
        <v>37135Haapiti6124Autres</v>
      </c>
      <c r="B1029" s="1">
        <v>37135</v>
      </c>
      <c r="C1029" t="s">
        <v>25</v>
      </c>
      <c r="D1029" s="19">
        <v>6</v>
      </c>
      <c r="E1029">
        <v>124</v>
      </c>
      <c r="F1029" t="s">
        <v>14</v>
      </c>
      <c r="H1029">
        <v>0</v>
      </c>
    </row>
    <row r="1030" spans="1:9" x14ac:dyDescent="0.2">
      <c r="A1030" t="str">
        <f t="shared" si="263"/>
        <v>37135Haapiti6125Autres</v>
      </c>
      <c r="B1030" s="1">
        <v>37135</v>
      </c>
      <c r="C1030" t="s">
        <v>25</v>
      </c>
      <c r="D1030" s="19">
        <v>6</v>
      </c>
      <c r="E1030">
        <v>125</v>
      </c>
      <c r="F1030" t="s">
        <v>14</v>
      </c>
      <c r="H1030">
        <v>0</v>
      </c>
    </row>
    <row r="1031" spans="1:9" x14ac:dyDescent="0.2">
      <c r="A1031" t="str">
        <f t="shared" si="263"/>
        <v>37135Haapiti6126Autres</v>
      </c>
      <c r="B1031" s="1">
        <v>37135</v>
      </c>
      <c r="C1031" t="s">
        <v>25</v>
      </c>
      <c r="D1031" s="19">
        <v>6</v>
      </c>
      <c r="E1031">
        <v>126</v>
      </c>
      <c r="F1031" t="s">
        <v>14</v>
      </c>
      <c r="H1031">
        <v>0</v>
      </c>
    </row>
    <row r="1032" spans="1:9" x14ac:dyDescent="0.2">
      <c r="A1032" t="str">
        <f t="shared" si="263"/>
        <v>37135Haapiti6127Autres</v>
      </c>
      <c r="B1032" s="1">
        <v>37135</v>
      </c>
      <c r="C1032" t="s">
        <v>25</v>
      </c>
      <c r="D1032" s="19">
        <v>6</v>
      </c>
      <c r="E1032">
        <v>127</v>
      </c>
      <c r="F1032" t="s">
        <v>14</v>
      </c>
      <c r="H1032">
        <v>0</v>
      </c>
    </row>
    <row r="1033" spans="1:9" x14ac:dyDescent="0.2">
      <c r="A1033" t="str">
        <f t="shared" si="263"/>
        <v>37135Haapiti6128Autres</v>
      </c>
      <c r="B1033" s="1">
        <v>37135</v>
      </c>
      <c r="C1033" t="s">
        <v>25</v>
      </c>
      <c r="D1033" s="19">
        <v>6</v>
      </c>
      <c r="E1033">
        <v>128</v>
      </c>
      <c r="F1033" t="s">
        <v>14</v>
      </c>
      <c r="H1033">
        <v>0</v>
      </c>
    </row>
    <row r="1034" spans="1:9" x14ac:dyDescent="0.2">
      <c r="A1034" t="str">
        <f t="shared" si="263"/>
        <v>37135Haapiti6129Autres</v>
      </c>
      <c r="B1034" s="1">
        <v>37135</v>
      </c>
      <c r="C1034" t="s">
        <v>25</v>
      </c>
      <c r="D1034" s="19">
        <v>6</v>
      </c>
      <c r="E1034">
        <v>129</v>
      </c>
      <c r="F1034" t="s">
        <v>14</v>
      </c>
      <c r="H1034">
        <v>0</v>
      </c>
    </row>
    <row r="1035" spans="1:9" x14ac:dyDescent="0.2">
      <c r="A1035" t="str">
        <f t="shared" si="263"/>
        <v>37135Haapiti6130Autres</v>
      </c>
      <c r="B1035" s="1">
        <v>37135</v>
      </c>
      <c r="C1035" t="s">
        <v>25</v>
      </c>
      <c r="D1035" s="19">
        <v>6</v>
      </c>
      <c r="E1035">
        <v>130</v>
      </c>
      <c r="F1035" t="s">
        <v>14</v>
      </c>
      <c r="H1035">
        <v>0</v>
      </c>
    </row>
    <row r="1036" spans="1:9" x14ac:dyDescent="0.2">
      <c r="A1036" t="str">
        <f t="shared" si="263"/>
        <v>37135Haapiti6131Autres</v>
      </c>
      <c r="B1036" s="1">
        <v>37135</v>
      </c>
      <c r="C1036" t="s">
        <v>25</v>
      </c>
      <c r="D1036" s="19">
        <v>6</v>
      </c>
      <c r="E1036">
        <v>131</v>
      </c>
      <c r="F1036" t="s">
        <v>14</v>
      </c>
      <c r="H1036">
        <v>0</v>
      </c>
    </row>
    <row r="1037" spans="1:9" x14ac:dyDescent="0.2">
      <c r="A1037" t="str">
        <f t="shared" si="263"/>
        <v>37135Haapiti6132Autres</v>
      </c>
      <c r="B1037" s="1">
        <v>37135</v>
      </c>
      <c r="C1037" t="s">
        <v>25</v>
      </c>
      <c r="D1037" s="19">
        <v>6</v>
      </c>
      <c r="E1037">
        <v>132</v>
      </c>
      <c r="F1037" t="s">
        <v>14</v>
      </c>
      <c r="H1037">
        <v>0</v>
      </c>
    </row>
    <row r="1038" spans="1:9" x14ac:dyDescent="0.2">
      <c r="A1038" t="str">
        <f t="shared" si="263"/>
        <v>37135Haapiti6133PocilloporidaeDessous</v>
      </c>
      <c r="B1038" s="1">
        <v>37135</v>
      </c>
      <c r="C1038" t="s">
        <v>25</v>
      </c>
      <c r="D1038" s="19">
        <v>6</v>
      </c>
      <c r="E1038">
        <v>133</v>
      </c>
      <c r="F1038" t="s">
        <v>10</v>
      </c>
      <c r="G1038" t="s">
        <v>8</v>
      </c>
      <c r="H1038">
        <v>1</v>
      </c>
      <c r="I1038" t="s">
        <v>27</v>
      </c>
    </row>
    <row r="1039" spans="1:9" x14ac:dyDescent="0.2">
      <c r="A1039" t="str">
        <f t="shared" si="263"/>
        <v>37135Haapiti6134Autres</v>
      </c>
      <c r="B1039" s="1">
        <v>37135</v>
      </c>
      <c r="C1039" t="s">
        <v>25</v>
      </c>
      <c r="D1039" s="19">
        <v>6</v>
      </c>
      <c r="E1039">
        <v>134</v>
      </c>
      <c r="F1039" t="s">
        <v>14</v>
      </c>
      <c r="H1039">
        <v>0</v>
      </c>
    </row>
    <row r="1040" spans="1:9" x14ac:dyDescent="0.2">
      <c r="A1040" t="str">
        <f t="shared" si="263"/>
        <v>37135Haapiti6135Autres</v>
      </c>
      <c r="B1040" s="1">
        <v>37135</v>
      </c>
      <c r="C1040" t="s">
        <v>25</v>
      </c>
      <c r="D1040" s="19">
        <v>6</v>
      </c>
      <c r="E1040">
        <v>135</v>
      </c>
      <c r="F1040" t="s">
        <v>14</v>
      </c>
      <c r="H1040">
        <v>0</v>
      </c>
    </row>
    <row r="1041" spans="1:9" x14ac:dyDescent="0.2">
      <c r="A1041" t="str">
        <f t="shared" si="263"/>
        <v>37135Haapiti6136Autres</v>
      </c>
      <c r="B1041" s="1">
        <v>37135</v>
      </c>
      <c r="C1041" t="s">
        <v>25</v>
      </c>
      <c r="D1041" s="19">
        <v>6</v>
      </c>
      <c r="E1041">
        <v>136</v>
      </c>
      <c r="F1041" t="s">
        <v>14</v>
      </c>
      <c r="H1041">
        <v>0</v>
      </c>
    </row>
    <row r="1042" spans="1:9" x14ac:dyDescent="0.2">
      <c r="A1042" t="str">
        <f t="shared" si="263"/>
        <v>37135Haapiti6137Autres</v>
      </c>
      <c r="B1042" s="1">
        <v>37135</v>
      </c>
      <c r="C1042" t="s">
        <v>25</v>
      </c>
      <c r="D1042" s="19">
        <v>6</v>
      </c>
      <c r="E1042">
        <v>137</v>
      </c>
      <c r="F1042" t="s">
        <v>14</v>
      </c>
      <c r="H1042">
        <v>0</v>
      </c>
    </row>
    <row r="1043" spans="1:9" x14ac:dyDescent="0.2">
      <c r="A1043" t="str">
        <f t="shared" si="263"/>
        <v>37135Haapiti6138Autres</v>
      </c>
      <c r="B1043" s="1">
        <v>37135</v>
      </c>
      <c r="C1043" t="s">
        <v>25</v>
      </c>
      <c r="D1043" s="19">
        <v>6</v>
      </c>
      <c r="E1043">
        <v>138</v>
      </c>
      <c r="F1043" t="s">
        <v>14</v>
      </c>
      <c r="H1043">
        <v>0</v>
      </c>
    </row>
    <row r="1044" spans="1:9" x14ac:dyDescent="0.2">
      <c r="A1044" t="str">
        <f t="shared" si="263"/>
        <v>37135Haapiti6139Autres</v>
      </c>
      <c r="B1044" s="1">
        <v>37135</v>
      </c>
      <c r="C1044" t="s">
        <v>25</v>
      </c>
      <c r="D1044" s="19">
        <v>6</v>
      </c>
      <c r="E1044">
        <v>139</v>
      </c>
      <c r="F1044" t="s">
        <v>14</v>
      </c>
      <c r="H1044">
        <v>0</v>
      </c>
    </row>
    <row r="1045" spans="1:9" x14ac:dyDescent="0.2">
      <c r="A1045" t="str">
        <f t="shared" si="263"/>
        <v>37135Haapiti6140Autres</v>
      </c>
      <c r="B1045" s="1">
        <v>37135</v>
      </c>
      <c r="C1045" t="s">
        <v>25</v>
      </c>
      <c r="D1045" s="19">
        <v>6</v>
      </c>
      <c r="E1045">
        <v>140</v>
      </c>
      <c r="F1045" t="s">
        <v>14</v>
      </c>
      <c r="H1045">
        <v>0</v>
      </c>
    </row>
    <row r="1046" spans="1:9" x14ac:dyDescent="0.2">
      <c r="A1046" t="str">
        <f t="shared" si="263"/>
        <v>37135Haapiti12141Autres</v>
      </c>
      <c r="B1046" s="1">
        <v>37135</v>
      </c>
      <c r="C1046" t="s">
        <v>25</v>
      </c>
      <c r="D1046" s="19">
        <v>12</v>
      </c>
      <c r="E1046">
        <v>141</v>
      </c>
      <c r="F1046" t="s">
        <v>14</v>
      </c>
      <c r="H1046">
        <v>0</v>
      </c>
    </row>
    <row r="1047" spans="1:9" x14ac:dyDescent="0.2">
      <c r="A1047" t="str">
        <f t="shared" si="263"/>
        <v>37135Haapiti12142Autres</v>
      </c>
      <c r="B1047" s="1">
        <v>37135</v>
      </c>
      <c r="C1047" t="s">
        <v>25</v>
      </c>
      <c r="D1047" s="19">
        <v>12</v>
      </c>
      <c r="E1047">
        <v>142</v>
      </c>
      <c r="F1047" t="s">
        <v>14</v>
      </c>
      <c r="H1047">
        <v>0</v>
      </c>
    </row>
    <row r="1048" spans="1:9" x14ac:dyDescent="0.2">
      <c r="A1048" t="str">
        <f t="shared" si="263"/>
        <v>37135Haapiti12143Autres</v>
      </c>
      <c r="B1048" s="1">
        <v>37135</v>
      </c>
      <c r="C1048" t="s">
        <v>25</v>
      </c>
      <c r="D1048" s="19">
        <v>12</v>
      </c>
      <c r="E1048">
        <v>143</v>
      </c>
      <c r="F1048" t="s">
        <v>14</v>
      </c>
      <c r="H1048">
        <v>0</v>
      </c>
    </row>
    <row r="1049" spans="1:9" x14ac:dyDescent="0.2">
      <c r="A1049" t="str">
        <f t="shared" si="263"/>
        <v>37135Haapiti12144PoritidaeDessous</v>
      </c>
      <c r="B1049" s="1">
        <v>37135</v>
      </c>
      <c r="C1049" t="s">
        <v>25</v>
      </c>
      <c r="D1049" s="19">
        <v>12</v>
      </c>
      <c r="E1049">
        <v>144</v>
      </c>
      <c r="F1049" t="s">
        <v>7</v>
      </c>
      <c r="G1049" t="s">
        <v>8</v>
      </c>
      <c r="H1049">
        <v>1</v>
      </c>
      <c r="I1049" t="s">
        <v>27</v>
      </c>
    </row>
    <row r="1050" spans="1:9" x14ac:dyDescent="0.2">
      <c r="A1050" t="str">
        <f t="shared" si="263"/>
        <v>37135Haapiti12145Autres</v>
      </c>
      <c r="B1050" s="1">
        <v>37135</v>
      </c>
      <c r="C1050" t="s">
        <v>25</v>
      </c>
      <c r="D1050" s="19">
        <v>12</v>
      </c>
      <c r="E1050">
        <v>145</v>
      </c>
      <c r="F1050" t="s">
        <v>14</v>
      </c>
      <c r="H1050">
        <v>0</v>
      </c>
    </row>
    <row r="1051" spans="1:9" x14ac:dyDescent="0.2">
      <c r="A1051" t="str">
        <f t="shared" si="263"/>
        <v>37135Haapiti12146Autres</v>
      </c>
      <c r="B1051" s="1">
        <v>37135</v>
      </c>
      <c r="C1051" t="s">
        <v>25</v>
      </c>
      <c r="D1051" s="19">
        <v>12</v>
      </c>
      <c r="E1051">
        <v>146</v>
      </c>
      <c r="F1051" t="s">
        <v>14</v>
      </c>
      <c r="H1051">
        <v>0</v>
      </c>
    </row>
    <row r="1052" spans="1:9" x14ac:dyDescent="0.2">
      <c r="A1052" t="str">
        <f t="shared" si="263"/>
        <v>37135Haapiti12147Autres</v>
      </c>
      <c r="B1052" s="1">
        <v>37135</v>
      </c>
      <c r="C1052" t="s">
        <v>25</v>
      </c>
      <c r="D1052" s="19">
        <v>12</v>
      </c>
      <c r="E1052">
        <v>147</v>
      </c>
      <c r="F1052" t="s">
        <v>14</v>
      </c>
      <c r="H1052">
        <v>0</v>
      </c>
    </row>
    <row r="1053" spans="1:9" x14ac:dyDescent="0.2">
      <c r="A1053" t="str">
        <f t="shared" si="263"/>
        <v>37135Haapiti12148Autres</v>
      </c>
      <c r="B1053" s="1">
        <v>37135</v>
      </c>
      <c r="C1053" t="s">
        <v>25</v>
      </c>
      <c r="D1053" s="19">
        <v>12</v>
      </c>
      <c r="E1053">
        <v>148</v>
      </c>
      <c r="F1053" t="s">
        <v>14</v>
      </c>
      <c r="H1053">
        <v>0</v>
      </c>
    </row>
    <row r="1054" spans="1:9" x14ac:dyDescent="0.2">
      <c r="A1054" t="str">
        <f t="shared" si="263"/>
        <v>37135Haapiti12149Autres</v>
      </c>
      <c r="B1054" s="1">
        <v>37135</v>
      </c>
      <c r="C1054" t="s">
        <v>25</v>
      </c>
      <c r="D1054" s="19">
        <v>12</v>
      </c>
      <c r="E1054">
        <v>149</v>
      </c>
      <c r="F1054" t="s">
        <v>14</v>
      </c>
      <c r="H1054">
        <v>0</v>
      </c>
    </row>
    <row r="1055" spans="1:9" x14ac:dyDescent="0.2">
      <c r="A1055" t="str">
        <f t="shared" si="263"/>
        <v>37135Haapiti12150Autres</v>
      </c>
      <c r="B1055" s="1">
        <v>37135</v>
      </c>
      <c r="C1055" t="s">
        <v>25</v>
      </c>
      <c r="D1055" s="19">
        <v>12</v>
      </c>
      <c r="E1055">
        <v>150</v>
      </c>
      <c r="F1055" t="s">
        <v>14</v>
      </c>
      <c r="H1055">
        <v>0</v>
      </c>
    </row>
    <row r="1056" spans="1:9" x14ac:dyDescent="0.2">
      <c r="A1056" t="str">
        <f t="shared" si="263"/>
        <v>37135Haapiti12151Autres</v>
      </c>
      <c r="B1056" s="1">
        <v>37135</v>
      </c>
      <c r="C1056" t="s">
        <v>25</v>
      </c>
      <c r="D1056" s="19">
        <v>12</v>
      </c>
      <c r="E1056">
        <v>151</v>
      </c>
      <c r="F1056" t="s">
        <v>14</v>
      </c>
      <c r="H1056">
        <v>0</v>
      </c>
    </row>
    <row r="1057" spans="1:9" x14ac:dyDescent="0.2">
      <c r="A1057" t="str">
        <f t="shared" si="263"/>
        <v>37135Haapiti12152Autres</v>
      </c>
      <c r="B1057" s="1">
        <v>37135</v>
      </c>
      <c r="C1057" t="s">
        <v>25</v>
      </c>
      <c r="D1057" s="19">
        <v>12</v>
      </c>
      <c r="E1057">
        <v>152</v>
      </c>
      <c r="F1057" t="s">
        <v>14</v>
      </c>
      <c r="H1057">
        <v>0</v>
      </c>
    </row>
    <row r="1058" spans="1:9" x14ac:dyDescent="0.2">
      <c r="A1058" t="str">
        <f t="shared" si="263"/>
        <v>37135Haapiti12153Autres</v>
      </c>
      <c r="B1058" s="1">
        <v>37135</v>
      </c>
      <c r="C1058" t="s">
        <v>25</v>
      </c>
      <c r="D1058" s="19">
        <v>12</v>
      </c>
      <c r="E1058">
        <v>153</v>
      </c>
      <c r="F1058" t="s">
        <v>14</v>
      </c>
      <c r="H1058">
        <v>0</v>
      </c>
    </row>
    <row r="1059" spans="1:9" x14ac:dyDescent="0.2">
      <c r="A1059" t="str">
        <f t="shared" si="263"/>
        <v>37135Haapiti12154Autres</v>
      </c>
      <c r="B1059" s="1">
        <v>37135</v>
      </c>
      <c r="C1059" t="s">
        <v>25</v>
      </c>
      <c r="D1059" s="19">
        <v>12</v>
      </c>
      <c r="E1059">
        <v>154</v>
      </c>
      <c r="F1059" t="s">
        <v>14</v>
      </c>
      <c r="H1059">
        <v>0</v>
      </c>
    </row>
    <row r="1060" spans="1:9" x14ac:dyDescent="0.2">
      <c r="A1060" t="str">
        <f t="shared" si="263"/>
        <v>37135Haapiti12155Autres</v>
      </c>
      <c r="B1060" s="1">
        <v>37135</v>
      </c>
      <c r="C1060" t="s">
        <v>25</v>
      </c>
      <c r="D1060" s="19">
        <v>12</v>
      </c>
      <c r="E1060">
        <v>155</v>
      </c>
      <c r="F1060" t="s">
        <v>14</v>
      </c>
      <c r="H1060">
        <v>0</v>
      </c>
    </row>
    <row r="1061" spans="1:9" x14ac:dyDescent="0.2">
      <c r="A1061" t="str">
        <f t="shared" si="263"/>
        <v>37135Haapiti12156Autres</v>
      </c>
      <c r="B1061" s="1">
        <v>37135</v>
      </c>
      <c r="C1061" t="s">
        <v>25</v>
      </c>
      <c r="D1061" s="19">
        <v>12</v>
      </c>
      <c r="E1061">
        <v>156</v>
      </c>
      <c r="F1061" t="s">
        <v>14</v>
      </c>
      <c r="H1061">
        <v>0</v>
      </c>
    </row>
    <row r="1062" spans="1:9" x14ac:dyDescent="0.2">
      <c r="A1062" t="str">
        <f t="shared" si="263"/>
        <v>37135Haapiti12157Autres</v>
      </c>
      <c r="B1062" s="1">
        <v>37135</v>
      </c>
      <c r="C1062" t="s">
        <v>25</v>
      </c>
      <c r="D1062" s="19">
        <v>12</v>
      </c>
      <c r="E1062">
        <v>157</v>
      </c>
      <c r="F1062" t="s">
        <v>14</v>
      </c>
      <c r="H1062">
        <v>0</v>
      </c>
    </row>
    <row r="1063" spans="1:9" x14ac:dyDescent="0.2">
      <c r="A1063" t="str">
        <f t="shared" si="263"/>
        <v>37135Haapiti12158CassésDessus</v>
      </c>
      <c r="B1063" s="1">
        <v>37135</v>
      </c>
      <c r="C1063" t="s">
        <v>25</v>
      </c>
      <c r="D1063" s="19">
        <v>12</v>
      </c>
      <c r="E1063">
        <v>158</v>
      </c>
      <c r="F1063" t="s">
        <v>12</v>
      </c>
      <c r="G1063" t="s">
        <v>11</v>
      </c>
      <c r="H1063">
        <v>1</v>
      </c>
      <c r="I1063" t="s">
        <v>27</v>
      </c>
    </row>
    <row r="1064" spans="1:9" x14ac:dyDescent="0.2">
      <c r="A1064" t="str">
        <f t="shared" si="263"/>
        <v>37135Haapiti12159PoritidaeDessous</v>
      </c>
      <c r="B1064" s="1">
        <v>37135</v>
      </c>
      <c r="C1064" t="s">
        <v>25</v>
      </c>
      <c r="D1064" s="19">
        <v>12</v>
      </c>
      <c r="E1064">
        <v>159</v>
      </c>
      <c r="F1064" t="s">
        <v>7</v>
      </c>
      <c r="G1064" t="s">
        <v>8</v>
      </c>
      <c r="H1064">
        <v>1</v>
      </c>
      <c r="I1064" t="s">
        <v>27</v>
      </c>
    </row>
    <row r="1065" spans="1:9" x14ac:dyDescent="0.2">
      <c r="A1065" t="str">
        <f t="shared" si="263"/>
        <v>37135Haapiti12160PoritidaeDessous</v>
      </c>
      <c r="B1065" s="1">
        <v>37135</v>
      </c>
      <c r="C1065" t="s">
        <v>25</v>
      </c>
      <c r="D1065" s="19">
        <v>12</v>
      </c>
      <c r="E1065">
        <v>160</v>
      </c>
      <c r="F1065" t="s">
        <v>7</v>
      </c>
      <c r="G1065" t="s">
        <v>8</v>
      </c>
      <c r="H1065">
        <v>1</v>
      </c>
      <c r="I1065" t="s">
        <v>27</v>
      </c>
    </row>
    <row r="1066" spans="1:9" x14ac:dyDescent="0.2">
      <c r="A1066" t="str">
        <f t="shared" si="263"/>
        <v>37135Haapiti18161CassésDessus</v>
      </c>
      <c r="B1066" s="1">
        <v>37135</v>
      </c>
      <c r="C1066" t="s">
        <v>25</v>
      </c>
      <c r="D1066" s="19">
        <v>18</v>
      </c>
      <c r="E1066">
        <v>161</v>
      </c>
      <c r="F1066" t="s">
        <v>12</v>
      </c>
      <c r="G1066" t="s">
        <v>11</v>
      </c>
      <c r="H1066">
        <v>1</v>
      </c>
      <c r="I1066" t="s">
        <v>27</v>
      </c>
    </row>
    <row r="1067" spans="1:9" x14ac:dyDescent="0.2">
      <c r="A1067" t="str">
        <f t="shared" si="263"/>
        <v>37135Haapiti18162Autres</v>
      </c>
      <c r="B1067" s="1">
        <v>37135</v>
      </c>
      <c r="C1067" t="s">
        <v>25</v>
      </c>
      <c r="D1067" s="19">
        <v>18</v>
      </c>
      <c r="E1067">
        <v>162</v>
      </c>
      <c r="F1067" t="s">
        <v>14</v>
      </c>
      <c r="H1067">
        <v>0</v>
      </c>
    </row>
    <row r="1068" spans="1:9" x14ac:dyDescent="0.2">
      <c r="A1068" t="str">
        <f t="shared" si="263"/>
        <v>37135Haapiti18163Autres</v>
      </c>
      <c r="B1068" s="1">
        <v>37135</v>
      </c>
      <c r="C1068" t="s">
        <v>25</v>
      </c>
      <c r="D1068" s="19">
        <v>18</v>
      </c>
      <c r="E1068">
        <v>163</v>
      </c>
      <c r="F1068" t="s">
        <v>14</v>
      </c>
      <c r="H1068">
        <v>0</v>
      </c>
    </row>
    <row r="1069" spans="1:9" x14ac:dyDescent="0.2">
      <c r="A1069" t="str">
        <f t="shared" si="263"/>
        <v>37135Haapiti18164Autres</v>
      </c>
      <c r="B1069" s="1">
        <v>37135</v>
      </c>
      <c r="C1069" t="s">
        <v>25</v>
      </c>
      <c r="D1069" s="19">
        <v>18</v>
      </c>
      <c r="E1069">
        <v>164</v>
      </c>
      <c r="F1069" t="s">
        <v>14</v>
      </c>
      <c r="H1069">
        <v>0</v>
      </c>
    </row>
    <row r="1070" spans="1:9" x14ac:dyDescent="0.2">
      <c r="A1070" t="str">
        <f t="shared" si="263"/>
        <v>37135Haapiti18165Autres</v>
      </c>
      <c r="B1070" s="1">
        <v>37135</v>
      </c>
      <c r="C1070" t="s">
        <v>25</v>
      </c>
      <c r="D1070" s="19">
        <v>18</v>
      </c>
      <c r="E1070">
        <v>165</v>
      </c>
      <c r="F1070" t="s">
        <v>14</v>
      </c>
      <c r="H1070">
        <v>0</v>
      </c>
    </row>
    <row r="1071" spans="1:9" x14ac:dyDescent="0.2">
      <c r="A1071" t="str">
        <f t="shared" si="263"/>
        <v>37135Haapiti18166Autres</v>
      </c>
      <c r="B1071" s="1">
        <v>37135</v>
      </c>
      <c r="C1071" t="s">
        <v>25</v>
      </c>
      <c r="D1071" s="19">
        <v>18</v>
      </c>
      <c r="E1071">
        <v>166</v>
      </c>
      <c r="F1071" t="s">
        <v>14</v>
      </c>
      <c r="H1071">
        <v>0</v>
      </c>
    </row>
    <row r="1072" spans="1:9" x14ac:dyDescent="0.2">
      <c r="A1072" t="str">
        <f t="shared" si="263"/>
        <v>37135Haapiti18167Autres</v>
      </c>
      <c r="B1072" s="1">
        <v>37135</v>
      </c>
      <c r="C1072" t="s">
        <v>25</v>
      </c>
      <c r="D1072" s="19">
        <v>18</v>
      </c>
      <c r="E1072">
        <v>167</v>
      </c>
      <c r="F1072" t="s">
        <v>14</v>
      </c>
      <c r="H1072">
        <v>0</v>
      </c>
    </row>
    <row r="1073" spans="1:9" x14ac:dyDescent="0.2">
      <c r="A1073" t="str">
        <f t="shared" si="263"/>
        <v>37135Haapiti18168Autres</v>
      </c>
      <c r="B1073" s="1">
        <v>37135</v>
      </c>
      <c r="C1073" t="s">
        <v>25</v>
      </c>
      <c r="D1073" s="19">
        <v>18</v>
      </c>
      <c r="E1073">
        <v>168</v>
      </c>
      <c r="F1073" t="s">
        <v>14</v>
      </c>
      <c r="H1073">
        <v>0</v>
      </c>
    </row>
    <row r="1074" spans="1:9" x14ac:dyDescent="0.2">
      <c r="A1074" t="str">
        <f t="shared" si="263"/>
        <v>37135Haapiti18169Autres</v>
      </c>
      <c r="B1074" s="1">
        <v>37135</v>
      </c>
      <c r="C1074" t="s">
        <v>25</v>
      </c>
      <c r="D1074" s="19">
        <v>18</v>
      </c>
      <c r="E1074">
        <v>169</v>
      </c>
      <c r="F1074" t="s">
        <v>14</v>
      </c>
      <c r="H1074">
        <v>0</v>
      </c>
    </row>
    <row r="1075" spans="1:9" x14ac:dyDescent="0.2">
      <c r="A1075" t="str">
        <f t="shared" si="263"/>
        <v>37135Haapiti18170Autres</v>
      </c>
      <c r="B1075" s="1">
        <v>37135</v>
      </c>
      <c r="C1075" t="s">
        <v>25</v>
      </c>
      <c r="D1075" s="19">
        <v>18</v>
      </c>
      <c r="E1075">
        <v>170</v>
      </c>
      <c r="F1075" t="s">
        <v>14</v>
      </c>
      <c r="H1075">
        <v>0</v>
      </c>
    </row>
    <row r="1076" spans="1:9" x14ac:dyDescent="0.2">
      <c r="A1076" t="str">
        <f t="shared" si="263"/>
        <v>37135Haapiti18171Autres</v>
      </c>
      <c r="B1076" s="1">
        <v>37135</v>
      </c>
      <c r="C1076" t="s">
        <v>25</v>
      </c>
      <c r="D1076" s="19">
        <v>18</v>
      </c>
      <c r="E1076">
        <v>171</v>
      </c>
      <c r="F1076" t="s">
        <v>14</v>
      </c>
      <c r="H1076">
        <v>0</v>
      </c>
    </row>
    <row r="1077" spans="1:9" x14ac:dyDescent="0.2">
      <c r="A1077" t="str">
        <f t="shared" si="263"/>
        <v>37135Haapiti18172Autres</v>
      </c>
      <c r="B1077" s="1">
        <v>37135</v>
      </c>
      <c r="C1077" t="s">
        <v>25</v>
      </c>
      <c r="D1077" s="19">
        <v>18</v>
      </c>
      <c r="E1077">
        <v>172</v>
      </c>
      <c r="F1077" t="s">
        <v>14</v>
      </c>
      <c r="H1077">
        <v>0</v>
      </c>
    </row>
    <row r="1078" spans="1:9" x14ac:dyDescent="0.2">
      <c r="A1078" t="str">
        <f t="shared" si="263"/>
        <v>37135Haapiti18173Autres</v>
      </c>
      <c r="B1078" s="1">
        <v>37135</v>
      </c>
      <c r="C1078" t="s">
        <v>25</v>
      </c>
      <c r="D1078" s="19">
        <v>18</v>
      </c>
      <c r="E1078">
        <v>173</v>
      </c>
      <c r="F1078" t="s">
        <v>14</v>
      </c>
      <c r="H1078">
        <v>0</v>
      </c>
    </row>
    <row r="1079" spans="1:9" x14ac:dyDescent="0.2">
      <c r="A1079" t="str">
        <f t="shared" si="263"/>
        <v>37135Haapiti18174Autres</v>
      </c>
      <c r="B1079" s="1">
        <v>37135</v>
      </c>
      <c r="C1079" t="s">
        <v>25</v>
      </c>
      <c r="D1079" s="19">
        <v>18</v>
      </c>
      <c r="E1079">
        <v>174</v>
      </c>
      <c r="F1079" t="s">
        <v>14</v>
      </c>
      <c r="H1079">
        <v>0</v>
      </c>
    </row>
    <row r="1080" spans="1:9" x14ac:dyDescent="0.2">
      <c r="A1080" t="str">
        <f t="shared" si="263"/>
        <v>37135Haapiti18175Autres</v>
      </c>
      <c r="B1080" s="1">
        <v>37135</v>
      </c>
      <c r="C1080" t="s">
        <v>25</v>
      </c>
      <c r="D1080" s="19">
        <v>18</v>
      </c>
      <c r="E1080">
        <v>175</v>
      </c>
      <c r="F1080" t="s">
        <v>14</v>
      </c>
      <c r="H1080">
        <v>0</v>
      </c>
    </row>
    <row r="1081" spans="1:9" x14ac:dyDescent="0.2">
      <c r="A1081" t="str">
        <f t="shared" si="263"/>
        <v>37135Haapiti18176Autres</v>
      </c>
      <c r="B1081" s="1">
        <v>37135</v>
      </c>
      <c r="C1081" t="s">
        <v>25</v>
      </c>
      <c r="D1081" s="19">
        <v>18</v>
      </c>
      <c r="E1081">
        <v>176</v>
      </c>
      <c r="F1081" t="s">
        <v>14</v>
      </c>
      <c r="H1081">
        <v>0</v>
      </c>
    </row>
    <row r="1082" spans="1:9" x14ac:dyDescent="0.2">
      <c r="A1082" t="str">
        <f t="shared" si="263"/>
        <v>37135Haapiti18177Autres</v>
      </c>
      <c r="B1082" s="1">
        <v>37135</v>
      </c>
      <c r="C1082" t="s">
        <v>25</v>
      </c>
      <c r="D1082" s="19">
        <v>18</v>
      </c>
      <c r="E1082">
        <v>177</v>
      </c>
      <c r="F1082" t="s">
        <v>14</v>
      </c>
      <c r="H1082">
        <v>0</v>
      </c>
    </row>
    <row r="1083" spans="1:9" x14ac:dyDescent="0.2">
      <c r="A1083" t="str">
        <f t="shared" si="263"/>
        <v>37135Haapiti18178Autres</v>
      </c>
      <c r="B1083" s="1">
        <v>37135</v>
      </c>
      <c r="C1083" t="s">
        <v>25</v>
      </c>
      <c r="D1083" s="19">
        <v>18</v>
      </c>
      <c r="E1083">
        <v>178</v>
      </c>
      <c r="F1083" t="s">
        <v>14</v>
      </c>
      <c r="H1083">
        <v>0</v>
      </c>
    </row>
    <row r="1084" spans="1:9" x14ac:dyDescent="0.2">
      <c r="A1084" t="str">
        <f t="shared" si="263"/>
        <v>37135Haapiti18179Autres</v>
      </c>
      <c r="B1084" s="1">
        <v>37135</v>
      </c>
      <c r="C1084" t="s">
        <v>25</v>
      </c>
      <c r="D1084" s="19">
        <v>18</v>
      </c>
      <c r="E1084">
        <v>179</v>
      </c>
      <c r="F1084" t="s">
        <v>14</v>
      </c>
      <c r="H1084">
        <v>0</v>
      </c>
    </row>
    <row r="1085" spans="1:9" x14ac:dyDescent="0.2">
      <c r="A1085" t="str">
        <f t="shared" si="263"/>
        <v>37135Haapiti18180AcroporidaeDessus</v>
      </c>
      <c r="B1085" s="1">
        <v>37135</v>
      </c>
      <c r="C1085" t="s">
        <v>25</v>
      </c>
      <c r="D1085" s="19">
        <v>18</v>
      </c>
      <c r="E1085">
        <v>180</v>
      </c>
      <c r="F1085" t="s">
        <v>17</v>
      </c>
      <c r="G1085" t="s">
        <v>11</v>
      </c>
      <c r="H1085">
        <v>1</v>
      </c>
      <c r="I1085" t="s">
        <v>27</v>
      </c>
    </row>
    <row r="1086" spans="1:9" x14ac:dyDescent="0.2">
      <c r="A1086" t="str">
        <f t="shared" si="263"/>
        <v>37226Vaipahu61AcroporidaeDessous</v>
      </c>
      <c r="B1086" s="1">
        <v>37226</v>
      </c>
      <c r="C1086" t="s">
        <v>23</v>
      </c>
      <c r="D1086" s="19">
        <v>6</v>
      </c>
      <c r="E1086">
        <v>1</v>
      </c>
      <c r="F1086" t="s">
        <v>17</v>
      </c>
      <c r="G1086" t="s">
        <v>8</v>
      </c>
      <c r="H1086">
        <v>1</v>
      </c>
      <c r="I1086" t="s">
        <v>27</v>
      </c>
    </row>
    <row r="1087" spans="1:9" x14ac:dyDescent="0.2">
      <c r="A1087" t="str">
        <f t="shared" ref="A1087:A1150" si="264">B1087 &amp; C1087&amp; D1087&amp; E1087 &amp; F1087 &amp;G1087</f>
        <v>37226Vaipahu61PocilloporidaeDessous</v>
      </c>
      <c r="B1087" s="1">
        <v>37226</v>
      </c>
      <c r="C1087" t="s">
        <v>23</v>
      </c>
      <c r="D1087" s="19">
        <v>6</v>
      </c>
      <c r="E1087">
        <v>1</v>
      </c>
      <c r="F1087" t="s">
        <v>10</v>
      </c>
      <c r="G1087" t="s">
        <v>8</v>
      </c>
      <c r="H1087">
        <v>1</v>
      </c>
      <c r="I1087" t="s">
        <v>27</v>
      </c>
    </row>
    <row r="1088" spans="1:9" x14ac:dyDescent="0.2">
      <c r="A1088" t="str">
        <f t="shared" si="264"/>
        <v>37226Vaipahu62AcroporidaeDessous</v>
      </c>
      <c r="B1088" s="1">
        <v>37226</v>
      </c>
      <c r="C1088" t="s">
        <v>23</v>
      </c>
      <c r="D1088" s="19">
        <v>6</v>
      </c>
      <c r="E1088">
        <v>2</v>
      </c>
      <c r="F1088" t="s">
        <v>17</v>
      </c>
      <c r="G1088" t="s">
        <v>8</v>
      </c>
      <c r="H1088">
        <v>1</v>
      </c>
      <c r="I1088" t="s">
        <v>27</v>
      </c>
    </row>
    <row r="1089" spans="1:9" x14ac:dyDescent="0.2">
      <c r="A1089" t="str">
        <f t="shared" si="264"/>
        <v>37226Vaipahu62PocilloporidaeDessous</v>
      </c>
      <c r="B1089" s="1">
        <v>37226</v>
      </c>
      <c r="C1089" t="s">
        <v>23</v>
      </c>
      <c r="D1089" s="19">
        <v>6</v>
      </c>
      <c r="E1089">
        <v>2</v>
      </c>
      <c r="F1089" t="s">
        <v>10</v>
      </c>
      <c r="G1089" t="s">
        <v>8</v>
      </c>
      <c r="H1089">
        <v>1</v>
      </c>
      <c r="I1089" t="s">
        <v>27</v>
      </c>
    </row>
    <row r="1090" spans="1:9" x14ac:dyDescent="0.2">
      <c r="A1090" t="str">
        <f t="shared" si="264"/>
        <v>37226Vaipahu63PocilloporidaeDessous</v>
      </c>
      <c r="B1090" s="1">
        <v>37226</v>
      </c>
      <c r="C1090" t="s">
        <v>23</v>
      </c>
      <c r="D1090" s="19">
        <v>6</v>
      </c>
      <c r="E1090">
        <v>3</v>
      </c>
      <c r="F1090" t="s">
        <v>10</v>
      </c>
      <c r="G1090" t="s">
        <v>8</v>
      </c>
      <c r="H1090">
        <v>2</v>
      </c>
      <c r="I1090" t="s">
        <v>27</v>
      </c>
    </row>
    <row r="1091" spans="1:9" x14ac:dyDescent="0.2">
      <c r="A1091" t="str">
        <f t="shared" si="264"/>
        <v>37226Vaipahu64AcroporidaeDessous</v>
      </c>
      <c r="B1091" s="1">
        <v>37226</v>
      </c>
      <c r="C1091" t="s">
        <v>23</v>
      </c>
      <c r="D1091" s="19">
        <v>6</v>
      </c>
      <c r="E1091">
        <v>4</v>
      </c>
      <c r="F1091" t="s">
        <v>17</v>
      </c>
      <c r="G1091" t="s">
        <v>8</v>
      </c>
      <c r="H1091">
        <v>1</v>
      </c>
      <c r="I1091" t="s">
        <v>27</v>
      </c>
    </row>
    <row r="1092" spans="1:9" x14ac:dyDescent="0.2">
      <c r="A1092" t="str">
        <f t="shared" si="264"/>
        <v>37226Vaipahu64PocilloporidaeDessous</v>
      </c>
      <c r="B1092" s="1">
        <v>37226</v>
      </c>
      <c r="C1092" t="s">
        <v>23</v>
      </c>
      <c r="D1092" s="19">
        <v>6</v>
      </c>
      <c r="E1092">
        <v>4</v>
      </c>
      <c r="F1092" t="s">
        <v>10</v>
      </c>
      <c r="G1092" t="s">
        <v>8</v>
      </c>
      <c r="H1092">
        <v>6</v>
      </c>
      <c r="I1092" t="s">
        <v>27</v>
      </c>
    </row>
    <row r="1093" spans="1:9" x14ac:dyDescent="0.2">
      <c r="A1093" t="str">
        <f t="shared" si="264"/>
        <v>37226Vaipahu64PoritidaeBords</v>
      </c>
      <c r="B1093" s="1">
        <v>37226</v>
      </c>
      <c r="C1093" t="s">
        <v>23</v>
      </c>
      <c r="D1093" s="19">
        <v>6</v>
      </c>
      <c r="E1093">
        <v>4</v>
      </c>
      <c r="F1093" t="s">
        <v>7</v>
      </c>
      <c r="G1093" t="s">
        <v>13</v>
      </c>
      <c r="H1093">
        <v>1</v>
      </c>
      <c r="I1093" t="s">
        <v>27</v>
      </c>
    </row>
    <row r="1094" spans="1:9" x14ac:dyDescent="0.2">
      <c r="A1094" t="str">
        <f t="shared" si="264"/>
        <v>37226Vaipahu65PocilloporidaeDessous</v>
      </c>
      <c r="B1094" s="1">
        <v>37226</v>
      </c>
      <c r="C1094" t="s">
        <v>23</v>
      </c>
      <c r="D1094" s="19">
        <v>6</v>
      </c>
      <c r="E1094">
        <v>5</v>
      </c>
      <c r="F1094" t="s">
        <v>10</v>
      </c>
      <c r="G1094" t="s">
        <v>8</v>
      </c>
      <c r="H1094">
        <v>4</v>
      </c>
      <c r="I1094" t="s">
        <v>27</v>
      </c>
    </row>
    <row r="1095" spans="1:9" x14ac:dyDescent="0.2">
      <c r="A1095" t="str">
        <f t="shared" si="264"/>
        <v>37226Vaipahu66Autres</v>
      </c>
      <c r="B1095" s="1">
        <v>37226</v>
      </c>
      <c r="C1095" t="s">
        <v>23</v>
      </c>
      <c r="D1095" s="19">
        <v>6</v>
      </c>
      <c r="E1095">
        <v>6</v>
      </c>
      <c r="F1095" t="s">
        <v>14</v>
      </c>
      <c r="H1095">
        <v>0</v>
      </c>
    </row>
    <row r="1096" spans="1:9" x14ac:dyDescent="0.2">
      <c r="A1096" t="str">
        <f t="shared" si="264"/>
        <v>37226Vaipahu67Autres</v>
      </c>
      <c r="B1096" s="1">
        <v>37226</v>
      </c>
      <c r="C1096" t="s">
        <v>23</v>
      </c>
      <c r="D1096" s="19">
        <v>6</v>
      </c>
      <c r="E1096">
        <v>7</v>
      </c>
      <c r="F1096" t="s">
        <v>14</v>
      </c>
      <c r="H1096">
        <v>0</v>
      </c>
    </row>
    <row r="1097" spans="1:9" x14ac:dyDescent="0.2">
      <c r="A1097" t="str">
        <f t="shared" si="264"/>
        <v>37226Vaipahu68PocilloporidaeBords</v>
      </c>
      <c r="B1097" s="1">
        <v>37226</v>
      </c>
      <c r="C1097" t="s">
        <v>23</v>
      </c>
      <c r="D1097" s="19">
        <v>6</v>
      </c>
      <c r="E1097">
        <v>8</v>
      </c>
      <c r="F1097" t="s">
        <v>10</v>
      </c>
      <c r="G1097" t="s">
        <v>13</v>
      </c>
      <c r="H1097">
        <v>1</v>
      </c>
      <c r="I1097" t="s">
        <v>27</v>
      </c>
    </row>
    <row r="1098" spans="1:9" x14ac:dyDescent="0.2">
      <c r="A1098" t="str">
        <f t="shared" si="264"/>
        <v>37226Vaipahu68PocilloporidaeDessous</v>
      </c>
      <c r="B1098" s="1">
        <v>37226</v>
      </c>
      <c r="C1098" t="s">
        <v>23</v>
      </c>
      <c r="D1098" s="19">
        <v>6</v>
      </c>
      <c r="E1098">
        <v>8</v>
      </c>
      <c r="F1098" t="s">
        <v>10</v>
      </c>
      <c r="G1098" t="s">
        <v>8</v>
      </c>
      <c r="H1098">
        <v>1</v>
      </c>
      <c r="I1098" t="s">
        <v>27</v>
      </c>
    </row>
    <row r="1099" spans="1:9" x14ac:dyDescent="0.2">
      <c r="A1099" t="str">
        <f t="shared" si="264"/>
        <v>37226Vaipahu69PocilloporidaeBords</v>
      </c>
      <c r="B1099" s="1">
        <v>37226</v>
      </c>
      <c r="C1099" t="s">
        <v>23</v>
      </c>
      <c r="D1099" s="19">
        <v>6</v>
      </c>
      <c r="E1099">
        <v>9</v>
      </c>
      <c r="F1099" t="s">
        <v>10</v>
      </c>
      <c r="G1099" t="s">
        <v>13</v>
      </c>
      <c r="H1099">
        <v>1</v>
      </c>
      <c r="I1099" t="s">
        <v>27</v>
      </c>
    </row>
    <row r="1100" spans="1:9" x14ac:dyDescent="0.2">
      <c r="A1100" t="str">
        <f t="shared" si="264"/>
        <v>37226Vaipahu69PocilloporidaeDessous</v>
      </c>
      <c r="B1100" s="1">
        <v>37226</v>
      </c>
      <c r="C1100" t="s">
        <v>23</v>
      </c>
      <c r="D1100" s="19">
        <v>6</v>
      </c>
      <c r="E1100">
        <v>9</v>
      </c>
      <c r="F1100" t="s">
        <v>10</v>
      </c>
      <c r="G1100" t="s">
        <v>8</v>
      </c>
      <c r="H1100">
        <v>3</v>
      </c>
      <c r="I1100" t="s">
        <v>27</v>
      </c>
    </row>
    <row r="1101" spans="1:9" x14ac:dyDescent="0.2">
      <c r="A1101" t="str">
        <f t="shared" si="264"/>
        <v>37226Vaipahu610</v>
      </c>
      <c r="B1101" s="1">
        <v>37226</v>
      </c>
      <c r="C1101" t="s">
        <v>23</v>
      </c>
      <c r="D1101" s="19">
        <v>6</v>
      </c>
      <c r="E1101">
        <v>10</v>
      </c>
      <c r="F1101" t="s">
        <v>27</v>
      </c>
      <c r="G1101" t="s">
        <v>27</v>
      </c>
      <c r="H1101" t="s">
        <v>27</v>
      </c>
      <c r="I1101" t="s">
        <v>31</v>
      </c>
    </row>
    <row r="1102" spans="1:9" x14ac:dyDescent="0.2">
      <c r="A1102" t="str">
        <f t="shared" si="264"/>
        <v>37226Vaipahu611PocilloporidaeBords</v>
      </c>
      <c r="B1102" s="1">
        <v>37226</v>
      </c>
      <c r="C1102" t="s">
        <v>23</v>
      </c>
      <c r="D1102" s="19">
        <v>6</v>
      </c>
      <c r="E1102">
        <v>11</v>
      </c>
      <c r="F1102" t="s">
        <v>10</v>
      </c>
      <c r="G1102" t="s">
        <v>13</v>
      </c>
      <c r="H1102">
        <v>2</v>
      </c>
      <c r="I1102" t="s">
        <v>27</v>
      </c>
    </row>
    <row r="1103" spans="1:9" x14ac:dyDescent="0.2">
      <c r="A1103" t="str">
        <f t="shared" si="264"/>
        <v>37226Vaipahu612PocilloporidaeDessous</v>
      </c>
      <c r="B1103" s="1">
        <v>37226</v>
      </c>
      <c r="C1103" t="s">
        <v>23</v>
      </c>
      <c r="D1103" s="19">
        <v>6</v>
      </c>
      <c r="E1103">
        <v>12</v>
      </c>
      <c r="F1103" t="s">
        <v>10</v>
      </c>
      <c r="G1103" t="s">
        <v>8</v>
      </c>
      <c r="H1103">
        <v>2</v>
      </c>
      <c r="I1103" t="s">
        <v>27</v>
      </c>
    </row>
    <row r="1104" spans="1:9" x14ac:dyDescent="0.2">
      <c r="A1104" t="str">
        <f t="shared" si="264"/>
        <v>37226Vaipahu612PoritidaeBords</v>
      </c>
      <c r="B1104" s="1">
        <v>37226</v>
      </c>
      <c r="C1104" t="s">
        <v>23</v>
      </c>
      <c r="D1104" s="19">
        <v>6</v>
      </c>
      <c r="E1104">
        <v>12</v>
      </c>
      <c r="F1104" t="s">
        <v>7</v>
      </c>
      <c r="G1104" t="s">
        <v>13</v>
      </c>
      <c r="H1104">
        <v>1</v>
      </c>
      <c r="I1104" t="s">
        <v>27</v>
      </c>
    </row>
    <row r="1105" spans="1:9" x14ac:dyDescent="0.2">
      <c r="A1105" t="str">
        <f t="shared" si="264"/>
        <v>37226Vaipahu613PocilloporidaeBords</v>
      </c>
      <c r="B1105" s="1">
        <v>37226</v>
      </c>
      <c r="C1105" t="s">
        <v>23</v>
      </c>
      <c r="D1105" s="19">
        <v>6</v>
      </c>
      <c r="E1105">
        <v>13</v>
      </c>
      <c r="F1105" t="s">
        <v>10</v>
      </c>
      <c r="G1105" t="s">
        <v>13</v>
      </c>
      <c r="H1105">
        <v>1</v>
      </c>
      <c r="I1105" t="s">
        <v>27</v>
      </c>
    </row>
    <row r="1106" spans="1:9" x14ac:dyDescent="0.2">
      <c r="A1106" t="str">
        <f t="shared" si="264"/>
        <v>37226Vaipahu613PoritidaeDessous</v>
      </c>
      <c r="B1106" s="1">
        <v>37226</v>
      </c>
      <c r="C1106" t="s">
        <v>23</v>
      </c>
      <c r="D1106" s="19">
        <v>6</v>
      </c>
      <c r="E1106">
        <v>13</v>
      </c>
      <c r="F1106" t="s">
        <v>7</v>
      </c>
      <c r="G1106" t="s">
        <v>8</v>
      </c>
      <c r="H1106">
        <v>1</v>
      </c>
      <c r="I1106" t="s">
        <v>27</v>
      </c>
    </row>
    <row r="1107" spans="1:9" x14ac:dyDescent="0.2">
      <c r="A1107" t="str">
        <f t="shared" si="264"/>
        <v>37226Vaipahu614PoritidaeBords</v>
      </c>
      <c r="B1107" s="1">
        <v>37226</v>
      </c>
      <c r="C1107" t="s">
        <v>23</v>
      </c>
      <c r="D1107" s="19">
        <v>6</v>
      </c>
      <c r="E1107">
        <v>14</v>
      </c>
      <c r="F1107" t="s">
        <v>7</v>
      </c>
      <c r="G1107" t="s">
        <v>13</v>
      </c>
      <c r="H1107">
        <v>1</v>
      </c>
      <c r="I1107" t="s">
        <v>27</v>
      </c>
    </row>
    <row r="1108" spans="1:9" x14ac:dyDescent="0.2">
      <c r="A1108" t="str">
        <f t="shared" si="264"/>
        <v>37226Vaipahu615PocilloporidaeBords</v>
      </c>
      <c r="B1108" s="1">
        <v>37226</v>
      </c>
      <c r="C1108" t="s">
        <v>23</v>
      </c>
      <c r="D1108" s="19">
        <v>6</v>
      </c>
      <c r="E1108">
        <v>15</v>
      </c>
      <c r="F1108" t="s">
        <v>10</v>
      </c>
      <c r="G1108" t="s">
        <v>13</v>
      </c>
      <c r="H1108">
        <v>1</v>
      </c>
      <c r="I1108" t="s">
        <v>27</v>
      </c>
    </row>
    <row r="1109" spans="1:9" x14ac:dyDescent="0.2">
      <c r="A1109" t="str">
        <f t="shared" si="264"/>
        <v>37226Vaipahu615PocilloporidaeDessus</v>
      </c>
      <c r="B1109" s="1">
        <v>37226</v>
      </c>
      <c r="C1109" t="s">
        <v>23</v>
      </c>
      <c r="D1109" s="19">
        <v>6</v>
      </c>
      <c r="E1109">
        <v>15</v>
      </c>
      <c r="F1109" t="s">
        <v>10</v>
      </c>
      <c r="G1109" t="s">
        <v>11</v>
      </c>
      <c r="H1109">
        <v>1</v>
      </c>
      <c r="I1109" t="s">
        <v>27</v>
      </c>
    </row>
    <row r="1110" spans="1:9" x14ac:dyDescent="0.2">
      <c r="A1110" t="str">
        <f t="shared" si="264"/>
        <v>37226Vaipahu615PoritidaeDessus</v>
      </c>
      <c r="B1110" s="1">
        <v>37226</v>
      </c>
      <c r="C1110" t="s">
        <v>23</v>
      </c>
      <c r="D1110" s="19">
        <v>6</v>
      </c>
      <c r="E1110">
        <v>15</v>
      </c>
      <c r="F1110" t="s">
        <v>7</v>
      </c>
      <c r="G1110" t="s">
        <v>11</v>
      </c>
      <c r="H1110">
        <v>4</v>
      </c>
      <c r="I1110" t="s">
        <v>27</v>
      </c>
    </row>
    <row r="1111" spans="1:9" x14ac:dyDescent="0.2">
      <c r="A1111" t="str">
        <f t="shared" si="264"/>
        <v>37226Vaipahu616CassésBords</v>
      </c>
      <c r="B1111" s="1">
        <v>37226</v>
      </c>
      <c r="C1111" t="s">
        <v>23</v>
      </c>
      <c r="D1111" s="19">
        <v>6</v>
      </c>
      <c r="E1111">
        <v>16</v>
      </c>
      <c r="F1111" t="s">
        <v>12</v>
      </c>
      <c r="G1111" t="s">
        <v>13</v>
      </c>
      <c r="H1111">
        <v>1</v>
      </c>
      <c r="I1111" t="s">
        <v>27</v>
      </c>
    </row>
    <row r="1112" spans="1:9" x14ac:dyDescent="0.2">
      <c r="A1112" t="str">
        <f t="shared" si="264"/>
        <v>37226Vaipahu616PocilloporidaeDessous</v>
      </c>
      <c r="B1112" s="1">
        <v>37226</v>
      </c>
      <c r="C1112" t="s">
        <v>23</v>
      </c>
      <c r="D1112" s="19">
        <v>6</v>
      </c>
      <c r="E1112">
        <v>16</v>
      </c>
      <c r="F1112" t="s">
        <v>10</v>
      </c>
      <c r="G1112" t="s">
        <v>8</v>
      </c>
      <c r="H1112">
        <v>2</v>
      </c>
      <c r="I1112" t="s">
        <v>27</v>
      </c>
    </row>
    <row r="1113" spans="1:9" x14ac:dyDescent="0.2">
      <c r="A1113" t="str">
        <f t="shared" si="264"/>
        <v>37226Vaipahu616PoritidaeDessous</v>
      </c>
      <c r="B1113" s="1">
        <v>37226</v>
      </c>
      <c r="C1113" t="s">
        <v>23</v>
      </c>
      <c r="D1113" s="19">
        <v>6</v>
      </c>
      <c r="E1113">
        <v>16</v>
      </c>
      <c r="F1113" t="s">
        <v>7</v>
      </c>
      <c r="G1113" t="s">
        <v>8</v>
      </c>
      <c r="H1113">
        <v>1</v>
      </c>
      <c r="I1113" t="s">
        <v>27</v>
      </c>
    </row>
    <row r="1114" spans="1:9" x14ac:dyDescent="0.2">
      <c r="A1114" t="str">
        <f t="shared" si="264"/>
        <v>37226Vaipahu617PocilloporidaeBords</v>
      </c>
      <c r="B1114" s="1">
        <v>37226</v>
      </c>
      <c r="C1114" t="s">
        <v>23</v>
      </c>
      <c r="D1114" s="19">
        <v>6</v>
      </c>
      <c r="E1114">
        <v>17</v>
      </c>
      <c r="F1114" t="s">
        <v>10</v>
      </c>
      <c r="G1114" t="s">
        <v>13</v>
      </c>
      <c r="H1114">
        <v>3</v>
      </c>
      <c r="I1114" t="s">
        <v>27</v>
      </c>
    </row>
    <row r="1115" spans="1:9" x14ac:dyDescent="0.2">
      <c r="A1115" t="str">
        <f t="shared" si="264"/>
        <v>37226Vaipahu617PoritidaeBords</v>
      </c>
      <c r="B1115" s="1">
        <v>37226</v>
      </c>
      <c r="C1115" t="s">
        <v>23</v>
      </c>
      <c r="D1115" s="19">
        <v>6</v>
      </c>
      <c r="E1115">
        <v>17</v>
      </c>
      <c r="F1115" t="s">
        <v>7</v>
      </c>
      <c r="G1115" t="s">
        <v>13</v>
      </c>
      <c r="H1115">
        <v>2</v>
      </c>
      <c r="I1115" t="s">
        <v>27</v>
      </c>
    </row>
    <row r="1116" spans="1:9" x14ac:dyDescent="0.2">
      <c r="A1116" t="str">
        <f t="shared" si="264"/>
        <v>37226Vaipahu618PocilloporidaeDessous</v>
      </c>
      <c r="B1116" s="1">
        <v>37226</v>
      </c>
      <c r="C1116" t="s">
        <v>23</v>
      </c>
      <c r="D1116" s="19">
        <v>6</v>
      </c>
      <c r="E1116">
        <v>18</v>
      </c>
      <c r="F1116" t="s">
        <v>10</v>
      </c>
      <c r="G1116" t="s">
        <v>8</v>
      </c>
      <c r="H1116">
        <v>2</v>
      </c>
      <c r="I1116" t="s">
        <v>27</v>
      </c>
    </row>
    <row r="1117" spans="1:9" x14ac:dyDescent="0.2">
      <c r="A1117" t="str">
        <f t="shared" si="264"/>
        <v>37226Vaipahu619AcroporidaeBords</v>
      </c>
      <c r="B1117" s="1">
        <v>37226</v>
      </c>
      <c r="C1117" t="s">
        <v>23</v>
      </c>
      <c r="D1117" s="19">
        <v>6</v>
      </c>
      <c r="E1117">
        <v>19</v>
      </c>
      <c r="F1117" t="s">
        <v>17</v>
      </c>
      <c r="G1117" t="s">
        <v>13</v>
      </c>
      <c r="H1117">
        <v>3</v>
      </c>
      <c r="I1117" t="s">
        <v>27</v>
      </c>
    </row>
    <row r="1118" spans="1:9" x14ac:dyDescent="0.2">
      <c r="A1118" t="str">
        <f t="shared" si="264"/>
        <v>37226Vaipahu619AcroporidaeDessous</v>
      </c>
      <c r="B1118" s="1">
        <v>37226</v>
      </c>
      <c r="C1118" t="s">
        <v>23</v>
      </c>
      <c r="D1118" s="19">
        <v>6</v>
      </c>
      <c r="E1118">
        <v>19</v>
      </c>
      <c r="F1118" t="s">
        <v>17</v>
      </c>
      <c r="G1118" t="s">
        <v>8</v>
      </c>
      <c r="H1118">
        <v>1</v>
      </c>
      <c r="I1118" t="s">
        <v>27</v>
      </c>
    </row>
    <row r="1119" spans="1:9" x14ac:dyDescent="0.2">
      <c r="A1119" t="str">
        <f t="shared" si="264"/>
        <v>37226Vaipahu619PocilloporidaeDessous</v>
      </c>
      <c r="B1119" s="1">
        <v>37226</v>
      </c>
      <c r="C1119" t="s">
        <v>23</v>
      </c>
      <c r="D1119" s="19">
        <v>6</v>
      </c>
      <c r="E1119">
        <v>19</v>
      </c>
      <c r="F1119" t="s">
        <v>10</v>
      </c>
      <c r="G1119" t="s">
        <v>8</v>
      </c>
      <c r="H1119">
        <v>4</v>
      </c>
      <c r="I1119" t="s">
        <v>27</v>
      </c>
    </row>
    <row r="1120" spans="1:9" x14ac:dyDescent="0.2">
      <c r="A1120" t="str">
        <f t="shared" si="264"/>
        <v>37226Vaipahu619PoritidaeDessous</v>
      </c>
      <c r="B1120" s="1">
        <v>37226</v>
      </c>
      <c r="C1120" t="s">
        <v>23</v>
      </c>
      <c r="D1120" s="19">
        <v>6</v>
      </c>
      <c r="E1120">
        <v>19</v>
      </c>
      <c r="F1120" t="s">
        <v>7</v>
      </c>
      <c r="G1120" t="s">
        <v>8</v>
      </c>
      <c r="H1120">
        <v>1</v>
      </c>
      <c r="I1120" t="s">
        <v>27</v>
      </c>
    </row>
    <row r="1121" spans="1:9" x14ac:dyDescent="0.2">
      <c r="A1121" t="str">
        <f t="shared" si="264"/>
        <v>37226Vaipahu620AcroporidaeBords</v>
      </c>
      <c r="B1121" s="1">
        <v>37226</v>
      </c>
      <c r="C1121" t="s">
        <v>23</v>
      </c>
      <c r="D1121" s="19">
        <v>6</v>
      </c>
      <c r="E1121">
        <v>20</v>
      </c>
      <c r="F1121" t="s">
        <v>17</v>
      </c>
      <c r="G1121" t="s">
        <v>13</v>
      </c>
      <c r="H1121">
        <v>1</v>
      </c>
      <c r="I1121" t="s">
        <v>27</v>
      </c>
    </row>
    <row r="1122" spans="1:9" x14ac:dyDescent="0.2">
      <c r="A1122" t="str">
        <f t="shared" si="264"/>
        <v>37226Vaipahu620PocilloporidaeBords</v>
      </c>
      <c r="B1122" s="1">
        <v>37226</v>
      </c>
      <c r="C1122" t="s">
        <v>23</v>
      </c>
      <c r="D1122" s="19">
        <v>6</v>
      </c>
      <c r="E1122">
        <v>20</v>
      </c>
      <c r="F1122" t="s">
        <v>10</v>
      </c>
      <c r="G1122" t="s">
        <v>13</v>
      </c>
      <c r="H1122">
        <v>3</v>
      </c>
      <c r="I1122" t="s">
        <v>27</v>
      </c>
    </row>
    <row r="1123" spans="1:9" x14ac:dyDescent="0.2">
      <c r="A1123" t="str">
        <f t="shared" si="264"/>
        <v>37226Vaipahu620PocilloporidaeDessous</v>
      </c>
      <c r="B1123" s="1">
        <v>37226</v>
      </c>
      <c r="C1123" t="s">
        <v>23</v>
      </c>
      <c r="D1123" s="19">
        <v>6</v>
      </c>
      <c r="E1123">
        <v>20</v>
      </c>
      <c r="F1123" t="s">
        <v>10</v>
      </c>
      <c r="G1123" t="s">
        <v>8</v>
      </c>
      <c r="H1123">
        <v>2</v>
      </c>
      <c r="I1123" t="s">
        <v>27</v>
      </c>
    </row>
    <row r="1124" spans="1:9" x14ac:dyDescent="0.2">
      <c r="A1124" t="str">
        <f t="shared" si="264"/>
        <v>37226Vaipahu620PocilloporidaeDessus</v>
      </c>
      <c r="B1124" s="1">
        <v>37226</v>
      </c>
      <c r="C1124" t="s">
        <v>23</v>
      </c>
      <c r="D1124" s="19">
        <v>6</v>
      </c>
      <c r="E1124">
        <v>20</v>
      </c>
      <c r="F1124" t="s">
        <v>10</v>
      </c>
      <c r="G1124" t="s">
        <v>11</v>
      </c>
      <c r="H1124">
        <v>1</v>
      </c>
      <c r="I1124" t="s">
        <v>27</v>
      </c>
    </row>
    <row r="1125" spans="1:9" x14ac:dyDescent="0.2">
      <c r="A1125" t="str">
        <f t="shared" si="264"/>
        <v>37226Vaipahu1221AcroporidaeDessus</v>
      </c>
      <c r="B1125" s="1">
        <v>37226</v>
      </c>
      <c r="C1125" t="s">
        <v>23</v>
      </c>
      <c r="D1125" s="19">
        <v>12</v>
      </c>
      <c r="E1125">
        <v>21</v>
      </c>
      <c r="F1125" t="s">
        <v>17</v>
      </c>
      <c r="G1125" t="s">
        <v>11</v>
      </c>
      <c r="H1125">
        <v>1</v>
      </c>
      <c r="I1125" t="s">
        <v>27</v>
      </c>
    </row>
    <row r="1126" spans="1:9" x14ac:dyDescent="0.2">
      <c r="A1126" t="str">
        <f t="shared" si="264"/>
        <v>37226Vaipahu1221PocilloporidaeDessus</v>
      </c>
      <c r="B1126" s="1">
        <v>37226</v>
      </c>
      <c r="C1126" t="s">
        <v>23</v>
      </c>
      <c r="D1126" s="19">
        <v>12</v>
      </c>
      <c r="E1126">
        <v>21</v>
      </c>
      <c r="F1126" t="s">
        <v>10</v>
      </c>
      <c r="G1126" t="s">
        <v>11</v>
      </c>
      <c r="H1126">
        <v>1</v>
      </c>
      <c r="I1126" t="s">
        <v>27</v>
      </c>
    </row>
    <row r="1127" spans="1:9" x14ac:dyDescent="0.2">
      <c r="A1127" t="str">
        <f t="shared" si="264"/>
        <v>37226Vaipahu1222AcroporidaeBords</v>
      </c>
      <c r="B1127" s="1">
        <v>37226</v>
      </c>
      <c r="C1127" t="s">
        <v>23</v>
      </c>
      <c r="D1127" s="19">
        <v>12</v>
      </c>
      <c r="E1127">
        <v>22</v>
      </c>
      <c r="F1127" t="s">
        <v>17</v>
      </c>
      <c r="G1127" t="s">
        <v>13</v>
      </c>
      <c r="H1127">
        <v>1</v>
      </c>
      <c r="I1127" t="s">
        <v>27</v>
      </c>
    </row>
    <row r="1128" spans="1:9" x14ac:dyDescent="0.2">
      <c r="A1128" t="str">
        <f t="shared" si="264"/>
        <v>37226Vaipahu1222AcroporidaeDessous</v>
      </c>
      <c r="B1128" s="1">
        <v>37226</v>
      </c>
      <c r="C1128" t="s">
        <v>23</v>
      </c>
      <c r="D1128" s="19">
        <v>12</v>
      </c>
      <c r="E1128">
        <v>22</v>
      </c>
      <c r="F1128" t="s">
        <v>17</v>
      </c>
      <c r="G1128" t="s">
        <v>8</v>
      </c>
      <c r="H1128">
        <v>2</v>
      </c>
      <c r="I1128" t="s">
        <v>27</v>
      </c>
    </row>
    <row r="1129" spans="1:9" x14ac:dyDescent="0.2">
      <c r="A1129" t="str">
        <f t="shared" si="264"/>
        <v>37226Vaipahu1222PocilloporidaeDessous</v>
      </c>
      <c r="B1129" s="1">
        <v>37226</v>
      </c>
      <c r="C1129" t="s">
        <v>23</v>
      </c>
      <c r="D1129" s="19">
        <v>12</v>
      </c>
      <c r="E1129">
        <v>22</v>
      </c>
      <c r="F1129" t="s">
        <v>10</v>
      </c>
      <c r="G1129" t="s">
        <v>8</v>
      </c>
      <c r="H1129">
        <v>2</v>
      </c>
      <c r="I1129" t="s">
        <v>27</v>
      </c>
    </row>
    <row r="1130" spans="1:9" x14ac:dyDescent="0.2">
      <c r="A1130" t="str">
        <f t="shared" si="264"/>
        <v>37226Vaipahu1222PoritidaeDessous</v>
      </c>
      <c r="B1130" s="1">
        <v>37226</v>
      </c>
      <c r="C1130" t="s">
        <v>23</v>
      </c>
      <c r="D1130" s="19">
        <v>12</v>
      </c>
      <c r="E1130">
        <v>22</v>
      </c>
      <c r="F1130" t="s">
        <v>7</v>
      </c>
      <c r="G1130" t="s">
        <v>8</v>
      </c>
      <c r="H1130">
        <v>1</v>
      </c>
      <c r="I1130" t="s">
        <v>27</v>
      </c>
    </row>
    <row r="1131" spans="1:9" x14ac:dyDescent="0.2">
      <c r="A1131" t="str">
        <f t="shared" si="264"/>
        <v>37226Vaipahu1223CassésBords</v>
      </c>
      <c r="B1131" s="1">
        <v>37226</v>
      </c>
      <c r="C1131" t="s">
        <v>23</v>
      </c>
      <c r="D1131" s="19">
        <v>12</v>
      </c>
      <c r="E1131">
        <v>23</v>
      </c>
      <c r="F1131" t="s">
        <v>12</v>
      </c>
      <c r="G1131" t="s">
        <v>13</v>
      </c>
      <c r="H1131">
        <v>1</v>
      </c>
      <c r="I1131" t="s">
        <v>27</v>
      </c>
    </row>
    <row r="1132" spans="1:9" x14ac:dyDescent="0.2">
      <c r="A1132" t="str">
        <f t="shared" si="264"/>
        <v>37226Vaipahu1223CassésDessus</v>
      </c>
      <c r="B1132" s="1">
        <v>37226</v>
      </c>
      <c r="C1132" t="s">
        <v>23</v>
      </c>
      <c r="D1132" s="19">
        <v>12</v>
      </c>
      <c r="E1132">
        <v>23</v>
      </c>
      <c r="F1132" t="s">
        <v>12</v>
      </c>
      <c r="G1132" t="s">
        <v>11</v>
      </c>
      <c r="H1132">
        <v>1</v>
      </c>
      <c r="I1132" t="s">
        <v>27</v>
      </c>
    </row>
    <row r="1133" spans="1:9" x14ac:dyDescent="0.2">
      <c r="A1133" t="str">
        <f t="shared" si="264"/>
        <v>37226Vaipahu1223PocilloporidaeBords</v>
      </c>
      <c r="B1133" s="1">
        <v>37226</v>
      </c>
      <c r="C1133" t="s">
        <v>23</v>
      </c>
      <c r="D1133" s="19">
        <v>12</v>
      </c>
      <c r="E1133">
        <v>23</v>
      </c>
      <c r="F1133" t="s">
        <v>10</v>
      </c>
      <c r="G1133" t="s">
        <v>13</v>
      </c>
      <c r="H1133">
        <v>3</v>
      </c>
      <c r="I1133" t="s">
        <v>27</v>
      </c>
    </row>
    <row r="1134" spans="1:9" x14ac:dyDescent="0.2">
      <c r="A1134" t="str">
        <f t="shared" si="264"/>
        <v>37226Vaipahu1223PoritidaeBords</v>
      </c>
      <c r="B1134" s="1">
        <v>37226</v>
      </c>
      <c r="C1134" t="s">
        <v>23</v>
      </c>
      <c r="D1134" s="19">
        <v>12</v>
      </c>
      <c r="E1134">
        <v>23</v>
      </c>
      <c r="F1134" t="s">
        <v>7</v>
      </c>
      <c r="G1134" t="s">
        <v>13</v>
      </c>
      <c r="H1134">
        <v>2</v>
      </c>
      <c r="I1134" t="s">
        <v>27</v>
      </c>
    </row>
    <row r="1135" spans="1:9" x14ac:dyDescent="0.2">
      <c r="A1135" t="str">
        <f t="shared" si="264"/>
        <v>37226Vaipahu1223PoritidaeDessus</v>
      </c>
      <c r="B1135" s="1">
        <v>37226</v>
      </c>
      <c r="C1135" t="s">
        <v>23</v>
      </c>
      <c r="D1135" s="19">
        <v>12</v>
      </c>
      <c r="E1135">
        <v>23</v>
      </c>
      <c r="F1135" t="s">
        <v>7</v>
      </c>
      <c r="G1135" t="s">
        <v>11</v>
      </c>
      <c r="H1135">
        <v>3</v>
      </c>
      <c r="I1135" t="s">
        <v>27</v>
      </c>
    </row>
    <row r="1136" spans="1:9" x14ac:dyDescent="0.2">
      <c r="A1136" t="str">
        <f t="shared" si="264"/>
        <v>37226Vaipahu1224PoritidaeDessous</v>
      </c>
      <c r="B1136" s="1">
        <v>37226</v>
      </c>
      <c r="C1136" t="s">
        <v>23</v>
      </c>
      <c r="D1136" s="19">
        <v>12</v>
      </c>
      <c r="E1136">
        <v>24</v>
      </c>
      <c r="F1136" t="s">
        <v>7</v>
      </c>
      <c r="G1136" t="s">
        <v>8</v>
      </c>
      <c r="H1136">
        <v>1</v>
      </c>
      <c r="I1136" t="s">
        <v>27</v>
      </c>
    </row>
    <row r="1137" spans="1:9" x14ac:dyDescent="0.2">
      <c r="A1137" t="str">
        <f t="shared" si="264"/>
        <v>37226Vaipahu1225AcroporidaeDessous</v>
      </c>
      <c r="B1137" s="1">
        <v>37226</v>
      </c>
      <c r="C1137" t="s">
        <v>23</v>
      </c>
      <c r="D1137" s="19">
        <v>12</v>
      </c>
      <c r="E1137">
        <v>25</v>
      </c>
      <c r="F1137" t="s">
        <v>17</v>
      </c>
      <c r="G1137" t="s">
        <v>8</v>
      </c>
      <c r="H1137">
        <v>2</v>
      </c>
      <c r="I1137" t="s">
        <v>27</v>
      </c>
    </row>
    <row r="1138" spans="1:9" x14ac:dyDescent="0.2">
      <c r="A1138" t="str">
        <f t="shared" si="264"/>
        <v>37226Vaipahu1225PocilloporidaeDessous</v>
      </c>
      <c r="B1138" s="1">
        <v>37226</v>
      </c>
      <c r="C1138" t="s">
        <v>23</v>
      </c>
      <c r="D1138" s="19">
        <v>12</v>
      </c>
      <c r="E1138">
        <v>25</v>
      </c>
      <c r="F1138" t="s">
        <v>10</v>
      </c>
      <c r="G1138" t="s">
        <v>8</v>
      </c>
      <c r="H1138">
        <v>1</v>
      </c>
      <c r="I1138" t="s">
        <v>27</v>
      </c>
    </row>
    <row r="1139" spans="1:9" x14ac:dyDescent="0.2">
      <c r="A1139" t="str">
        <f t="shared" si="264"/>
        <v>37226Vaipahu1226AcroporidaeDessous</v>
      </c>
      <c r="B1139" s="1">
        <v>37226</v>
      </c>
      <c r="C1139" t="s">
        <v>23</v>
      </c>
      <c r="D1139" s="19">
        <v>12</v>
      </c>
      <c r="E1139">
        <v>26</v>
      </c>
      <c r="F1139" t="s">
        <v>17</v>
      </c>
      <c r="G1139" t="s">
        <v>8</v>
      </c>
      <c r="H1139">
        <v>1</v>
      </c>
      <c r="I1139" t="s">
        <v>27</v>
      </c>
    </row>
    <row r="1140" spans="1:9" x14ac:dyDescent="0.2">
      <c r="A1140" t="str">
        <f t="shared" si="264"/>
        <v>37226Vaipahu1226PocilloporidaeBords</v>
      </c>
      <c r="B1140" s="1">
        <v>37226</v>
      </c>
      <c r="C1140" t="s">
        <v>23</v>
      </c>
      <c r="D1140" s="19">
        <v>12</v>
      </c>
      <c r="E1140">
        <v>26</v>
      </c>
      <c r="F1140" t="s">
        <v>10</v>
      </c>
      <c r="G1140" t="s">
        <v>13</v>
      </c>
      <c r="H1140">
        <v>1</v>
      </c>
      <c r="I1140" t="s">
        <v>27</v>
      </c>
    </row>
    <row r="1141" spans="1:9" x14ac:dyDescent="0.2">
      <c r="A1141" t="str">
        <f t="shared" si="264"/>
        <v>37226Vaipahu1227AcroporidaeDessous</v>
      </c>
      <c r="B1141" s="1">
        <v>37226</v>
      </c>
      <c r="C1141" t="s">
        <v>23</v>
      </c>
      <c r="D1141" s="19">
        <v>12</v>
      </c>
      <c r="E1141">
        <v>27</v>
      </c>
      <c r="F1141" t="s">
        <v>17</v>
      </c>
      <c r="G1141" t="s">
        <v>8</v>
      </c>
      <c r="H1141">
        <v>2</v>
      </c>
      <c r="I1141" t="s">
        <v>27</v>
      </c>
    </row>
    <row r="1142" spans="1:9" x14ac:dyDescent="0.2">
      <c r="A1142" t="str">
        <f t="shared" si="264"/>
        <v>37226Vaipahu1227CassésDessous</v>
      </c>
      <c r="B1142" s="1">
        <v>37226</v>
      </c>
      <c r="C1142" t="s">
        <v>23</v>
      </c>
      <c r="D1142" s="19">
        <v>12</v>
      </c>
      <c r="E1142">
        <v>27</v>
      </c>
      <c r="F1142" t="s">
        <v>12</v>
      </c>
      <c r="G1142" t="s">
        <v>8</v>
      </c>
      <c r="H1142">
        <v>1</v>
      </c>
      <c r="I1142" t="s">
        <v>27</v>
      </c>
    </row>
    <row r="1143" spans="1:9" x14ac:dyDescent="0.2">
      <c r="A1143" t="str">
        <f t="shared" si="264"/>
        <v>37226Vaipahu1228AcroporidaeDessous</v>
      </c>
      <c r="B1143" s="1">
        <v>37226</v>
      </c>
      <c r="C1143" t="s">
        <v>23</v>
      </c>
      <c r="D1143" s="19">
        <v>12</v>
      </c>
      <c r="E1143">
        <v>28</v>
      </c>
      <c r="F1143" t="s">
        <v>17</v>
      </c>
      <c r="G1143" t="s">
        <v>8</v>
      </c>
      <c r="H1143">
        <v>1</v>
      </c>
      <c r="I1143" t="s">
        <v>27</v>
      </c>
    </row>
    <row r="1144" spans="1:9" x14ac:dyDescent="0.2">
      <c r="A1144" t="str">
        <f t="shared" si="264"/>
        <v>37226Vaipahu1228CassésDessous</v>
      </c>
      <c r="B1144" s="1">
        <v>37226</v>
      </c>
      <c r="C1144" t="s">
        <v>23</v>
      </c>
      <c r="D1144" s="19">
        <v>12</v>
      </c>
      <c r="E1144">
        <v>28</v>
      </c>
      <c r="F1144" t="s">
        <v>12</v>
      </c>
      <c r="G1144" t="s">
        <v>8</v>
      </c>
      <c r="H1144">
        <v>1</v>
      </c>
      <c r="I1144" t="s">
        <v>27</v>
      </c>
    </row>
    <row r="1145" spans="1:9" x14ac:dyDescent="0.2">
      <c r="A1145" t="str">
        <f t="shared" si="264"/>
        <v>37226Vaipahu1228PocilloporidaeDessous</v>
      </c>
      <c r="B1145" s="1">
        <v>37226</v>
      </c>
      <c r="C1145" t="s">
        <v>23</v>
      </c>
      <c r="D1145" s="19">
        <v>12</v>
      </c>
      <c r="E1145">
        <v>28</v>
      </c>
      <c r="F1145" t="s">
        <v>10</v>
      </c>
      <c r="G1145" t="s">
        <v>8</v>
      </c>
      <c r="H1145">
        <v>2</v>
      </c>
      <c r="I1145" t="s">
        <v>27</v>
      </c>
    </row>
    <row r="1146" spans="1:9" x14ac:dyDescent="0.2">
      <c r="A1146" t="str">
        <f t="shared" si="264"/>
        <v>37226Vaipahu1228PoritidaeDessous</v>
      </c>
      <c r="B1146" s="1">
        <v>37226</v>
      </c>
      <c r="C1146" t="s">
        <v>23</v>
      </c>
      <c r="D1146" s="19">
        <v>12</v>
      </c>
      <c r="E1146">
        <v>28</v>
      </c>
      <c r="F1146" t="s">
        <v>7</v>
      </c>
      <c r="G1146" t="s">
        <v>8</v>
      </c>
      <c r="H1146">
        <v>2</v>
      </c>
      <c r="I1146" t="s">
        <v>27</v>
      </c>
    </row>
    <row r="1147" spans="1:9" x14ac:dyDescent="0.2">
      <c r="A1147" t="str">
        <f t="shared" si="264"/>
        <v>37226Vaipahu1229AcroporidaeDessous</v>
      </c>
      <c r="B1147" s="1">
        <v>37226</v>
      </c>
      <c r="C1147" t="s">
        <v>23</v>
      </c>
      <c r="D1147" s="19">
        <v>12</v>
      </c>
      <c r="E1147">
        <v>29</v>
      </c>
      <c r="F1147" t="s">
        <v>17</v>
      </c>
      <c r="G1147" t="s">
        <v>8</v>
      </c>
      <c r="H1147">
        <v>1</v>
      </c>
      <c r="I1147" t="s">
        <v>27</v>
      </c>
    </row>
    <row r="1148" spans="1:9" x14ac:dyDescent="0.2">
      <c r="A1148" t="str">
        <f t="shared" si="264"/>
        <v>37226Vaipahu1229CassésDessus</v>
      </c>
      <c r="B1148" s="1">
        <v>37226</v>
      </c>
      <c r="C1148" t="s">
        <v>23</v>
      </c>
      <c r="D1148" s="19">
        <v>12</v>
      </c>
      <c r="E1148">
        <v>29</v>
      </c>
      <c r="F1148" t="s">
        <v>12</v>
      </c>
      <c r="G1148" t="s">
        <v>11</v>
      </c>
      <c r="H1148">
        <v>2</v>
      </c>
      <c r="I1148" t="s">
        <v>27</v>
      </c>
    </row>
    <row r="1149" spans="1:9" x14ac:dyDescent="0.2">
      <c r="A1149" t="str">
        <f t="shared" si="264"/>
        <v>37226Vaipahu1229PocilloporidaeDessous</v>
      </c>
      <c r="B1149" s="1">
        <v>37226</v>
      </c>
      <c r="C1149" t="s">
        <v>23</v>
      </c>
      <c r="D1149" s="19">
        <v>12</v>
      </c>
      <c r="E1149">
        <v>29</v>
      </c>
      <c r="F1149" t="s">
        <v>10</v>
      </c>
      <c r="G1149" t="s">
        <v>8</v>
      </c>
      <c r="H1149">
        <v>1</v>
      </c>
      <c r="I1149" t="s">
        <v>27</v>
      </c>
    </row>
    <row r="1150" spans="1:9" x14ac:dyDescent="0.2">
      <c r="A1150" t="str">
        <f t="shared" si="264"/>
        <v>37226Vaipahu1230AcroporidaeDessus</v>
      </c>
      <c r="B1150" s="1">
        <v>37226</v>
      </c>
      <c r="C1150" t="s">
        <v>23</v>
      </c>
      <c r="D1150" s="19">
        <v>12</v>
      </c>
      <c r="E1150">
        <v>30</v>
      </c>
      <c r="F1150" t="s">
        <v>17</v>
      </c>
      <c r="G1150" t="s">
        <v>11</v>
      </c>
      <c r="H1150">
        <v>1</v>
      </c>
      <c r="I1150" t="s">
        <v>27</v>
      </c>
    </row>
    <row r="1151" spans="1:9" x14ac:dyDescent="0.2">
      <c r="A1151" t="str">
        <f t="shared" ref="A1151:A1214" si="265">B1151 &amp; C1151&amp; D1151&amp; E1151 &amp; F1151 &amp;G1151</f>
        <v>37226Vaipahu1230CassésDessous</v>
      </c>
      <c r="B1151" s="1">
        <v>37226</v>
      </c>
      <c r="C1151" t="s">
        <v>23</v>
      </c>
      <c r="D1151" s="19">
        <v>12</v>
      </c>
      <c r="E1151">
        <v>30</v>
      </c>
      <c r="F1151" t="s">
        <v>12</v>
      </c>
      <c r="G1151" t="s">
        <v>8</v>
      </c>
      <c r="H1151">
        <v>1</v>
      </c>
      <c r="I1151" t="s">
        <v>27</v>
      </c>
    </row>
    <row r="1152" spans="1:9" x14ac:dyDescent="0.2">
      <c r="A1152" t="str">
        <f t="shared" si="265"/>
        <v>37226Vaipahu1230PocilloporidaeDessous</v>
      </c>
      <c r="B1152" s="1">
        <v>37226</v>
      </c>
      <c r="C1152" t="s">
        <v>23</v>
      </c>
      <c r="D1152" s="19">
        <v>12</v>
      </c>
      <c r="E1152">
        <v>30</v>
      </c>
      <c r="F1152" t="s">
        <v>10</v>
      </c>
      <c r="G1152" t="s">
        <v>8</v>
      </c>
      <c r="H1152">
        <v>4</v>
      </c>
      <c r="I1152" t="s">
        <v>27</v>
      </c>
    </row>
    <row r="1153" spans="1:9" x14ac:dyDescent="0.2">
      <c r="A1153" t="str">
        <f t="shared" si="265"/>
        <v>37226Vaipahu1230PoritidaeDessous</v>
      </c>
      <c r="B1153" s="1">
        <v>37226</v>
      </c>
      <c r="C1153" t="s">
        <v>23</v>
      </c>
      <c r="D1153" s="19">
        <v>12</v>
      </c>
      <c r="E1153">
        <v>30</v>
      </c>
      <c r="F1153" t="s">
        <v>7</v>
      </c>
      <c r="G1153" t="s">
        <v>8</v>
      </c>
      <c r="H1153">
        <v>1</v>
      </c>
      <c r="I1153" t="s">
        <v>27</v>
      </c>
    </row>
    <row r="1154" spans="1:9" x14ac:dyDescent="0.2">
      <c r="A1154" t="str">
        <f t="shared" si="265"/>
        <v>37226Vaipahu1231PocilloporidaeBords</v>
      </c>
      <c r="B1154" s="1">
        <v>37226</v>
      </c>
      <c r="C1154" t="s">
        <v>23</v>
      </c>
      <c r="D1154" s="19">
        <v>12</v>
      </c>
      <c r="E1154">
        <v>31</v>
      </c>
      <c r="F1154" t="s">
        <v>10</v>
      </c>
      <c r="G1154" t="s">
        <v>13</v>
      </c>
      <c r="H1154">
        <v>1</v>
      </c>
      <c r="I1154" t="s">
        <v>27</v>
      </c>
    </row>
    <row r="1155" spans="1:9" x14ac:dyDescent="0.2">
      <c r="A1155" t="str">
        <f t="shared" si="265"/>
        <v>37226Vaipahu1232PocilloporidaeDessous</v>
      </c>
      <c r="B1155" s="1">
        <v>37226</v>
      </c>
      <c r="C1155" t="s">
        <v>23</v>
      </c>
      <c r="D1155" s="19">
        <v>12</v>
      </c>
      <c r="E1155">
        <v>32</v>
      </c>
      <c r="F1155" t="s">
        <v>10</v>
      </c>
      <c r="G1155" t="s">
        <v>8</v>
      </c>
      <c r="H1155">
        <v>3</v>
      </c>
      <c r="I1155" t="s">
        <v>27</v>
      </c>
    </row>
    <row r="1156" spans="1:9" x14ac:dyDescent="0.2">
      <c r="A1156" t="str">
        <f t="shared" si="265"/>
        <v>37226Vaipahu1232PocilloporidaeDessus</v>
      </c>
      <c r="B1156" s="1">
        <v>37226</v>
      </c>
      <c r="C1156" t="s">
        <v>23</v>
      </c>
      <c r="D1156" s="19">
        <v>12</v>
      </c>
      <c r="E1156">
        <v>32</v>
      </c>
      <c r="F1156" t="s">
        <v>10</v>
      </c>
      <c r="G1156" t="s">
        <v>11</v>
      </c>
      <c r="H1156">
        <v>2</v>
      </c>
      <c r="I1156" t="s">
        <v>27</v>
      </c>
    </row>
    <row r="1157" spans="1:9" x14ac:dyDescent="0.2">
      <c r="A1157" t="str">
        <f t="shared" si="265"/>
        <v>37226Vaipahu1232PoritidaeDessous</v>
      </c>
      <c r="B1157" s="1">
        <v>37226</v>
      </c>
      <c r="C1157" t="s">
        <v>23</v>
      </c>
      <c r="D1157" s="19">
        <v>12</v>
      </c>
      <c r="E1157">
        <v>32</v>
      </c>
      <c r="F1157" t="s">
        <v>7</v>
      </c>
      <c r="G1157" t="s">
        <v>8</v>
      </c>
      <c r="H1157">
        <v>1</v>
      </c>
      <c r="I1157" t="s">
        <v>27</v>
      </c>
    </row>
    <row r="1158" spans="1:9" x14ac:dyDescent="0.2">
      <c r="A1158" t="str">
        <f t="shared" si="265"/>
        <v>37226Vaipahu1233AcroporidaeBords</v>
      </c>
      <c r="B1158" s="1">
        <v>37226</v>
      </c>
      <c r="C1158" t="s">
        <v>23</v>
      </c>
      <c r="D1158" s="19">
        <v>12</v>
      </c>
      <c r="E1158">
        <v>33</v>
      </c>
      <c r="F1158" t="s">
        <v>17</v>
      </c>
      <c r="G1158" t="s">
        <v>13</v>
      </c>
      <c r="H1158">
        <v>1</v>
      </c>
      <c r="I1158" t="s">
        <v>27</v>
      </c>
    </row>
    <row r="1159" spans="1:9" x14ac:dyDescent="0.2">
      <c r="A1159" t="str">
        <f t="shared" si="265"/>
        <v>37226Vaipahu1233AcroporidaeDessus</v>
      </c>
      <c r="B1159" s="1">
        <v>37226</v>
      </c>
      <c r="C1159" t="s">
        <v>23</v>
      </c>
      <c r="D1159" s="19">
        <v>12</v>
      </c>
      <c r="E1159">
        <v>33</v>
      </c>
      <c r="F1159" t="s">
        <v>17</v>
      </c>
      <c r="G1159" t="s">
        <v>11</v>
      </c>
      <c r="H1159">
        <v>1</v>
      </c>
      <c r="I1159" t="s">
        <v>27</v>
      </c>
    </row>
    <row r="1160" spans="1:9" x14ac:dyDescent="0.2">
      <c r="A1160" t="str">
        <f t="shared" si="265"/>
        <v>37226Vaipahu1233PocilloporidaeBords</v>
      </c>
      <c r="B1160" s="1">
        <v>37226</v>
      </c>
      <c r="C1160" t="s">
        <v>23</v>
      </c>
      <c r="D1160" s="19">
        <v>12</v>
      </c>
      <c r="E1160">
        <v>33</v>
      </c>
      <c r="F1160" t="s">
        <v>10</v>
      </c>
      <c r="G1160" t="s">
        <v>13</v>
      </c>
      <c r="H1160">
        <v>2</v>
      </c>
      <c r="I1160" t="s">
        <v>27</v>
      </c>
    </row>
    <row r="1161" spans="1:9" x14ac:dyDescent="0.2">
      <c r="A1161" t="str">
        <f t="shared" si="265"/>
        <v>37226Vaipahu1233PocilloporidaeDessous</v>
      </c>
      <c r="B1161" s="1">
        <v>37226</v>
      </c>
      <c r="C1161" t="s">
        <v>23</v>
      </c>
      <c r="D1161" s="19">
        <v>12</v>
      </c>
      <c r="E1161">
        <v>33</v>
      </c>
      <c r="F1161" t="s">
        <v>10</v>
      </c>
      <c r="G1161" t="s">
        <v>8</v>
      </c>
      <c r="H1161">
        <v>1</v>
      </c>
      <c r="I1161" t="s">
        <v>27</v>
      </c>
    </row>
    <row r="1162" spans="1:9" x14ac:dyDescent="0.2">
      <c r="A1162" t="str">
        <f t="shared" si="265"/>
        <v>37226Vaipahu1233PocilloporidaeDessus</v>
      </c>
      <c r="B1162" s="1">
        <v>37226</v>
      </c>
      <c r="C1162" t="s">
        <v>23</v>
      </c>
      <c r="D1162" s="19">
        <v>12</v>
      </c>
      <c r="E1162">
        <v>33</v>
      </c>
      <c r="F1162" t="s">
        <v>10</v>
      </c>
      <c r="G1162" t="s">
        <v>11</v>
      </c>
      <c r="H1162">
        <v>1</v>
      </c>
      <c r="I1162" t="s">
        <v>27</v>
      </c>
    </row>
    <row r="1163" spans="1:9" x14ac:dyDescent="0.2">
      <c r="A1163" t="str">
        <f t="shared" si="265"/>
        <v>37226Vaipahu1234CassésBords</v>
      </c>
      <c r="B1163" s="1">
        <v>37226</v>
      </c>
      <c r="C1163" t="s">
        <v>23</v>
      </c>
      <c r="D1163" s="19">
        <v>12</v>
      </c>
      <c r="E1163">
        <v>34</v>
      </c>
      <c r="F1163" t="s">
        <v>12</v>
      </c>
      <c r="G1163" t="s">
        <v>13</v>
      </c>
      <c r="H1163">
        <v>1</v>
      </c>
      <c r="I1163" t="s">
        <v>27</v>
      </c>
    </row>
    <row r="1164" spans="1:9" x14ac:dyDescent="0.2">
      <c r="A1164" t="str">
        <f t="shared" si="265"/>
        <v>37226Vaipahu1235PocilloporidaeDessous</v>
      </c>
      <c r="B1164" s="1">
        <v>37226</v>
      </c>
      <c r="C1164" t="s">
        <v>23</v>
      </c>
      <c r="D1164" s="19">
        <v>12</v>
      </c>
      <c r="E1164">
        <v>35</v>
      </c>
      <c r="F1164" t="s">
        <v>10</v>
      </c>
      <c r="G1164" t="s">
        <v>8</v>
      </c>
      <c r="H1164">
        <v>1</v>
      </c>
      <c r="I1164" t="s">
        <v>27</v>
      </c>
    </row>
    <row r="1165" spans="1:9" x14ac:dyDescent="0.2">
      <c r="A1165" t="str">
        <f t="shared" si="265"/>
        <v>37226Vaipahu1236AcroporidaeBords</v>
      </c>
      <c r="B1165" s="1">
        <v>37226</v>
      </c>
      <c r="C1165" t="s">
        <v>23</v>
      </c>
      <c r="D1165" s="19">
        <v>12</v>
      </c>
      <c r="E1165">
        <v>36</v>
      </c>
      <c r="F1165" t="s">
        <v>17</v>
      </c>
      <c r="G1165" t="s">
        <v>13</v>
      </c>
      <c r="H1165">
        <v>1</v>
      </c>
      <c r="I1165" t="s">
        <v>27</v>
      </c>
    </row>
    <row r="1166" spans="1:9" x14ac:dyDescent="0.2">
      <c r="A1166" t="str">
        <f t="shared" si="265"/>
        <v>37226Vaipahu1236AcroporidaeDessous</v>
      </c>
      <c r="B1166" s="1">
        <v>37226</v>
      </c>
      <c r="C1166" t="s">
        <v>23</v>
      </c>
      <c r="D1166" s="19">
        <v>12</v>
      </c>
      <c r="E1166">
        <v>36</v>
      </c>
      <c r="F1166" t="s">
        <v>17</v>
      </c>
      <c r="G1166" t="s">
        <v>8</v>
      </c>
      <c r="H1166">
        <v>1</v>
      </c>
      <c r="I1166" t="s">
        <v>27</v>
      </c>
    </row>
    <row r="1167" spans="1:9" x14ac:dyDescent="0.2">
      <c r="A1167" t="str">
        <f t="shared" si="265"/>
        <v>37226Vaipahu1236PoritidaeBords</v>
      </c>
      <c r="B1167" s="1">
        <v>37226</v>
      </c>
      <c r="C1167" t="s">
        <v>23</v>
      </c>
      <c r="D1167" s="19">
        <v>12</v>
      </c>
      <c r="E1167">
        <v>36</v>
      </c>
      <c r="F1167" t="s">
        <v>7</v>
      </c>
      <c r="G1167" t="s">
        <v>13</v>
      </c>
      <c r="H1167">
        <v>1</v>
      </c>
      <c r="I1167" t="s">
        <v>27</v>
      </c>
    </row>
    <row r="1168" spans="1:9" x14ac:dyDescent="0.2">
      <c r="A1168" t="str">
        <f t="shared" si="265"/>
        <v>37226Vaipahu1237Autres</v>
      </c>
      <c r="B1168" s="1">
        <v>37226</v>
      </c>
      <c r="C1168" t="s">
        <v>23</v>
      </c>
      <c r="D1168" s="19">
        <v>12</v>
      </c>
      <c r="E1168">
        <v>37</v>
      </c>
      <c r="F1168" t="s">
        <v>14</v>
      </c>
      <c r="H1168">
        <v>0</v>
      </c>
    </row>
    <row r="1169" spans="1:9" x14ac:dyDescent="0.2">
      <c r="A1169" t="str">
        <f t="shared" si="265"/>
        <v>37226Vaipahu1238Autres</v>
      </c>
      <c r="B1169" s="1">
        <v>37226</v>
      </c>
      <c r="C1169" t="s">
        <v>23</v>
      </c>
      <c r="D1169" s="19">
        <v>12</v>
      </c>
      <c r="E1169">
        <v>38</v>
      </c>
      <c r="F1169" t="s">
        <v>14</v>
      </c>
      <c r="H1169">
        <v>0</v>
      </c>
    </row>
    <row r="1170" spans="1:9" x14ac:dyDescent="0.2">
      <c r="A1170" t="str">
        <f t="shared" si="265"/>
        <v>37226Vaipahu1239AcroporidaeDessous</v>
      </c>
      <c r="B1170" s="1">
        <v>37226</v>
      </c>
      <c r="C1170" t="s">
        <v>23</v>
      </c>
      <c r="D1170" s="19">
        <v>12</v>
      </c>
      <c r="E1170">
        <v>39</v>
      </c>
      <c r="F1170" t="s">
        <v>17</v>
      </c>
      <c r="G1170" t="s">
        <v>8</v>
      </c>
      <c r="H1170">
        <v>1</v>
      </c>
      <c r="I1170" t="s">
        <v>27</v>
      </c>
    </row>
    <row r="1171" spans="1:9" x14ac:dyDescent="0.2">
      <c r="A1171" t="str">
        <f t="shared" si="265"/>
        <v>37226Vaipahu1239CassésDessous</v>
      </c>
      <c r="B1171" s="1">
        <v>37226</v>
      </c>
      <c r="C1171" t="s">
        <v>23</v>
      </c>
      <c r="D1171" s="19">
        <v>12</v>
      </c>
      <c r="E1171">
        <v>39</v>
      </c>
      <c r="F1171" t="s">
        <v>12</v>
      </c>
      <c r="G1171" t="s">
        <v>8</v>
      </c>
      <c r="H1171">
        <v>1</v>
      </c>
      <c r="I1171" t="s">
        <v>27</v>
      </c>
    </row>
    <row r="1172" spans="1:9" x14ac:dyDescent="0.2">
      <c r="A1172" t="str">
        <f t="shared" si="265"/>
        <v>37226Vaipahu1240Autres</v>
      </c>
      <c r="B1172" s="1">
        <v>37226</v>
      </c>
      <c r="C1172" t="s">
        <v>23</v>
      </c>
      <c r="D1172" s="19">
        <v>12</v>
      </c>
      <c r="E1172">
        <v>40</v>
      </c>
      <c r="F1172" t="s">
        <v>14</v>
      </c>
      <c r="H1172">
        <v>0</v>
      </c>
    </row>
    <row r="1173" spans="1:9" x14ac:dyDescent="0.2">
      <c r="A1173" t="str">
        <f t="shared" si="265"/>
        <v>37226Vaipahu1841PocilloporidaeDessous</v>
      </c>
      <c r="B1173" s="1">
        <v>37226</v>
      </c>
      <c r="C1173" t="s">
        <v>23</v>
      </c>
      <c r="D1173" s="19">
        <v>18</v>
      </c>
      <c r="E1173">
        <v>41</v>
      </c>
      <c r="F1173" t="s">
        <v>10</v>
      </c>
      <c r="G1173" t="s">
        <v>8</v>
      </c>
      <c r="H1173">
        <v>1</v>
      </c>
      <c r="I1173" t="s">
        <v>27</v>
      </c>
    </row>
    <row r="1174" spans="1:9" x14ac:dyDescent="0.2">
      <c r="A1174" t="str">
        <f t="shared" si="265"/>
        <v>37226Vaipahu1842PocilloporidaeDessous</v>
      </c>
      <c r="B1174" s="1">
        <v>37226</v>
      </c>
      <c r="C1174" t="s">
        <v>23</v>
      </c>
      <c r="D1174" s="19">
        <v>18</v>
      </c>
      <c r="E1174">
        <v>42</v>
      </c>
      <c r="F1174" t="s">
        <v>10</v>
      </c>
      <c r="G1174" t="s">
        <v>8</v>
      </c>
      <c r="H1174">
        <v>1</v>
      </c>
      <c r="I1174" t="s">
        <v>27</v>
      </c>
    </row>
    <row r="1175" spans="1:9" x14ac:dyDescent="0.2">
      <c r="A1175" t="str">
        <f t="shared" si="265"/>
        <v>37226Vaipahu1843PocilloporidaeDessus</v>
      </c>
      <c r="B1175" s="1">
        <v>37226</v>
      </c>
      <c r="C1175" t="s">
        <v>23</v>
      </c>
      <c r="D1175" s="19">
        <v>18</v>
      </c>
      <c r="E1175">
        <v>43</v>
      </c>
      <c r="F1175" t="s">
        <v>10</v>
      </c>
      <c r="G1175" t="s">
        <v>11</v>
      </c>
      <c r="H1175">
        <v>1</v>
      </c>
      <c r="I1175" t="s">
        <v>27</v>
      </c>
    </row>
    <row r="1176" spans="1:9" x14ac:dyDescent="0.2">
      <c r="A1176" t="str">
        <f t="shared" si="265"/>
        <v>37226Vaipahu1844PocilloporidaeBords</v>
      </c>
      <c r="B1176" s="1">
        <v>37226</v>
      </c>
      <c r="C1176" t="s">
        <v>23</v>
      </c>
      <c r="D1176" s="19">
        <v>18</v>
      </c>
      <c r="E1176">
        <v>44</v>
      </c>
      <c r="F1176" t="s">
        <v>10</v>
      </c>
      <c r="G1176" t="s">
        <v>13</v>
      </c>
      <c r="H1176">
        <v>1</v>
      </c>
      <c r="I1176" t="s">
        <v>27</v>
      </c>
    </row>
    <row r="1177" spans="1:9" x14ac:dyDescent="0.2">
      <c r="A1177" t="str">
        <f t="shared" si="265"/>
        <v>37226Vaipahu1844PocilloporidaeDessus</v>
      </c>
      <c r="B1177" s="1">
        <v>37226</v>
      </c>
      <c r="C1177" t="s">
        <v>23</v>
      </c>
      <c r="D1177" s="19">
        <v>18</v>
      </c>
      <c r="E1177">
        <v>44</v>
      </c>
      <c r="F1177" t="s">
        <v>10</v>
      </c>
      <c r="G1177" t="s">
        <v>11</v>
      </c>
      <c r="H1177">
        <v>1</v>
      </c>
      <c r="I1177" t="s">
        <v>27</v>
      </c>
    </row>
    <row r="1178" spans="1:9" x14ac:dyDescent="0.2">
      <c r="A1178" t="str">
        <f t="shared" si="265"/>
        <v>37226Vaipahu1845AcroporidaeBords</v>
      </c>
      <c r="B1178" s="1">
        <v>37226</v>
      </c>
      <c r="C1178" t="s">
        <v>23</v>
      </c>
      <c r="D1178" s="19">
        <v>18</v>
      </c>
      <c r="E1178">
        <v>45</v>
      </c>
      <c r="F1178" t="s">
        <v>17</v>
      </c>
      <c r="G1178" t="s">
        <v>13</v>
      </c>
      <c r="H1178">
        <v>3</v>
      </c>
      <c r="I1178" t="s">
        <v>27</v>
      </c>
    </row>
    <row r="1179" spans="1:9" x14ac:dyDescent="0.2">
      <c r="A1179" t="str">
        <f t="shared" si="265"/>
        <v>37226Vaipahu1845AcroporidaeDessus</v>
      </c>
      <c r="B1179" s="1">
        <v>37226</v>
      </c>
      <c r="C1179" t="s">
        <v>23</v>
      </c>
      <c r="D1179" s="19">
        <v>18</v>
      </c>
      <c r="E1179">
        <v>45</v>
      </c>
      <c r="F1179" t="s">
        <v>17</v>
      </c>
      <c r="G1179" t="s">
        <v>11</v>
      </c>
      <c r="H1179">
        <v>1</v>
      </c>
      <c r="I1179" t="s">
        <v>27</v>
      </c>
    </row>
    <row r="1180" spans="1:9" x14ac:dyDescent="0.2">
      <c r="A1180" t="str">
        <f t="shared" si="265"/>
        <v>37226Vaipahu1845CassésBords</v>
      </c>
      <c r="B1180" s="1">
        <v>37226</v>
      </c>
      <c r="C1180" t="s">
        <v>23</v>
      </c>
      <c r="D1180" s="19">
        <v>18</v>
      </c>
      <c r="E1180">
        <v>45</v>
      </c>
      <c r="F1180" t="s">
        <v>12</v>
      </c>
      <c r="G1180" t="s">
        <v>13</v>
      </c>
      <c r="H1180">
        <v>1</v>
      </c>
      <c r="I1180" t="s">
        <v>27</v>
      </c>
    </row>
    <row r="1181" spans="1:9" x14ac:dyDescent="0.2">
      <c r="A1181" t="str">
        <f t="shared" si="265"/>
        <v>37226Vaipahu1846PocilloporidaeBords</v>
      </c>
      <c r="B1181" s="1">
        <v>37226</v>
      </c>
      <c r="C1181" t="s">
        <v>23</v>
      </c>
      <c r="D1181" s="19">
        <v>18</v>
      </c>
      <c r="E1181">
        <v>46</v>
      </c>
      <c r="F1181" t="s">
        <v>10</v>
      </c>
      <c r="G1181" t="s">
        <v>13</v>
      </c>
      <c r="H1181">
        <v>1</v>
      </c>
      <c r="I1181" t="s">
        <v>27</v>
      </c>
    </row>
    <row r="1182" spans="1:9" x14ac:dyDescent="0.2">
      <c r="A1182" t="str">
        <f t="shared" si="265"/>
        <v>37226Vaipahu1846PocilloporidaeDessous</v>
      </c>
      <c r="B1182" s="1">
        <v>37226</v>
      </c>
      <c r="C1182" t="s">
        <v>23</v>
      </c>
      <c r="D1182" s="19">
        <v>18</v>
      </c>
      <c r="E1182">
        <v>46</v>
      </c>
      <c r="F1182" t="s">
        <v>10</v>
      </c>
      <c r="G1182" t="s">
        <v>8</v>
      </c>
      <c r="H1182">
        <v>3</v>
      </c>
      <c r="I1182" t="s">
        <v>27</v>
      </c>
    </row>
    <row r="1183" spans="1:9" x14ac:dyDescent="0.2">
      <c r="A1183" t="str">
        <f t="shared" si="265"/>
        <v>37226Vaipahu1847AcroporidaeDessous</v>
      </c>
      <c r="B1183" s="1">
        <v>37226</v>
      </c>
      <c r="C1183" t="s">
        <v>23</v>
      </c>
      <c r="D1183" s="19">
        <v>18</v>
      </c>
      <c r="E1183">
        <v>47</v>
      </c>
      <c r="F1183" t="s">
        <v>17</v>
      </c>
      <c r="G1183" t="s">
        <v>8</v>
      </c>
      <c r="H1183">
        <v>1</v>
      </c>
      <c r="I1183" t="s">
        <v>27</v>
      </c>
    </row>
    <row r="1184" spans="1:9" x14ac:dyDescent="0.2">
      <c r="A1184" t="str">
        <f t="shared" si="265"/>
        <v>37226Vaipahu1847PocilloporidaeDessous</v>
      </c>
      <c r="B1184" s="1">
        <v>37226</v>
      </c>
      <c r="C1184" t="s">
        <v>23</v>
      </c>
      <c r="D1184" s="19">
        <v>18</v>
      </c>
      <c r="E1184">
        <v>47</v>
      </c>
      <c r="F1184" t="s">
        <v>10</v>
      </c>
      <c r="G1184" t="s">
        <v>8</v>
      </c>
      <c r="H1184">
        <v>5</v>
      </c>
      <c r="I1184" t="s">
        <v>27</v>
      </c>
    </row>
    <row r="1185" spans="1:9" x14ac:dyDescent="0.2">
      <c r="A1185" t="str">
        <f t="shared" si="265"/>
        <v>37226Vaipahu1847PoritidaeDessous</v>
      </c>
      <c r="B1185" s="1">
        <v>37226</v>
      </c>
      <c r="C1185" t="s">
        <v>23</v>
      </c>
      <c r="D1185" s="19">
        <v>18</v>
      </c>
      <c r="E1185">
        <v>47</v>
      </c>
      <c r="F1185" t="s">
        <v>7</v>
      </c>
      <c r="G1185" t="s">
        <v>8</v>
      </c>
      <c r="H1185">
        <v>1</v>
      </c>
      <c r="I1185" t="s">
        <v>27</v>
      </c>
    </row>
    <row r="1186" spans="1:9" x14ac:dyDescent="0.2">
      <c r="A1186" t="str">
        <f t="shared" si="265"/>
        <v>37226Vaipahu1848PocilloporidaeDessous</v>
      </c>
      <c r="B1186" s="1">
        <v>37226</v>
      </c>
      <c r="C1186" t="s">
        <v>23</v>
      </c>
      <c r="D1186" s="19">
        <v>18</v>
      </c>
      <c r="E1186">
        <v>48</v>
      </c>
      <c r="F1186" t="s">
        <v>10</v>
      </c>
      <c r="G1186" t="s">
        <v>8</v>
      </c>
      <c r="H1186">
        <v>1</v>
      </c>
      <c r="I1186" t="s">
        <v>27</v>
      </c>
    </row>
    <row r="1187" spans="1:9" x14ac:dyDescent="0.2">
      <c r="A1187" t="str">
        <f t="shared" si="265"/>
        <v>37226Vaipahu1848PoritidaeBords</v>
      </c>
      <c r="B1187" s="1">
        <v>37226</v>
      </c>
      <c r="C1187" t="s">
        <v>23</v>
      </c>
      <c r="D1187" s="19">
        <v>18</v>
      </c>
      <c r="E1187">
        <v>48</v>
      </c>
      <c r="F1187" t="s">
        <v>7</v>
      </c>
      <c r="G1187" t="s">
        <v>13</v>
      </c>
      <c r="H1187">
        <v>1</v>
      </c>
      <c r="I1187" t="s">
        <v>27</v>
      </c>
    </row>
    <row r="1188" spans="1:9" x14ac:dyDescent="0.2">
      <c r="A1188" t="str">
        <f t="shared" si="265"/>
        <v>37226Vaipahu1849Autres</v>
      </c>
      <c r="B1188" s="1">
        <v>37226</v>
      </c>
      <c r="C1188" t="s">
        <v>23</v>
      </c>
      <c r="D1188" s="19">
        <v>18</v>
      </c>
      <c r="E1188">
        <v>49</v>
      </c>
      <c r="F1188" t="s">
        <v>14</v>
      </c>
      <c r="H1188">
        <v>0</v>
      </c>
    </row>
    <row r="1189" spans="1:9" x14ac:dyDescent="0.2">
      <c r="A1189" t="str">
        <f t="shared" si="265"/>
        <v>37226Vaipahu1850AcroporidaeBords</v>
      </c>
      <c r="B1189" s="1">
        <v>37226</v>
      </c>
      <c r="C1189" t="s">
        <v>23</v>
      </c>
      <c r="D1189" s="19">
        <v>18</v>
      </c>
      <c r="E1189">
        <v>50</v>
      </c>
      <c r="F1189" t="s">
        <v>17</v>
      </c>
      <c r="G1189" t="s">
        <v>13</v>
      </c>
      <c r="H1189">
        <v>1</v>
      </c>
      <c r="I1189" t="s">
        <v>27</v>
      </c>
    </row>
    <row r="1190" spans="1:9" x14ac:dyDescent="0.2">
      <c r="A1190" t="str">
        <f t="shared" si="265"/>
        <v>37226Vaipahu1850PocilloporidaeBords</v>
      </c>
      <c r="B1190" s="1">
        <v>37226</v>
      </c>
      <c r="C1190" t="s">
        <v>23</v>
      </c>
      <c r="D1190" s="19">
        <v>18</v>
      </c>
      <c r="E1190">
        <v>50</v>
      </c>
      <c r="F1190" t="s">
        <v>10</v>
      </c>
      <c r="G1190" t="s">
        <v>13</v>
      </c>
      <c r="H1190">
        <v>1</v>
      </c>
      <c r="I1190" t="s">
        <v>27</v>
      </c>
    </row>
    <row r="1191" spans="1:9" x14ac:dyDescent="0.2">
      <c r="A1191" t="str">
        <f t="shared" si="265"/>
        <v>37226Vaipahu1850PocilloporidaeDessous</v>
      </c>
      <c r="B1191" s="1">
        <v>37226</v>
      </c>
      <c r="C1191" t="s">
        <v>23</v>
      </c>
      <c r="D1191" s="19">
        <v>18</v>
      </c>
      <c r="E1191">
        <v>50</v>
      </c>
      <c r="F1191" t="s">
        <v>10</v>
      </c>
      <c r="G1191" t="s">
        <v>8</v>
      </c>
      <c r="H1191">
        <v>2</v>
      </c>
      <c r="I1191" t="s">
        <v>27</v>
      </c>
    </row>
    <row r="1192" spans="1:9" x14ac:dyDescent="0.2">
      <c r="A1192" t="str">
        <f t="shared" si="265"/>
        <v>37226Vaipahu1851PocilloporidaeBords</v>
      </c>
      <c r="B1192" s="1">
        <v>37226</v>
      </c>
      <c r="C1192" t="s">
        <v>23</v>
      </c>
      <c r="D1192" s="19">
        <v>18</v>
      </c>
      <c r="E1192">
        <v>51</v>
      </c>
      <c r="F1192" t="s">
        <v>10</v>
      </c>
      <c r="G1192" t="s">
        <v>13</v>
      </c>
      <c r="H1192">
        <v>1</v>
      </c>
      <c r="I1192" t="s">
        <v>27</v>
      </c>
    </row>
    <row r="1193" spans="1:9" x14ac:dyDescent="0.2">
      <c r="A1193" t="str">
        <f t="shared" si="265"/>
        <v>37226Vaipahu1851PocilloporidaeDessous</v>
      </c>
      <c r="B1193" s="1">
        <v>37226</v>
      </c>
      <c r="C1193" t="s">
        <v>23</v>
      </c>
      <c r="D1193" s="19">
        <v>18</v>
      </c>
      <c r="E1193">
        <v>51</v>
      </c>
      <c r="F1193" t="s">
        <v>10</v>
      </c>
      <c r="G1193" t="s">
        <v>8</v>
      </c>
      <c r="H1193">
        <v>1</v>
      </c>
      <c r="I1193" t="s">
        <v>27</v>
      </c>
    </row>
    <row r="1194" spans="1:9" x14ac:dyDescent="0.2">
      <c r="A1194" t="str">
        <f t="shared" si="265"/>
        <v>37226Vaipahu1852Autres</v>
      </c>
      <c r="B1194" s="1">
        <v>37226</v>
      </c>
      <c r="C1194" t="s">
        <v>23</v>
      </c>
      <c r="D1194" s="19">
        <v>18</v>
      </c>
      <c r="E1194">
        <v>52</v>
      </c>
      <c r="F1194" t="s">
        <v>14</v>
      </c>
      <c r="H1194">
        <v>0</v>
      </c>
    </row>
    <row r="1195" spans="1:9" x14ac:dyDescent="0.2">
      <c r="A1195" t="str">
        <f t="shared" si="265"/>
        <v>37226Vaipahu1853PocilloporidaeDessous</v>
      </c>
      <c r="B1195" s="1">
        <v>37226</v>
      </c>
      <c r="C1195" t="s">
        <v>23</v>
      </c>
      <c r="D1195" s="19">
        <v>18</v>
      </c>
      <c r="E1195">
        <v>53</v>
      </c>
      <c r="F1195" t="s">
        <v>10</v>
      </c>
      <c r="G1195" t="s">
        <v>8</v>
      </c>
      <c r="H1195">
        <v>2</v>
      </c>
      <c r="I1195" t="s">
        <v>27</v>
      </c>
    </row>
    <row r="1196" spans="1:9" x14ac:dyDescent="0.2">
      <c r="A1196" t="str">
        <f t="shared" si="265"/>
        <v>37226Vaipahu1854AcroporidaeDessus</v>
      </c>
      <c r="B1196" s="1">
        <v>37226</v>
      </c>
      <c r="C1196" t="s">
        <v>23</v>
      </c>
      <c r="D1196" s="19">
        <v>18</v>
      </c>
      <c r="E1196">
        <v>54</v>
      </c>
      <c r="F1196" t="s">
        <v>17</v>
      </c>
      <c r="G1196" t="s">
        <v>11</v>
      </c>
      <c r="H1196">
        <v>1</v>
      </c>
      <c r="I1196" t="s">
        <v>27</v>
      </c>
    </row>
    <row r="1197" spans="1:9" x14ac:dyDescent="0.2">
      <c r="A1197" t="str">
        <f t="shared" si="265"/>
        <v>37226Vaipahu1854PocilloporidaeBords</v>
      </c>
      <c r="B1197" s="1">
        <v>37226</v>
      </c>
      <c r="C1197" t="s">
        <v>23</v>
      </c>
      <c r="D1197" s="19">
        <v>18</v>
      </c>
      <c r="E1197">
        <v>54</v>
      </c>
      <c r="F1197" t="s">
        <v>10</v>
      </c>
      <c r="G1197" t="s">
        <v>13</v>
      </c>
      <c r="H1197">
        <v>1</v>
      </c>
      <c r="I1197" t="s">
        <v>27</v>
      </c>
    </row>
    <row r="1198" spans="1:9" x14ac:dyDescent="0.2">
      <c r="A1198" t="str">
        <f t="shared" si="265"/>
        <v>37226Vaipahu1854PocilloporidaeDessous</v>
      </c>
      <c r="B1198" s="1">
        <v>37226</v>
      </c>
      <c r="C1198" t="s">
        <v>23</v>
      </c>
      <c r="D1198" s="19">
        <v>18</v>
      </c>
      <c r="E1198">
        <v>54</v>
      </c>
      <c r="F1198" t="s">
        <v>10</v>
      </c>
      <c r="G1198" t="s">
        <v>8</v>
      </c>
      <c r="H1198">
        <v>3</v>
      </c>
      <c r="I1198" t="s">
        <v>27</v>
      </c>
    </row>
    <row r="1199" spans="1:9" x14ac:dyDescent="0.2">
      <c r="A1199" t="str">
        <f t="shared" si="265"/>
        <v>37226Vaipahu1854PoritidaeDessous</v>
      </c>
      <c r="B1199" s="1">
        <v>37226</v>
      </c>
      <c r="C1199" t="s">
        <v>23</v>
      </c>
      <c r="D1199" s="19">
        <v>18</v>
      </c>
      <c r="E1199">
        <v>54</v>
      </c>
      <c r="F1199" t="s">
        <v>7</v>
      </c>
      <c r="G1199" t="s">
        <v>8</v>
      </c>
      <c r="H1199">
        <v>2</v>
      </c>
      <c r="I1199" t="s">
        <v>27</v>
      </c>
    </row>
    <row r="1200" spans="1:9" x14ac:dyDescent="0.2">
      <c r="A1200" t="str">
        <f t="shared" si="265"/>
        <v>37226Vaipahu1855PocilloporidaeDessous</v>
      </c>
      <c r="B1200" s="1">
        <v>37226</v>
      </c>
      <c r="C1200" t="s">
        <v>23</v>
      </c>
      <c r="D1200" s="19">
        <v>18</v>
      </c>
      <c r="E1200">
        <v>55</v>
      </c>
      <c r="F1200" t="s">
        <v>10</v>
      </c>
      <c r="G1200" t="s">
        <v>8</v>
      </c>
      <c r="H1200">
        <v>1</v>
      </c>
      <c r="I1200" t="s">
        <v>27</v>
      </c>
    </row>
    <row r="1201" spans="1:9" x14ac:dyDescent="0.2">
      <c r="A1201" t="str">
        <f t="shared" si="265"/>
        <v>37226Vaipahu1856AcroporidaeDessous</v>
      </c>
      <c r="B1201" s="1">
        <v>37226</v>
      </c>
      <c r="C1201" t="s">
        <v>23</v>
      </c>
      <c r="D1201" s="19">
        <v>18</v>
      </c>
      <c r="E1201">
        <v>56</v>
      </c>
      <c r="F1201" t="s">
        <v>17</v>
      </c>
      <c r="G1201" t="s">
        <v>8</v>
      </c>
      <c r="H1201">
        <v>1</v>
      </c>
      <c r="I1201" t="s">
        <v>27</v>
      </c>
    </row>
    <row r="1202" spans="1:9" x14ac:dyDescent="0.2">
      <c r="A1202" t="str">
        <f t="shared" si="265"/>
        <v>37226Vaipahu1857AcroporidaeDessous</v>
      </c>
      <c r="B1202" s="1">
        <v>37226</v>
      </c>
      <c r="C1202" t="s">
        <v>23</v>
      </c>
      <c r="D1202" s="19">
        <v>18</v>
      </c>
      <c r="E1202">
        <v>57</v>
      </c>
      <c r="F1202" t="s">
        <v>17</v>
      </c>
      <c r="G1202" t="s">
        <v>8</v>
      </c>
      <c r="H1202">
        <v>2</v>
      </c>
      <c r="I1202" t="s">
        <v>27</v>
      </c>
    </row>
    <row r="1203" spans="1:9" x14ac:dyDescent="0.2">
      <c r="A1203" t="str">
        <f t="shared" si="265"/>
        <v>37226Vaipahu1857AcroporidaeDessus</v>
      </c>
      <c r="B1203" s="1">
        <v>37226</v>
      </c>
      <c r="C1203" t="s">
        <v>23</v>
      </c>
      <c r="D1203" s="19">
        <v>18</v>
      </c>
      <c r="E1203">
        <v>57</v>
      </c>
      <c r="F1203" t="s">
        <v>17</v>
      </c>
      <c r="G1203" t="s">
        <v>11</v>
      </c>
      <c r="H1203">
        <v>1</v>
      </c>
      <c r="I1203" t="s">
        <v>27</v>
      </c>
    </row>
    <row r="1204" spans="1:9" x14ac:dyDescent="0.2">
      <c r="A1204" t="str">
        <f t="shared" si="265"/>
        <v>37226Vaipahu1858Autres</v>
      </c>
      <c r="B1204" s="1">
        <v>37226</v>
      </c>
      <c r="C1204" t="s">
        <v>23</v>
      </c>
      <c r="D1204" s="19">
        <v>18</v>
      </c>
      <c r="E1204">
        <v>58</v>
      </c>
      <c r="F1204" t="s">
        <v>14</v>
      </c>
      <c r="H1204">
        <v>0</v>
      </c>
    </row>
    <row r="1205" spans="1:9" x14ac:dyDescent="0.2">
      <c r="A1205" t="str">
        <f t="shared" si="265"/>
        <v>37226Vaipahu1859CassésDessous</v>
      </c>
      <c r="B1205" s="1">
        <v>37226</v>
      </c>
      <c r="C1205" t="s">
        <v>23</v>
      </c>
      <c r="D1205" s="19">
        <v>18</v>
      </c>
      <c r="E1205">
        <v>59</v>
      </c>
      <c r="F1205" t="s">
        <v>12</v>
      </c>
      <c r="G1205" t="s">
        <v>8</v>
      </c>
      <c r="H1205">
        <v>1</v>
      </c>
      <c r="I1205" t="s">
        <v>27</v>
      </c>
    </row>
    <row r="1206" spans="1:9" x14ac:dyDescent="0.2">
      <c r="A1206" t="str">
        <f t="shared" si="265"/>
        <v>37226Vaipahu1859PocilloporidaeDessous</v>
      </c>
      <c r="B1206" s="1">
        <v>37226</v>
      </c>
      <c r="C1206" t="s">
        <v>23</v>
      </c>
      <c r="D1206" s="19">
        <v>18</v>
      </c>
      <c r="E1206">
        <v>59</v>
      </c>
      <c r="F1206" t="s">
        <v>10</v>
      </c>
      <c r="G1206" t="s">
        <v>8</v>
      </c>
      <c r="H1206">
        <v>1</v>
      </c>
      <c r="I1206" t="s">
        <v>27</v>
      </c>
    </row>
    <row r="1207" spans="1:9" x14ac:dyDescent="0.2">
      <c r="A1207" t="str">
        <f t="shared" si="265"/>
        <v>37226Vaipahu1860Autres</v>
      </c>
      <c r="B1207" s="1">
        <v>37226</v>
      </c>
      <c r="C1207" t="s">
        <v>23</v>
      </c>
      <c r="D1207" s="19">
        <v>18</v>
      </c>
      <c r="E1207">
        <v>60</v>
      </c>
      <c r="F1207" t="s">
        <v>14</v>
      </c>
      <c r="H1207">
        <v>0</v>
      </c>
    </row>
    <row r="1208" spans="1:9" x14ac:dyDescent="0.2">
      <c r="A1208" t="str">
        <f t="shared" si="265"/>
        <v>37226Tiahura661Autres</v>
      </c>
      <c r="B1208" s="1">
        <v>37226</v>
      </c>
      <c r="C1208" t="s">
        <v>24</v>
      </c>
      <c r="D1208" s="19">
        <v>6</v>
      </c>
      <c r="E1208">
        <v>61</v>
      </c>
      <c r="F1208" t="s">
        <v>14</v>
      </c>
      <c r="H1208">
        <v>0</v>
      </c>
    </row>
    <row r="1209" spans="1:9" x14ac:dyDescent="0.2">
      <c r="A1209" t="str">
        <f t="shared" si="265"/>
        <v>37226Tiahura662PocilloporidaeDessous</v>
      </c>
      <c r="B1209" s="1">
        <v>37226</v>
      </c>
      <c r="C1209" t="s">
        <v>24</v>
      </c>
      <c r="D1209" s="19">
        <v>6</v>
      </c>
      <c r="E1209">
        <v>62</v>
      </c>
      <c r="F1209" t="s">
        <v>10</v>
      </c>
      <c r="G1209" t="s">
        <v>8</v>
      </c>
      <c r="H1209">
        <v>1</v>
      </c>
      <c r="I1209" t="s">
        <v>27</v>
      </c>
    </row>
    <row r="1210" spans="1:9" x14ac:dyDescent="0.2">
      <c r="A1210" t="str">
        <f t="shared" si="265"/>
        <v>37226Tiahura662PoritidaeBords</v>
      </c>
      <c r="B1210" s="1">
        <v>37226</v>
      </c>
      <c r="C1210" t="s">
        <v>24</v>
      </c>
      <c r="D1210" s="19">
        <v>6</v>
      </c>
      <c r="E1210">
        <v>62</v>
      </c>
      <c r="F1210" t="s">
        <v>7</v>
      </c>
      <c r="G1210" t="s">
        <v>13</v>
      </c>
      <c r="H1210">
        <v>1</v>
      </c>
      <c r="I1210" t="s">
        <v>27</v>
      </c>
    </row>
    <row r="1211" spans="1:9" x14ac:dyDescent="0.2">
      <c r="A1211" t="str">
        <f t="shared" si="265"/>
        <v>37226Tiahura663PocilloporidaeBords</v>
      </c>
      <c r="B1211" s="1">
        <v>37226</v>
      </c>
      <c r="C1211" t="s">
        <v>24</v>
      </c>
      <c r="D1211" s="19">
        <v>6</v>
      </c>
      <c r="E1211">
        <v>63</v>
      </c>
      <c r="F1211" t="s">
        <v>10</v>
      </c>
      <c r="G1211" t="s">
        <v>13</v>
      </c>
      <c r="H1211">
        <v>1</v>
      </c>
      <c r="I1211" t="s">
        <v>27</v>
      </c>
    </row>
    <row r="1212" spans="1:9" x14ac:dyDescent="0.2">
      <c r="A1212" t="str">
        <f t="shared" si="265"/>
        <v>37226Tiahura663PocilloporidaeDessous</v>
      </c>
      <c r="B1212" s="1">
        <v>37226</v>
      </c>
      <c r="C1212" t="s">
        <v>24</v>
      </c>
      <c r="D1212" s="19">
        <v>6</v>
      </c>
      <c r="E1212">
        <v>63</v>
      </c>
      <c r="F1212" t="s">
        <v>10</v>
      </c>
      <c r="G1212" t="s">
        <v>8</v>
      </c>
      <c r="H1212">
        <v>2</v>
      </c>
      <c r="I1212" t="s">
        <v>27</v>
      </c>
    </row>
    <row r="1213" spans="1:9" x14ac:dyDescent="0.2">
      <c r="A1213" t="str">
        <f t="shared" si="265"/>
        <v>37226Tiahura664PocilloporidaeDessous</v>
      </c>
      <c r="B1213" s="1">
        <v>37226</v>
      </c>
      <c r="C1213" t="s">
        <v>24</v>
      </c>
      <c r="D1213" s="19">
        <v>6</v>
      </c>
      <c r="E1213">
        <v>64</v>
      </c>
      <c r="F1213" t="s">
        <v>10</v>
      </c>
      <c r="G1213" t="s">
        <v>8</v>
      </c>
      <c r="H1213">
        <v>1</v>
      </c>
      <c r="I1213" t="s">
        <v>27</v>
      </c>
    </row>
    <row r="1214" spans="1:9" x14ac:dyDescent="0.2">
      <c r="A1214" t="str">
        <f t="shared" si="265"/>
        <v>37226Tiahura665Autres</v>
      </c>
      <c r="B1214" s="1">
        <v>37226</v>
      </c>
      <c r="C1214" t="s">
        <v>24</v>
      </c>
      <c r="D1214" s="19">
        <v>6</v>
      </c>
      <c r="E1214">
        <v>65</v>
      </c>
      <c r="F1214" t="s">
        <v>14</v>
      </c>
      <c r="H1214">
        <v>0</v>
      </c>
    </row>
    <row r="1215" spans="1:9" x14ac:dyDescent="0.2">
      <c r="A1215" t="str">
        <f t="shared" ref="A1215:A1278" si="266">B1215 &amp; C1215&amp; D1215&amp; E1215 &amp; F1215 &amp;G1215</f>
        <v>37226Tiahura666Autres</v>
      </c>
      <c r="B1215" s="1">
        <v>37226</v>
      </c>
      <c r="C1215" t="s">
        <v>24</v>
      </c>
      <c r="D1215" s="19">
        <v>6</v>
      </c>
      <c r="E1215">
        <v>66</v>
      </c>
      <c r="F1215" t="s">
        <v>14</v>
      </c>
      <c r="H1215">
        <v>0</v>
      </c>
    </row>
    <row r="1216" spans="1:9" x14ac:dyDescent="0.2">
      <c r="A1216" t="str">
        <f t="shared" si="266"/>
        <v>37226Tiahura667Autres</v>
      </c>
      <c r="B1216" s="1">
        <v>37226</v>
      </c>
      <c r="C1216" t="s">
        <v>24</v>
      </c>
      <c r="D1216" s="19">
        <v>6</v>
      </c>
      <c r="E1216">
        <v>67</v>
      </c>
      <c r="F1216" t="s">
        <v>14</v>
      </c>
      <c r="H1216">
        <v>0</v>
      </c>
    </row>
    <row r="1217" spans="1:9" x14ac:dyDescent="0.2">
      <c r="A1217" t="str">
        <f t="shared" si="266"/>
        <v>37226Tiahura668PoritidaeBords</v>
      </c>
      <c r="B1217" s="1">
        <v>37226</v>
      </c>
      <c r="C1217" t="s">
        <v>24</v>
      </c>
      <c r="D1217" s="19">
        <v>6</v>
      </c>
      <c r="E1217">
        <v>68</v>
      </c>
      <c r="F1217" t="s">
        <v>7</v>
      </c>
      <c r="G1217" t="s">
        <v>13</v>
      </c>
      <c r="H1217">
        <v>1</v>
      </c>
      <c r="I1217" t="s">
        <v>27</v>
      </c>
    </row>
    <row r="1218" spans="1:9" x14ac:dyDescent="0.2">
      <c r="A1218" t="str">
        <f t="shared" si="266"/>
        <v>37226Tiahura669Autres</v>
      </c>
      <c r="B1218" s="1">
        <v>37226</v>
      </c>
      <c r="C1218" t="s">
        <v>24</v>
      </c>
      <c r="D1218" s="19">
        <v>6</v>
      </c>
      <c r="E1218">
        <v>69</v>
      </c>
      <c r="F1218" t="s">
        <v>14</v>
      </c>
      <c r="H1218">
        <v>0</v>
      </c>
    </row>
    <row r="1219" spans="1:9" x14ac:dyDescent="0.2">
      <c r="A1219" t="str">
        <f t="shared" si="266"/>
        <v>37226Tiahura670CassésDessous</v>
      </c>
      <c r="B1219" s="1">
        <v>37226</v>
      </c>
      <c r="C1219" t="s">
        <v>24</v>
      </c>
      <c r="D1219" s="19">
        <v>6</v>
      </c>
      <c r="E1219">
        <v>70</v>
      </c>
      <c r="F1219" t="s">
        <v>12</v>
      </c>
      <c r="G1219" t="s">
        <v>8</v>
      </c>
      <c r="H1219">
        <v>1</v>
      </c>
      <c r="I1219" t="s">
        <v>27</v>
      </c>
    </row>
    <row r="1220" spans="1:9" x14ac:dyDescent="0.2">
      <c r="A1220" t="str">
        <f t="shared" si="266"/>
        <v>37226Tiahura670PocilloporidaeDessous</v>
      </c>
      <c r="B1220" s="1">
        <v>37226</v>
      </c>
      <c r="C1220" t="s">
        <v>24</v>
      </c>
      <c r="D1220" s="19">
        <v>6</v>
      </c>
      <c r="E1220">
        <v>70</v>
      </c>
      <c r="F1220" t="s">
        <v>10</v>
      </c>
      <c r="G1220" t="s">
        <v>8</v>
      </c>
      <c r="H1220">
        <v>2</v>
      </c>
      <c r="I1220" t="s">
        <v>27</v>
      </c>
    </row>
    <row r="1221" spans="1:9" x14ac:dyDescent="0.2">
      <c r="A1221" t="str">
        <f t="shared" si="266"/>
        <v>37226Tiahura670PocilloporidaeDessus</v>
      </c>
      <c r="B1221" s="1">
        <v>37226</v>
      </c>
      <c r="C1221" t="s">
        <v>24</v>
      </c>
      <c r="D1221" s="19">
        <v>6</v>
      </c>
      <c r="E1221">
        <v>70</v>
      </c>
      <c r="F1221" t="s">
        <v>10</v>
      </c>
      <c r="G1221" t="s">
        <v>11</v>
      </c>
      <c r="H1221">
        <v>1</v>
      </c>
      <c r="I1221" t="s">
        <v>27</v>
      </c>
    </row>
    <row r="1222" spans="1:9" x14ac:dyDescent="0.2">
      <c r="A1222" t="str">
        <f t="shared" si="266"/>
        <v>37226Tiahura671PocilloporidaeDessous</v>
      </c>
      <c r="B1222" s="1">
        <v>37226</v>
      </c>
      <c r="C1222" t="s">
        <v>24</v>
      </c>
      <c r="D1222" s="19">
        <v>6</v>
      </c>
      <c r="E1222">
        <v>71</v>
      </c>
      <c r="F1222" t="s">
        <v>10</v>
      </c>
      <c r="G1222" t="s">
        <v>8</v>
      </c>
      <c r="H1222">
        <v>1</v>
      </c>
      <c r="I1222" t="s">
        <v>27</v>
      </c>
    </row>
    <row r="1223" spans="1:9" x14ac:dyDescent="0.2">
      <c r="A1223" t="str">
        <f t="shared" si="266"/>
        <v>37226Tiahura672PocilloporidaeBords</v>
      </c>
      <c r="B1223" s="1">
        <v>37226</v>
      </c>
      <c r="C1223" t="s">
        <v>24</v>
      </c>
      <c r="D1223" s="19">
        <v>6</v>
      </c>
      <c r="E1223">
        <v>72</v>
      </c>
      <c r="F1223" t="s">
        <v>10</v>
      </c>
      <c r="G1223" t="s">
        <v>13</v>
      </c>
      <c r="H1223">
        <v>1</v>
      </c>
      <c r="I1223" t="s">
        <v>27</v>
      </c>
    </row>
    <row r="1224" spans="1:9" x14ac:dyDescent="0.2">
      <c r="A1224" t="str">
        <f t="shared" si="266"/>
        <v>37226Tiahura673AcroporidaeDessous</v>
      </c>
      <c r="B1224" s="1">
        <v>37226</v>
      </c>
      <c r="C1224" t="s">
        <v>24</v>
      </c>
      <c r="D1224" s="19">
        <v>6</v>
      </c>
      <c r="E1224">
        <v>73</v>
      </c>
      <c r="F1224" t="s">
        <v>17</v>
      </c>
      <c r="G1224" t="s">
        <v>8</v>
      </c>
      <c r="H1224">
        <v>1</v>
      </c>
      <c r="I1224" t="s">
        <v>27</v>
      </c>
    </row>
    <row r="1225" spans="1:9" x14ac:dyDescent="0.2">
      <c r="A1225" t="str">
        <f t="shared" si="266"/>
        <v>37226Tiahura673PocilloporidaeDessous</v>
      </c>
      <c r="B1225" s="1">
        <v>37226</v>
      </c>
      <c r="C1225" t="s">
        <v>24</v>
      </c>
      <c r="D1225" s="19">
        <v>6</v>
      </c>
      <c r="E1225">
        <v>73</v>
      </c>
      <c r="F1225" t="s">
        <v>10</v>
      </c>
      <c r="G1225" t="s">
        <v>8</v>
      </c>
      <c r="H1225">
        <v>6</v>
      </c>
      <c r="I1225" t="s">
        <v>27</v>
      </c>
    </row>
    <row r="1226" spans="1:9" x14ac:dyDescent="0.2">
      <c r="A1226" t="str">
        <f t="shared" si="266"/>
        <v>37226Tiahura673PoritidaeBords</v>
      </c>
      <c r="B1226" s="1">
        <v>37226</v>
      </c>
      <c r="C1226" t="s">
        <v>24</v>
      </c>
      <c r="D1226" s="19">
        <v>6</v>
      </c>
      <c r="E1226">
        <v>73</v>
      </c>
      <c r="F1226" t="s">
        <v>7</v>
      </c>
      <c r="G1226" t="s">
        <v>13</v>
      </c>
      <c r="H1226">
        <v>1</v>
      </c>
      <c r="I1226" t="s">
        <v>27</v>
      </c>
    </row>
    <row r="1227" spans="1:9" x14ac:dyDescent="0.2">
      <c r="A1227" t="str">
        <f t="shared" si="266"/>
        <v>37226Tiahura673PoritidaeDessous</v>
      </c>
      <c r="B1227" s="1">
        <v>37226</v>
      </c>
      <c r="C1227" t="s">
        <v>24</v>
      </c>
      <c r="D1227" s="19">
        <v>6</v>
      </c>
      <c r="E1227">
        <v>73</v>
      </c>
      <c r="F1227" t="s">
        <v>7</v>
      </c>
      <c r="G1227" t="s">
        <v>8</v>
      </c>
      <c r="H1227">
        <v>1</v>
      </c>
      <c r="I1227" t="s">
        <v>27</v>
      </c>
    </row>
    <row r="1228" spans="1:9" x14ac:dyDescent="0.2">
      <c r="A1228" t="str">
        <f t="shared" si="266"/>
        <v>37226Tiahura674PocilloporidaeDessus</v>
      </c>
      <c r="B1228" s="1">
        <v>37226</v>
      </c>
      <c r="C1228" t="s">
        <v>24</v>
      </c>
      <c r="D1228" s="19">
        <v>6</v>
      </c>
      <c r="E1228">
        <v>74</v>
      </c>
      <c r="F1228" t="s">
        <v>10</v>
      </c>
      <c r="G1228" t="s">
        <v>11</v>
      </c>
      <c r="H1228">
        <v>1</v>
      </c>
      <c r="I1228" t="s">
        <v>27</v>
      </c>
    </row>
    <row r="1229" spans="1:9" x14ac:dyDescent="0.2">
      <c r="A1229" t="str">
        <f t="shared" si="266"/>
        <v>37226Tiahura674PoritidaeDessous</v>
      </c>
      <c r="B1229" s="1">
        <v>37226</v>
      </c>
      <c r="C1229" t="s">
        <v>24</v>
      </c>
      <c r="D1229" s="19">
        <v>6</v>
      </c>
      <c r="E1229">
        <v>74</v>
      </c>
      <c r="F1229" t="s">
        <v>7</v>
      </c>
      <c r="G1229" t="s">
        <v>8</v>
      </c>
      <c r="H1229">
        <v>1</v>
      </c>
      <c r="I1229" t="s">
        <v>27</v>
      </c>
    </row>
    <row r="1230" spans="1:9" x14ac:dyDescent="0.2">
      <c r="A1230" t="str">
        <f t="shared" si="266"/>
        <v>37226Tiahura675PocilloporidaeDessus</v>
      </c>
      <c r="B1230" s="1">
        <v>37226</v>
      </c>
      <c r="C1230" t="s">
        <v>24</v>
      </c>
      <c r="D1230" s="19">
        <v>6</v>
      </c>
      <c r="E1230">
        <v>75</v>
      </c>
      <c r="F1230" t="s">
        <v>10</v>
      </c>
      <c r="G1230" t="s">
        <v>11</v>
      </c>
      <c r="H1230">
        <v>1</v>
      </c>
      <c r="I1230" t="s">
        <v>27</v>
      </c>
    </row>
    <row r="1231" spans="1:9" x14ac:dyDescent="0.2">
      <c r="A1231" t="str">
        <f t="shared" si="266"/>
        <v>37226Tiahura676PocilloporidaeDessous</v>
      </c>
      <c r="B1231" s="1">
        <v>37226</v>
      </c>
      <c r="C1231" t="s">
        <v>24</v>
      </c>
      <c r="D1231" s="19">
        <v>6</v>
      </c>
      <c r="E1231">
        <v>76</v>
      </c>
      <c r="F1231" t="s">
        <v>10</v>
      </c>
      <c r="G1231" t="s">
        <v>8</v>
      </c>
      <c r="H1231">
        <v>1</v>
      </c>
      <c r="I1231" t="s">
        <v>27</v>
      </c>
    </row>
    <row r="1232" spans="1:9" x14ac:dyDescent="0.2">
      <c r="A1232" t="str">
        <f t="shared" si="266"/>
        <v>37226Tiahura676PoritidaeBords</v>
      </c>
      <c r="B1232" s="1">
        <v>37226</v>
      </c>
      <c r="C1232" t="s">
        <v>24</v>
      </c>
      <c r="D1232" s="19">
        <v>6</v>
      </c>
      <c r="E1232">
        <v>76</v>
      </c>
      <c r="F1232" t="s">
        <v>7</v>
      </c>
      <c r="G1232" t="s">
        <v>13</v>
      </c>
      <c r="H1232">
        <v>1</v>
      </c>
      <c r="I1232" t="s">
        <v>27</v>
      </c>
    </row>
    <row r="1233" spans="1:9" x14ac:dyDescent="0.2">
      <c r="A1233" t="str">
        <f t="shared" si="266"/>
        <v>37226Tiahura677CassésDessous</v>
      </c>
      <c r="B1233" s="1">
        <v>37226</v>
      </c>
      <c r="C1233" t="s">
        <v>24</v>
      </c>
      <c r="D1233" s="19">
        <v>6</v>
      </c>
      <c r="E1233">
        <v>77</v>
      </c>
      <c r="F1233" t="s">
        <v>12</v>
      </c>
      <c r="G1233" t="s">
        <v>8</v>
      </c>
      <c r="H1233">
        <v>1</v>
      </c>
      <c r="I1233" t="s">
        <v>27</v>
      </c>
    </row>
    <row r="1234" spans="1:9" x14ac:dyDescent="0.2">
      <c r="A1234" t="str">
        <f t="shared" si="266"/>
        <v>37226Tiahura677PocilloporidaeBords</v>
      </c>
      <c r="B1234" s="1">
        <v>37226</v>
      </c>
      <c r="C1234" t="s">
        <v>24</v>
      </c>
      <c r="D1234" s="19">
        <v>6</v>
      </c>
      <c r="E1234">
        <v>77</v>
      </c>
      <c r="F1234" t="s">
        <v>10</v>
      </c>
      <c r="G1234" t="s">
        <v>13</v>
      </c>
      <c r="H1234">
        <v>1</v>
      </c>
      <c r="I1234" t="s">
        <v>27</v>
      </c>
    </row>
    <row r="1235" spans="1:9" x14ac:dyDescent="0.2">
      <c r="A1235" t="str">
        <f t="shared" si="266"/>
        <v>37226Tiahura677PocilloporidaeDessous</v>
      </c>
      <c r="B1235" s="1">
        <v>37226</v>
      </c>
      <c r="C1235" t="s">
        <v>24</v>
      </c>
      <c r="D1235" s="19">
        <v>6</v>
      </c>
      <c r="E1235">
        <v>77</v>
      </c>
      <c r="F1235" t="s">
        <v>10</v>
      </c>
      <c r="G1235" t="s">
        <v>8</v>
      </c>
      <c r="H1235">
        <v>5</v>
      </c>
      <c r="I1235" t="s">
        <v>27</v>
      </c>
    </row>
    <row r="1236" spans="1:9" x14ac:dyDescent="0.2">
      <c r="A1236" t="str">
        <f t="shared" si="266"/>
        <v>37226Tiahura677PoritidaeBords</v>
      </c>
      <c r="B1236" s="1">
        <v>37226</v>
      </c>
      <c r="C1236" t="s">
        <v>24</v>
      </c>
      <c r="D1236" s="19">
        <v>6</v>
      </c>
      <c r="E1236">
        <v>77</v>
      </c>
      <c r="F1236" t="s">
        <v>7</v>
      </c>
      <c r="G1236" t="s">
        <v>13</v>
      </c>
      <c r="H1236">
        <v>2</v>
      </c>
      <c r="I1236" t="s">
        <v>27</v>
      </c>
    </row>
    <row r="1237" spans="1:9" x14ac:dyDescent="0.2">
      <c r="A1237" t="str">
        <f t="shared" si="266"/>
        <v>37226Tiahura678</v>
      </c>
      <c r="B1237" s="1">
        <v>37226</v>
      </c>
      <c r="C1237" t="s">
        <v>24</v>
      </c>
      <c r="D1237" s="19">
        <v>6</v>
      </c>
      <c r="E1237">
        <v>78</v>
      </c>
      <c r="F1237" t="s">
        <v>27</v>
      </c>
      <c r="G1237" t="s">
        <v>27</v>
      </c>
      <c r="H1237" t="s">
        <v>27</v>
      </c>
      <c r="I1237" t="s">
        <v>31</v>
      </c>
    </row>
    <row r="1238" spans="1:9" x14ac:dyDescent="0.2">
      <c r="A1238" t="str">
        <f t="shared" si="266"/>
        <v>37226Tiahura679AcroporidaeDessous</v>
      </c>
      <c r="B1238" s="1">
        <v>37226</v>
      </c>
      <c r="C1238" t="s">
        <v>24</v>
      </c>
      <c r="D1238" s="19">
        <v>6</v>
      </c>
      <c r="E1238">
        <v>79</v>
      </c>
      <c r="F1238" t="s">
        <v>17</v>
      </c>
      <c r="G1238" t="s">
        <v>8</v>
      </c>
      <c r="H1238">
        <v>1</v>
      </c>
      <c r="I1238" t="s">
        <v>27</v>
      </c>
    </row>
    <row r="1239" spans="1:9" x14ac:dyDescent="0.2">
      <c r="A1239" t="str">
        <f t="shared" si="266"/>
        <v>37226Tiahura679PocilloporidaeBords</v>
      </c>
      <c r="B1239" s="1">
        <v>37226</v>
      </c>
      <c r="C1239" t="s">
        <v>24</v>
      </c>
      <c r="D1239" s="19">
        <v>6</v>
      </c>
      <c r="E1239">
        <v>79</v>
      </c>
      <c r="F1239" t="s">
        <v>10</v>
      </c>
      <c r="G1239" t="s">
        <v>13</v>
      </c>
      <c r="H1239">
        <v>4</v>
      </c>
      <c r="I1239" t="s">
        <v>27</v>
      </c>
    </row>
    <row r="1240" spans="1:9" x14ac:dyDescent="0.2">
      <c r="A1240" t="str">
        <f t="shared" si="266"/>
        <v>37226Tiahura680PocilloporidaeDessous</v>
      </c>
      <c r="B1240" s="1">
        <v>37226</v>
      </c>
      <c r="C1240" t="s">
        <v>24</v>
      </c>
      <c r="D1240" s="19">
        <v>6</v>
      </c>
      <c r="E1240">
        <v>80</v>
      </c>
      <c r="F1240" t="s">
        <v>10</v>
      </c>
      <c r="G1240" t="s">
        <v>8</v>
      </c>
      <c r="H1240">
        <v>3</v>
      </c>
      <c r="I1240" t="s">
        <v>27</v>
      </c>
    </row>
    <row r="1241" spans="1:9" x14ac:dyDescent="0.2">
      <c r="A1241" t="str">
        <f t="shared" si="266"/>
        <v>37226Tiahura1281CassésBords</v>
      </c>
      <c r="B1241" s="1">
        <v>37226</v>
      </c>
      <c r="C1241" t="s">
        <v>24</v>
      </c>
      <c r="D1241" s="19">
        <v>12</v>
      </c>
      <c r="E1241">
        <v>81</v>
      </c>
      <c r="F1241" t="s">
        <v>12</v>
      </c>
      <c r="G1241" t="s">
        <v>13</v>
      </c>
      <c r="H1241">
        <v>1</v>
      </c>
      <c r="I1241" t="s">
        <v>27</v>
      </c>
    </row>
    <row r="1242" spans="1:9" x14ac:dyDescent="0.2">
      <c r="A1242" t="str">
        <f t="shared" si="266"/>
        <v>37226Tiahura1281PocilloporidaeBords</v>
      </c>
      <c r="B1242" s="1">
        <v>37226</v>
      </c>
      <c r="C1242" t="s">
        <v>24</v>
      </c>
      <c r="D1242" s="19">
        <v>12</v>
      </c>
      <c r="E1242">
        <v>81</v>
      </c>
      <c r="F1242" t="s">
        <v>10</v>
      </c>
      <c r="G1242" t="s">
        <v>13</v>
      </c>
      <c r="H1242">
        <v>1</v>
      </c>
      <c r="I1242" t="s">
        <v>27</v>
      </c>
    </row>
    <row r="1243" spans="1:9" x14ac:dyDescent="0.2">
      <c r="A1243" t="str">
        <f t="shared" si="266"/>
        <v>37226Tiahura1282PocilloporidaeBords</v>
      </c>
      <c r="B1243" s="1">
        <v>37226</v>
      </c>
      <c r="C1243" t="s">
        <v>24</v>
      </c>
      <c r="D1243" s="19">
        <v>12</v>
      </c>
      <c r="E1243">
        <v>82</v>
      </c>
      <c r="F1243" t="s">
        <v>10</v>
      </c>
      <c r="G1243" t="s">
        <v>13</v>
      </c>
      <c r="H1243">
        <v>1</v>
      </c>
      <c r="I1243" t="s">
        <v>27</v>
      </c>
    </row>
    <row r="1244" spans="1:9" x14ac:dyDescent="0.2">
      <c r="A1244" t="str">
        <f t="shared" si="266"/>
        <v>37226Tiahura1282PoritidaeBords</v>
      </c>
      <c r="B1244" s="1">
        <v>37226</v>
      </c>
      <c r="C1244" t="s">
        <v>24</v>
      </c>
      <c r="D1244" s="19">
        <v>12</v>
      </c>
      <c r="E1244">
        <v>82</v>
      </c>
      <c r="F1244" t="s">
        <v>7</v>
      </c>
      <c r="G1244" t="s">
        <v>13</v>
      </c>
      <c r="H1244">
        <v>1</v>
      </c>
      <c r="I1244" t="s">
        <v>27</v>
      </c>
    </row>
    <row r="1245" spans="1:9" x14ac:dyDescent="0.2">
      <c r="A1245" t="str">
        <f t="shared" si="266"/>
        <v>37226Tiahura1283PocilloporidaeDessous</v>
      </c>
      <c r="B1245" s="1">
        <v>37226</v>
      </c>
      <c r="C1245" t="s">
        <v>24</v>
      </c>
      <c r="D1245" s="19">
        <v>12</v>
      </c>
      <c r="E1245">
        <v>83</v>
      </c>
      <c r="F1245" t="s">
        <v>10</v>
      </c>
      <c r="G1245" t="s">
        <v>8</v>
      </c>
      <c r="H1245">
        <v>2</v>
      </c>
      <c r="I1245" t="s">
        <v>27</v>
      </c>
    </row>
    <row r="1246" spans="1:9" x14ac:dyDescent="0.2">
      <c r="A1246" t="str">
        <f t="shared" si="266"/>
        <v>37226Tiahura1283PoritidaeDessous</v>
      </c>
      <c r="B1246" s="1">
        <v>37226</v>
      </c>
      <c r="C1246" t="s">
        <v>24</v>
      </c>
      <c r="D1246" s="19">
        <v>12</v>
      </c>
      <c r="E1246">
        <v>83</v>
      </c>
      <c r="F1246" t="s">
        <v>7</v>
      </c>
      <c r="G1246" t="s">
        <v>8</v>
      </c>
      <c r="H1246">
        <v>3</v>
      </c>
      <c r="I1246" t="s">
        <v>27</v>
      </c>
    </row>
    <row r="1247" spans="1:9" x14ac:dyDescent="0.2">
      <c r="A1247" t="str">
        <f t="shared" si="266"/>
        <v>37226Tiahura1284CassésDessus</v>
      </c>
      <c r="B1247" s="1">
        <v>37226</v>
      </c>
      <c r="C1247" t="s">
        <v>24</v>
      </c>
      <c r="D1247" s="19">
        <v>12</v>
      </c>
      <c r="E1247">
        <v>84</v>
      </c>
      <c r="F1247" t="s">
        <v>12</v>
      </c>
      <c r="G1247" t="s">
        <v>11</v>
      </c>
      <c r="H1247">
        <v>1</v>
      </c>
      <c r="I1247" t="s">
        <v>27</v>
      </c>
    </row>
    <row r="1248" spans="1:9" x14ac:dyDescent="0.2">
      <c r="A1248" t="str">
        <f t="shared" si="266"/>
        <v>37226Tiahura1285PocilloporidaeDessous</v>
      </c>
      <c r="B1248" s="1">
        <v>37226</v>
      </c>
      <c r="C1248" t="s">
        <v>24</v>
      </c>
      <c r="D1248" s="19">
        <v>12</v>
      </c>
      <c r="E1248">
        <v>85</v>
      </c>
      <c r="F1248" t="s">
        <v>10</v>
      </c>
      <c r="G1248" t="s">
        <v>8</v>
      </c>
      <c r="H1248">
        <v>1</v>
      </c>
      <c r="I1248" t="s">
        <v>27</v>
      </c>
    </row>
    <row r="1249" spans="1:9" x14ac:dyDescent="0.2">
      <c r="A1249" t="str">
        <f t="shared" si="266"/>
        <v>37226Tiahura1286PocilloporidaeDessous</v>
      </c>
      <c r="B1249" s="1">
        <v>37226</v>
      </c>
      <c r="C1249" t="s">
        <v>24</v>
      </c>
      <c r="D1249" s="19">
        <v>12</v>
      </c>
      <c r="E1249">
        <v>86</v>
      </c>
      <c r="F1249" t="s">
        <v>10</v>
      </c>
      <c r="G1249" t="s">
        <v>8</v>
      </c>
      <c r="H1249">
        <v>3</v>
      </c>
      <c r="I1249" t="s">
        <v>27</v>
      </c>
    </row>
    <row r="1250" spans="1:9" x14ac:dyDescent="0.2">
      <c r="A1250" t="str">
        <f t="shared" si="266"/>
        <v>37226Tiahura1287AcroporidaeDessous</v>
      </c>
      <c r="B1250" s="1">
        <v>37226</v>
      </c>
      <c r="C1250" t="s">
        <v>24</v>
      </c>
      <c r="D1250" s="19">
        <v>12</v>
      </c>
      <c r="E1250">
        <v>87</v>
      </c>
      <c r="F1250" t="s">
        <v>17</v>
      </c>
      <c r="G1250" t="s">
        <v>8</v>
      </c>
      <c r="H1250">
        <v>1</v>
      </c>
      <c r="I1250" t="s">
        <v>27</v>
      </c>
    </row>
    <row r="1251" spans="1:9" x14ac:dyDescent="0.2">
      <c r="A1251" t="str">
        <f t="shared" si="266"/>
        <v>37226Tiahura1287PocilloporidaeBords</v>
      </c>
      <c r="B1251" s="1">
        <v>37226</v>
      </c>
      <c r="C1251" t="s">
        <v>24</v>
      </c>
      <c r="D1251" s="19">
        <v>12</v>
      </c>
      <c r="E1251">
        <v>87</v>
      </c>
      <c r="F1251" t="s">
        <v>10</v>
      </c>
      <c r="G1251" t="s">
        <v>13</v>
      </c>
      <c r="H1251">
        <v>1</v>
      </c>
      <c r="I1251" t="s">
        <v>27</v>
      </c>
    </row>
    <row r="1252" spans="1:9" x14ac:dyDescent="0.2">
      <c r="A1252" t="str">
        <f t="shared" si="266"/>
        <v>37226Tiahura1287PoritidaeBords</v>
      </c>
      <c r="B1252" s="1">
        <v>37226</v>
      </c>
      <c r="C1252" t="s">
        <v>24</v>
      </c>
      <c r="D1252" s="19">
        <v>12</v>
      </c>
      <c r="E1252">
        <v>87</v>
      </c>
      <c r="F1252" t="s">
        <v>7</v>
      </c>
      <c r="G1252" t="s">
        <v>13</v>
      </c>
      <c r="H1252">
        <v>1</v>
      </c>
      <c r="I1252" t="s">
        <v>27</v>
      </c>
    </row>
    <row r="1253" spans="1:9" x14ac:dyDescent="0.2">
      <c r="A1253" t="str">
        <f t="shared" si="266"/>
        <v>37226Tiahura1287PoritidaeDessous</v>
      </c>
      <c r="B1253" s="1">
        <v>37226</v>
      </c>
      <c r="C1253" t="s">
        <v>24</v>
      </c>
      <c r="D1253" s="19">
        <v>12</v>
      </c>
      <c r="E1253">
        <v>87</v>
      </c>
      <c r="F1253" t="s">
        <v>7</v>
      </c>
      <c r="G1253" t="s">
        <v>8</v>
      </c>
      <c r="H1253">
        <v>1</v>
      </c>
      <c r="I1253" t="s">
        <v>27</v>
      </c>
    </row>
    <row r="1254" spans="1:9" x14ac:dyDescent="0.2">
      <c r="A1254" t="str">
        <f t="shared" si="266"/>
        <v>37226Tiahura1288PocilloporidaeDessous</v>
      </c>
      <c r="B1254" s="1">
        <v>37226</v>
      </c>
      <c r="C1254" t="s">
        <v>24</v>
      </c>
      <c r="D1254" s="19">
        <v>12</v>
      </c>
      <c r="E1254">
        <v>88</v>
      </c>
      <c r="F1254" t="s">
        <v>10</v>
      </c>
      <c r="G1254" t="s">
        <v>8</v>
      </c>
      <c r="H1254">
        <v>1</v>
      </c>
      <c r="I1254" t="s">
        <v>27</v>
      </c>
    </row>
    <row r="1255" spans="1:9" x14ac:dyDescent="0.2">
      <c r="A1255" t="str">
        <f t="shared" si="266"/>
        <v>37226Tiahura1288PoritidaeDessous</v>
      </c>
      <c r="B1255" s="1">
        <v>37226</v>
      </c>
      <c r="C1255" t="s">
        <v>24</v>
      </c>
      <c r="D1255" s="19">
        <v>12</v>
      </c>
      <c r="E1255">
        <v>88</v>
      </c>
      <c r="F1255" t="s">
        <v>7</v>
      </c>
      <c r="G1255" t="s">
        <v>8</v>
      </c>
      <c r="H1255">
        <v>2</v>
      </c>
      <c r="I1255" t="s">
        <v>27</v>
      </c>
    </row>
    <row r="1256" spans="1:9" x14ac:dyDescent="0.2">
      <c r="A1256" t="str">
        <f t="shared" si="266"/>
        <v>37226Tiahura1289AcroporidaeDessous</v>
      </c>
      <c r="B1256" s="1">
        <v>37226</v>
      </c>
      <c r="C1256" t="s">
        <v>24</v>
      </c>
      <c r="D1256" s="19">
        <v>12</v>
      </c>
      <c r="E1256">
        <v>89</v>
      </c>
      <c r="F1256" t="s">
        <v>17</v>
      </c>
      <c r="G1256" t="s">
        <v>8</v>
      </c>
      <c r="H1256">
        <v>1</v>
      </c>
      <c r="I1256" t="s">
        <v>27</v>
      </c>
    </row>
    <row r="1257" spans="1:9" x14ac:dyDescent="0.2">
      <c r="A1257" t="str">
        <f t="shared" si="266"/>
        <v>37226Tiahura1289PocilloporidaeBords</v>
      </c>
      <c r="B1257" s="1">
        <v>37226</v>
      </c>
      <c r="C1257" t="s">
        <v>24</v>
      </c>
      <c r="D1257" s="19">
        <v>12</v>
      </c>
      <c r="E1257">
        <v>89</v>
      </c>
      <c r="F1257" t="s">
        <v>10</v>
      </c>
      <c r="G1257" t="s">
        <v>13</v>
      </c>
      <c r="H1257">
        <v>2</v>
      </c>
      <c r="I1257" t="s">
        <v>27</v>
      </c>
    </row>
    <row r="1258" spans="1:9" x14ac:dyDescent="0.2">
      <c r="A1258" t="str">
        <f t="shared" si="266"/>
        <v>37226Tiahura1289PocilloporidaeDessous</v>
      </c>
      <c r="B1258" s="1">
        <v>37226</v>
      </c>
      <c r="C1258" t="s">
        <v>24</v>
      </c>
      <c r="D1258" s="19">
        <v>12</v>
      </c>
      <c r="E1258">
        <v>89</v>
      </c>
      <c r="F1258" t="s">
        <v>10</v>
      </c>
      <c r="G1258" t="s">
        <v>8</v>
      </c>
      <c r="H1258">
        <v>3</v>
      </c>
      <c r="I1258" t="s">
        <v>27</v>
      </c>
    </row>
    <row r="1259" spans="1:9" x14ac:dyDescent="0.2">
      <c r="A1259" t="str">
        <f t="shared" si="266"/>
        <v>37226Tiahura1289PoritidaeBords</v>
      </c>
      <c r="B1259" s="1">
        <v>37226</v>
      </c>
      <c r="C1259" t="s">
        <v>24</v>
      </c>
      <c r="D1259" s="19">
        <v>12</v>
      </c>
      <c r="E1259">
        <v>89</v>
      </c>
      <c r="F1259" t="s">
        <v>7</v>
      </c>
      <c r="G1259" t="s">
        <v>13</v>
      </c>
      <c r="H1259">
        <v>1</v>
      </c>
      <c r="I1259" t="s">
        <v>27</v>
      </c>
    </row>
    <row r="1260" spans="1:9" x14ac:dyDescent="0.2">
      <c r="A1260" t="str">
        <f t="shared" si="266"/>
        <v>37226Tiahura1289PoritidaeDessous</v>
      </c>
      <c r="B1260" s="1">
        <v>37226</v>
      </c>
      <c r="C1260" t="s">
        <v>24</v>
      </c>
      <c r="D1260" s="19">
        <v>12</v>
      </c>
      <c r="E1260">
        <v>89</v>
      </c>
      <c r="F1260" t="s">
        <v>7</v>
      </c>
      <c r="G1260" t="s">
        <v>8</v>
      </c>
      <c r="H1260">
        <v>1</v>
      </c>
      <c r="I1260" t="s">
        <v>27</v>
      </c>
    </row>
    <row r="1261" spans="1:9" x14ac:dyDescent="0.2">
      <c r="A1261" t="str">
        <f t="shared" si="266"/>
        <v>37226Tiahura1290PoritidaeDessous</v>
      </c>
      <c r="B1261" s="1">
        <v>37226</v>
      </c>
      <c r="C1261" t="s">
        <v>24</v>
      </c>
      <c r="D1261" s="19">
        <v>12</v>
      </c>
      <c r="E1261">
        <v>90</v>
      </c>
      <c r="F1261" t="s">
        <v>7</v>
      </c>
      <c r="G1261" t="s">
        <v>8</v>
      </c>
      <c r="H1261">
        <v>1</v>
      </c>
      <c r="I1261" t="s">
        <v>27</v>
      </c>
    </row>
    <row r="1262" spans="1:9" x14ac:dyDescent="0.2">
      <c r="A1262" t="str">
        <f t="shared" si="266"/>
        <v>37226Tiahura1291</v>
      </c>
      <c r="B1262" s="1">
        <v>37226</v>
      </c>
      <c r="C1262" t="s">
        <v>24</v>
      </c>
      <c r="D1262" s="19">
        <v>12</v>
      </c>
      <c r="E1262">
        <v>91</v>
      </c>
      <c r="F1262" t="s">
        <v>27</v>
      </c>
      <c r="G1262" t="s">
        <v>27</v>
      </c>
      <c r="H1262" t="s">
        <v>27</v>
      </c>
      <c r="I1262" t="s">
        <v>31</v>
      </c>
    </row>
    <row r="1263" spans="1:9" x14ac:dyDescent="0.2">
      <c r="A1263" t="str">
        <f t="shared" si="266"/>
        <v>37226Tiahura1292PocilloporidaeDessous</v>
      </c>
      <c r="B1263" s="1">
        <v>37226</v>
      </c>
      <c r="C1263" t="s">
        <v>24</v>
      </c>
      <c r="D1263" s="19">
        <v>12</v>
      </c>
      <c r="E1263">
        <v>92</v>
      </c>
      <c r="F1263" t="s">
        <v>10</v>
      </c>
      <c r="G1263" t="s">
        <v>8</v>
      </c>
      <c r="H1263">
        <v>1</v>
      </c>
      <c r="I1263" t="s">
        <v>27</v>
      </c>
    </row>
    <row r="1264" spans="1:9" x14ac:dyDescent="0.2">
      <c r="A1264" t="str">
        <f t="shared" si="266"/>
        <v>37226Tiahura1293PocilloporidaeBords</v>
      </c>
      <c r="B1264" s="1">
        <v>37226</v>
      </c>
      <c r="C1264" t="s">
        <v>24</v>
      </c>
      <c r="D1264" s="19">
        <v>12</v>
      </c>
      <c r="E1264">
        <v>93</v>
      </c>
      <c r="F1264" t="s">
        <v>10</v>
      </c>
      <c r="G1264" t="s">
        <v>13</v>
      </c>
      <c r="H1264">
        <v>1</v>
      </c>
      <c r="I1264" t="s">
        <v>27</v>
      </c>
    </row>
    <row r="1265" spans="1:9" x14ac:dyDescent="0.2">
      <c r="A1265" t="str">
        <f t="shared" si="266"/>
        <v>37226Tiahura1294PocilloporidaeDessous</v>
      </c>
      <c r="B1265" s="1">
        <v>37226</v>
      </c>
      <c r="C1265" t="s">
        <v>24</v>
      </c>
      <c r="D1265" s="19">
        <v>12</v>
      </c>
      <c r="E1265">
        <v>94</v>
      </c>
      <c r="F1265" t="s">
        <v>10</v>
      </c>
      <c r="G1265" t="s">
        <v>8</v>
      </c>
      <c r="H1265">
        <v>2</v>
      </c>
      <c r="I1265" t="s">
        <v>27</v>
      </c>
    </row>
    <row r="1266" spans="1:9" x14ac:dyDescent="0.2">
      <c r="A1266" t="str">
        <f t="shared" si="266"/>
        <v>37226Tiahura1295PocilloporidaeDessous</v>
      </c>
      <c r="B1266" s="1">
        <v>37226</v>
      </c>
      <c r="C1266" t="s">
        <v>24</v>
      </c>
      <c r="D1266" s="19">
        <v>12</v>
      </c>
      <c r="E1266">
        <v>95</v>
      </c>
      <c r="F1266" t="s">
        <v>10</v>
      </c>
      <c r="G1266" t="s">
        <v>8</v>
      </c>
      <c r="H1266">
        <v>1</v>
      </c>
      <c r="I1266" t="s">
        <v>27</v>
      </c>
    </row>
    <row r="1267" spans="1:9" x14ac:dyDescent="0.2">
      <c r="A1267" t="str">
        <f t="shared" si="266"/>
        <v>37226Tiahura1295PoritidaeDessous</v>
      </c>
      <c r="B1267" s="1">
        <v>37226</v>
      </c>
      <c r="C1267" t="s">
        <v>24</v>
      </c>
      <c r="D1267" s="19">
        <v>12</v>
      </c>
      <c r="E1267">
        <v>95</v>
      </c>
      <c r="F1267" t="s">
        <v>7</v>
      </c>
      <c r="G1267" t="s">
        <v>8</v>
      </c>
      <c r="H1267">
        <v>4</v>
      </c>
      <c r="I1267" t="s">
        <v>27</v>
      </c>
    </row>
    <row r="1268" spans="1:9" x14ac:dyDescent="0.2">
      <c r="A1268" t="str">
        <f t="shared" si="266"/>
        <v>37226Tiahura1296PocilloporidaeBords</v>
      </c>
      <c r="B1268" s="1">
        <v>37226</v>
      </c>
      <c r="C1268" t="s">
        <v>24</v>
      </c>
      <c r="D1268" s="19">
        <v>12</v>
      </c>
      <c r="E1268">
        <v>96</v>
      </c>
      <c r="F1268" t="s">
        <v>10</v>
      </c>
      <c r="G1268" t="s">
        <v>13</v>
      </c>
      <c r="H1268">
        <v>2</v>
      </c>
      <c r="I1268" t="s">
        <v>27</v>
      </c>
    </row>
    <row r="1269" spans="1:9" x14ac:dyDescent="0.2">
      <c r="A1269" t="str">
        <f t="shared" si="266"/>
        <v>37226Tiahura1296PoritidaeBords</v>
      </c>
      <c r="B1269" s="1">
        <v>37226</v>
      </c>
      <c r="C1269" t="s">
        <v>24</v>
      </c>
      <c r="D1269" s="19">
        <v>12</v>
      </c>
      <c r="E1269">
        <v>96</v>
      </c>
      <c r="F1269" t="s">
        <v>7</v>
      </c>
      <c r="G1269" t="s">
        <v>13</v>
      </c>
      <c r="H1269">
        <v>2</v>
      </c>
      <c r="I1269" t="s">
        <v>27</v>
      </c>
    </row>
    <row r="1270" spans="1:9" x14ac:dyDescent="0.2">
      <c r="A1270" t="str">
        <f t="shared" si="266"/>
        <v>37226Tiahura1297Autres</v>
      </c>
      <c r="B1270" s="1">
        <v>37226</v>
      </c>
      <c r="C1270" t="s">
        <v>24</v>
      </c>
      <c r="D1270" s="19">
        <v>12</v>
      </c>
      <c r="E1270">
        <v>97</v>
      </c>
      <c r="F1270" t="s">
        <v>14</v>
      </c>
      <c r="H1270">
        <v>0</v>
      </c>
    </row>
    <row r="1271" spans="1:9" x14ac:dyDescent="0.2">
      <c r="A1271" t="str">
        <f t="shared" si="266"/>
        <v>37226Tiahura1298AcroporidaeDessous</v>
      </c>
      <c r="B1271" s="1">
        <v>37226</v>
      </c>
      <c r="C1271" t="s">
        <v>24</v>
      </c>
      <c r="D1271" s="19">
        <v>12</v>
      </c>
      <c r="E1271">
        <v>98</v>
      </c>
      <c r="F1271" t="s">
        <v>17</v>
      </c>
      <c r="G1271" t="s">
        <v>8</v>
      </c>
      <c r="H1271">
        <v>1</v>
      </c>
      <c r="I1271" t="s">
        <v>27</v>
      </c>
    </row>
    <row r="1272" spans="1:9" x14ac:dyDescent="0.2">
      <c r="A1272" t="str">
        <f t="shared" si="266"/>
        <v>37226Tiahura1298CassésBords</v>
      </c>
      <c r="B1272" s="1">
        <v>37226</v>
      </c>
      <c r="C1272" t="s">
        <v>24</v>
      </c>
      <c r="D1272" s="19">
        <v>12</v>
      </c>
      <c r="E1272">
        <v>98</v>
      </c>
      <c r="F1272" t="s">
        <v>12</v>
      </c>
      <c r="G1272" t="s">
        <v>13</v>
      </c>
      <c r="H1272">
        <v>1</v>
      </c>
      <c r="I1272" t="s">
        <v>27</v>
      </c>
    </row>
    <row r="1273" spans="1:9" x14ac:dyDescent="0.2">
      <c r="A1273" t="str">
        <f t="shared" si="266"/>
        <v>37226Tiahura1299Autres</v>
      </c>
      <c r="B1273" s="1">
        <v>37226</v>
      </c>
      <c r="C1273" t="s">
        <v>24</v>
      </c>
      <c r="D1273" s="19">
        <v>12</v>
      </c>
      <c r="E1273">
        <v>99</v>
      </c>
      <c r="F1273" t="s">
        <v>14</v>
      </c>
      <c r="H1273">
        <v>0</v>
      </c>
    </row>
    <row r="1274" spans="1:9" x14ac:dyDescent="0.2">
      <c r="A1274" t="str">
        <f t="shared" si="266"/>
        <v>37226Tiahura12100AcroporidaeDessous</v>
      </c>
      <c r="B1274" s="1">
        <v>37226</v>
      </c>
      <c r="C1274" t="s">
        <v>24</v>
      </c>
      <c r="D1274" s="19">
        <v>12</v>
      </c>
      <c r="E1274">
        <v>100</v>
      </c>
      <c r="F1274" t="s">
        <v>17</v>
      </c>
      <c r="G1274" t="s">
        <v>8</v>
      </c>
      <c r="H1274">
        <v>1</v>
      </c>
      <c r="I1274" t="s">
        <v>27</v>
      </c>
    </row>
    <row r="1275" spans="1:9" x14ac:dyDescent="0.2">
      <c r="A1275" t="str">
        <f t="shared" si="266"/>
        <v>37226Tiahura12100PoritidaeDessous</v>
      </c>
      <c r="B1275" s="1">
        <v>37226</v>
      </c>
      <c r="C1275" t="s">
        <v>24</v>
      </c>
      <c r="D1275" s="19">
        <v>12</v>
      </c>
      <c r="E1275">
        <v>100</v>
      </c>
      <c r="F1275" t="s">
        <v>7</v>
      </c>
      <c r="G1275" t="s">
        <v>8</v>
      </c>
      <c r="H1275">
        <v>1</v>
      </c>
      <c r="I1275" t="s">
        <v>27</v>
      </c>
    </row>
    <row r="1276" spans="1:9" x14ac:dyDescent="0.2">
      <c r="A1276" t="str">
        <f t="shared" si="266"/>
        <v>37226Tiahura18101AcroporidaeDessous</v>
      </c>
      <c r="B1276" s="1">
        <v>37226</v>
      </c>
      <c r="C1276" t="s">
        <v>24</v>
      </c>
      <c r="D1276" s="19">
        <v>18</v>
      </c>
      <c r="E1276">
        <v>101</v>
      </c>
      <c r="F1276" t="s">
        <v>17</v>
      </c>
      <c r="G1276" t="s">
        <v>8</v>
      </c>
      <c r="H1276">
        <v>1</v>
      </c>
      <c r="I1276" t="s">
        <v>27</v>
      </c>
    </row>
    <row r="1277" spans="1:9" x14ac:dyDescent="0.2">
      <c r="A1277" t="str">
        <f t="shared" si="266"/>
        <v>37226Tiahura18102AcroporidaeDessous</v>
      </c>
      <c r="B1277" s="1">
        <v>37226</v>
      </c>
      <c r="C1277" t="s">
        <v>24</v>
      </c>
      <c r="D1277" s="19">
        <v>18</v>
      </c>
      <c r="E1277">
        <v>102</v>
      </c>
      <c r="F1277" t="s">
        <v>17</v>
      </c>
      <c r="G1277" t="s">
        <v>8</v>
      </c>
      <c r="H1277">
        <v>1</v>
      </c>
      <c r="I1277" t="s">
        <v>27</v>
      </c>
    </row>
    <row r="1278" spans="1:9" x14ac:dyDescent="0.2">
      <c r="A1278" t="str">
        <f t="shared" si="266"/>
        <v>37226Tiahura18102CassésDessous</v>
      </c>
      <c r="B1278" s="1">
        <v>37226</v>
      </c>
      <c r="C1278" t="s">
        <v>24</v>
      </c>
      <c r="D1278" s="19">
        <v>18</v>
      </c>
      <c r="E1278">
        <v>102</v>
      </c>
      <c r="F1278" t="s">
        <v>12</v>
      </c>
      <c r="G1278" t="s">
        <v>8</v>
      </c>
      <c r="H1278">
        <v>1</v>
      </c>
      <c r="I1278" t="s">
        <v>27</v>
      </c>
    </row>
    <row r="1279" spans="1:9" x14ac:dyDescent="0.2">
      <c r="A1279" t="str">
        <f t="shared" ref="A1279:A1342" si="267">B1279 &amp; C1279&amp; D1279&amp; E1279 &amp; F1279 &amp;G1279</f>
        <v>37226Tiahura18103AutresDessous</v>
      </c>
      <c r="B1279" s="1">
        <v>37226</v>
      </c>
      <c r="C1279" t="s">
        <v>24</v>
      </c>
      <c r="D1279" s="19">
        <v>18</v>
      </c>
      <c r="E1279">
        <v>103</v>
      </c>
      <c r="F1279" t="s">
        <v>14</v>
      </c>
      <c r="G1279" t="s">
        <v>8</v>
      </c>
      <c r="H1279">
        <v>1</v>
      </c>
    </row>
    <row r="1280" spans="1:9" x14ac:dyDescent="0.2">
      <c r="A1280" t="str">
        <f t="shared" si="267"/>
        <v>37226Tiahura18103CassésDessus</v>
      </c>
      <c r="B1280" s="1">
        <v>37226</v>
      </c>
      <c r="C1280" t="s">
        <v>24</v>
      </c>
      <c r="D1280" s="19">
        <v>18</v>
      </c>
      <c r="E1280">
        <v>103</v>
      </c>
      <c r="F1280" t="s">
        <v>12</v>
      </c>
      <c r="G1280" t="s">
        <v>11</v>
      </c>
      <c r="H1280">
        <v>1</v>
      </c>
      <c r="I1280" t="s">
        <v>27</v>
      </c>
    </row>
    <row r="1281" spans="1:9" x14ac:dyDescent="0.2">
      <c r="A1281" t="str">
        <f t="shared" si="267"/>
        <v>37226Tiahura18103PocilloporidaeBords</v>
      </c>
      <c r="B1281" s="1">
        <v>37226</v>
      </c>
      <c r="C1281" t="s">
        <v>24</v>
      </c>
      <c r="D1281" s="19">
        <v>18</v>
      </c>
      <c r="E1281">
        <v>103</v>
      </c>
      <c r="F1281" t="s">
        <v>10</v>
      </c>
      <c r="G1281" t="s">
        <v>13</v>
      </c>
      <c r="H1281">
        <v>1</v>
      </c>
      <c r="I1281" t="s">
        <v>27</v>
      </c>
    </row>
    <row r="1282" spans="1:9" x14ac:dyDescent="0.2">
      <c r="A1282" t="str">
        <f t="shared" si="267"/>
        <v>37226Tiahura18104CassésDessus</v>
      </c>
      <c r="B1282" s="1">
        <v>37226</v>
      </c>
      <c r="C1282" t="s">
        <v>24</v>
      </c>
      <c r="D1282" s="19">
        <v>18</v>
      </c>
      <c r="E1282">
        <v>104</v>
      </c>
      <c r="F1282" t="s">
        <v>12</v>
      </c>
      <c r="G1282" t="s">
        <v>11</v>
      </c>
      <c r="H1282">
        <v>1</v>
      </c>
      <c r="I1282" t="s">
        <v>27</v>
      </c>
    </row>
    <row r="1283" spans="1:9" x14ac:dyDescent="0.2">
      <c r="A1283" t="str">
        <f t="shared" si="267"/>
        <v>37226Tiahura18105Autres</v>
      </c>
      <c r="B1283" s="1">
        <v>37226</v>
      </c>
      <c r="C1283" t="s">
        <v>24</v>
      </c>
      <c r="D1283" s="19">
        <v>18</v>
      </c>
      <c r="E1283">
        <v>105</v>
      </c>
      <c r="F1283" t="s">
        <v>14</v>
      </c>
      <c r="H1283">
        <v>0</v>
      </c>
    </row>
    <row r="1284" spans="1:9" x14ac:dyDescent="0.2">
      <c r="A1284" t="str">
        <f t="shared" si="267"/>
        <v>37226Tiahura18106Autres</v>
      </c>
      <c r="B1284" s="1">
        <v>37226</v>
      </c>
      <c r="C1284" t="s">
        <v>24</v>
      </c>
      <c r="D1284" s="19">
        <v>18</v>
      </c>
      <c r="E1284">
        <v>106</v>
      </c>
      <c r="F1284" t="s">
        <v>14</v>
      </c>
      <c r="H1284">
        <v>0</v>
      </c>
    </row>
    <row r="1285" spans="1:9" x14ac:dyDescent="0.2">
      <c r="A1285" t="str">
        <f t="shared" si="267"/>
        <v>37226Tiahura18107PocilloporidaeDessous</v>
      </c>
      <c r="B1285" s="1">
        <v>37226</v>
      </c>
      <c r="C1285" t="s">
        <v>24</v>
      </c>
      <c r="D1285" s="19">
        <v>18</v>
      </c>
      <c r="E1285">
        <v>107</v>
      </c>
      <c r="F1285" t="s">
        <v>10</v>
      </c>
      <c r="G1285" t="s">
        <v>8</v>
      </c>
      <c r="H1285">
        <v>1</v>
      </c>
      <c r="I1285" t="s">
        <v>27</v>
      </c>
    </row>
    <row r="1286" spans="1:9" x14ac:dyDescent="0.2">
      <c r="A1286" t="str">
        <f t="shared" si="267"/>
        <v>37226Tiahura18108CassésBords</v>
      </c>
      <c r="B1286" s="1">
        <v>37226</v>
      </c>
      <c r="C1286" t="s">
        <v>24</v>
      </c>
      <c r="D1286" s="19">
        <v>18</v>
      </c>
      <c r="E1286">
        <v>108</v>
      </c>
      <c r="F1286" t="s">
        <v>12</v>
      </c>
      <c r="G1286" t="s">
        <v>13</v>
      </c>
      <c r="H1286">
        <v>1</v>
      </c>
      <c r="I1286" t="s">
        <v>27</v>
      </c>
    </row>
    <row r="1287" spans="1:9" x14ac:dyDescent="0.2">
      <c r="A1287" t="str">
        <f t="shared" si="267"/>
        <v>37226Tiahura18109AcroporidaeBords</v>
      </c>
      <c r="B1287" s="1">
        <v>37226</v>
      </c>
      <c r="C1287" t="s">
        <v>24</v>
      </c>
      <c r="D1287" s="19">
        <v>18</v>
      </c>
      <c r="E1287">
        <v>109</v>
      </c>
      <c r="F1287" t="s">
        <v>17</v>
      </c>
      <c r="G1287" t="s">
        <v>13</v>
      </c>
      <c r="H1287">
        <v>1</v>
      </c>
      <c r="I1287" t="s">
        <v>27</v>
      </c>
    </row>
    <row r="1288" spans="1:9" x14ac:dyDescent="0.2">
      <c r="A1288" t="str">
        <f t="shared" si="267"/>
        <v>37226Tiahura18109AcroporidaeDessous</v>
      </c>
      <c r="B1288" s="1">
        <v>37226</v>
      </c>
      <c r="C1288" t="s">
        <v>24</v>
      </c>
      <c r="D1288" s="19">
        <v>18</v>
      </c>
      <c r="E1288">
        <v>109</v>
      </c>
      <c r="F1288" t="s">
        <v>17</v>
      </c>
      <c r="G1288" t="s">
        <v>8</v>
      </c>
      <c r="H1288">
        <v>2</v>
      </c>
      <c r="I1288" t="s">
        <v>27</v>
      </c>
    </row>
    <row r="1289" spans="1:9" x14ac:dyDescent="0.2">
      <c r="A1289" t="str">
        <f t="shared" si="267"/>
        <v>37226Tiahura18109PocilloporidaeBords</v>
      </c>
      <c r="B1289" s="1">
        <v>37226</v>
      </c>
      <c r="C1289" t="s">
        <v>24</v>
      </c>
      <c r="D1289" s="19">
        <v>18</v>
      </c>
      <c r="E1289">
        <v>109</v>
      </c>
      <c r="F1289" t="s">
        <v>10</v>
      </c>
      <c r="G1289" t="s">
        <v>13</v>
      </c>
      <c r="H1289">
        <v>1</v>
      </c>
      <c r="I1289" t="s">
        <v>27</v>
      </c>
    </row>
    <row r="1290" spans="1:9" x14ac:dyDescent="0.2">
      <c r="A1290" t="str">
        <f t="shared" si="267"/>
        <v>37226Tiahura18109PocilloporidaeDessous</v>
      </c>
      <c r="B1290" s="1">
        <v>37226</v>
      </c>
      <c r="C1290" t="s">
        <v>24</v>
      </c>
      <c r="D1290" s="19">
        <v>18</v>
      </c>
      <c r="E1290">
        <v>109</v>
      </c>
      <c r="F1290" t="s">
        <v>10</v>
      </c>
      <c r="G1290" t="s">
        <v>8</v>
      </c>
      <c r="H1290">
        <v>1</v>
      </c>
      <c r="I1290" t="s">
        <v>27</v>
      </c>
    </row>
    <row r="1291" spans="1:9" x14ac:dyDescent="0.2">
      <c r="A1291" t="str">
        <f t="shared" si="267"/>
        <v>37226Tiahura18110AcroporidaeDessous</v>
      </c>
      <c r="B1291" s="1">
        <v>37226</v>
      </c>
      <c r="C1291" t="s">
        <v>24</v>
      </c>
      <c r="D1291" s="19">
        <v>18</v>
      </c>
      <c r="E1291">
        <v>110</v>
      </c>
      <c r="F1291" t="s">
        <v>17</v>
      </c>
      <c r="G1291" t="s">
        <v>8</v>
      </c>
      <c r="H1291">
        <v>1</v>
      </c>
      <c r="I1291" t="s">
        <v>27</v>
      </c>
    </row>
    <row r="1292" spans="1:9" x14ac:dyDescent="0.2">
      <c r="A1292" t="str">
        <f t="shared" si="267"/>
        <v>37226Tiahura18111PocilloporidaeDessous</v>
      </c>
      <c r="B1292" s="1">
        <v>37226</v>
      </c>
      <c r="C1292" t="s">
        <v>24</v>
      </c>
      <c r="D1292" s="19">
        <v>18</v>
      </c>
      <c r="E1292">
        <v>111</v>
      </c>
      <c r="F1292" t="s">
        <v>10</v>
      </c>
      <c r="G1292" t="s">
        <v>8</v>
      </c>
      <c r="H1292">
        <v>1</v>
      </c>
      <c r="I1292" t="s">
        <v>27</v>
      </c>
    </row>
    <row r="1293" spans="1:9" x14ac:dyDescent="0.2">
      <c r="A1293" t="str">
        <f t="shared" si="267"/>
        <v>37226Tiahura18111PoritidaeBords</v>
      </c>
      <c r="B1293" s="1">
        <v>37226</v>
      </c>
      <c r="C1293" t="s">
        <v>24</v>
      </c>
      <c r="D1293" s="19">
        <v>18</v>
      </c>
      <c r="E1293">
        <v>111</v>
      </c>
      <c r="F1293" t="s">
        <v>7</v>
      </c>
      <c r="G1293" t="s">
        <v>13</v>
      </c>
      <c r="H1293">
        <v>1</v>
      </c>
      <c r="I1293" t="s">
        <v>27</v>
      </c>
    </row>
    <row r="1294" spans="1:9" x14ac:dyDescent="0.2">
      <c r="A1294" t="str">
        <f t="shared" si="267"/>
        <v>37226Tiahura18112AcroporidaeBords</v>
      </c>
      <c r="B1294" s="1">
        <v>37226</v>
      </c>
      <c r="C1294" t="s">
        <v>24</v>
      </c>
      <c r="D1294" s="19">
        <v>18</v>
      </c>
      <c r="E1294">
        <v>112</v>
      </c>
      <c r="F1294" t="s">
        <v>17</v>
      </c>
      <c r="G1294" t="s">
        <v>13</v>
      </c>
      <c r="H1294">
        <v>1</v>
      </c>
      <c r="I1294" t="s">
        <v>27</v>
      </c>
    </row>
    <row r="1295" spans="1:9" x14ac:dyDescent="0.2">
      <c r="A1295" t="str">
        <f t="shared" si="267"/>
        <v>37226Tiahura18112AcroporidaeDessus</v>
      </c>
      <c r="B1295" s="1">
        <v>37226</v>
      </c>
      <c r="C1295" t="s">
        <v>24</v>
      </c>
      <c r="D1295" s="19">
        <v>18</v>
      </c>
      <c r="E1295">
        <v>112</v>
      </c>
      <c r="F1295" t="s">
        <v>17</v>
      </c>
      <c r="G1295" t="s">
        <v>11</v>
      </c>
      <c r="H1295">
        <v>1</v>
      </c>
      <c r="I1295" t="s">
        <v>27</v>
      </c>
    </row>
    <row r="1296" spans="1:9" x14ac:dyDescent="0.2">
      <c r="A1296" t="str">
        <f t="shared" si="267"/>
        <v>37226Tiahura18112PocilloporidaeBords</v>
      </c>
      <c r="B1296" s="1">
        <v>37226</v>
      </c>
      <c r="C1296" t="s">
        <v>24</v>
      </c>
      <c r="D1296" s="19">
        <v>18</v>
      </c>
      <c r="E1296">
        <v>112</v>
      </c>
      <c r="F1296" t="s">
        <v>10</v>
      </c>
      <c r="G1296" t="s">
        <v>13</v>
      </c>
      <c r="H1296">
        <v>3</v>
      </c>
      <c r="I1296" t="s">
        <v>27</v>
      </c>
    </row>
    <row r="1297" spans="1:9" x14ac:dyDescent="0.2">
      <c r="A1297" t="str">
        <f t="shared" si="267"/>
        <v>37226Tiahura18112PoritidaeBords</v>
      </c>
      <c r="B1297" s="1">
        <v>37226</v>
      </c>
      <c r="C1297" t="s">
        <v>24</v>
      </c>
      <c r="D1297" s="19">
        <v>18</v>
      </c>
      <c r="E1297">
        <v>112</v>
      </c>
      <c r="F1297" t="s">
        <v>7</v>
      </c>
      <c r="G1297" t="s">
        <v>13</v>
      </c>
      <c r="H1297">
        <v>2</v>
      </c>
      <c r="I1297" t="s">
        <v>27</v>
      </c>
    </row>
    <row r="1298" spans="1:9" x14ac:dyDescent="0.2">
      <c r="A1298" t="str">
        <f t="shared" si="267"/>
        <v>37226Tiahura18113PoritidaeBords</v>
      </c>
      <c r="B1298" s="1">
        <v>37226</v>
      </c>
      <c r="C1298" t="s">
        <v>24</v>
      </c>
      <c r="D1298" s="19">
        <v>18</v>
      </c>
      <c r="E1298">
        <v>113</v>
      </c>
      <c r="F1298" t="s">
        <v>7</v>
      </c>
      <c r="G1298" t="s">
        <v>13</v>
      </c>
      <c r="H1298">
        <v>1</v>
      </c>
      <c r="I1298" t="s">
        <v>27</v>
      </c>
    </row>
    <row r="1299" spans="1:9" x14ac:dyDescent="0.2">
      <c r="A1299" t="str">
        <f t="shared" si="267"/>
        <v>37226Tiahura18114AcroporidaeBords</v>
      </c>
      <c r="B1299" s="1">
        <v>37226</v>
      </c>
      <c r="C1299" t="s">
        <v>24</v>
      </c>
      <c r="D1299" s="19">
        <v>18</v>
      </c>
      <c r="E1299">
        <v>114</v>
      </c>
      <c r="F1299" t="s">
        <v>17</v>
      </c>
      <c r="G1299" t="s">
        <v>13</v>
      </c>
      <c r="H1299">
        <v>2</v>
      </c>
      <c r="I1299" t="s">
        <v>27</v>
      </c>
    </row>
    <row r="1300" spans="1:9" x14ac:dyDescent="0.2">
      <c r="A1300" t="str">
        <f t="shared" si="267"/>
        <v>37226Tiahura18114AcroporidaeDessus</v>
      </c>
      <c r="B1300" s="1">
        <v>37226</v>
      </c>
      <c r="C1300" t="s">
        <v>24</v>
      </c>
      <c r="D1300" s="19">
        <v>18</v>
      </c>
      <c r="E1300">
        <v>114</v>
      </c>
      <c r="F1300" t="s">
        <v>17</v>
      </c>
      <c r="G1300" t="s">
        <v>11</v>
      </c>
      <c r="H1300">
        <v>1</v>
      </c>
      <c r="I1300" t="s">
        <v>27</v>
      </c>
    </row>
    <row r="1301" spans="1:9" x14ac:dyDescent="0.2">
      <c r="A1301" t="str">
        <f t="shared" si="267"/>
        <v>37226Tiahura18114PocilloporidaeBords</v>
      </c>
      <c r="B1301" s="1">
        <v>37226</v>
      </c>
      <c r="C1301" t="s">
        <v>24</v>
      </c>
      <c r="D1301" s="19">
        <v>18</v>
      </c>
      <c r="E1301">
        <v>114</v>
      </c>
      <c r="F1301" t="s">
        <v>10</v>
      </c>
      <c r="G1301" t="s">
        <v>13</v>
      </c>
      <c r="H1301">
        <v>4</v>
      </c>
      <c r="I1301" t="s">
        <v>27</v>
      </c>
    </row>
    <row r="1302" spans="1:9" x14ac:dyDescent="0.2">
      <c r="A1302" t="str">
        <f t="shared" si="267"/>
        <v>37226Tiahura18114PocilloporidaeDessous</v>
      </c>
      <c r="B1302" s="1">
        <v>37226</v>
      </c>
      <c r="C1302" t="s">
        <v>24</v>
      </c>
      <c r="D1302" s="19">
        <v>18</v>
      </c>
      <c r="E1302">
        <v>114</v>
      </c>
      <c r="F1302" t="s">
        <v>10</v>
      </c>
      <c r="G1302" t="s">
        <v>8</v>
      </c>
      <c r="H1302">
        <v>1</v>
      </c>
      <c r="I1302" t="s">
        <v>27</v>
      </c>
    </row>
    <row r="1303" spans="1:9" x14ac:dyDescent="0.2">
      <c r="A1303" t="str">
        <f t="shared" si="267"/>
        <v>37226Tiahura18114PoritidaeBords</v>
      </c>
      <c r="B1303" s="1">
        <v>37226</v>
      </c>
      <c r="C1303" t="s">
        <v>24</v>
      </c>
      <c r="D1303" s="19">
        <v>18</v>
      </c>
      <c r="E1303">
        <v>114</v>
      </c>
      <c r="F1303" t="s">
        <v>7</v>
      </c>
      <c r="G1303" t="s">
        <v>13</v>
      </c>
      <c r="H1303">
        <v>2</v>
      </c>
      <c r="I1303" t="s">
        <v>27</v>
      </c>
    </row>
    <row r="1304" spans="1:9" x14ac:dyDescent="0.2">
      <c r="A1304" t="str">
        <f t="shared" si="267"/>
        <v>37226Tiahura18115PocilloporidaeDessous</v>
      </c>
      <c r="B1304" s="1">
        <v>37226</v>
      </c>
      <c r="C1304" t="s">
        <v>24</v>
      </c>
      <c r="D1304" s="19">
        <v>18</v>
      </c>
      <c r="E1304">
        <v>115</v>
      </c>
      <c r="F1304" t="s">
        <v>10</v>
      </c>
      <c r="G1304" t="s">
        <v>8</v>
      </c>
      <c r="H1304">
        <v>1</v>
      </c>
      <c r="I1304" t="s">
        <v>27</v>
      </c>
    </row>
    <row r="1305" spans="1:9" x14ac:dyDescent="0.2">
      <c r="A1305" t="str">
        <f t="shared" si="267"/>
        <v>37226Tiahura18115PoritidaeDessous</v>
      </c>
      <c r="B1305" s="1">
        <v>37226</v>
      </c>
      <c r="C1305" t="s">
        <v>24</v>
      </c>
      <c r="D1305" s="19">
        <v>18</v>
      </c>
      <c r="E1305">
        <v>115</v>
      </c>
      <c r="F1305" t="s">
        <v>7</v>
      </c>
      <c r="G1305" t="s">
        <v>8</v>
      </c>
      <c r="H1305">
        <v>2</v>
      </c>
      <c r="I1305" t="s">
        <v>27</v>
      </c>
    </row>
    <row r="1306" spans="1:9" x14ac:dyDescent="0.2">
      <c r="A1306" t="str">
        <f t="shared" si="267"/>
        <v>37226Tiahura18116AcroporidaeBords</v>
      </c>
      <c r="B1306" s="1">
        <v>37226</v>
      </c>
      <c r="C1306" t="s">
        <v>24</v>
      </c>
      <c r="D1306" s="19">
        <v>18</v>
      </c>
      <c r="E1306">
        <v>116</v>
      </c>
      <c r="F1306" t="s">
        <v>17</v>
      </c>
      <c r="G1306" t="s">
        <v>13</v>
      </c>
      <c r="H1306">
        <v>1</v>
      </c>
      <c r="I1306" t="s">
        <v>27</v>
      </c>
    </row>
    <row r="1307" spans="1:9" x14ac:dyDescent="0.2">
      <c r="A1307" t="str">
        <f t="shared" si="267"/>
        <v>37226Tiahura18116AutresDessus</v>
      </c>
      <c r="B1307" s="1">
        <v>37226</v>
      </c>
      <c r="C1307" t="s">
        <v>24</v>
      </c>
      <c r="D1307" s="19">
        <v>18</v>
      </c>
      <c r="E1307">
        <v>116</v>
      </c>
      <c r="F1307" t="s">
        <v>14</v>
      </c>
      <c r="G1307" t="s">
        <v>11</v>
      </c>
      <c r="H1307">
        <v>1</v>
      </c>
      <c r="I1307" t="s">
        <v>27</v>
      </c>
    </row>
    <row r="1308" spans="1:9" x14ac:dyDescent="0.2">
      <c r="A1308" t="str">
        <f t="shared" si="267"/>
        <v>37226Tiahura18116PocilloporidaeDessus</v>
      </c>
      <c r="B1308" s="1">
        <v>37226</v>
      </c>
      <c r="C1308" t="s">
        <v>24</v>
      </c>
      <c r="D1308" s="19">
        <v>18</v>
      </c>
      <c r="E1308">
        <v>116</v>
      </c>
      <c r="F1308" t="s">
        <v>10</v>
      </c>
      <c r="G1308" t="s">
        <v>11</v>
      </c>
      <c r="H1308">
        <v>1</v>
      </c>
      <c r="I1308" t="s">
        <v>27</v>
      </c>
    </row>
    <row r="1309" spans="1:9" x14ac:dyDescent="0.2">
      <c r="A1309" t="str">
        <f t="shared" si="267"/>
        <v>37226Tiahura18116PoritidaeDessous</v>
      </c>
      <c r="B1309" s="1">
        <v>37226</v>
      </c>
      <c r="C1309" t="s">
        <v>24</v>
      </c>
      <c r="D1309" s="19">
        <v>18</v>
      </c>
      <c r="E1309">
        <v>116</v>
      </c>
      <c r="F1309" t="s">
        <v>7</v>
      </c>
      <c r="G1309" t="s">
        <v>8</v>
      </c>
      <c r="H1309">
        <v>1</v>
      </c>
      <c r="I1309" t="s">
        <v>27</v>
      </c>
    </row>
    <row r="1310" spans="1:9" x14ac:dyDescent="0.2">
      <c r="A1310" t="str">
        <f t="shared" si="267"/>
        <v>37226Tiahura18117PocilloporidaeBords</v>
      </c>
      <c r="B1310" s="1">
        <v>37226</v>
      </c>
      <c r="C1310" t="s">
        <v>24</v>
      </c>
      <c r="D1310" s="19">
        <v>18</v>
      </c>
      <c r="E1310">
        <v>117</v>
      </c>
      <c r="F1310" t="s">
        <v>10</v>
      </c>
      <c r="G1310" t="s">
        <v>13</v>
      </c>
      <c r="H1310">
        <v>1</v>
      </c>
      <c r="I1310" t="s">
        <v>27</v>
      </c>
    </row>
    <row r="1311" spans="1:9" x14ac:dyDescent="0.2">
      <c r="A1311" t="str">
        <f t="shared" si="267"/>
        <v>37226Tiahura18118AcroporidaeDessus</v>
      </c>
      <c r="B1311" s="1">
        <v>37226</v>
      </c>
      <c r="C1311" t="s">
        <v>24</v>
      </c>
      <c r="D1311" s="19">
        <v>18</v>
      </c>
      <c r="E1311">
        <v>118</v>
      </c>
      <c r="F1311" t="s">
        <v>17</v>
      </c>
      <c r="G1311" t="s">
        <v>11</v>
      </c>
      <c r="H1311">
        <v>1</v>
      </c>
      <c r="I1311" t="s">
        <v>27</v>
      </c>
    </row>
    <row r="1312" spans="1:9" x14ac:dyDescent="0.2">
      <c r="A1312" t="str">
        <f t="shared" si="267"/>
        <v>37226Tiahura18118PocilloporidaeDessus</v>
      </c>
      <c r="B1312" s="1">
        <v>37226</v>
      </c>
      <c r="C1312" t="s">
        <v>24</v>
      </c>
      <c r="D1312" s="19">
        <v>18</v>
      </c>
      <c r="E1312">
        <v>118</v>
      </c>
      <c r="F1312" t="s">
        <v>10</v>
      </c>
      <c r="G1312" t="s">
        <v>11</v>
      </c>
      <c r="H1312">
        <v>1</v>
      </c>
      <c r="I1312" t="s">
        <v>27</v>
      </c>
    </row>
    <row r="1313" spans="1:9" x14ac:dyDescent="0.2">
      <c r="A1313" t="str">
        <f t="shared" si="267"/>
        <v>37226Tiahura18119AcroporidaeBords</v>
      </c>
      <c r="B1313" s="1">
        <v>37226</v>
      </c>
      <c r="C1313" t="s">
        <v>24</v>
      </c>
      <c r="D1313" s="19">
        <v>18</v>
      </c>
      <c r="E1313">
        <v>119</v>
      </c>
      <c r="F1313" t="s">
        <v>17</v>
      </c>
      <c r="G1313" t="s">
        <v>13</v>
      </c>
      <c r="H1313">
        <v>2</v>
      </c>
      <c r="I1313" t="s">
        <v>27</v>
      </c>
    </row>
    <row r="1314" spans="1:9" x14ac:dyDescent="0.2">
      <c r="A1314" t="str">
        <f t="shared" si="267"/>
        <v>37226Tiahura18119CassésBords</v>
      </c>
      <c r="B1314" s="1">
        <v>37226</v>
      </c>
      <c r="C1314" t="s">
        <v>24</v>
      </c>
      <c r="D1314" s="19">
        <v>18</v>
      </c>
      <c r="E1314">
        <v>119</v>
      </c>
      <c r="F1314" t="s">
        <v>12</v>
      </c>
      <c r="G1314" t="s">
        <v>13</v>
      </c>
      <c r="H1314">
        <v>1</v>
      </c>
      <c r="I1314" t="s">
        <v>27</v>
      </c>
    </row>
    <row r="1315" spans="1:9" x14ac:dyDescent="0.2">
      <c r="A1315" t="str">
        <f t="shared" si="267"/>
        <v>37226Tiahura18119PocilloporidaeBords</v>
      </c>
      <c r="B1315" s="1">
        <v>37226</v>
      </c>
      <c r="C1315" t="s">
        <v>24</v>
      </c>
      <c r="D1315" s="19">
        <v>18</v>
      </c>
      <c r="E1315">
        <v>119</v>
      </c>
      <c r="F1315" t="s">
        <v>10</v>
      </c>
      <c r="G1315" t="s">
        <v>13</v>
      </c>
      <c r="H1315">
        <v>2</v>
      </c>
      <c r="I1315" t="s">
        <v>27</v>
      </c>
    </row>
    <row r="1316" spans="1:9" x14ac:dyDescent="0.2">
      <c r="A1316" t="str">
        <f t="shared" si="267"/>
        <v>37226Tiahura18119PocilloporidaeDessous</v>
      </c>
      <c r="B1316" s="1">
        <v>37226</v>
      </c>
      <c r="C1316" t="s">
        <v>24</v>
      </c>
      <c r="D1316" s="19">
        <v>18</v>
      </c>
      <c r="E1316">
        <v>119</v>
      </c>
      <c r="F1316" t="s">
        <v>10</v>
      </c>
      <c r="G1316" t="s">
        <v>8</v>
      </c>
      <c r="H1316">
        <v>1</v>
      </c>
      <c r="I1316" t="s">
        <v>27</v>
      </c>
    </row>
    <row r="1317" spans="1:9" x14ac:dyDescent="0.2">
      <c r="A1317" t="str">
        <f t="shared" si="267"/>
        <v>37226Tiahura18120</v>
      </c>
      <c r="B1317" s="1">
        <v>37226</v>
      </c>
      <c r="C1317" t="s">
        <v>24</v>
      </c>
      <c r="D1317" s="19">
        <v>18</v>
      </c>
      <c r="E1317">
        <v>120</v>
      </c>
      <c r="F1317" t="s">
        <v>27</v>
      </c>
      <c r="G1317" t="s">
        <v>27</v>
      </c>
      <c r="H1317" t="s">
        <v>27</v>
      </c>
      <c r="I1317" t="s">
        <v>31</v>
      </c>
    </row>
    <row r="1318" spans="1:9" x14ac:dyDescent="0.2">
      <c r="A1318" t="str">
        <f t="shared" si="267"/>
        <v>37226Haapiti6121Autres</v>
      </c>
      <c r="B1318" s="1">
        <v>37226</v>
      </c>
      <c r="C1318" t="s">
        <v>25</v>
      </c>
      <c r="D1318" s="19">
        <v>6</v>
      </c>
      <c r="E1318">
        <v>121</v>
      </c>
      <c r="F1318" t="s">
        <v>14</v>
      </c>
      <c r="H1318">
        <v>0</v>
      </c>
    </row>
    <row r="1319" spans="1:9" x14ac:dyDescent="0.2">
      <c r="A1319" t="str">
        <f t="shared" si="267"/>
        <v>37226Haapiti6122PocilloporidaeBords</v>
      </c>
      <c r="B1319" s="1">
        <v>37226</v>
      </c>
      <c r="C1319" t="s">
        <v>25</v>
      </c>
      <c r="D1319" s="19">
        <v>6</v>
      </c>
      <c r="E1319">
        <v>122</v>
      </c>
      <c r="F1319" t="s">
        <v>10</v>
      </c>
      <c r="G1319" t="s">
        <v>13</v>
      </c>
      <c r="H1319">
        <v>1</v>
      </c>
      <c r="I1319" t="s">
        <v>27</v>
      </c>
    </row>
    <row r="1320" spans="1:9" x14ac:dyDescent="0.2">
      <c r="A1320" t="str">
        <f t="shared" si="267"/>
        <v>37226Haapiti6123PocilloporidaeBords</v>
      </c>
      <c r="B1320" s="1">
        <v>37226</v>
      </c>
      <c r="C1320" t="s">
        <v>25</v>
      </c>
      <c r="D1320" s="19">
        <v>6</v>
      </c>
      <c r="E1320">
        <v>123</v>
      </c>
      <c r="F1320" t="s">
        <v>10</v>
      </c>
      <c r="G1320" t="s">
        <v>13</v>
      </c>
      <c r="H1320">
        <v>1</v>
      </c>
      <c r="I1320" t="s">
        <v>27</v>
      </c>
    </row>
    <row r="1321" spans="1:9" x14ac:dyDescent="0.2">
      <c r="A1321" t="str">
        <f t="shared" si="267"/>
        <v>37226Haapiti6123PoritidaeBords</v>
      </c>
      <c r="B1321" s="1">
        <v>37226</v>
      </c>
      <c r="C1321" t="s">
        <v>25</v>
      </c>
      <c r="D1321" s="19">
        <v>6</v>
      </c>
      <c r="E1321">
        <v>123</v>
      </c>
      <c r="F1321" t="s">
        <v>7</v>
      </c>
      <c r="G1321" t="s">
        <v>13</v>
      </c>
      <c r="H1321">
        <v>1</v>
      </c>
      <c r="I1321" t="s">
        <v>27</v>
      </c>
    </row>
    <row r="1322" spans="1:9" x14ac:dyDescent="0.2">
      <c r="A1322" t="str">
        <f t="shared" si="267"/>
        <v>37226Haapiti6124CassésDessus</v>
      </c>
      <c r="B1322" s="1">
        <v>37226</v>
      </c>
      <c r="C1322" t="s">
        <v>25</v>
      </c>
      <c r="D1322" s="19">
        <v>6</v>
      </c>
      <c r="E1322">
        <v>124</v>
      </c>
      <c r="F1322" t="s">
        <v>12</v>
      </c>
      <c r="G1322" t="s">
        <v>11</v>
      </c>
      <c r="H1322">
        <v>1</v>
      </c>
      <c r="I1322" t="s">
        <v>27</v>
      </c>
    </row>
    <row r="1323" spans="1:9" x14ac:dyDescent="0.2">
      <c r="A1323" t="str">
        <f t="shared" si="267"/>
        <v>37226Haapiti6124PocilloporidaeDessous</v>
      </c>
      <c r="B1323" s="1">
        <v>37226</v>
      </c>
      <c r="C1323" t="s">
        <v>25</v>
      </c>
      <c r="D1323" s="19">
        <v>6</v>
      </c>
      <c r="E1323">
        <v>124</v>
      </c>
      <c r="F1323" t="s">
        <v>10</v>
      </c>
      <c r="G1323" t="s">
        <v>8</v>
      </c>
      <c r="H1323">
        <v>3</v>
      </c>
      <c r="I1323" t="s">
        <v>27</v>
      </c>
    </row>
    <row r="1324" spans="1:9" x14ac:dyDescent="0.2">
      <c r="A1324" t="str">
        <f t="shared" si="267"/>
        <v>37226Haapiti6124PoritidaeDessus</v>
      </c>
      <c r="B1324" s="1">
        <v>37226</v>
      </c>
      <c r="C1324" t="s">
        <v>25</v>
      </c>
      <c r="D1324" s="19">
        <v>6</v>
      </c>
      <c r="E1324">
        <v>124</v>
      </c>
      <c r="F1324" t="s">
        <v>7</v>
      </c>
      <c r="G1324" t="s">
        <v>11</v>
      </c>
      <c r="H1324">
        <v>1</v>
      </c>
      <c r="I1324" t="s">
        <v>27</v>
      </c>
    </row>
    <row r="1325" spans="1:9" x14ac:dyDescent="0.2">
      <c r="A1325" t="str">
        <f t="shared" si="267"/>
        <v>37226Haapiti6125AcroporidaeDessous</v>
      </c>
      <c r="B1325" s="1">
        <v>37226</v>
      </c>
      <c r="C1325" t="s">
        <v>25</v>
      </c>
      <c r="D1325" s="19">
        <v>6</v>
      </c>
      <c r="E1325">
        <v>125</v>
      </c>
      <c r="F1325" t="s">
        <v>17</v>
      </c>
      <c r="G1325" t="s">
        <v>8</v>
      </c>
      <c r="H1325">
        <v>1</v>
      </c>
      <c r="I1325" t="s">
        <v>27</v>
      </c>
    </row>
    <row r="1326" spans="1:9" x14ac:dyDescent="0.2">
      <c r="A1326" t="str">
        <f t="shared" si="267"/>
        <v>37226Haapiti6125PocilloporidaeBords</v>
      </c>
      <c r="B1326" s="1">
        <v>37226</v>
      </c>
      <c r="C1326" t="s">
        <v>25</v>
      </c>
      <c r="D1326" s="19">
        <v>6</v>
      </c>
      <c r="E1326">
        <v>125</v>
      </c>
      <c r="F1326" t="s">
        <v>10</v>
      </c>
      <c r="G1326" t="s">
        <v>13</v>
      </c>
      <c r="H1326">
        <v>1</v>
      </c>
      <c r="I1326" t="s">
        <v>27</v>
      </c>
    </row>
    <row r="1327" spans="1:9" x14ac:dyDescent="0.2">
      <c r="A1327" t="str">
        <f t="shared" si="267"/>
        <v>37226Haapiti6125PocilloporidaeDessous</v>
      </c>
      <c r="B1327" s="1">
        <v>37226</v>
      </c>
      <c r="C1327" t="s">
        <v>25</v>
      </c>
      <c r="D1327" s="19">
        <v>6</v>
      </c>
      <c r="E1327">
        <v>125</v>
      </c>
      <c r="F1327" t="s">
        <v>10</v>
      </c>
      <c r="G1327" t="s">
        <v>8</v>
      </c>
      <c r="H1327">
        <v>6</v>
      </c>
      <c r="I1327" t="s">
        <v>27</v>
      </c>
    </row>
    <row r="1328" spans="1:9" x14ac:dyDescent="0.2">
      <c r="A1328" t="str">
        <f t="shared" si="267"/>
        <v>37226Haapiti6126CassésDessous</v>
      </c>
      <c r="B1328" s="1">
        <v>37226</v>
      </c>
      <c r="C1328" t="s">
        <v>25</v>
      </c>
      <c r="D1328" s="19">
        <v>6</v>
      </c>
      <c r="E1328">
        <v>126</v>
      </c>
      <c r="F1328" t="s">
        <v>12</v>
      </c>
      <c r="G1328" t="s">
        <v>8</v>
      </c>
      <c r="H1328">
        <v>1</v>
      </c>
      <c r="I1328" t="s">
        <v>27</v>
      </c>
    </row>
    <row r="1329" spans="1:9" x14ac:dyDescent="0.2">
      <c r="A1329" t="str">
        <f t="shared" si="267"/>
        <v>37226Haapiti6126PocilloporidaeDessous</v>
      </c>
      <c r="B1329" s="1">
        <v>37226</v>
      </c>
      <c r="C1329" t="s">
        <v>25</v>
      </c>
      <c r="D1329" s="19">
        <v>6</v>
      </c>
      <c r="E1329">
        <v>126</v>
      </c>
      <c r="F1329" t="s">
        <v>10</v>
      </c>
      <c r="G1329" t="s">
        <v>8</v>
      </c>
      <c r="H1329">
        <v>2</v>
      </c>
      <c r="I1329" t="s">
        <v>27</v>
      </c>
    </row>
    <row r="1330" spans="1:9" x14ac:dyDescent="0.2">
      <c r="A1330" t="str">
        <f t="shared" si="267"/>
        <v>37226Haapiti6127PocilloporidaeDessous</v>
      </c>
      <c r="B1330" s="1">
        <v>37226</v>
      </c>
      <c r="C1330" t="s">
        <v>25</v>
      </c>
      <c r="D1330" s="19">
        <v>6</v>
      </c>
      <c r="E1330">
        <v>127</v>
      </c>
      <c r="F1330" t="s">
        <v>10</v>
      </c>
      <c r="G1330" t="s">
        <v>8</v>
      </c>
      <c r="H1330">
        <v>1</v>
      </c>
      <c r="I1330" t="s">
        <v>27</v>
      </c>
    </row>
    <row r="1331" spans="1:9" x14ac:dyDescent="0.2">
      <c r="A1331" t="str">
        <f t="shared" si="267"/>
        <v>37226Haapiti6127PocilloporidaeDessus</v>
      </c>
      <c r="B1331" s="1">
        <v>37226</v>
      </c>
      <c r="C1331" t="s">
        <v>25</v>
      </c>
      <c r="D1331" s="19">
        <v>6</v>
      </c>
      <c r="E1331">
        <v>127</v>
      </c>
      <c r="F1331" t="s">
        <v>10</v>
      </c>
      <c r="G1331" t="s">
        <v>11</v>
      </c>
      <c r="H1331">
        <v>1</v>
      </c>
      <c r="I1331" t="s">
        <v>27</v>
      </c>
    </row>
    <row r="1332" spans="1:9" x14ac:dyDescent="0.2">
      <c r="A1332" t="str">
        <f t="shared" si="267"/>
        <v>37226Haapiti6128Autres</v>
      </c>
      <c r="B1332" s="1">
        <v>37226</v>
      </c>
      <c r="C1332" t="s">
        <v>25</v>
      </c>
      <c r="D1332" s="19">
        <v>6</v>
      </c>
      <c r="E1332">
        <v>128</v>
      </c>
      <c r="F1332" t="s">
        <v>14</v>
      </c>
      <c r="H1332">
        <v>0</v>
      </c>
    </row>
    <row r="1333" spans="1:9" x14ac:dyDescent="0.2">
      <c r="A1333" t="str">
        <f t="shared" si="267"/>
        <v>37226Haapiti6129PocilloporidaeDessous</v>
      </c>
      <c r="B1333" s="1">
        <v>37226</v>
      </c>
      <c r="C1333" t="s">
        <v>25</v>
      </c>
      <c r="D1333" s="19">
        <v>6</v>
      </c>
      <c r="E1333">
        <v>129</v>
      </c>
      <c r="F1333" t="s">
        <v>10</v>
      </c>
      <c r="G1333" t="s">
        <v>8</v>
      </c>
      <c r="H1333">
        <v>2</v>
      </c>
      <c r="I1333" t="s">
        <v>27</v>
      </c>
    </row>
    <row r="1334" spans="1:9" x14ac:dyDescent="0.2">
      <c r="A1334" t="str">
        <f t="shared" si="267"/>
        <v>37226Haapiti6130PocilloporidaeDessous</v>
      </c>
      <c r="B1334" s="1">
        <v>37226</v>
      </c>
      <c r="C1334" t="s">
        <v>25</v>
      </c>
      <c r="D1334" s="19">
        <v>6</v>
      </c>
      <c r="E1334">
        <v>130</v>
      </c>
      <c r="F1334" t="s">
        <v>10</v>
      </c>
      <c r="G1334" t="s">
        <v>8</v>
      </c>
      <c r="H1334">
        <v>3</v>
      </c>
      <c r="I1334" t="s">
        <v>27</v>
      </c>
    </row>
    <row r="1335" spans="1:9" x14ac:dyDescent="0.2">
      <c r="A1335" t="str">
        <f t="shared" si="267"/>
        <v>37226Haapiti6130PocilloporidaeDessus</v>
      </c>
      <c r="B1335" s="1">
        <v>37226</v>
      </c>
      <c r="C1335" t="s">
        <v>25</v>
      </c>
      <c r="D1335" s="19">
        <v>6</v>
      </c>
      <c r="E1335">
        <v>130</v>
      </c>
      <c r="F1335" t="s">
        <v>10</v>
      </c>
      <c r="G1335" t="s">
        <v>11</v>
      </c>
      <c r="H1335">
        <v>1</v>
      </c>
      <c r="I1335" t="s">
        <v>27</v>
      </c>
    </row>
    <row r="1336" spans="1:9" x14ac:dyDescent="0.2">
      <c r="A1336" t="str">
        <f t="shared" si="267"/>
        <v>37226Haapiti6130PoritidaeDessous</v>
      </c>
      <c r="B1336" s="1">
        <v>37226</v>
      </c>
      <c r="C1336" t="s">
        <v>25</v>
      </c>
      <c r="D1336" s="19">
        <v>6</v>
      </c>
      <c r="E1336">
        <v>130</v>
      </c>
      <c r="F1336" t="s">
        <v>7</v>
      </c>
      <c r="G1336" t="s">
        <v>8</v>
      </c>
      <c r="H1336">
        <v>3</v>
      </c>
      <c r="I1336" t="s">
        <v>27</v>
      </c>
    </row>
    <row r="1337" spans="1:9" x14ac:dyDescent="0.2">
      <c r="A1337" t="str">
        <f t="shared" si="267"/>
        <v>37226Haapiti6131Autres</v>
      </c>
      <c r="B1337" s="1">
        <v>37226</v>
      </c>
      <c r="C1337" t="s">
        <v>25</v>
      </c>
      <c r="D1337" s="19">
        <v>6</v>
      </c>
      <c r="E1337">
        <v>131</v>
      </c>
      <c r="F1337" t="s">
        <v>14</v>
      </c>
      <c r="H1337">
        <v>0</v>
      </c>
    </row>
    <row r="1338" spans="1:9" x14ac:dyDescent="0.2">
      <c r="A1338" t="str">
        <f t="shared" si="267"/>
        <v>37226Haapiti6132Autres</v>
      </c>
      <c r="B1338" s="1">
        <v>37226</v>
      </c>
      <c r="C1338" t="s">
        <v>25</v>
      </c>
      <c r="D1338" s="19">
        <v>6</v>
      </c>
      <c r="E1338">
        <v>132</v>
      </c>
      <c r="F1338" t="s">
        <v>14</v>
      </c>
      <c r="H1338">
        <v>0</v>
      </c>
    </row>
    <row r="1339" spans="1:9" x14ac:dyDescent="0.2">
      <c r="A1339" t="str">
        <f t="shared" si="267"/>
        <v>37226Haapiti6133PocilloporidaeBords</v>
      </c>
      <c r="B1339" s="1">
        <v>37226</v>
      </c>
      <c r="C1339" t="s">
        <v>25</v>
      </c>
      <c r="D1339" s="19">
        <v>6</v>
      </c>
      <c r="E1339">
        <v>133</v>
      </c>
      <c r="F1339" t="s">
        <v>10</v>
      </c>
      <c r="G1339" t="s">
        <v>13</v>
      </c>
      <c r="H1339">
        <v>1</v>
      </c>
      <c r="I1339" t="s">
        <v>27</v>
      </c>
    </row>
    <row r="1340" spans="1:9" x14ac:dyDescent="0.2">
      <c r="A1340" t="str">
        <f t="shared" si="267"/>
        <v>37226Haapiti6134PocilloporidaeBords</v>
      </c>
      <c r="B1340" s="1">
        <v>37226</v>
      </c>
      <c r="C1340" t="s">
        <v>25</v>
      </c>
      <c r="D1340" s="19">
        <v>6</v>
      </c>
      <c r="E1340">
        <v>134</v>
      </c>
      <c r="F1340" t="s">
        <v>10</v>
      </c>
      <c r="G1340" t="s">
        <v>13</v>
      </c>
      <c r="H1340">
        <v>1</v>
      </c>
      <c r="I1340" t="s">
        <v>27</v>
      </c>
    </row>
    <row r="1341" spans="1:9" x14ac:dyDescent="0.2">
      <c r="A1341" t="str">
        <f t="shared" si="267"/>
        <v>37226Haapiti6134PocilloporidaeDessous</v>
      </c>
      <c r="B1341" s="1">
        <v>37226</v>
      </c>
      <c r="C1341" t="s">
        <v>25</v>
      </c>
      <c r="D1341" s="19">
        <v>6</v>
      </c>
      <c r="E1341">
        <v>134</v>
      </c>
      <c r="F1341" t="s">
        <v>10</v>
      </c>
      <c r="G1341" t="s">
        <v>8</v>
      </c>
      <c r="H1341">
        <v>11</v>
      </c>
      <c r="I1341" t="s">
        <v>27</v>
      </c>
    </row>
    <row r="1342" spans="1:9" x14ac:dyDescent="0.2">
      <c r="A1342" t="str">
        <f t="shared" si="267"/>
        <v>37226Haapiti6134PoritidaeDessous</v>
      </c>
      <c r="B1342" s="1">
        <v>37226</v>
      </c>
      <c r="C1342" t="s">
        <v>25</v>
      </c>
      <c r="D1342" s="19">
        <v>6</v>
      </c>
      <c r="E1342">
        <v>134</v>
      </c>
      <c r="F1342" t="s">
        <v>7</v>
      </c>
      <c r="G1342" t="s">
        <v>8</v>
      </c>
      <c r="H1342">
        <v>1</v>
      </c>
      <c r="I1342" t="s">
        <v>27</v>
      </c>
    </row>
    <row r="1343" spans="1:9" x14ac:dyDescent="0.2">
      <c r="A1343" t="str">
        <f t="shared" ref="A1343:A1406" si="268">B1343 &amp; C1343&amp; D1343&amp; E1343 &amp; F1343 &amp;G1343</f>
        <v>37226Haapiti6135PocilloporidaeBords</v>
      </c>
      <c r="B1343" s="1">
        <v>37226</v>
      </c>
      <c r="C1343" t="s">
        <v>25</v>
      </c>
      <c r="D1343" s="19">
        <v>6</v>
      </c>
      <c r="E1343">
        <v>135</v>
      </c>
      <c r="F1343" t="s">
        <v>10</v>
      </c>
      <c r="G1343" t="s">
        <v>13</v>
      </c>
      <c r="H1343">
        <v>1</v>
      </c>
      <c r="I1343" t="s">
        <v>27</v>
      </c>
    </row>
    <row r="1344" spans="1:9" x14ac:dyDescent="0.2">
      <c r="A1344" t="str">
        <f t="shared" si="268"/>
        <v>37226Haapiti6135PocilloporidaeDessous</v>
      </c>
      <c r="B1344" s="1">
        <v>37226</v>
      </c>
      <c r="C1344" t="s">
        <v>25</v>
      </c>
      <c r="D1344" s="19">
        <v>6</v>
      </c>
      <c r="E1344">
        <v>135</v>
      </c>
      <c r="F1344" t="s">
        <v>10</v>
      </c>
      <c r="G1344" t="s">
        <v>8</v>
      </c>
      <c r="H1344">
        <v>5</v>
      </c>
      <c r="I1344" t="s">
        <v>27</v>
      </c>
    </row>
    <row r="1345" spans="1:9" x14ac:dyDescent="0.2">
      <c r="A1345" t="str">
        <f t="shared" si="268"/>
        <v>37226Haapiti6135PoritidaeDessous</v>
      </c>
      <c r="B1345" s="1">
        <v>37226</v>
      </c>
      <c r="C1345" t="s">
        <v>25</v>
      </c>
      <c r="D1345" s="19">
        <v>6</v>
      </c>
      <c r="E1345">
        <v>135</v>
      </c>
      <c r="F1345" t="s">
        <v>7</v>
      </c>
      <c r="G1345" t="s">
        <v>8</v>
      </c>
      <c r="H1345">
        <v>1</v>
      </c>
      <c r="I1345" t="s">
        <v>27</v>
      </c>
    </row>
    <row r="1346" spans="1:9" x14ac:dyDescent="0.2">
      <c r="A1346" t="str">
        <f t="shared" si="268"/>
        <v>37226Haapiti6136Autres</v>
      </c>
      <c r="B1346" s="1">
        <v>37226</v>
      </c>
      <c r="C1346" t="s">
        <v>25</v>
      </c>
      <c r="D1346" s="19">
        <v>6</v>
      </c>
      <c r="E1346">
        <v>136</v>
      </c>
      <c r="F1346" t="s">
        <v>14</v>
      </c>
      <c r="H1346">
        <v>0</v>
      </c>
    </row>
    <row r="1347" spans="1:9" x14ac:dyDescent="0.2">
      <c r="A1347" t="str">
        <f t="shared" si="268"/>
        <v>37226Haapiti6137PocilloporidaeDessous</v>
      </c>
      <c r="B1347" s="1">
        <v>37226</v>
      </c>
      <c r="C1347" t="s">
        <v>25</v>
      </c>
      <c r="D1347" s="19">
        <v>6</v>
      </c>
      <c r="E1347">
        <v>137</v>
      </c>
      <c r="F1347" t="s">
        <v>10</v>
      </c>
      <c r="G1347" t="s">
        <v>8</v>
      </c>
      <c r="H1347">
        <v>1</v>
      </c>
      <c r="I1347" t="s">
        <v>27</v>
      </c>
    </row>
    <row r="1348" spans="1:9" x14ac:dyDescent="0.2">
      <c r="A1348" t="str">
        <f t="shared" si="268"/>
        <v>37226Haapiti6137PoritidaeDessous</v>
      </c>
      <c r="B1348" s="1">
        <v>37226</v>
      </c>
      <c r="C1348" t="s">
        <v>25</v>
      </c>
      <c r="D1348" s="19">
        <v>6</v>
      </c>
      <c r="E1348">
        <v>137</v>
      </c>
      <c r="F1348" t="s">
        <v>7</v>
      </c>
      <c r="G1348" t="s">
        <v>8</v>
      </c>
      <c r="H1348">
        <v>1</v>
      </c>
      <c r="I1348" t="s">
        <v>27</v>
      </c>
    </row>
    <row r="1349" spans="1:9" x14ac:dyDescent="0.2">
      <c r="A1349" t="str">
        <f t="shared" si="268"/>
        <v>37226Haapiti6138PocilloporidaeDessous</v>
      </c>
      <c r="B1349" s="1">
        <v>37226</v>
      </c>
      <c r="C1349" t="s">
        <v>25</v>
      </c>
      <c r="D1349" s="19">
        <v>6</v>
      </c>
      <c r="E1349">
        <v>138</v>
      </c>
      <c r="F1349" t="s">
        <v>10</v>
      </c>
      <c r="G1349" t="s">
        <v>8</v>
      </c>
      <c r="H1349">
        <v>3</v>
      </c>
      <c r="I1349" t="s">
        <v>27</v>
      </c>
    </row>
    <row r="1350" spans="1:9" x14ac:dyDescent="0.2">
      <c r="A1350" t="str">
        <f t="shared" si="268"/>
        <v>37226Haapiti6139Autres</v>
      </c>
      <c r="B1350" s="1">
        <v>37226</v>
      </c>
      <c r="C1350" t="s">
        <v>25</v>
      </c>
      <c r="D1350" s="19">
        <v>6</v>
      </c>
      <c r="E1350">
        <v>139</v>
      </c>
      <c r="F1350" t="s">
        <v>14</v>
      </c>
      <c r="H1350">
        <v>0</v>
      </c>
    </row>
    <row r="1351" spans="1:9" x14ac:dyDescent="0.2">
      <c r="A1351" t="str">
        <f t="shared" si="268"/>
        <v>37226Haapiti6140Autres</v>
      </c>
      <c r="B1351" s="1">
        <v>37226</v>
      </c>
      <c r="C1351" t="s">
        <v>25</v>
      </c>
      <c r="D1351" s="19">
        <v>6</v>
      </c>
      <c r="E1351">
        <v>140</v>
      </c>
      <c r="F1351" t="s">
        <v>14</v>
      </c>
      <c r="H1351">
        <v>0</v>
      </c>
    </row>
    <row r="1352" spans="1:9" x14ac:dyDescent="0.2">
      <c r="A1352" t="str">
        <f t="shared" si="268"/>
        <v>37226Haapiti12141Autres</v>
      </c>
      <c r="B1352" s="1">
        <v>37226</v>
      </c>
      <c r="C1352" t="s">
        <v>25</v>
      </c>
      <c r="D1352" s="19">
        <v>12</v>
      </c>
      <c r="E1352">
        <v>141</v>
      </c>
      <c r="F1352" t="s">
        <v>14</v>
      </c>
      <c r="H1352">
        <v>0</v>
      </c>
    </row>
    <row r="1353" spans="1:9" x14ac:dyDescent="0.2">
      <c r="A1353" t="str">
        <f t="shared" si="268"/>
        <v>37226Haapiti12142Autres</v>
      </c>
      <c r="B1353" s="1">
        <v>37226</v>
      </c>
      <c r="C1353" t="s">
        <v>25</v>
      </c>
      <c r="D1353" s="19">
        <v>12</v>
      </c>
      <c r="E1353">
        <v>142</v>
      </c>
      <c r="F1353" t="s">
        <v>14</v>
      </c>
      <c r="H1353">
        <v>0</v>
      </c>
    </row>
    <row r="1354" spans="1:9" x14ac:dyDescent="0.2">
      <c r="A1354" t="str">
        <f t="shared" si="268"/>
        <v>37226Haapiti12143AcroporidaeDessous</v>
      </c>
      <c r="B1354" s="1">
        <v>37226</v>
      </c>
      <c r="C1354" t="s">
        <v>25</v>
      </c>
      <c r="D1354" s="19">
        <v>12</v>
      </c>
      <c r="E1354">
        <v>143</v>
      </c>
      <c r="F1354" t="s">
        <v>17</v>
      </c>
      <c r="G1354" t="s">
        <v>8</v>
      </c>
      <c r="H1354">
        <v>1</v>
      </c>
      <c r="I1354" t="s">
        <v>27</v>
      </c>
    </row>
    <row r="1355" spans="1:9" x14ac:dyDescent="0.2">
      <c r="A1355" t="str">
        <f t="shared" si="268"/>
        <v>37226Haapiti12143PocilloporidaeDessous</v>
      </c>
      <c r="B1355" s="1">
        <v>37226</v>
      </c>
      <c r="C1355" t="s">
        <v>25</v>
      </c>
      <c r="D1355" s="19">
        <v>12</v>
      </c>
      <c r="E1355">
        <v>143</v>
      </c>
      <c r="F1355" t="s">
        <v>10</v>
      </c>
      <c r="G1355" t="s">
        <v>8</v>
      </c>
      <c r="H1355">
        <v>2</v>
      </c>
      <c r="I1355" t="s">
        <v>27</v>
      </c>
    </row>
    <row r="1356" spans="1:9" x14ac:dyDescent="0.2">
      <c r="A1356" t="str">
        <f t="shared" si="268"/>
        <v>37226Haapiti12143PoritidaeDessous</v>
      </c>
      <c r="B1356" s="1">
        <v>37226</v>
      </c>
      <c r="C1356" t="s">
        <v>25</v>
      </c>
      <c r="D1356" s="19">
        <v>12</v>
      </c>
      <c r="E1356">
        <v>143</v>
      </c>
      <c r="F1356" t="s">
        <v>7</v>
      </c>
      <c r="G1356" t="s">
        <v>8</v>
      </c>
      <c r="H1356">
        <v>2</v>
      </c>
      <c r="I1356" t="s">
        <v>27</v>
      </c>
    </row>
    <row r="1357" spans="1:9" x14ac:dyDescent="0.2">
      <c r="A1357" t="str">
        <f t="shared" si="268"/>
        <v>37226Haapiti12144PocilloporidaeDessous</v>
      </c>
      <c r="B1357" s="1">
        <v>37226</v>
      </c>
      <c r="C1357" t="s">
        <v>25</v>
      </c>
      <c r="D1357" s="19">
        <v>12</v>
      </c>
      <c r="E1357">
        <v>144</v>
      </c>
      <c r="F1357" t="s">
        <v>10</v>
      </c>
      <c r="G1357" t="s">
        <v>8</v>
      </c>
      <c r="H1357">
        <v>5</v>
      </c>
      <c r="I1357" t="s">
        <v>27</v>
      </c>
    </row>
    <row r="1358" spans="1:9" x14ac:dyDescent="0.2">
      <c r="A1358" t="str">
        <f t="shared" si="268"/>
        <v>37226Haapiti12144PoritidaeDessous</v>
      </c>
      <c r="B1358" s="1">
        <v>37226</v>
      </c>
      <c r="C1358" t="s">
        <v>25</v>
      </c>
      <c r="D1358" s="19">
        <v>12</v>
      </c>
      <c r="E1358">
        <v>144</v>
      </c>
      <c r="F1358" t="s">
        <v>7</v>
      </c>
      <c r="G1358" t="s">
        <v>8</v>
      </c>
      <c r="H1358">
        <v>5</v>
      </c>
      <c r="I1358" t="s">
        <v>27</v>
      </c>
    </row>
    <row r="1359" spans="1:9" x14ac:dyDescent="0.2">
      <c r="A1359" t="str">
        <f t="shared" si="268"/>
        <v>37226Haapiti12145PoritidaeDessous</v>
      </c>
      <c r="B1359" s="1">
        <v>37226</v>
      </c>
      <c r="C1359" t="s">
        <v>25</v>
      </c>
      <c r="D1359" s="19">
        <v>12</v>
      </c>
      <c r="E1359">
        <v>145</v>
      </c>
      <c r="F1359" t="s">
        <v>7</v>
      </c>
      <c r="G1359" t="s">
        <v>8</v>
      </c>
      <c r="H1359">
        <v>1</v>
      </c>
      <c r="I1359" t="s">
        <v>27</v>
      </c>
    </row>
    <row r="1360" spans="1:9" x14ac:dyDescent="0.2">
      <c r="A1360" t="str">
        <f t="shared" si="268"/>
        <v>37226Haapiti12146AcroporidaeDessous</v>
      </c>
      <c r="B1360" s="1">
        <v>37226</v>
      </c>
      <c r="C1360" t="s">
        <v>25</v>
      </c>
      <c r="D1360" s="19">
        <v>12</v>
      </c>
      <c r="E1360">
        <v>146</v>
      </c>
      <c r="F1360" t="s">
        <v>17</v>
      </c>
      <c r="G1360" t="s">
        <v>8</v>
      </c>
      <c r="H1360">
        <v>1</v>
      </c>
      <c r="I1360" t="s">
        <v>27</v>
      </c>
    </row>
    <row r="1361" spans="1:9" x14ac:dyDescent="0.2">
      <c r="A1361" t="str">
        <f t="shared" si="268"/>
        <v>37226Haapiti12146PocilloporidaeDessous</v>
      </c>
      <c r="B1361" s="1">
        <v>37226</v>
      </c>
      <c r="C1361" t="s">
        <v>25</v>
      </c>
      <c r="D1361" s="19">
        <v>12</v>
      </c>
      <c r="E1361">
        <v>146</v>
      </c>
      <c r="F1361" t="s">
        <v>10</v>
      </c>
      <c r="G1361" t="s">
        <v>8</v>
      </c>
      <c r="H1361">
        <v>2</v>
      </c>
      <c r="I1361" t="s">
        <v>27</v>
      </c>
    </row>
    <row r="1362" spans="1:9" x14ac:dyDescent="0.2">
      <c r="A1362" t="str">
        <f t="shared" si="268"/>
        <v>37226Haapiti12147PocilloporidaeDessous</v>
      </c>
      <c r="B1362" s="1">
        <v>37226</v>
      </c>
      <c r="C1362" t="s">
        <v>25</v>
      </c>
      <c r="D1362" s="19">
        <v>12</v>
      </c>
      <c r="E1362">
        <v>147</v>
      </c>
      <c r="F1362" t="s">
        <v>10</v>
      </c>
      <c r="G1362" t="s">
        <v>8</v>
      </c>
      <c r="H1362">
        <v>2</v>
      </c>
      <c r="I1362" t="s">
        <v>27</v>
      </c>
    </row>
    <row r="1363" spans="1:9" x14ac:dyDescent="0.2">
      <c r="A1363" t="str">
        <f t="shared" si="268"/>
        <v>37226Haapiti12148PocilloporidaeDessous</v>
      </c>
      <c r="B1363" s="1">
        <v>37226</v>
      </c>
      <c r="C1363" t="s">
        <v>25</v>
      </c>
      <c r="D1363" s="19">
        <v>12</v>
      </c>
      <c r="E1363">
        <v>148</v>
      </c>
      <c r="F1363" t="s">
        <v>10</v>
      </c>
      <c r="G1363" t="s">
        <v>8</v>
      </c>
      <c r="H1363">
        <v>4</v>
      </c>
      <c r="I1363" t="s">
        <v>27</v>
      </c>
    </row>
    <row r="1364" spans="1:9" x14ac:dyDescent="0.2">
      <c r="A1364" t="str">
        <f t="shared" si="268"/>
        <v>37226Haapiti12148PoritidaeDessous</v>
      </c>
      <c r="B1364" s="1">
        <v>37226</v>
      </c>
      <c r="C1364" t="s">
        <v>25</v>
      </c>
      <c r="D1364" s="19">
        <v>12</v>
      </c>
      <c r="E1364">
        <v>148</v>
      </c>
      <c r="F1364" t="s">
        <v>7</v>
      </c>
      <c r="G1364" t="s">
        <v>8</v>
      </c>
      <c r="H1364">
        <v>1</v>
      </c>
      <c r="I1364" t="s">
        <v>27</v>
      </c>
    </row>
    <row r="1365" spans="1:9" x14ac:dyDescent="0.2">
      <c r="A1365" t="str">
        <f t="shared" si="268"/>
        <v>37226Haapiti12149Autres</v>
      </c>
      <c r="B1365" s="1">
        <v>37226</v>
      </c>
      <c r="C1365" t="s">
        <v>25</v>
      </c>
      <c r="D1365" s="19">
        <v>12</v>
      </c>
      <c r="E1365">
        <v>149</v>
      </c>
      <c r="F1365" t="s">
        <v>14</v>
      </c>
      <c r="H1365">
        <v>0</v>
      </c>
    </row>
    <row r="1366" spans="1:9" x14ac:dyDescent="0.2">
      <c r="A1366" t="str">
        <f t="shared" si="268"/>
        <v>37226Haapiti12150PocilloporidaeDessous</v>
      </c>
      <c r="B1366" s="1">
        <v>37226</v>
      </c>
      <c r="C1366" t="s">
        <v>25</v>
      </c>
      <c r="D1366" s="19">
        <v>12</v>
      </c>
      <c r="E1366">
        <v>150</v>
      </c>
      <c r="F1366" t="s">
        <v>10</v>
      </c>
      <c r="G1366" t="s">
        <v>8</v>
      </c>
      <c r="H1366">
        <v>4</v>
      </c>
      <c r="I1366" t="s">
        <v>27</v>
      </c>
    </row>
    <row r="1367" spans="1:9" x14ac:dyDescent="0.2">
      <c r="A1367" t="str">
        <f t="shared" si="268"/>
        <v>37226Haapiti12150PoritidaeDessous</v>
      </c>
      <c r="B1367" s="1">
        <v>37226</v>
      </c>
      <c r="C1367" t="s">
        <v>25</v>
      </c>
      <c r="D1367" s="19">
        <v>12</v>
      </c>
      <c r="E1367">
        <v>150</v>
      </c>
      <c r="F1367" t="s">
        <v>7</v>
      </c>
      <c r="G1367" t="s">
        <v>8</v>
      </c>
      <c r="H1367">
        <v>2</v>
      </c>
      <c r="I1367" t="s">
        <v>27</v>
      </c>
    </row>
    <row r="1368" spans="1:9" x14ac:dyDescent="0.2">
      <c r="A1368" t="str">
        <f t="shared" si="268"/>
        <v>37226Haapiti12151PocilloporidaeDessous</v>
      </c>
      <c r="B1368" s="1">
        <v>37226</v>
      </c>
      <c r="C1368" t="s">
        <v>25</v>
      </c>
      <c r="D1368" s="19">
        <v>12</v>
      </c>
      <c r="E1368">
        <v>151</v>
      </c>
      <c r="F1368" t="s">
        <v>10</v>
      </c>
      <c r="G1368" t="s">
        <v>8</v>
      </c>
      <c r="H1368">
        <v>1</v>
      </c>
      <c r="I1368" t="s">
        <v>27</v>
      </c>
    </row>
    <row r="1369" spans="1:9" x14ac:dyDescent="0.2">
      <c r="A1369" t="str">
        <f t="shared" si="268"/>
        <v>37226Haapiti12152PocilloporidaeDessous</v>
      </c>
      <c r="B1369" s="1">
        <v>37226</v>
      </c>
      <c r="C1369" t="s">
        <v>25</v>
      </c>
      <c r="D1369" s="19">
        <v>12</v>
      </c>
      <c r="E1369">
        <v>152</v>
      </c>
      <c r="F1369" t="s">
        <v>10</v>
      </c>
      <c r="G1369" t="s">
        <v>8</v>
      </c>
      <c r="H1369">
        <v>2</v>
      </c>
      <c r="I1369" t="s">
        <v>27</v>
      </c>
    </row>
    <row r="1370" spans="1:9" x14ac:dyDescent="0.2">
      <c r="A1370" t="str">
        <f t="shared" si="268"/>
        <v>37226Haapiti12152PoritidaeDessous</v>
      </c>
      <c r="B1370" s="1">
        <v>37226</v>
      </c>
      <c r="C1370" t="s">
        <v>25</v>
      </c>
      <c r="D1370" s="19">
        <v>12</v>
      </c>
      <c r="E1370">
        <v>152</v>
      </c>
      <c r="F1370" t="s">
        <v>7</v>
      </c>
      <c r="G1370" t="s">
        <v>8</v>
      </c>
      <c r="H1370">
        <v>3</v>
      </c>
      <c r="I1370" t="s">
        <v>27</v>
      </c>
    </row>
    <row r="1371" spans="1:9" x14ac:dyDescent="0.2">
      <c r="A1371" t="str">
        <f t="shared" si="268"/>
        <v>37226Haapiti12153Autres</v>
      </c>
      <c r="B1371" s="1">
        <v>37226</v>
      </c>
      <c r="C1371" t="s">
        <v>25</v>
      </c>
      <c r="D1371" s="19">
        <v>12</v>
      </c>
      <c r="E1371">
        <v>153</v>
      </c>
      <c r="F1371" t="s">
        <v>14</v>
      </c>
      <c r="H1371">
        <v>0</v>
      </c>
    </row>
    <row r="1372" spans="1:9" x14ac:dyDescent="0.2">
      <c r="A1372" t="str">
        <f t="shared" si="268"/>
        <v>37226Haapiti12154Autres</v>
      </c>
      <c r="B1372" s="1">
        <v>37226</v>
      </c>
      <c r="C1372" t="s">
        <v>25</v>
      </c>
      <c r="D1372" s="19">
        <v>12</v>
      </c>
      <c r="E1372">
        <v>154</v>
      </c>
      <c r="F1372" t="s">
        <v>14</v>
      </c>
      <c r="H1372">
        <v>0</v>
      </c>
    </row>
    <row r="1373" spans="1:9" x14ac:dyDescent="0.2">
      <c r="A1373" t="str">
        <f t="shared" si="268"/>
        <v>37226Haapiti12155PocilloporidaeDessous</v>
      </c>
      <c r="B1373" s="1">
        <v>37226</v>
      </c>
      <c r="C1373" t="s">
        <v>25</v>
      </c>
      <c r="D1373" s="19">
        <v>12</v>
      </c>
      <c r="E1373">
        <v>155</v>
      </c>
      <c r="F1373" t="s">
        <v>10</v>
      </c>
      <c r="G1373" t="s">
        <v>8</v>
      </c>
      <c r="H1373">
        <v>2</v>
      </c>
      <c r="I1373" t="s">
        <v>27</v>
      </c>
    </row>
    <row r="1374" spans="1:9" x14ac:dyDescent="0.2">
      <c r="A1374" t="str">
        <f t="shared" si="268"/>
        <v>37226Haapiti12156CassésBords</v>
      </c>
      <c r="B1374" s="1">
        <v>37226</v>
      </c>
      <c r="C1374" t="s">
        <v>25</v>
      </c>
      <c r="D1374" s="19">
        <v>12</v>
      </c>
      <c r="E1374">
        <v>156</v>
      </c>
      <c r="F1374" t="s">
        <v>12</v>
      </c>
      <c r="G1374" t="s">
        <v>13</v>
      </c>
      <c r="H1374">
        <v>1</v>
      </c>
      <c r="I1374" t="s">
        <v>27</v>
      </c>
    </row>
    <row r="1375" spans="1:9" x14ac:dyDescent="0.2">
      <c r="A1375" t="str">
        <f t="shared" si="268"/>
        <v>37226Haapiti12156PocilloporidaeBords</v>
      </c>
      <c r="B1375" s="1">
        <v>37226</v>
      </c>
      <c r="C1375" t="s">
        <v>25</v>
      </c>
      <c r="D1375" s="19">
        <v>12</v>
      </c>
      <c r="E1375">
        <v>156</v>
      </c>
      <c r="F1375" t="s">
        <v>10</v>
      </c>
      <c r="G1375" t="s">
        <v>13</v>
      </c>
      <c r="H1375">
        <v>2</v>
      </c>
      <c r="I1375" t="s">
        <v>27</v>
      </c>
    </row>
    <row r="1376" spans="1:9" x14ac:dyDescent="0.2">
      <c r="A1376" t="str">
        <f t="shared" si="268"/>
        <v>37226Haapiti12156PoritidaeDessus</v>
      </c>
      <c r="B1376" s="1">
        <v>37226</v>
      </c>
      <c r="C1376" t="s">
        <v>25</v>
      </c>
      <c r="D1376" s="19">
        <v>12</v>
      </c>
      <c r="E1376">
        <v>156</v>
      </c>
      <c r="F1376" t="s">
        <v>7</v>
      </c>
      <c r="G1376" t="s">
        <v>11</v>
      </c>
      <c r="H1376">
        <v>1</v>
      </c>
      <c r="I1376" t="s">
        <v>27</v>
      </c>
    </row>
    <row r="1377" spans="1:9" x14ac:dyDescent="0.2">
      <c r="A1377" t="str">
        <f t="shared" si="268"/>
        <v>37226Haapiti12157PocilloporidaeDessous</v>
      </c>
      <c r="B1377" s="1">
        <v>37226</v>
      </c>
      <c r="C1377" t="s">
        <v>25</v>
      </c>
      <c r="D1377" s="19">
        <v>12</v>
      </c>
      <c r="E1377">
        <v>157</v>
      </c>
      <c r="F1377" t="s">
        <v>10</v>
      </c>
      <c r="G1377" t="s">
        <v>8</v>
      </c>
      <c r="H1377">
        <v>2</v>
      </c>
      <c r="I1377" t="s">
        <v>27</v>
      </c>
    </row>
    <row r="1378" spans="1:9" x14ac:dyDescent="0.2">
      <c r="A1378" t="str">
        <f t="shared" si="268"/>
        <v>37226Haapiti12158PocilloporidaeDessous</v>
      </c>
      <c r="B1378" s="1">
        <v>37226</v>
      </c>
      <c r="C1378" t="s">
        <v>25</v>
      </c>
      <c r="D1378" s="19">
        <v>12</v>
      </c>
      <c r="E1378">
        <v>158</v>
      </c>
      <c r="F1378" t="s">
        <v>10</v>
      </c>
      <c r="G1378" t="s">
        <v>8</v>
      </c>
      <c r="H1378">
        <v>4</v>
      </c>
      <c r="I1378" t="s">
        <v>27</v>
      </c>
    </row>
    <row r="1379" spans="1:9" x14ac:dyDescent="0.2">
      <c r="A1379" t="str">
        <f t="shared" si="268"/>
        <v>37226Haapiti12159Autres</v>
      </c>
      <c r="B1379" s="1">
        <v>37226</v>
      </c>
      <c r="C1379" t="s">
        <v>25</v>
      </c>
      <c r="D1379" s="19">
        <v>12</v>
      </c>
      <c r="E1379">
        <v>159</v>
      </c>
      <c r="F1379" t="s">
        <v>14</v>
      </c>
      <c r="H1379">
        <v>0</v>
      </c>
    </row>
    <row r="1380" spans="1:9" x14ac:dyDescent="0.2">
      <c r="A1380" t="str">
        <f t="shared" si="268"/>
        <v>37226Haapiti12160PoritidaeDessous</v>
      </c>
      <c r="B1380" s="1">
        <v>37226</v>
      </c>
      <c r="C1380" t="s">
        <v>25</v>
      </c>
      <c r="D1380" s="19">
        <v>12</v>
      </c>
      <c r="E1380">
        <v>160</v>
      </c>
      <c r="F1380" t="s">
        <v>7</v>
      </c>
      <c r="G1380" t="s">
        <v>8</v>
      </c>
      <c r="H1380">
        <v>2</v>
      </c>
      <c r="I1380" t="s">
        <v>27</v>
      </c>
    </row>
    <row r="1381" spans="1:9" x14ac:dyDescent="0.2">
      <c r="A1381" t="str">
        <f t="shared" si="268"/>
        <v>37226Haapiti18161PocilloporidaeDessous</v>
      </c>
      <c r="B1381" s="1">
        <v>37226</v>
      </c>
      <c r="C1381" t="s">
        <v>25</v>
      </c>
      <c r="D1381" s="19">
        <v>18</v>
      </c>
      <c r="E1381">
        <v>161</v>
      </c>
      <c r="F1381" t="s">
        <v>10</v>
      </c>
      <c r="G1381" t="s">
        <v>8</v>
      </c>
      <c r="H1381">
        <v>1</v>
      </c>
      <c r="I1381" t="s">
        <v>27</v>
      </c>
    </row>
    <row r="1382" spans="1:9" x14ac:dyDescent="0.2">
      <c r="A1382" t="str">
        <f t="shared" si="268"/>
        <v>37226Haapiti18161PocilloporidaeDessus</v>
      </c>
      <c r="B1382" s="1">
        <v>37226</v>
      </c>
      <c r="C1382" t="s">
        <v>25</v>
      </c>
      <c r="D1382" s="19">
        <v>18</v>
      </c>
      <c r="E1382">
        <v>161</v>
      </c>
      <c r="F1382" t="s">
        <v>10</v>
      </c>
      <c r="G1382" t="s">
        <v>11</v>
      </c>
      <c r="H1382">
        <v>2</v>
      </c>
      <c r="I1382" t="s">
        <v>27</v>
      </c>
    </row>
    <row r="1383" spans="1:9" x14ac:dyDescent="0.2">
      <c r="A1383" t="str">
        <f t="shared" si="268"/>
        <v>37226Haapiti18161PoritidaeDessous</v>
      </c>
      <c r="B1383" s="1">
        <v>37226</v>
      </c>
      <c r="C1383" t="s">
        <v>25</v>
      </c>
      <c r="D1383" s="19">
        <v>18</v>
      </c>
      <c r="E1383">
        <v>161</v>
      </c>
      <c r="F1383" t="s">
        <v>7</v>
      </c>
      <c r="G1383" t="s">
        <v>8</v>
      </c>
      <c r="H1383">
        <v>2</v>
      </c>
      <c r="I1383" t="s">
        <v>27</v>
      </c>
    </row>
    <row r="1384" spans="1:9" x14ac:dyDescent="0.2">
      <c r="A1384" t="str">
        <f t="shared" si="268"/>
        <v>37226Haapiti18162PocilloporidaeDessous</v>
      </c>
      <c r="B1384" s="1">
        <v>37226</v>
      </c>
      <c r="C1384" t="s">
        <v>25</v>
      </c>
      <c r="D1384" s="19">
        <v>18</v>
      </c>
      <c r="E1384">
        <v>162</v>
      </c>
      <c r="F1384" t="s">
        <v>10</v>
      </c>
      <c r="G1384" t="s">
        <v>8</v>
      </c>
      <c r="H1384">
        <v>1</v>
      </c>
      <c r="I1384" t="s">
        <v>27</v>
      </c>
    </row>
    <row r="1385" spans="1:9" x14ac:dyDescent="0.2">
      <c r="A1385" t="str">
        <f t="shared" si="268"/>
        <v>37226Haapiti18162PoritidaeDessous</v>
      </c>
      <c r="B1385" s="1">
        <v>37226</v>
      </c>
      <c r="C1385" t="s">
        <v>25</v>
      </c>
      <c r="D1385" s="19">
        <v>18</v>
      </c>
      <c r="E1385">
        <v>162</v>
      </c>
      <c r="F1385" t="s">
        <v>7</v>
      </c>
      <c r="G1385" t="s">
        <v>8</v>
      </c>
      <c r="H1385">
        <v>1</v>
      </c>
      <c r="I1385" t="s">
        <v>27</v>
      </c>
    </row>
    <row r="1386" spans="1:9" x14ac:dyDescent="0.2">
      <c r="A1386" t="str">
        <f t="shared" si="268"/>
        <v>37226Haapiti18163Autres</v>
      </c>
      <c r="B1386" s="1">
        <v>37226</v>
      </c>
      <c r="C1386" t="s">
        <v>25</v>
      </c>
      <c r="D1386" s="19">
        <v>18</v>
      </c>
      <c r="E1386">
        <v>163</v>
      </c>
      <c r="F1386" t="s">
        <v>14</v>
      </c>
      <c r="H1386">
        <v>0</v>
      </c>
    </row>
    <row r="1387" spans="1:9" x14ac:dyDescent="0.2">
      <c r="A1387" t="str">
        <f t="shared" si="268"/>
        <v>37226Haapiti18164AcroporidaeBords</v>
      </c>
      <c r="B1387" s="1">
        <v>37226</v>
      </c>
      <c r="C1387" t="s">
        <v>25</v>
      </c>
      <c r="D1387" s="19">
        <v>18</v>
      </c>
      <c r="E1387">
        <v>164</v>
      </c>
      <c r="F1387" t="s">
        <v>17</v>
      </c>
      <c r="G1387" t="s">
        <v>13</v>
      </c>
      <c r="H1387">
        <v>1</v>
      </c>
      <c r="I1387" t="s">
        <v>27</v>
      </c>
    </row>
    <row r="1388" spans="1:9" x14ac:dyDescent="0.2">
      <c r="A1388" t="str">
        <f t="shared" si="268"/>
        <v>37226Haapiti18164AutresBords</v>
      </c>
      <c r="B1388" s="1">
        <v>37226</v>
      </c>
      <c r="C1388" t="s">
        <v>25</v>
      </c>
      <c r="D1388" s="19">
        <v>18</v>
      </c>
      <c r="E1388">
        <v>164</v>
      </c>
      <c r="F1388" t="s">
        <v>14</v>
      </c>
      <c r="G1388" t="s">
        <v>13</v>
      </c>
      <c r="H1388">
        <v>1</v>
      </c>
      <c r="I1388" t="s">
        <v>27</v>
      </c>
    </row>
    <row r="1389" spans="1:9" x14ac:dyDescent="0.2">
      <c r="A1389" t="str">
        <f t="shared" si="268"/>
        <v>37226Haapiti18164PocilloporidaeBords</v>
      </c>
      <c r="B1389" s="1">
        <v>37226</v>
      </c>
      <c r="C1389" t="s">
        <v>25</v>
      </c>
      <c r="D1389" s="19">
        <v>18</v>
      </c>
      <c r="E1389">
        <v>164</v>
      </c>
      <c r="F1389" t="s">
        <v>10</v>
      </c>
      <c r="G1389" t="s">
        <v>13</v>
      </c>
      <c r="H1389">
        <v>1</v>
      </c>
      <c r="I1389" t="s">
        <v>27</v>
      </c>
    </row>
    <row r="1390" spans="1:9" x14ac:dyDescent="0.2">
      <c r="A1390" t="str">
        <f t="shared" si="268"/>
        <v>37226Haapiti18164PocilloporidaeDessous</v>
      </c>
      <c r="B1390" s="1">
        <v>37226</v>
      </c>
      <c r="C1390" t="s">
        <v>25</v>
      </c>
      <c r="D1390" s="19">
        <v>18</v>
      </c>
      <c r="E1390">
        <v>164</v>
      </c>
      <c r="F1390" t="s">
        <v>10</v>
      </c>
      <c r="G1390" t="s">
        <v>8</v>
      </c>
      <c r="H1390">
        <v>1</v>
      </c>
      <c r="I1390" t="s">
        <v>27</v>
      </c>
    </row>
    <row r="1391" spans="1:9" x14ac:dyDescent="0.2">
      <c r="A1391" t="str">
        <f t="shared" si="268"/>
        <v>37226Haapiti18165PocilloporidaeBords</v>
      </c>
      <c r="B1391" s="1">
        <v>37226</v>
      </c>
      <c r="C1391" t="s">
        <v>25</v>
      </c>
      <c r="D1391" s="19">
        <v>18</v>
      </c>
      <c r="E1391">
        <v>165</v>
      </c>
      <c r="F1391" t="s">
        <v>10</v>
      </c>
      <c r="G1391" t="s">
        <v>13</v>
      </c>
      <c r="H1391">
        <v>1</v>
      </c>
      <c r="I1391" t="s">
        <v>27</v>
      </c>
    </row>
    <row r="1392" spans="1:9" x14ac:dyDescent="0.2">
      <c r="A1392" t="str">
        <f t="shared" si="268"/>
        <v>37226Haapiti18166Autres</v>
      </c>
      <c r="B1392" s="1">
        <v>37226</v>
      </c>
      <c r="C1392" t="s">
        <v>25</v>
      </c>
      <c r="D1392" s="19">
        <v>18</v>
      </c>
      <c r="E1392">
        <v>166</v>
      </c>
      <c r="F1392" t="s">
        <v>14</v>
      </c>
      <c r="H1392">
        <v>0</v>
      </c>
    </row>
    <row r="1393" spans="1:9" x14ac:dyDescent="0.2">
      <c r="A1393" t="str">
        <f t="shared" si="268"/>
        <v>37226Haapiti18167PocilloporidaeDessous</v>
      </c>
      <c r="B1393" s="1">
        <v>37226</v>
      </c>
      <c r="C1393" t="s">
        <v>25</v>
      </c>
      <c r="D1393" s="19">
        <v>18</v>
      </c>
      <c r="E1393">
        <v>167</v>
      </c>
      <c r="F1393" t="s">
        <v>10</v>
      </c>
      <c r="G1393" t="s">
        <v>8</v>
      </c>
      <c r="H1393">
        <v>2</v>
      </c>
      <c r="I1393" t="s">
        <v>27</v>
      </c>
    </row>
    <row r="1394" spans="1:9" x14ac:dyDescent="0.2">
      <c r="A1394" t="str">
        <f t="shared" si="268"/>
        <v>37226Haapiti18168Autres</v>
      </c>
      <c r="B1394" s="1">
        <v>37226</v>
      </c>
      <c r="C1394" t="s">
        <v>25</v>
      </c>
      <c r="D1394" s="19">
        <v>18</v>
      </c>
      <c r="E1394">
        <v>168</v>
      </c>
      <c r="F1394" t="s">
        <v>14</v>
      </c>
      <c r="H1394">
        <v>0</v>
      </c>
    </row>
    <row r="1395" spans="1:9" x14ac:dyDescent="0.2">
      <c r="A1395" t="str">
        <f t="shared" si="268"/>
        <v>37226Haapiti18169PocilloporidaeBords</v>
      </c>
      <c r="B1395" s="1">
        <v>37226</v>
      </c>
      <c r="C1395" t="s">
        <v>25</v>
      </c>
      <c r="D1395" s="19">
        <v>18</v>
      </c>
      <c r="E1395">
        <v>169</v>
      </c>
      <c r="F1395" t="s">
        <v>10</v>
      </c>
      <c r="G1395" t="s">
        <v>13</v>
      </c>
      <c r="H1395">
        <v>1</v>
      </c>
      <c r="I1395" t="s">
        <v>27</v>
      </c>
    </row>
    <row r="1396" spans="1:9" x14ac:dyDescent="0.2">
      <c r="A1396" t="str">
        <f t="shared" si="268"/>
        <v>37226Haapiti18169PocilloporidaeDessous</v>
      </c>
      <c r="B1396" s="1">
        <v>37226</v>
      </c>
      <c r="C1396" t="s">
        <v>25</v>
      </c>
      <c r="D1396" s="19">
        <v>18</v>
      </c>
      <c r="E1396">
        <v>169</v>
      </c>
      <c r="F1396" t="s">
        <v>10</v>
      </c>
      <c r="G1396" t="s">
        <v>8</v>
      </c>
      <c r="H1396">
        <v>3</v>
      </c>
      <c r="I1396" t="s">
        <v>27</v>
      </c>
    </row>
    <row r="1397" spans="1:9" x14ac:dyDescent="0.2">
      <c r="A1397" t="str">
        <f t="shared" si="268"/>
        <v>37226Haapiti18169PoritidaeDessous</v>
      </c>
      <c r="B1397" s="1">
        <v>37226</v>
      </c>
      <c r="C1397" t="s">
        <v>25</v>
      </c>
      <c r="D1397" s="19">
        <v>18</v>
      </c>
      <c r="E1397">
        <v>169</v>
      </c>
      <c r="F1397" t="s">
        <v>7</v>
      </c>
      <c r="G1397" t="s">
        <v>8</v>
      </c>
      <c r="H1397">
        <v>1</v>
      </c>
      <c r="I1397" t="s">
        <v>27</v>
      </c>
    </row>
    <row r="1398" spans="1:9" x14ac:dyDescent="0.2">
      <c r="A1398" t="str">
        <f t="shared" si="268"/>
        <v>37226Haapiti18170Autres</v>
      </c>
      <c r="B1398" s="1">
        <v>37226</v>
      </c>
      <c r="C1398" t="s">
        <v>25</v>
      </c>
      <c r="D1398" s="19">
        <v>18</v>
      </c>
      <c r="E1398">
        <v>170</v>
      </c>
      <c r="F1398" t="s">
        <v>14</v>
      </c>
      <c r="H1398">
        <v>0</v>
      </c>
    </row>
    <row r="1399" spans="1:9" x14ac:dyDescent="0.2">
      <c r="A1399" t="str">
        <f t="shared" si="268"/>
        <v>37226Haapiti18171PocilloporidaeBords</v>
      </c>
      <c r="B1399" s="1">
        <v>37226</v>
      </c>
      <c r="C1399" t="s">
        <v>25</v>
      </c>
      <c r="D1399" s="19">
        <v>18</v>
      </c>
      <c r="E1399">
        <v>171</v>
      </c>
      <c r="F1399" t="s">
        <v>10</v>
      </c>
      <c r="G1399" t="s">
        <v>13</v>
      </c>
      <c r="H1399">
        <v>2</v>
      </c>
      <c r="I1399" t="s">
        <v>27</v>
      </c>
    </row>
    <row r="1400" spans="1:9" x14ac:dyDescent="0.2">
      <c r="A1400" t="str">
        <f t="shared" si="268"/>
        <v>37226Haapiti18171PocilloporidaeDessous</v>
      </c>
      <c r="B1400" s="1">
        <v>37226</v>
      </c>
      <c r="C1400" t="s">
        <v>25</v>
      </c>
      <c r="D1400" s="19">
        <v>18</v>
      </c>
      <c r="E1400">
        <v>171</v>
      </c>
      <c r="F1400" t="s">
        <v>10</v>
      </c>
      <c r="G1400" t="s">
        <v>8</v>
      </c>
      <c r="H1400">
        <v>1</v>
      </c>
      <c r="I1400" t="s">
        <v>27</v>
      </c>
    </row>
    <row r="1401" spans="1:9" x14ac:dyDescent="0.2">
      <c r="A1401" t="str">
        <f t="shared" si="268"/>
        <v>37226Haapiti18171PocilloporidaeDessus</v>
      </c>
      <c r="B1401" s="1">
        <v>37226</v>
      </c>
      <c r="C1401" t="s">
        <v>25</v>
      </c>
      <c r="D1401" s="19">
        <v>18</v>
      </c>
      <c r="E1401">
        <v>171</v>
      </c>
      <c r="F1401" t="s">
        <v>10</v>
      </c>
      <c r="G1401" t="s">
        <v>11</v>
      </c>
      <c r="H1401">
        <v>1</v>
      </c>
      <c r="I1401" t="s">
        <v>27</v>
      </c>
    </row>
    <row r="1402" spans="1:9" x14ac:dyDescent="0.2">
      <c r="A1402" t="str">
        <f t="shared" si="268"/>
        <v>37226Haapiti18171PoritidaeBords</v>
      </c>
      <c r="B1402" s="1">
        <v>37226</v>
      </c>
      <c r="C1402" t="s">
        <v>25</v>
      </c>
      <c r="D1402" s="19">
        <v>18</v>
      </c>
      <c r="E1402">
        <v>171</v>
      </c>
      <c r="F1402" t="s">
        <v>7</v>
      </c>
      <c r="G1402" t="s">
        <v>13</v>
      </c>
      <c r="H1402">
        <v>1</v>
      </c>
      <c r="I1402" t="s">
        <v>27</v>
      </c>
    </row>
    <row r="1403" spans="1:9" x14ac:dyDescent="0.2">
      <c r="A1403" t="str">
        <f t="shared" si="268"/>
        <v>37226Haapiti18172PocilloporidaeDessous</v>
      </c>
      <c r="B1403" s="1">
        <v>37226</v>
      </c>
      <c r="C1403" t="s">
        <v>25</v>
      </c>
      <c r="D1403" s="19">
        <v>18</v>
      </c>
      <c r="E1403">
        <v>172</v>
      </c>
      <c r="F1403" t="s">
        <v>10</v>
      </c>
      <c r="G1403" t="s">
        <v>8</v>
      </c>
      <c r="H1403">
        <v>5</v>
      </c>
      <c r="I1403" t="s">
        <v>27</v>
      </c>
    </row>
    <row r="1404" spans="1:9" x14ac:dyDescent="0.2">
      <c r="A1404" t="str">
        <f t="shared" si="268"/>
        <v>37226Haapiti18172PoritidaeDessous</v>
      </c>
      <c r="B1404" s="1">
        <v>37226</v>
      </c>
      <c r="C1404" t="s">
        <v>25</v>
      </c>
      <c r="D1404" s="19">
        <v>18</v>
      </c>
      <c r="E1404">
        <v>172</v>
      </c>
      <c r="F1404" t="s">
        <v>7</v>
      </c>
      <c r="G1404" t="s">
        <v>8</v>
      </c>
      <c r="H1404">
        <v>1</v>
      </c>
      <c r="I1404" t="s">
        <v>27</v>
      </c>
    </row>
    <row r="1405" spans="1:9" x14ac:dyDescent="0.2">
      <c r="A1405" t="str">
        <f t="shared" si="268"/>
        <v>37226Haapiti18173PocilloporidaeDessus</v>
      </c>
      <c r="B1405" s="1">
        <v>37226</v>
      </c>
      <c r="C1405" t="s">
        <v>25</v>
      </c>
      <c r="D1405" s="19">
        <v>18</v>
      </c>
      <c r="E1405">
        <v>173</v>
      </c>
      <c r="F1405" t="s">
        <v>10</v>
      </c>
      <c r="G1405" t="s">
        <v>11</v>
      </c>
      <c r="H1405">
        <v>1</v>
      </c>
      <c r="I1405" t="s">
        <v>27</v>
      </c>
    </row>
    <row r="1406" spans="1:9" x14ac:dyDescent="0.2">
      <c r="A1406" t="str">
        <f t="shared" si="268"/>
        <v>37226Haapiti18174AcroporidaeDessous</v>
      </c>
      <c r="B1406" s="1">
        <v>37226</v>
      </c>
      <c r="C1406" t="s">
        <v>25</v>
      </c>
      <c r="D1406" s="19">
        <v>18</v>
      </c>
      <c r="E1406">
        <v>174</v>
      </c>
      <c r="F1406" t="s">
        <v>17</v>
      </c>
      <c r="G1406" t="s">
        <v>8</v>
      </c>
      <c r="H1406">
        <v>1</v>
      </c>
      <c r="I1406" t="s">
        <v>27</v>
      </c>
    </row>
    <row r="1407" spans="1:9" x14ac:dyDescent="0.2">
      <c r="A1407" t="str">
        <f t="shared" ref="A1407:A1470" si="269">B1407 &amp; C1407&amp; D1407&amp; E1407 &amp; F1407 &amp;G1407</f>
        <v>37226Haapiti18174PocilloporidaeBords</v>
      </c>
      <c r="B1407" s="1">
        <v>37226</v>
      </c>
      <c r="C1407" t="s">
        <v>25</v>
      </c>
      <c r="D1407" s="19">
        <v>18</v>
      </c>
      <c r="E1407">
        <v>174</v>
      </c>
      <c r="F1407" t="s">
        <v>10</v>
      </c>
      <c r="G1407" t="s">
        <v>13</v>
      </c>
      <c r="H1407">
        <v>1</v>
      </c>
      <c r="I1407" t="s">
        <v>27</v>
      </c>
    </row>
    <row r="1408" spans="1:9" x14ac:dyDescent="0.2">
      <c r="A1408" t="str">
        <f t="shared" si="269"/>
        <v>37226Haapiti18174PocilloporidaeDessous</v>
      </c>
      <c r="B1408" s="1">
        <v>37226</v>
      </c>
      <c r="C1408" t="s">
        <v>25</v>
      </c>
      <c r="D1408" s="19">
        <v>18</v>
      </c>
      <c r="E1408">
        <v>174</v>
      </c>
      <c r="F1408" t="s">
        <v>10</v>
      </c>
      <c r="G1408" t="s">
        <v>8</v>
      </c>
      <c r="H1408">
        <v>2</v>
      </c>
      <c r="I1408" t="s">
        <v>27</v>
      </c>
    </row>
    <row r="1409" spans="1:9" x14ac:dyDescent="0.2">
      <c r="A1409" t="str">
        <f t="shared" si="269"/>
        <v>37226Haapiti18174PocilloporidaeDessus</v>
      </c>
      <c r="B1409" s="1">
        <v>37226</v>
      </c>
      <c r="C1409" t="s">
        <v>25</v>
      </c>
      <c r="D1409" s="19">
        <v>18</v>
      </c>
      <c r="E1409">
        <v>174</v>
      </c>
      <c r="F1409" t="s">
        <v>10</v>
      </c>
      <c r="G1409" t="s">
        <v>11</v>
      </c>
      <c r="H1409">
        <v>2</v>
      </c>
      <c r="I1409" t="s">
        <v>27</v>
      </c>
    </row>
    <row r="1410" spans="1:9" x14ac:dyDescent="0.2">
      <c r="A1410" t="str">
        <f t="shared" si="269"/>
        <v>37226Haapiti18175PocilloporidaeBords</v>
      </c>
      <c r="B1410" s="1">
        <v>37226</v>
      </c>
      <c r="C1410" t="s">
        <v>25</v>
      </c>
      <c r="D1410" s="19">
        <v>18</v>
      </c>
      <c r="E1410">
        <v>175</v>
      </c>
      <c r="F1410" t="s">
        <v>10</v>
      </c>
      <c r="G1410" t="s">
        <v>13</v>
      </c>
      <c r="H1410">
        <v>3</v>
      </c>
      <c r="I1410" t="s">
        <v>27</v>
      </c>
    </row>
    <row r="1411" spans="1:9" x14ac:dyDescent="0.2">
      <c r="A1411" t="str">
        <f t="shared" si="269"/>
        <v>37226Haapiti18175PocilloporidaeDessous</v>
      </c>
      <c r="B1411" s="1">
        <v>37226</v>
      </c>
      <c r="C1411" t="s">
        <v>25</v>
      </c>
      <c r="D1411" s="19">
        <v>18</v>
      </c>
      <c r="E1411">
        <v>175</v>
      </c>
      <c r="F1411" t="s">
        <v>10</v>
      </c>
      <c r="G1411" t="s">
        <v>8</v>
      </c>
      <c r="H1411">
        <v>2</v>
      </c>
      <c r="I1411" t="s">
        <v>27</v>
      </c>
    </row>
    <row r="1412" spans="1:9" x14ac:dyDescent="0.2">
      <c r="A1412" t="str">
        <f t="shared" si="269"/>
        <v>37226Haapiti18176Autres</v>
      </c>
      <c r="B1412" s="1">
        <v>37226</v>
      </c>
      <c r="C1412" t="s">
        <v>25</v>
      </c>
      <c r="D1412" s="19">
        <v>18</v>
      </c>
      <c r="E1412">
        <v>176</v>
      </c>
      <c r="F1412" t="s">
        <v>14</v>
      </c>
      <c r="H1412">
        <v>0</v>
      </c>
    </row>
    <row r="1413" spans="1:9" x14ac:dyDescent="0.2">
      <c r="A1413" t="str">
        <f t="shared" si="269"/>
        <v>37226Haapiti18177PocilloporidaeDessous</v>
      </c>
      <c r="B1413" s="1">
        <v>37226</v>
      </c>
      <c r="C1413" t="s">
        <v>25</v>
      </c>
      <c r="D1413" s="19">
        <v>18</v>
      </c>
      <c r="E1413">
        <v>177</v>
      </c>
      <c r="F1413" t="s">
        <v>10</v>
      </c>
      <c r="G1413" t="s">
        <v>8</v>
      </c>
      <c r="H1413">
        <v>1</v>
      </c>
      <c r="I1413" t="s">
        <v>27</v>
      </c>
    </row>
    <row r="1414" spans="1:9" x14ac:dyDescent="0.2">
      <c r="A1414" t="str">
        <f t="shared" si="269"/>
        <v>37226Haapiti18178CassésDessus</v>
      </c>
      <c r="B1414" s="1">
        <v>37226</v>
      </c>
      <c r="C1414" t="s">
        <v>25</v>
      </c>
      <c r="D1414" s="19">
        <v>18</v>
      </c>
      <c r="E1414">
        <v>178</v>
      </c>
      <c r="F1414" t="s">
        <v>12</v>
      </c>
      <c r="G1414" t="s">
        <v>11</v>
      </c>
      <c r="H1414">
        <v>1</v>
      </c>
      <c r="I1414" t="s">
        <v>27</v>
      </c>
    </row>
    <row r="1415" spans="1:9" x14ac:dyDescent="0.2">
      <c r="A1415" t="str">
        <f t="shared" si="269"/>
        <v>37226Haapiti18178PocilloporidaeDessous</v>
      </c>
      <c r="B1415" s="1">
        <v>37226</v>
      </c>
      <c r="C1415" t="s">
        <v>25</v>
      </c>
      <c r="D1415" s="19">
        <v>18</v>
      </c>
      <c r="E1415">
        <v>178</v>
      </c>
      <c r="F1415" t="s">
        <v>10</v>
      </c>
      <c r="G1415" t="s">
        <v>8</v>
      </c>
      <c r="H1415">
        <v>1</v>
      </c>
      <c r="I1415" t="s">
        <v>27</v>
      </c>
    </row>
    <row r="1416" spans="1:9" x14ac:dyDescent="0.2">
      <c r="A1416" t="str">
        <f t="shared" si="269"/>
        <v>37226Haapiti18179PocilloporidaeDessous</v>
      </c>
      <c r="B1416" s="1">
        <v>37226</v>
      </c>
      <c r="C1416" t="s">
        <v>25</v>
      </c>
      <c r="D1416" s="19">
        <v>18</v>
      </c>
      <c r="E1416">
        <v>179</v>
      </c>
      <c r="F1416" t="s">
        <v>10</v>
      </c>
      <c r="G1416" t="s">
        <v>8</v>
      </c>
      <c r="H1416">
        <v>1</v>
      </c>
      <c r="I1416" t="s">
        <v>27</v>
      </c>
    </row>
    <row r="1417" spans="1:9" x14ac:dyDescent="0.2">
      <c r="A1417" t="str">
        <f t="shared" si="269"/>
        <v>37226Haapiti18180PocilloporidaeBords</v>
      </c>
      <c r="B1417" s="1">
        <v>37226</v>
      </c>
      <c r="C1417" t="s">
        <v>25</v>
      </c>
      <c r="D1417" s="19">
        <v>18</v>
      </c>
      <c r="E1417">
        <v>180</v>
      </c>
      <c r="F1417" t="s">
        <v>10</v>
      </c>
      <c r="G1417" t="s">
        <v>13</v>
      </c>
      <c r="H1417">
        <v>1</v>
      </c>
      <c r="I1417" t="s">
        <v>27</v>
      </c>
    </row>
    <row r="1418" spans="1:9" x14ac:dyDescent="0.2">
      <c r="A1418" t="str">
        <f t="shared" si="269"/>
        <v>37226Haapiti18180PocilloporidaeDessous</v>
      </c>
      <c r="B1418" s="1">
        <v>37226</v>
      </c>
      <c r="C1418" t="s">
        <v>25</v>
      </c>
      <c r="D1418" s="19">
        <v>18</v>
      </c>
      <c r="E1418">
        <v>180</v>
      </c>
      <c r="F1418" t="s">
        <v>10</v>
      </c>
      <c r="G1418" t="s">
        <v>8</v>
      </c>
      <c r="H1418">
        <v>1</v>
      </c>
      <c r="I1418" t="s">
        <v>27</v>
      </c>
    </row>
    <row r="1419" spans="1:9" x14ac:dyDescent="0.2">
      <c r="A1419" t="str">
        <f t="shared" si="269"/>
        <v>37226Haapiti18180PocilloporidaeDessus</v>
      </c>
      <c r="B1419" s="1">
        <v>37226</v>
      </c>
      <c r="C1419" t="s">
        <v>25</v>
      </c>
      <c r="D1419" s="19">
        <v>18</v>
      </c>
      <c r="E1419">
        <v>180</v>
      </c>
      <c r="F1419" t="s">
        <v>10</v>
      </c>
      <c r="G1419" t="s">
        <v>11</v>
      </c>
      <c r="H1419">
        <v>2</v>
      </c>
      <c r="I1419" t="s">
        <v>27</v>
      </c>
    </row>
    <row r="1420" spans="1:9" x14ac:dyDescent="0.2">
      <c r="A1420" t="str">
        <f t="shared" si="269"/>
        <v>37500Vaipahu61Autres</v>
      </c>
      <c r="B1420" s="1">
        <v>37500</v>
      </c>
      <c r="C1420" t="s">
        <v>23</v>
      </c>
      <c r="D1420" s="19">
        <v>6</v>
      </c>
      <c r="E1420">
        <v>1</v>
      </c>
      <c r="F1420" t="s">
        <v>14</v>
      </c>
      <c r="H1420">
        <v>0</v>
      </c>
    </row>
    <row r="1421" spans="1:9" x14ac:dyDescent="0.2">
      <c r="A1421" t="str">
        <f t="shared" si="269"/>
        <v>37500Vaipahu62</v>
      </c>
      <c r="B1421" s="1">
        <v>37500</v>
      </c>
      <c r="C1421" t="s">
        <v>23</v>
      </c>
      <c r="D1421" s="19">
        <v>6</v>
      </c>
      <c r="E1421">
        <v>2</v>
      </c>
      <c r="F1421" t="s">
        <v>27</v>
      </c>
      <c r="G1421" t="s">
        <v>27</v>
      </c>
      <c r="H1421" t="s">
        <v>27</v>
      </c>
      <c r="I1421" t="s">
        <v>31</v>
      </c>
    </row>
    <row r="1422" spans="1:9" x14ac:dyDescent="0.2">
      <c r="A1422" t="str">
        <f t="shared" si="269"/>
        <v>37500Vaipahu63Autres</v>
      </c>
      <c r="B1422" s="1">
        <v>37500</v>
      </c>
      <c r="C1422" t="s">
        <v>23</v>
      </c>
      <c r="D1422" s="19">
        <v>6</v>
      </c>
      <c r="E1422">
        <v>3</v>
      </c>
      <c r="F1422" t="s">
        <v>14</v>
      </c>
      <c r="H1422">
        <v>0</v>
      </c>
    </row>
    <row r="1423" spans="1:9" x14ac:dyDescent="0.2">
      <c r="A1423" t="str">
        <f t="shared" si="269"/>
        <v>37500Vaipahu64PocilloporidaeDessous</v>
      </c>
      <c r="B1423" s="1">
        <v>37500</v>
      </c>
      <c r="C1423" t="s">
        <v>23</v>
      </c>
      <c r="D1423" s="19">
        <v>6</v>
      </c>
      <c r="E1423">
        <v>4</v>
      </c>
      <c r="F1423" t="s">
        <v>10</v>
      </c>
      <c r="G1423" t="s">
        <v>8</v>
      </c>
      <c r="H1423">
        <v>1</v>
      </c>
      <c r="I1423" t="s">
        <v>27</v>
      </c>
    </row>
    <row r="1424" spans="1:9" x14ac:dyDescent="0.2">
      <c r="A1424" t="str">
        <f t="shared" si="269"/>
        <v>37500Vaipahu65Autres</v>
      </c>
      <c r="B1424" s="1">
        <v>37500</v>
      </c>
      <c r="C1424" t="s">
        <v>23</v>
      </c>
      <c r="D1424" s="19">
        <v>6</v>
      </c>
      <c r="E1424">
        <v>5</v>
      </c>
      <c r="F1424" t="s">
        <v>14</v>
      </c>
      <c r="H1424">
        <v>0</v>
      </c>
    </row>
    <row r="1425" spans="1:9" x14ac:dyDescent="0.2">
      <c r="A1425" t="str">
        <f t="shared" si="269"/>
        <v>37500Vaipahu66AutresDessus</v>
      </c>
      <c r="B1425" s="1">
        <v>37500</v>
      </c>
      <c r="C1425" t="s">
        <v>23</v>
      </c>
      <c r="D1425" s="19">
        <v>6</v>
      </c>
      <c r="E1425">
        <v>6</v>
      </c>
      <c r="F1425" t="s">
        <v>14</v>
      </c>
      <c r="G1425" t="s">
        <v>11</v>
      </c>
      <c r="H1425">
        <v>1</v>
      </c>
    </row>
    <row r="1426" spans="1:9" x14ac:dyDescent="0.2">
      <c r="A1426" t="str">
        <f t="shared" si="269"/>
        <v>37500Vaipahu67Autres</v>
      </c>
      <c r="B1426" s="1">
        <v>37500</v>
      </c>
      <c r="C1426" t="s">
        <v>23</v>
      </c>
      <c r="D1426" s="19">
        <v>6</v>
      </c>
      <c r="E1426">
        <v>7</v>
      </c>
      <c r="F1426" t="s">
        <v>14</v>
      </c>
      <c r="H1426">
        <v>0</v>
      </c>
    </row>
    <row r="1427" spans="1:9" x14ac:dyDescent="0.2">
      <c r="A1427" t="str">
        <f t="shared" si="269"/>
        <v>37500Vaipahu68Autres</v>
      </c>
      <c r="B1427" s="1">
        <v>37500</v>
      </c>
      <c r="C1427" t="s">
        <v>23</v>
      </c>
      <c r="D1427" s="19">
        <v>6</v>
      </c>
      <c r="E1427">
        <v>8</v>
      </c>
      <c r="F1427" t="s">
        <v>14</v>
      </c>
      <c r="H1427">
        <v>0</v>
      </c>
    </row>
    <row r="1428" spans="1:9" x14ac:dyDescent="0.2">
      <c r="A1428" t="str">
        <f t="shared" si="269"/>
        <v>37500Vaipahu69Autres</v>
      </c>
      <c r="B1428" s="1">
        <v>37500</v>
      </c>
      <c r="C1428" t="s">
        <v>23</v>
      </c>
      <c r="D1428" s="19">
        <v>6</v>
      </c>
      <c r="E1428">
        <v>9</v>
      </c>
      <c r="F1428" t="s">
        <v>14</v>
      </c>
      <c r="H1428">
        <v>0</v>
      </c>
    </row>
    <row r="1429" spans="1:9" x14ac:dyDescent="0.2">
      <c r="A1429" t="str">
        <f t="shared" si="269"/>
        <v>37500Vaipahu610Autres</v>
      </c>
      <c r="B1429" s="1">
        <v>37500</v>
      </c>
      <c r="C1429" t="s">
        <v>23</v>
      </c>
      <c r="D1429" s="19">
        <v>6</v>
      </c>
      <c r="E1429">
        <v>10</v>
      </c>
      <c r="F1429" t="s">
        <v>14</v>
      </c>
      <c r="H1429">
        <v>0</v>
      </c>
    </row>
    <row r="1430" spans="1:9" x14ac:dyDescent="0.2">
      <c r="A1430" t="str">
        <f t="shared" si="269"/>
        <v>37500Vaipahu611PocilloporidaeBords</v>
      </c>
      <c r="B1430" s="1">
        <v>37500</v>
      </c>
      <c r="C1430" t="s">
        <v>23</v>
      </c>
      <c r="D1430" s="19">
        <v>6</v>
      </c>
      <c r="E1430">
        <v>11</v>
      </c>
      <c r="F1430" t="s">
        <v>10</v>
      </c>
      <c r="G1430" t="s">
        <v>13</v>
      </c>
      <c r="H1430">
        <v>1</v>
      </c>
      <c r="I1430" t="s">
        <v>27</v>
      </c>
    </row>
    <row r="1431" spans="1:9" x14ac:dyDescent="0.2">
      <c r="A1431" t="str">
        <f t="shared" si="269"/>
        <v>37500Vaipahu612Autres</v>
      </c>
      <c r="B1431" s="1">
        <v>37500</v>
      </c>
      <c r="C1431" t="s">
        <v>23</v>
      </c>
      <c r="D1431" s="19">
        <v>6</v>
      </c>
      <c r="E1431">
        <v>12</v>
      </c>
      <c r="F1431" t="s">
        <v>14</v>
      </c>
      <c r="H1431">
        <v>0</v>
      </c>
    </row>
    <row r="1432" spans="1:9" x14ac:dyDescent="0.2">
      <c r="A1432" t="str">
        <f t="shared" si="269"/>
        <v>37500Vaipahu613Autres</v>
      </c>
      <c r="B1432" s="1">
        <v>37500</v>
      </c>
      <c r="C1432" t="s">
        <v>23</v>
      </c>
      <c r="D1432" s="19">
        <v>6</v>
      </c>
      <c r="E1432">
        <v>13</v>
      </c>
      <c r="F1432" t="s">
        <v>14</v>
      </c>
      <c r="H1432">
        <v>0</v>
      </c>
    </row>
    <row r="1433" spans="1:9" x14ac:dyDescent="0.2">
      <c r="A1433" t="str">
        <f t="shared" si="269"/>
        <v>37500Vaipahu614Autres</v>
      </c>
      <c r="B1433" s="1">
        <v>37500</v>
      </c>
      <c r="C1433" t="s">
        <v>23</v>
      </c>
      <c r="D1433" s="19">
        <v>6</v>
      </c>
      <c r="E1433">
        <v>14</v>
      </c>
      <c r="F1433" t="s">
        <v>14</v>
      </c>
      <c r="H1433">
        <v>0</v>
      </c>
    </row>
    <row r="1434" spans="1:9" x14ac:dyDescent="0.2">
      <c r="A1434" t="str">
        <f t="shared" si="269"/>
        <v>37500Vaipahu615PocilloporidaeDessus</v>
      </c>
      <c r="B1434" s="1">
        <v>37500</v>
      </c>
      <c r="C1434" t="s">
        <v>23</v>
      </c>
      <c r="D1434" s="19">
        <v>6</v>
      </c>
      <c r="E1434">
        <v>15</v>
      </c>
      <c r="F1434" t="s">
        <v>10</v>
      </c>
      <c r="G1434" t="s">
        <v>11</v>
      </c>
      <c r="H1434">
        <v>1</v>
      </c>
      <c r="I1434" t="s">
        <v>27</v>
      </c>
    </row>
    <row r="1435" spans="1:9" x14ac:dyDescent="0.2">
      <c r="A1435" t="str">
        <f t="shared" si="269"/>
        <v>37500Vaipahu616Autres</v>
      </c>
      <c r="B1435" s="1">
        <v>37500</v>
      </c>
      <c r="C1435" t="s">
        <v>23</v>
      </c>
      <c r="D1435" s="19">
        <v>6</v>
      </c>
      <c r="E1435">
        <v>16</v>
      </c>
      <c r="F1435" t="s">
        <v>14</v>
      </c>
      <c r="H1435">
        <v>0</v>
      </c>
    </row>
    <row r="1436" spans="1:9" x14ac:dyDescent="0.2">
      <c r="A1436" t="str">
        <f t="shared" si="269"/>
        <v>37500Vaipahu617Autres</v>
      </c>
      <c r="B1436" s="1">
        <v>37500</v>
      </c>
      <c r="C1436" t="s">
        <v>23</v>
      </c>
      <c r="D1436" s="19">
        <v>6</v>
      </c>
      <c r="E1436">
        <v>17</v>
      </c>
      <c r="F1436" t="s">
        <v>14</v>
      </c>
      <c r="H1436">
        <v>0</v>
      </c>
    </row>
    <row r="1437" spans="1:9" x14ac:dyDescent="0.2">
      <c r="A1437" t="str">
        <f t="shared" si="269"/>
        <v>37500Vaipahu618Autres</v>
      </c>
      <c r="B1437" s="1">
        <v>37500</v>
      </c>
      <c r="C1437" t="s">
        <v>23</v>
      </c>
      <c r="D1437" s="19">
        <v>6</v>
      </c>
      <c r="E1437">
        <v>18</v>
      </c>
      <c r="F1437" t="s">
        <v>14</v>
      </c>
      <c r="H1437">
        <v>0</v>
      </c>
    </row>
    <row r="1438" spans="1:9" x14ac:dyDescent="0.2">
      <c r="A1438" t="str">
        <f t="shared" si="269"/>
        <v>37500Vaipahu619PocilloporidaeDessous</v>
      </c>
      <c r="B1438" s="1">
        <v>37500</v>
      </c>
      <c r="C1438" t="s">
        <v>23</v>
      </c>
      <c r="D1438" s="19">
        <v>6</v>
      </c>
      <c r="E1438">
        <v>19</v>
      </c>
      <c r="F1438" t="s">
        <v>10</v>
      </c>
      <c r="G1438" t="s">
        <v>8</v>
      </c>
      <c r="H1438">
        <v>1</v>
      </c>
      <c r="I1438" t="s">
        <v>27</v>
      </c>
    </row>
    <row r="1439" spans="1:9" x14ac:dyDescent="0.2">
      <c r="A1439" t="str">
        <f t="shared" si="269"/>
        <v>37500Vaipahu620AutresBords</v>
      </c>
      <c r="B1439" s="1">
        <v>37500</v>
      </c>
      <c r="C1439" t="s">
        <v>23</v>
      </c>
      <c r="D1439" s="19">
        <v>6</v>
      </c>
      <c r="E1439">
        <v>20</v>
      </c>
      <c r="F1439" t="s">
        <v>14</v>
      </c>
      <c r="G1439" t="s">
        <v>13</v>
      </c>
      <c r="H1439">
        <v>1</v>
      </c>
      <c r="I1439" t="s">
        <v>27</v>
      </c>
    </row>
    <row r="1440" spans="1:9" x14ac:dyDescent="0.2">
      <c r="A1440" t="str">
        <f t="shared" si="269"/>
        <v>37500Vaipahu1221Autres</v>
      </c>
      <c r="B1440" s="1">
        <v>37500</v>
      </c>
      <c r="C1440" t="s">
        <v>23</v>
      </c>
      <c r="D1440" s="19">
        <v>12</v>
      </c>
      <c r="E1440">
        <v>21</v>
      </c>
      <c r="F1440" t="s">
        <v>14</v>
      </c>
      <c r="H1440">
        <v>0</v>
      </c>
    </row>
    <row r="1441" spans="1:9" x14ac:dyDescent="0.2">
      <c r="A1441" t="str">
        <f t="shared" si="269"/>
        <v>37500Vaipahu1222Autres</v>
      </c>
      <c r="B1441" s="1">
        <v>37500</v>
      </c>
      <c r="C1441" t="s">
        <v>23</v>
      </c>
      <c r="D1441" s="19">
        <v>12</v>
      </c>
      <c r="E1441">
        <v>22</v>
      </c>
      <c r="F1441" t="s">
        <v>14</v>
      </c>
      <c r="H1441">
        <v>0</v>
      </c>
    </row>
    <row r="1442" spans="1:9" x14ac:dyDescent="0.2">
      <c r="A1442" t="str">
        <f t="shared" si="269"/>
        <v>37500Vaipahu1223PoritidaeDessous</v>
      </c>
      <c r="B1442" s="1">
        <v>37500</v>
      </c>
      <c r="C1442" t="s">
        <v>23</v>
      </c>
      <c r="D1442" s="19">
        <v>12</v>
      </c>
      <c r="E1442">
        <v>23</v>
      </c>
      <c r="F1442" t="s">
        <v>7</v>
      </c>
      <c r="G1442" t="s">
        <v>8</v>
      </c>
      <c r="H1442">
        <v>1</v>
      </c>
      <c r="I1442" t="s">
        <v>27</v>
      </c>
    </row>
    <row r="1443" spans="1:9" x14ac:dyDescent="0.2">
      <c r="A1443" t="str">
        <f t="shared" si="269"/>
        <v>37500Vaipahu1223PoritidaeDessus</v>
      </c>
      <c r="B1443" s="1">
        <v>37500</v>
      </c>
      <c r="C1443" t="s">
        <v>23</v>
      </c>
      <c r="D1443" s="19">
        <v>12</v>
      </c>
      <c r="E1443">
        <v>23</v>
      </c>
      <c r="F1443" t="s">
        <v>7</v>
      </c>
      <c r="G1443" t="s">
        <v>11</v>
      </c>
      <c r="H1443">
        <v>1</v>
      </c>
      <c r="I1443" t="s">
        <v>27</v>
      </c>
    </row>
    <row r="1444" spans="1:9" x14ac:dyDescent="0.2">
      <c r="A1444" t="str">
        <f t="shared" si="269"/>
        <v>37500Vaipahu1224</v>
      </c>
      <c r="B1444" s="1">
        <v>37500</v>
      </c>
      <c r="C1444" t="s">
        <v>23</v>
      </c>
      <c r="D1444" s="19">
        <v>12</v>
      </c>
      <c r="E1444">
        <v>24</v>
      </c>
      <c r="F1444" t="s">
        <v>27</v>
      </c>
      <c r="G1444" t="s">
        <v>27</v>
      </c>
      <c r="H1444" t="s">
        <v>27</v>
      </c>
      <c r="I1444" t="s">
        <v>31</v>
      </c>
    </row>
    <row r="1445" spans="1:9" x14ac:dyDescent="0.2">
      <c r="A1445" t="str">
        <f t="shared" si="269"/>
        <v>37500Vaipahu1225Autres</v>
      </c>
      <c r="B1445" s="1">
        <v>37500</v>
      </c>
      <c r="C1445" t="s">
        <v>23</v>
      </c>
      <c r="D1445" s="19">
        <v>12</v>
      </c>
      <c r="E1445">
        <v>25</v>
      </c>
      <c r="F1445" t="s">
        <v>14</v>
      </c>
      <c r="H1445">
        <v>0</v>
      </c>
    </row>
    <row r="1446" spans="1:9" x14ac:dyDescent="0.2">
      <c r="A1446" t="str">
        <f t="shared" si="269"/>
        <v>37500Vaipahu1226CassésDessus</v>
      </c>
      <c r="B1446" s="1">
        <v>37500</v>
      </c>
      <c r="C1446" t="s">
        <v>23</v>
      </c>
      <c r="D1446" s="19">
        <v>12</v>
      </c>
      <c r="E1446">
        <v>26</v>
      </c>
      <c r="F1446" t="s">
        <v>12</v>
      </c>
      <c r="G1446" t="s">
        <v>11</v>
      </c>
      <c r="H1446">
        <v>1</v>
      </c>
      <c r="I1446" t="s">
        <v>27</v>
      </c>
    </row>
    <row r="1447" spans="1:9" x14ac:dyDescent="0.2">
      <c r="A1447" t="str">
        <f t="shared" si="269"/>
        <v>37500Vaipahu1226PocilloporidaeDessous</v>
      </c>
      <c r="B1447" s="1">
        <v>37500</v>
      </c>
      <c r="C1447" t="s">
        <v>23</v>
      </c>
      <c r="D1447" s="19">
        <v>12</v>
      </c>
      <c r="E1447">
        <v>26</v>
      </c>
      <c r="F1447" t="s">
        <v>10</v>
      </c>
      <c r="G1447" t="s">
        <v>8</v>
      </c>
      <c r="H1447">
        <v>1</v>
      </c>
      <c r="I1447" t="s">
        <v>27</v>
      </c>
    </row>
    <row r="1448" spans="1:9" x14ac:dyDescent="0.2">
      <c r="A1448" t="str">
        <f t="shared" si="269"/>
        <v>37500Vaipahu1227Autres</v>
      </c>
      <c r="B1448" s="1">
        <v>37500</v>
      </c>
      <c r="C1448" t="s">
        <v>23</v>
      </c>
      <c r="D1448" s="19">
        <v>12</v>
      </c>
      <c r="E1448">
        <v>27</v>
      </c>
      <c r="F1448" t="s">
        <v>14</v>
      </c>
      <c r="H1448">
        <v>0</v>
      </c>
    </row>
    <row r="1449" spans="1:9" x14ac:dyDescent="0.2">
      <c r="A1449" t="str">
        <f t="shared" si="269"/>
        <v>37500Vaipahu1228PoritidaeDessous</v>
      </c>
      <c r="B1449" s="1">
        <v>37500</v>
      </c>
      <c r="C1449" t="s">
        <v>23</v>
      </c>
      <c r="D1449" s="19">
        <v>12</v>
      </c>
      <c r="E1449">
        <v>28</v>
      </c>
      <c r="F1449" t="s">
        <v>7</v>
      </c>
      <c r="G1449" t="s">
        <v>8</v>
      </c>
      <c r="H1449">
        <v>1</v>
      </c>
      <c r="I1449" t="s">
        <v>27</v>
      </c>
    </row>
    <row r="1450" spans="1:9" x14ac:dyDescent="0.2">
      <c r="A1450" t="str">
        <f t="shared" si="269"/>
        <v>37500Vaipahu1229Autres</v>
      </c>
      <c r="B1450" s="1">
        <v>37500</v>
      </c>
      <c r="C1450" t="s">
        <v>23</v>
      </c>
      <c r="D1450" s="19">
        <v>12</v>
      </c>
      <c r="E1450">
        <v>29</v>
      </c>
      <c r="F1450" t="s">
        <v>14</v>
      </c>
      <c r="H1450">
        <v>0</v>
      </c>
    </row>
    <row r="1451" spans="1:9" x14ac:dyDescent="0.2">
      <c r="A1451" t="str">
        <f t="shared" si="269"/>
        <v>37500Vaipahu1230CassésDessous</v>
      </c>
      <c r="B1451" s="1">
        <v>37500</v>
      </c>
      <c r="C1451" t="s">
        <v>23</v>
      </c>
      <c r="D1451" s="19">
        <v>12</v>
      </c>
      <c r="E1451">
        <v>30</v>
      </c>
      <c r="F1451" t="s">
        <v>12</v>
      </c>
      <c r="G1451" t="s">
        <v>8</v>
      </c>
      <c r="H1451">
        <v>1</v>
      </c>
      <c r="I1451" t="s">
        <v>27</v>
      </c>
    </row>
    <row r="1452" spans="1:9" x14ac:dyDescent="0.2">
      <c r="A1452" t="str">
        <f t="shared" si="269"/>
        <v>37500Vaipahu1231Autres</v>
      </c>
      <c r="B1452" s="1">
        <v>37500</v>
      </c>
      <c r="C1452" t="s">
        <v>23</v>
      </c>
      <c r="D1452" s="19">
        <v>12</v>
      </c>
      <c r="E1452">
        <v>31</v>
      </c>
      <c r="F1452" t="s">
        <v>14</v>
      </c>
      <c r="H1452">
        <v>0</v>
      </c>
    </row>
    <row r="1453" spans="1:9" x14ac:dyDescent="0.2">
      <c r="A1453" t="str">
        <f t="shared" si="269"/>
        <v>37500Vaipahu1232Autres</v>
      </c>
      <c r="B1453" s="1">
        <v>37500</v>
      </c>
      <c r="C1453" t="s">
        <v>23</v>
      </c>
      <c r="D1453" s="19">
        <v>12</v>
      </c>
      <c r="E1453">
        <v>32</v>
      </c>
      <c r="F1453" t="s">
        <v>14</v>
      </c>
      <c r="H1453">
        <v>0</v>
      </c>
    </row>
    <row r="1454" spans="1:9" x14ac:dyDescent="0.2">
      <c r="A1454" t="str">
        <f t="shared" si="269"/>
        <v>37500Vaipahu1233Autres</v>
      </c>
      <c r="B1454" s="1">
        <v>37500</v>
      </c>
      <c r="C1454" t="s">
        <v>23</v>
      </c>
      <c r="D1454" s="19">
        <v>12</v>
      </c>
      <c r="E1454">
        <v>33</v>
      </c>
      <c r="F1454" t="s">
        <v>14</v>
      </c>
      <c r="H1454">
        <v>0</v>
      </c>
    </row>
    <row r="1455" spans="1:9" x14ac:dyDescent="0.2">
      <c r="A1455" t="str">
        <f t="shared" si="269"/>
        <v>37500Vaipahu1234Autres</v>
      </c>
      <c r="B1455" s="1">
        <v>37500</v>
      </c>
      <c r="C1455" t="s">
        <v>23</v>
      </c>
      <c r="D1455" s="19">
        <v>12</v>
      </c>
      <c r="E1455">
        <v>34</v>
      </c>
      <c r="F1455" t="s">
        <v>14</v>
      </c>
      <c r="H1455">
        <v>0</v>
      </c>
    </row>
    <row r="1456" spans="1:9" x14ac:dyDescent="0.2">
      <c r="A1456" t="str">
        <f t="shared" si="269"/>
        <v>37500Vaipahu1235Autres</v>
      </c>
      <c r="B1456" s="1">
        <v>37500</v>
      </c>
      <c r="C1456" t="s">
        <v>23</v>
      </c>
      <c r="D1456" s="19">
        <v>12</v>
      </c>
      <c r="E1456">
        <v>35</v>
      </c>
      <c r="F1456" t="s">
        <v>14</v>
      </c>
      <c r="H1456">
        <v>0</v>
      </c>
    </row>
    <row r="1457" spans="1:9" x14ac:dyDescent="0.2">
      <c r="A1457" t="str">
        <f t="shared" si="269"/>
        <v>37500Vaipahu1236PoritidaeBords</v>
      </c>
      <c r="B1457" s="1">
        <v>37500</v>
      </c>
      <c r="C1457" t="s">
        <v>23</v>
      </c>
      <c r="D1457" s="19">
        <v>12</v>
      </c>
      <c r="E1457">
        <v>36</v>
      </c>
      <c r="F1457" t="s">
        <v>7</v>
      </c>
      <c r="G1457" t="s">
        <v>13</v>
      </c>
      <c r="H1457">
        <v>1</v>
      </c>
      <c r="I1457" t="s">
        <v>27</v>
      </c>
    </row>
    <row r="1458" spans="1:9" x14ac:dyDescent="0.2">
      <c r="A1458" t="str">
        <f t="shared" si="269"/>
        <v>37500Vaipahu1237Autres</v>
      </c>
      <c r="B1458" s="1">
        <v>37500</v>
      </c>
      <c r="C1458" t="s">
        <v>23</v>
      </c>
      <c r="D1458" s="19">
        <v>12</v>
      </c>
      <c r="E1458">
        <v>37</v>
      </c>
      <c r="F1458" t="s">
        <v>14</v>
      </c>
      <c r="H1458">
        <v>0</v>
      </c>
    </row>
    <row r="1459" spans="1:9" x14ac:dyDescent="0.2">
      <c r="A1459" t="str">
        <f t="shared" si="269"/>
        <v>37500Vaipahu1238Autres</v>
      </c>
      <c r="B1459" s="1">
        <v>37500</v>
      </c>
      <c r="C1459" t="s">
        <v>23</v>
      </c>
      <c r="D1459" s="19">
        <v>12</v>
      </c>
      <c r="E1459">
        <v>38</v>
      </c>
      <c r="F1459" t="s">
        <v>14</v>
      </c>
      <c r="H1459">
        <v>0</v>
      </c>
    </row>
    <row r="1460" spans="1:9" x14ac:dyDescent="0.2">
      <c r="A1460" t="str">
        <f t="shared" si="269"/>
        <v>37500Vaipahu1239Autres</v>
      </c>
      <c r="B1460" s="1">
        <v>37500</v>
      </c>
      <c r="C1460" t="s">
        <v>23</v>
      </c>
      <c r="D1460" s="19">
        <v>12</v>
      </c>
      <c r="E1460">
        <v>39</v>
      </c>
      <c r="F1460" t="s">
        <v>14</v>
      </c>
      <c r="H1460">
        <v>0</v>
      </c>
    </row>
    <row r="1461" spans="1:9" x14ac:dyDescent="0.2">
      <c r="A1461" t="str">
        <f t="shared" si="269"/>
        <v>37500Vaipahu1240Autres</v>
      </c>
      <c r="B1461" s="1">
        <v>37500</v>
      </c>
      <c r="C1461" t="s">
        <v>23</v>
      </c>
      <c r="D1461" s="19">
        <v>12</v>
      </c>
      <c r="E1461">
        <v>40</v>
      </c>
      <c r="F1461" t="s">
        <v>14</v>
      </c>
      <c r="H1461">
        <v>0</v>
      </c>
    </row>
    <row r="1462" spans="1:9" x14ac:dyDescent="0.2">
      <c r="A1462" t="str">
        <f t="shared" si="269"/>
        <v>37500Vaipahu1841Autres</v>
      </c>
      <c r="B1462" s="1">
        <v>37500</v>
      </c>
      <c r="C1462" t="s">
        <v>23</v>
      </c>
      <c r="D1462" s="19">
        <v>18</v>
      </c>
      <c r="E1462">
        <v>41</v>
      </c>
      <c r="F1462" t="s">
        <v>14</v>
      </c>
      <c r="H1462">
        <v>0</v>
      </c>
    </row>
    <row r="1463" spans="1:9" x14ac:dyDescent="0.2">
      <c r="A1463" t="str">
        <f t="shared" si="269"/>
        <v>37500Vaipahu1842Autres</v>
      </c>
      <c r="B1463" s="1">
        <v>37500</v>
      </c>
      <c r="C1463" t="s">
        <v>23</v>
      </c>
      <c r="D1463" s="19">
        <v>18</v>
      </c>
      <c r="E1463">
        <v>42</v>
      </c>
      <c r="F1463" t="s">
        <v>14</v>
      </c>
      <c r="H1463">
        <v>0</v>
      </c>
    </row>
    <row r="1464" spans="1:9" x14ac:dyDescent="0.2">
      <c r="A1464" t="str">
        <f t="shared" si="269"/>
        <v>37500Vaipahu1843Autres</v>
      </c>
      <c r="B1464" s="1">
        <v>37500</v>
      </c>
      <c r="C1464" t="s">
        <v>23</v>
      </c>
      <c r="D1464" s="19">
        <v>18</v>
      </c>
      <c r="E1464">
        <v>43</v>
      </c>
      <c r="F1464" t="s">
        <v>14</v>
      </c>
      <c r="H1464">
        <v>0</v>
      </c>
    </row>
    <row r="1465" spans="1:9" x14ac:dyDescent="0.2">
      <c r="A1465" t="str">
        <f t="shared" si="269"/>
        <v>37500Vaipahu1844Autres</v>
      </c>
      <c r="B1465" s="1">
        <v>37500</v>
      </c>
      <c r="C1465" t="s">
        <v>23</v>
      </c>
      <c r="D1465" s="19">
        <v>18</v>
      </c>
      <c r="E1465">
        <v>44</v>
      </c>
      <c r="F1465" t="s">
        <v>14</v>
      </c>
      <c r="H1465">
        <v>0</v>
      </c>
    </row>
    <row r="1466" spans="1:9" x14ac:dyDescent="0.2">
      <c r="A1466" t="str">
        <f t="shared" si="269"/>
        <v>37500Vaipahu1845Autres</v>
      </c>
      <c r="B1466" s="1">
        <v>37500</v>
      </c>
      <c r="C1466" t="s">
        <v>23</v>
      </c>
      <c r="D1466" s="19">
        <v>18</v>
      </c>
      <c r="E1466">
        <v>45</v>
      </c>
      <c r="F1466" t="s">
        <v>14</v>
      </c>
      <c r="H1466">
        <v>0</v>
      </c>
    </row>
    <row r="1467" spans="1:9" x14ac:dyDescent="0.2">
      <c r="A1467" t="str">
        <f t="shared" si="269"/>
        <v>37500Vaipahu1846Autres</v>
      </c>
      <c r="B1467" s="1">
        <v>37500</v>
      </c>
      <c r="C1467" t="s">
        <v>23</v>
      </c>
      <c r="D1467" s="19">
        <v>18</v>
      </c>
      <c r="E1467">
        <v>46</v>
      </c>
      <c r="F1467" t="s">
        <v>14</v>
      </c>
      <c r="H1467">
        <v>0</v>
      </c>
    </row>
    <row r="1468" spans="1:9" x14ac:dyDescent="0.2">
      <c r="A1468" t="str">
        <f t="shared" si="269"/>
        <v>37500Vaipahu1847Autres</v>
      </c>
      <c r="B1468" s="1">
        <v>37500</v>
      </c>
      <c r="C1468" t="s">
        <v>23</v>
      </c>
      <c r="D1468" s="19">
        <v>18</v>
      </c>
      <c r="E1468">
        <v>47</v>
      </c>
      <c r="F1468" t="s">
        <v>14</v>
      </c>
      <c r="H1468">
        <v>0</v>
      </c>
    </row>
    <row r="1469" spans="1:9" x14ac:dyDescent="0.2">
      <c r="A1469" t="str">
        <f t="shared" si="269"/>
        <v>37500Vaipahu1848AcroporidaeDessous</v>
      </c>
      <c r="B1469" s="1">
        <v>37500</v>
      </c>
      <c r="C1469" t="s">
        <v>23</v>
      </c>
      <c r="D1469" s="19">
        <v>18</v>
      </c>
      <c r="E1469">
        <v>48</v>
      </c>
      <c r="F1469" t="s">
        <v>17</v>
      </c>
      <c r="G1469" t="s">
        <v>8</v>
      </c>
      <c r="H1469">
        <v>1</v>
      </c>
      <c r="I1469" t="s">
        <v>27</v>
      </c>
    </row>
    <row r="1470" spans="1:9" x14ac:dyDescent="0.2">
      <c r="A1470" t="str">
        <f t="shared" si="269"/>
        <v>37500Vaipahu1849Autres</v>
      </c>
      <c r="B1470" s="1">
        <v>37500</v>
      </c>
      <c r="C1470" t="s">
        <v>23</v>
      </c>
      <c r="D1470" s="19">
        <v>18</v>
      </c>
      <c r="E1470">
        <v>49</v>
      </c>
      <c r="F1470" t="s">
        <v>14</v>
      </c>
      <c r="H1470">
        <v>0</v>
      </c>
    </row>
    <row r="1471" spans="1:9" x14ac:dyDescent="0.2">
      <c r="A1471" t="str">
        <f t="shared" ref="A1471:A1534" si="270">B1471 &amp; C1471&amp; D1471&amp; E1471 &amp; F1471 &amp;G1471</f>
        <v>37500Vaipahu1850Autres</v>
      </c>
      <c r="B1471" s="1">
        <v>37500</v>
      </c>
      <c r="C1471" t="s">
        <v>23</v>
      </c>
      <c r="D1471" s="19">
        <v>18</v>
      </c>
      <c r="E1471">
        <v>50</v>
      </c>
      <c r="F1471" t="s">
        <v>14</v>
      </c>
      <c r="H1471">
        <v>0</v>
      </c>
    </row>
    <row r="1472" spans="1:9" x14ac:dyDescent="0.2">
      <c r="A1472" t="str">
        <f t="shared" si="270"/>
        <v>37500Vaipahu1851Autres</v>
      </c>
      <c r="B1472" s="1">
        <v>37500</v>
      </c>
      <c r="C1472" t="s">
        <v>23</v>
      </c>
      <c r="D1472" s="19">
        <v>18</v>
      </c>
      <c r="E1472">
        <v>51</v>
      </c>
      <c r="F1472" t="s">
        <v>14</v>
      </c>
      <c r="H1472">
        <v>0</v>
      </c>
    </row>
    <row r="1473" spans="1:9" x14ac:dyDescent="0.2">
      <c r="A1473" t="str">
        <f t="shared" si="270"/>
        <v>37500Vaipahu1852Autres</v>
      </c>
      <c r="B1473" s="1">
        <v>37500</v>
      </c>
      <c r="C1473" t="s">
        <v>23</v>
      </c>
      <c r="D1473" s="19">
        <v>18</v>
      </c>
      <c r="E1473">
        <v>52</v>
      </c>
      <c r="F1473" t="s">
        <v>14</v>
      </c>
      <c r="H1473">
        <v>0</v>
      </c>
    </row>
    <row r="1474" spans="1:9" x14ac:dyDescent="0.2">
      <c r="A1474" t="str">
        <f t="shared" si="270"/>
        <v>37500Vaipahu1853Autres</v>
      </c>
      <c r="B1474" s="1">
        <v>37500</v>
      </c>
      <c r="C1474" t="s">
        <v>23</v>
      </c>
      <c r="D1474" s="19">
        <v>18</v>
      </c>
      <c r="E1474">
        <v>53</v>
      </c>
      <c r="F1474" t="s">
        <v>14</v>
      </c>
      <c r="H1474">
        <v>0</v>
      </c>
    </row>
    <row r="1475" spans="1:9" x14ac:dyDescent="0.2">
      <c r="A1475" t="str">
        <f t="shared" si="270"/>
        <v>37500Vaipahu1854Autres</v>
      </c>
      <c r="B1475" s="1">
        <v>37500</v>
      </c>
      <c r="C1475" t="s">
        <v>23</v>
      </c>
      <c r="D1475" s="19">
        <v>18</v>
      </c>
      <c r="E1475">
        <v>54</v>
      </c>
      <c r="F1475" t="s">
        <v>14</v>
      </c>
      <c r="H1475">
        <v>0</v>
      </c>
    </row>
    <row r="1476" spans="1:9" x14ac:dyDescent="0.2">
      <c r="A1476" t="str">
        <f t="shared" si="270"/>
        <v>37500Vaipahu1855Autres</v>
      </c>
      <c r="B1476" s="1">
        <v>37500</v>
      </c>
      <c r="C1476" t="s">
        <v>23</v>
      </c>
      <c r="D1476" s="19">
        <v>18</v>
      </c>
      <c r="E1476">
        <v>55</v>
      </c>
      <c r="F1476" t="s">
        <v>14</v>
      </c>
      <c r="H1476">
        <v>0</v>
      </c>
    </row>
    <row r="1477" spans="1:9" x14ac:dyDescent="0.2">
      <c r="A1477" t="str">
        <f t="shared" si="270"/>
        <v>37500Vaipahu1856Autres</v>
      </c>
      <c r="B1477" s="1">
        <v>37500</v>
      </c>
      <c r="C1477" t="s">
        <v>23</v>
      </c>
      <c r="D1477" s="19">
        <v>18</v>
      </c>
      <c r="E1477">
        <v>56</v>
      </c>
      <c r="F1477" t="s">
        <v>14</v>
      </c>
      <c r="H1477">
        <v>0</v>
      </c>
    </row>
    <row r="1478" spans="1:9" x14ac:dyDescent="0.2">
      <c r="A1478" t="str">
        <f t="shared" si="270"/>
        <v>37500Vaipahu1857Autres</v>
      </c>
      <c r="B1478" s="1">
        <v>37500</v>
      </c>
      <c r="C1478" t="s">
        <v>23</v>
      </c>
      <c r="D1478" s="19">
        <v>18</v>
      </c>
      <c r="E1478">
        <v>57</v>
      </c>
      <c r="F1478" t="s">
        <v>14</v>
      </c>
      <c r="H1478">
        <v>0</v>
      </c>
    </row>
    <row r="1479" spans="1:9" x14ac:dyDescent="0.2">
      <c r="A1479" t="str">
        <f t="shared" si="270"/>
        <v>37500Vaipahu1858Autres</v>
      </c>
      <c r="B1479" s="1">
        <v>37500</v>
      </c>
      <c r="C1479" t="s">
        <v>23</v>
      </c>
      <c r="D1479" s="19">
        <v>18</v>
      </c>
      <c r="E1479">
        <v>58</v>
      </c>
      <c r="F1479" t="s">
        <v>14</v>
      </c>
      <c r="H1479">
        <v>0</v>
      </c>
    </row>
    <row r="1480" spans="1:9" x14ac:dyDescent="0.2">
      <c r="A1480" t="str">
        <f t="shared" si="270"/>
        <v>37500Vaipahu1859Autres</v>
      </c>
      <c r="B1480" s="1">
        <v>37500</v>
      </c>
      <c r="C1480" t="s">
        <v>23</v>
      </c>
      <c r="D1480" s="19">
        <v>18</v>
      </c>
      <c r="E1480">
        <v>59</v>
      </c>
      <c r="F1480" t="s">
        <v>14</v>
      </c>
      <c r="H1480">
        <v>0</v>
      </c>
    </row>
    <row r="1481" spans="1:9" x14ac:dyDescent="0.2">
      <c r="A1481" t="str">
        <f t="shared" si="270"/>
        <v>37500Vaipahu1860Autres</v>
      </c>
      <c r="B1481" s="1">
        <v>37500</v>
      </c>
      <c r="C1481" t="s">
        <v>23</v>
      </c>
      <c r="D1481" s="19">
        <v>18</v>
      </c>
      <c r="E1481">
        <v>60</v>
      </c>
      <c r="F1481" t="s">
        <v>14</v>
      </c>
      <c r="H1481">
        <v>0</v>
      </c>
    </row>
    <row r="1482" spans="1:9" x14ac:dyDescent="0.2">
      <c r="A1482" t="str">
        <f t="shared" si="270"/>
        <v>37500Tiahura661Autres</v>
      </c>
      <c r="B1482" s="1">
        <v>37500</v>
      </c>
      <c r="C1482" t="s">
        <v>24</v>
      </c>
      <c r="D1482" s="19">
        <v>6</v>
      </c>
      <c r="E1482">
        <v>61</v>
      </c>
      <c r="F1482" t="s">
        <v>14</v>
      </c>
      <c r="H1482">
        <v>0</v>
      </c>
    </row>
    <row r="1483" spans="1:9" x14ac:dyDescent="0.2">
      <c r="A1483" t="str">
        <f t="shared" si="270"/>
        <v>37500Tiahura662PocilloporidaeBords</v>
      </c>
      <c r="B1483" s="1">
        <v>37500</v>
      </c>
      <c r="C1483" t="s">
        <v>24</v>
      </c>
      <c r="D1483" s="19">
        <v>6</v>
      </c>
      <c r="E1483">
        <v>62</v>
      </c>
      <c r="F1483" t="s">
        <v>10</v>
      </c>
      <c r="G1483" t="s">
        <v>13</v>
      </c>
      <c r="H1483">
        <v>1</v>
      </c>
      <c r="I1483" t="s">
        <v>27</v>
      </c>
    </row>
    <row r="1484" spans="1:9" x14ac:dyDescent="0.2">
      <c r="A1484" t="str">
        <f t="shared" si="270"/>
        <v>37500Tiahura663Autres</v>
      </c>
      <c r="B1484" s="1">
        <v>37500</v>
      </c>
      <c r="C1484" t="s">
        <v>24</v>
      </c>
      <c r="D1484" s="19">
        <v>6</v>
      </c>
      <c r="E1484">
        <v>63</v>
      </c>
      <c r="F1484" t="s">
        <v>14</v>
      </c>
      <c r="H1484">
        <v>0</v>
      </c>
    </row>
    <row r="1485" spans="1:9" x14ac:dyDescent="0.2">
      <c r="A1485" t="str">
        <f t="shared" si="270"/>
        <v>37500Tiahura664Autres</v>
      </c>
      <c r="B1485" s="1">
        <v>37500</v>
      </c>
      <c r="C1485" t="s">
        <v>24</v>
      </c>
      <c r="D1485" s="19">
        <v>6</v>
      </c>
      <c r="E1485">
        <v>64</v>
      </c>
      <c r="F1485" t="s">
        <v>14</v>
      </c>
      <c r="H1485">
        <v>0</v>
      </c>
    </row>
    <row r="1486" spans="1:9" x14ac:dyDescent="0.2">
      <c r="A1486" t="str">
        <f t="shared" si="270"/>
        <v>37500Tiahura665Autres</v>
      </c>
      <c r="B1486" s="1">
        <v>37500</v>
      </c>
      <c r="C1486" t="s">
        <v>24</v>
      </c>
      <c r="D1486" s="19">
        <v>6</v>
      </c>
      <c r="E1486">
        <v>65</v>
      </c>
      <c r="F1486" t="s">
        <v>14</v>
      </c>
      <c r="H1486">
        <v>0</v>
      </c>
    </row>
    <row r="1487" spans="1:9" x14ac:dyDescent="0.2">
      <c r="A1487" t="str">
        <f t="shared" si="270"/>
        <v>37500Tiahura666PocilloporidaeDessous</v>
      </c>
      <c r="B1487" s="1">
        <v>37500</v>
      </c>
      <c r="C1487" t="s">
        <v>24</v>
      </c>
      <c r="D1487" s="19">
        <v>6</v>
      </c>
      <c r="E1487">
        <v>66</v>
      </c>
      <c r="F1487" t="s">
        <v>10</v>
      </c>
      <c r="G1487" t="s">
        <v>8</v>
      </c>
      <c r="H1487">
        <v>1</v>
      </c>
      <c r="I1487" t="s">
        <v>27</v>
      </c>
    </row>
    <row r="1488" spans="1:9" x14ac:dyDescent="0.2">
      <c r="A1488" t="str">
        <f t="shared" si="270"/>
        <v>37500Tiahura667Autres</v>
      </c>
      <c r="B1488" s="1">
        <v>37500</v>
      </c>
      <c r="C1488" t="s">
        <v>24</v>
      </c>
      <c r="D1488" s="19">
        <v>6</v>
      </c>
      <c r="E1488">
        <v>67</v>
      </c>
      <c r="F1488" t="s">
        <v>14</v>
      </c>
      <c r="H1488">
        <v>0</v>
      </c>
    </row>
    <row r="1489" spans="1:9" x14ac:dyDescent="0.2">
      <c r="A1489" t="str">
        <f t="shared" si="270"/>
        <v>37500Tiahura668PocilloporidaeDessous</v>
      </c>
      <c r="B1489" s="1">
        <v>37500</v>
      </c>
      <c r="C1489" t="s">
        <v>24</v>
      </c>
      <c r="D1489" s="19">
        <v>6</v>
      </c>
      <c r="E1489">
        <v>68</v>
      </c>
      <c r="F1489" t="s">
        <v>10</v>
      </c>
      <c r="G1489" t="s">
        <v>8</v>
      </c>
      <c r="H1489">
        <v>1</v>
      </c>
      <c r="I1489" t="s">
        <v>27</v>
      </c>
    </row>
    <row r="1490" spans="1:9" x14ac:dyDescent="0.2">
      <c r="A1490" t="str">
        <f t="shared" si="270"/>
        <v>37500Tiahura669Autres</v>
      </c>
      <c r="B1490" s="1">
        <v>37500</v>
      </c>
      <c r="C1490" t="s">
        <v>24</v>
      </c>
      <c r="D1490" s="19">
        <v>6</v>
      </c>
      <c r="E1490">
        <v>69</v>
      </c>
      <c r="F1490" t="s">
        <v>14</v>
      </c>
      <c r="H1490">
        <v>0</v>
      </c>
    </row>
    <row r="1491" spans="1:9" x14ac:dyDescent="0.2">
      <c r="A1491" t="str">
        <f t="shared" si="270"/>
        <v>37500Tiahura670PocilloporidaeDessous</v>
      </c>
      <c r="B1491" s="1">
        <v>37500</v>
      </c>
      <c r="C1491" t="s">
        <v>24</v>
      </c>
      <c r="D1491" s="19">
        <v>6</v>
      </c>
      <c r="E1491">
        <v>70</v>
      </c>
      <c r="F1491" t="s">
        <v>10</v>
      </c>
      <c r="G1491" t="s">
        <v>8</v>
      </c>
      <c r="H1491">
        <v>1</v>
      </c>
      <c r="I1491" t="s">
        <v>27</v>
      </c>
    </row>
    <row r="1492" spans="1:9" x14ac:dyDescent="0.2">
      <c r="A1492" t="str">
        <f t="shared" si="270"/>
        <v>37500Tiahura671Autres</v>
      </c>
      <c r="B1492" s="1">
        <v>37500</v>
      </c>
      <c r="C1492" t="s">
        <v>24</v>
      </c>
      <c r="D1492" s="19">
        <v>6</v>
      </c>
      <c r="E1492">
        <v>71</v>
      </c>
      <c r="F1492" t="s">
        <v>14</v>
      </c>
      <c r="H1492">
        <v>0</v>
      </c>
    </row>
    <row r="1493" spans="1:9" x14ac:dyDescent="0.2">
      <c r="A1493" t="str">
        <f t="shared" si="270"/>
        <v>37500Tiahura672Autres</v>
      </c>
      <c r="B1493" s="1">
        <v>37500</v>
      </c>
      <c r="C1493" t="s">
        <v>24</v>
      </c>
      <c r="D1493" s="19">
        <v>6</v>
      </c>
      <c r="E1493">
        <v>72</v>
      </c>
      <c r="F1493" t="s">
        <v>14</v>
      </c>
      <c r="H1493">
        <v>0</v>
      </c>
    </row>
    <row r="1494" spans="1:9" x14ac:dyDescent="0.2">
      <c r="A1494" t="str">
        <f t="shared" si="270"/>
        <v>37500Tiahura673Autres</v>
      </c>
      <c r="B1494" s="1">
        <v>37500</v>
      </c>
      <c r="C1494" t="s">
        <v>24</v>
      </c>
      <c r="D1494" s="19">
        <v>6</v>
      </c>
      <c r="E1494">
        <v>73</v>
      </c>
      <c r="F1494" t="s">
        <v>14</v>
      </c>
      <c r="H1494">
        <v>0</v>
      </c>
    </row>
    <row r="1495" spans="1:9" x14ac:dyDescent="0.2">
      <c r="A1495" t="str">
        <f t="shared" si="270"/>
        <v>37500Tiahura674Autres</v>
      </c>
      <c r="B1495" s="1">
        <v>37500</v>
      </c>
      <c r="C1495" t="s">
        <v>24</v>
      </c>
      <c r="D1495" s="19">
        <v>6</v>
      </c>
      <c r="E1495">
        <v>74</v>
      </c>
      <c r="F1495" t="s">
        <v>14</v>
      </c>
      <c r="H1495">
        <v>0</v>
      </c>
    </row>
    <row r="1496" spans="1:9" x14ac:dyDescent="0.2">
      <c r="A1496" t="str">
        <f t="shared" si="270"/>
        <v>37500Tiahura675Autres</v>
      </c>
      <c r="B1496" s="1">
        <v>37500</v>
      </c>
      <c r="C1496" t="s">
        <v>24</v>
      </c>
      <c r="D1496" s="19">
        <v>6</v>
      </c>
      <c r="E1496">
        <v>75</v>
      </c>
      <c r="F1496" t="s">
        <v>14</v>
      </c>
      <c r="H1496">
        <v>0</v>
      </c>
    </row>
    <row r="1497" spans="1:9" x14ac:dyDescent="0.2">
      <c r="A1497" t="str">
        <f t="shared" si="270"/>
        <v>37500Tiahura676Autres</v>
      </c>
      <c r="B1497" s="1">
        <v>37500</v>
      </c>
      <c r="C1497" t="s">
        <v>24</v>
      </c>
      <c r="D1497" s="19">
        <v>6</v>
      </c>
      <c r="E1497">
        <v>76</v>
      </c>
      <c r="F1497" t="s">
        <v>14</v>
      </c>
      <c r="H1497">
        <v>0</v>
      </c>
    </row>
    <row r="1498" spans="1:9" x14ac:dyDescent="0.2">
      <c r="A1498" t="str">
        <f t="shared" si="270"/>
        <v>37500Tiahura677Autres</v>
      </c>
      <c r="B1498" s="1">
        <v>37500</v>
      </c>
      <c r="C1498" t="s">
        <v>24</v>
      </c>
      <c r="D1498" s="19">
        <v>6</v>
      </c>
      <c r="E1498">
        <v>77</v>
      </c>
      <c r="F1498" t="s">
        <v>14</v>
      </c>
      <c r="H1498">
        <v>0</v>
      </c>
    </row>
    <row r="1499" spans="1:9" x14ac:dyDescent="0.2">
      <c r="A1499" t="str">
        <f t="shared" si="270"/>
        <v>37500Tiahura678Autres</v>
      </c>
      <c r="B1499" s="1">
        <v>37500</v>
      </c>
      <c r="C1499" t="s">
        <v>24</v>
      </c>
      <c r="D1499" s="19">
        <v>6</v>
      </c>
      <c r="E1499">
        <v>78</v>
      </c>
      <c r="F1499" t="s">
        <v>14</v>
      </c>
      <c r="H1499">
        <v>0</v>
      </c>
    </row>
    <row r="1500" spans="1:9" x14ac:dyDescent="0.2">
      <c r="A1500" t="str">
        <f t="shared" si="270"/>
        <v>37500Tiahura679PocilloporidaeBords</v>
      </c>
      <c r="B1500" s="1">
        <v>37500</v>
      </c>
      <c r="C1500" t="s">
        <v>24</v>
      </c>
      <c r="D1500" s="19">
        <v>6</v>
      </c>
      <c r="E1500">
        <v>79</v>
      </c>
      <c r="F1500" t="s">
        <v>10</v>
      </c>
      <c r="G1500" t="s">
        <v>13</v>
      </c>
      <c r="H1500">
        <v>2</v>
      </c>
      <c r="I1500" t="s">
        <v>27</v>
      </c>
    </row>
    <row r="1501" spans="1:9" x14ac:dyDescent="0.2">
      <c r="A1501" t="str">
        <f t="shared" si="270"/>
        <v>37500Tiahura680PocilloporidaeBords</v>
      </c>
      <c r="B1501" s="1">
        <v>37500</v>
      </c>
      <c r="C1501" t="s">
        <v>24</v>
      </c>
      <c r="D1501" s="19">
        <v>6</v>
      </c>
      <c r="E1501">
        <v>80</v>
      </c>
      <c r="F1501" t="s">
        <v>10</v>
      </c>
      <c r="G1501" t="s">
        <v>13</v>
      </c>
      <c r="H1501">
        <v>1</v>
      </c>
      <c r="I1501" t="s">
        <v>27</v>
      </c>
    </row>
    <row r="1502" spans="1:9" x14ac:dyDescent="0.2">
      <c r="A1502" t="str">
        <f t="shared" si="270"/>
        <v>37500Tiahura1281Autres</v>
      </c>
      <c r="B1502" s="1">
        <v>37500</v>
      </c>
      <c r="C1502" t="s">
        <v>24</v>
      </c>
      <c r="D1502" s="19">
        <v>12</v>
      </c>
      <c r="E1502">
        <v>81</v>
      </c>
      <c r="F1502" t="s">
        <v>14</v>
      </c>
      <c r="H1502">
        <v>0</v>
      </c>
    </row>
    <row r="1503" spans="1:9" x14ac:dyDescent="0.2">
      <c r="A1503" t="str">
        <f t="shared" si="270"/>
        <v>37500Tiahura1282Autres</v>
      </c>
      <c r="B1503" s="1">
        <v>37500</v>
      </c>
      <c r="C1503" t="s">
        <v>24</v>
      </c>
      <c r="D1503" s="19">
        <v>12</v>
      </c>
      <c r="E1503">
        <v>82</v>
      </c>
      <c r="F1503" t="s">
        <v>14</v>
      </c>
      <c r="H1503">
        <v>0</v>
      </c>
    </row>
    <row r="1504" spans="1:9" x14ac:dyDescent="0.2">
      <c r="A1504" t="str">
        <f t="shared" si="270"/>
        <v>37500Tiahura1283Autres</v>
      </c>
      <c r="B1504" s="1">
        <v>37500</v>
      </c>
      <c r="C1504" t="s">
        <v>24</v>
      </c>
      <c r="D1504" s="19">
        <v>12</v>
      </c>
      <c r="E1504">
        <v>83</v>
      </c>
      <c r="F1504" t="s">
        <v>14</v>
      </c>
      <c r="H1504">
        <v>0</v>
      </c>
    </row>
    <row r="1505" spans="1:9" x14ac:dyDescent="0.2">
      <c r="A1505" t="str">
        <f t="shared" si="270"/>
        <v>37500Tiahura1284PoritidaeDessous</v>
      </c>
      <c r="B1505" s="1">
        <v>37500</v>
      </c>
      <c r="C1505" t="s">
        <v>24</v>
      </c>
      <c r="D1505" s="19">
        <v>12</v>
      </c>
      <c r="E1505">
        <v>84</v>
      </c>
      <c r="F1505" t="s">
        <v>7</v>
      </c>
      <c r="G1505" t="s">
        <v>8</v>
      </c>
      <c r="H1505">
        <v>1</v>
      </c>
      <c r="I1505" t="s">
        <v>27</v>
      </c>
    </row>
    <row r="1506" spans="1:9" x14ac:dyDescent="0.2">
      <c r="A1506" t="str">
        <f t="shared" si="270"/>
        <v>37500Tiahura1285Autres</v>
      </c>
      <c r="B1506" s="1">
        <v>37500</v>
      </c>
      <c r="C1506" t="s">
        <v>24</v>
      </c>
      <c r="D1506" s="19">
        <v>12</v>
      </c>
      <c r="E1506">
        <v>85</v>
      </c>
      <c r="F1506" t="s">
        <v>14</v>
      </c>
      <c r="H1506">
        <v>0</v>
      </c>
    </row>
    <row r="1507" spans="1:9" x14ac:dyDescent="0.2">
      <c r="A1507" t="str">
        <f t="shared" si="270"/>
        <v>37500Tiahura1286Autres</v>
      </c>
      <c r="B1507" s="1">
        <v>37500</v>
      </c>
      <c r="C1507" t="s">
        <v>24</v>
      </c>
      <c r="D1507" s="19">
        <v>12</v>
      </c>
      <c r="E1507">
        <v>86</v>
      </c>
      <c r="F1507" t="s">
        <v>14</v>
      </c>
      <c r="H1507">
        <v>0</v>
      </c>
    </row>
    <row r="1508" spans="1:9" x14ac:dyDescent="0.2">
      <c r="A1508" t="str">
        <f t="shared" si="270"/>
        <v>37500Tiahura1287PoritidaeDessous</v>
      </c>
      <c r="B1508" s="1">
        <v>37500</v>
      </c>
      <c r="C1508" t="s">
        <v>24</v>
      </c>
      <c r="D1508" s="19">
        <v>12</v>
      </c>
      <c r="E1508">
        <v>87</v>
      </c>
      <c r="F1508" t="s">
        <v>7</v>
      </c>
      <c r="G1508" t="s">
        <v>8</v>
      </c>
      <c r="H1508">
        <v>2</v>
      </c>
      <c r="I1508" t="s">
        <v>27</v>
      </c>
    </row>
    <row r="1509" spans="1:9" x14ac:dyDescent="0.2">
      <c r="A1509" t="str">
        <f t="shared" si="270"/>
        <v>37500Tiahura1288PoritidaeDessous</v>
      </c>
      <c r="B1509" s="1">
        <v>37500</v>
      </c>
      <c r="C1509" t="s">
        <v>24</v>
      </c>
      <c r="D1509" s="19">
        <v>12</v>
      </c>
      <c r="E1509">
        <v>88</v>
      </c>
      <c r="F1509" t="s">
        <v>7</v>
      </c>
      <c r="G1509" t="s">
        <v>8</v>
      </c>
      <c r="H1509">
        <v>1</v>
      </c>
      <c r="I1509" t="s">
        <v>27</v>
      </c>
    </row>
    <row r="1510" spans="1:9" x14ac:dyDescent="0.2">
      <c r="A1510" t="str">
        <f t="shared" si="270"/>
        <v>37500Tiahura1289PoritidaeDessous</v>
      </c>
      <c r="B1510" s="1">
        <v>37500</v>
      </c>
      <c r="C1510" t="s">
        <v>24</v>
      </c>
      <c r="D1510" s="19">
        <v>12</v>
      </c>
      <c r="E1510">
        <v>89</v>
      </c>
      <c r="F1510" t="s">
        <v>7</v>
      </c>
      <c r="G1510" t="s">
        <v>8</v>
      </c>
      <c r="H1510">
        <v>2</v>
      </c>
      <c r="I1510" t="s">
        <v>27</v>
      </c>
    </row>
    <row r="1511" spans="1:9" x14ac:dyDescent="0.2">
      <c r="A1511" t="str">
        <f t="shared" si="270"/>
        <v>37500Tiahura1290Autres</v>
      </c>
      <c r="B1511" s="1">
        <v>37500</v>
      </c>
      <c r="C1511" t="s">
        <v>24</v>
      </c>
      <c r="D1511" s="19">
        <v>12</v>
      </c>
      <c r="E1511">
        <v>90</v>
      </c>
      <c r="F1511" t="s">
        <v>14</v>
      </c>
      <c r="H1511">
        <v>0</v>
      </c>
    </row>
    <row r="1512" spans="1:9" x14ac:dyDescent="0.2">
      <c r="A1512" t="str">
        <f t="shared" si="270"/>
        <v>37500Tiahura1291Autres</v>
      </c>
      <c r="B1512" s="1">
        <v>37500</v>
      </c>
      <c r="C1512" t="s">
        <v>24</v>
      </c>
      <c r="D1512" s="19">
        <v>12</v>
      </c>
      <c r="E1512">
        <v>91</v>
      </c>
      <c r="F1512" t="s">
        <v>14</v>
      </c>
      <c r="H1512">
        <v>0</v>
      </c>
    </row>
    <row r="1513" spans="1:9" x14ac:dyDescent="0.2">
      <c r="A1513" t="str">
        <f t="shared" si="270"/>
        <v>37500Tiahura1292PoritidaeDessous</v>
      </c>
      <c r="B1513" s="1">
        <v>37500</v>
      </c>
      <c r="C1513" t="s">
        <v>24</v>
      </c>
      <c r="D1513" s="19">
        <v>12</v>
      </c>
      <c r="E1513">
        <v>92</v>
      </c>
      <c r="F1513" t="s">
        <v>7</v>
      </c>
      <c r="G1513" t="s">
        <v>8</v>
      </c>
      <c r="H1513">
        <v>2</v>
      </c>
      <c r="I1513" t="s">
        <v>27</v>
      </c>
    </row>
    <row r="1514" spans="1:9" x14ac:dyDescent="0.2">
      <c r="A1514" t="str">
        <f t="shared" si="270"/>
        <v>37500Tiahura1293Autres</v>
      </c>
      <c r="B1514" s="1">
        <v>37500</v>
      </c>
      <c r="C1514" t="s">
        <v>24</v>
      </c>
      <c r="D1514" s="19">
        <v>12</v>
      </c>
      <c r="E1514">
        <v>93</v>
      </c>
      <c r="F1514" t="s">
        <v>14</v>
      </c>
      <c r="H1514">
        <v>0</v>
      </c>
    </row>
    <row r="1515" spans="1:9" x14ac:dyDescent="0.2">
      <c r="A1515" t="str">
        <f t="shared" si="270"/>
        <v>37500Tiahura1294Autres</v>
      </c>
      <c r="B1515" s="1">
        <v>37500</v>
      </c>
      <c r="C1515" t="s">
        <v>24</v>
      </c>
      <c r="D1515" s="19">
        <v>12</v>
      </c>
      <c r="E1515">
        <v>94</v>
      </c>
      <c r="F1515" t="s">
        <v>14</v>
      </c>
      <c r="H1515">
        <v>0</v>
      </c>
    </row>
    <row r="1516" spans="1:9" x14ac:dyDescent="0.2">
      <c r="A1516" t="str">
        <f t="shared" si="270"/>
        <v>37500Tiahura1295Autres</v>
      </c>
      <c r="B1516" s="1">
        <v>37500</v>
      </c>
      <c r="C1516" t="s">
        <v>24</v>
      </c>
      <c r="D1516" s="19">
        <v>12</v>
      </c>
      <c r="E1516">
        <v>95</v>
      </c>
      <c r="F1516" t="s">
        <v>14</v>
      </c>
      <c r="H1516">
        <v>0</v>
      </c>
    </row>
    <row r="1517" spans="1:9" x14ac:dyDescent="0.2">
      <c r="A1517" t="str">
        <f t="shared" si="270"/>
        <v>37500Tiahura1296AcroporidaeDessous</v>
      </c>
      <c r="B1517" s="1">
        <v>37500</v>
      </c>
      <c r="C1517" t="s">
        <v>24</v>
      </c>
      <c r="D1517" s="19">
        <v>12</v>
      </c>
      <c r="E1517">
        <v>96</v>
      </c>
      <c r="F1517" t="s">
        <v>17</v>
      </c>
      <c r="G1517" t="s">
        <v>8</v>
      </c>
      <c r="H1517">
        <v>1</v>
      </c>
      <c r="I1517" t="s">
        <v>27</v>
      </c>
    </row>
    <row r="1518" spans="1:9" x14ac:dyDescent="0.2">
      <c r="A1518" t="str">
        <f t="shared" si="270"/>
        <v>37500Tiahura1296PoritidaeBords</v>
      </c>
      <c r="B1518" s="1">
        <v>37500</v>
      </c>
      <c r="C1518" t="s">
        <v>24</v>
      </c>
      <c r="D1518" s="19">
        <v>12</v>
      </c>
      <c r="E1518">
        <v>96</v>
      </c>
      <c r="F1518" t="s">
        <v>7</v>
      </c>
      <c r="G1518" t="s">
        <v>13</v>
      </c>
      <c r="H1518">
        <v>2</v>
      </c>
      <c r="I1518" t="s">
        <v>27</v>
      </c>
    </row>
    <row r="1519" spans="1:9" x14ac:dyDescent="0.2">
      <c r="A1519" t="str">
        <f t="shared" si="270"/>
        <v>37500Tiahura1297Autres</v>
      </c>
      <c r="B1519" s="1">
        <v>37500</v>
      </c>
      <c r="C1519" t="s">
        <v>24</v>
      </c>
      <c r="D1519" s="19">
        <v>12</v>
      </c>
      <c r="E1519">
        <v>97</v>
      </c>
      <c r="F1519" t="s">
        <v>14</v>
      </c>
      <c r="H1519">
        <v>0</v>
      </c>
    </row>
    <row r="1520" spans="1:9" x14ac:dyDescent="0.2">
      <c r="A1520" t="str">
        <f t="shared" si="270"/>
        <v>37500Tiahura1298Autres</v>
      </c>
      <c r="B1520" s="1">
        <v>37500</v>
      </c>
      <c r="C1520" t="s">
        <v>24</v>
      </c>
      <c r="D1520" s="19">
        <v>12</v>
      </c>
      <c r="E1520">
        <v>98</v>
      </c>
      <c r="F1520" t="s">
        <v>14</v>
      </c>
      <c r="H1520">
        <v>0</v>
      </c>
    </row>
    <row r="1521" spans="1:9" x14ac:dyDescent="0.2">
      <c r="A1521" t="str">
        <f t="shared" si="270"/>
        <v>37500Tiahura1299PoritidaeDessous</v>
      </c>
      <c r="B1521" s="1">
        <v>37500</v>
      </c>
      <c r="C1521" t="s">
        <v>24</v>
      </c>
      <c r="D1521" s="19">
        <v>12</v>
      </c>
      <c r="E1521">
        <v>99</v>
      </c>
      <c r="F1521" t="s">
        <v>7</v>
      </c>
      <c r="G1521" t="s">
        <v>8</v>
      </c>
      <c r="H1521">
        <v>2</v>
      </c>
      <c r="I1521" t="s">
        <v>27</v>
      </c>
    </row>
    <row r="1522" spans="1:9" x14ac:dyDescent="0.2">
      <c r="A1522" t="str">
        <f t="shared" si="270"/>
        <v>37500Tiahura12100Autres</v>
      </c>
      <c r="B1522" s="1">
        <v>37500</v>
      </c>
      <c r="C1522" t="s">
        <v>24</v>
      </c>
      <c r="D1522" s="19">
        <v>12</v>
      </c>
      <c r="E1522">
        <v>100</v>
      </c>
      <c r="F1522" t="s">
        <v>14</v>
      </c>
      <c r="H1522">
        <v>0</v>
      </c>
    </row>
    <row r="1523" spans="1:9" x14ac:dyDescent="0.2">
      <c r="A1523" t="str">
        <f t="shared" si="270"/>
        <v>37500Tiahura18101Autres</v>
      </c>
      <c r="B1523" s="1">
        <v>37500</v>
      </c>
      <c r="C1523" t="s">
        <v>24</v>
      </c>
      <c r="D1523" s="19">
        <v>18</v>
      </c>
      <c r="E1523">
        <v>101</v>
      </c>
      <c r="F1523" t="s">
        <v>14</v>
      </c>
      <c r="H1523">
        <v>0</v>
      </c>
    </row>
    <row r="1524" spans="1:9" x14ac:dyDescent="0.2">
      <c r="A1524" t="str">
        <f t="shared" si="270"/>
        <v>37500Tiahura18102Autres</v>
      </c>
      <c r="B1524" s="1">
        <v>37500</v>
      </c>
      <c r="C1524" t="s">
        <v>24</v>
      </c>
      <c r="D1524" s="19">
        <v>18</v>
      </c>
      <c r="E1524">
        <v>102</v>
      </c>
      <c r="F1524" t="s">
        <v>14</v>
      </c>
      <c r="H1524">
        <v>0</v>
      </c>
    </row>
    <row r="1525" spans="1:9" x14ac:dyDescent="0.2">
      <c r="A1525" t="str">
        <f t="shared" si="270"/>
        <v>37500Tiahura18103PoritidaeDessous</v>
      </c>
      <c r="B1525" s="1">
        <v>37500</v>
      </c>
      <c r="C1525" t="s">
        <v>24</v>
      </c>
      <c r="D1525" s="19">
        <v>18</v>
      </c>
      <c r="E1525">
        <v>103</v>
      </c>
      <c r="F1525" t="s">
        <v>7</v>
      </c>
      <c r="G1525" t="s">
        <v>8</v>
      </c>
      <c r="H1525">
        <v>1</v>
      </c>
      <c r="I1525" t="s">
        <v>27</v>
      </c>
    </row>
    <row r="1526" spans="1:9" x14ac:dyDescent="0.2">
      <c r="A1526" t="str">
        <f t="shared" si="270"/>
        <v>37500Tiahura18104PoritidaeDessous</v>
      </c>
      <c r="B1526" s="1">
        <v>37500</v>
      </c>
      <c r="C1526" t="s">
        <v>24</v>
      </c>
      <c r="D1526" s="19">
        <v>18</v>
      </c>
      <c r="E1526">
        <v>104</v>
      </c>
      <c r="F1526" t="s">
        <v>7</v>
      </c>
      <c r="G1526" t="s">
        <v>8</v>
      </c>
      <c r="H1526">
        <v>1</v>
      </c>
      <c r="I1526" t="s">
        <v>27</v>
      </c>
    </row>
    <row r="1527" spans="1:9" x14ac:dyDescent="0.2">
      <c r="A1527" t="str">
        <f t="shared" si="270"/>
        <v>37500Tiahura18105Autres</v>
      </c>
      <c r="B1527" s="1">
        <v>37500</v>
      </c>
      <c r="C1527" t="s">
        <v>24</v>
      </c>
      <c r="D1527" s="19">
        <v>18</v>
      </c>
      <c r="E1527">
        <v>105</v>
      </c>
      <c r="F1527" t="s">
        <v>14</v>
      </c>
      <c r="H1527">
        <v>0</v>
      </c>
    </row>
    <row r="1528" spans="1:9" x14ac:dyDescent="0.2">
      <c r="A1528" t="str">
        <f t="shared" si="270"/>
        <v>37500Tiahura18106PoritidaeDessous</v>
      </c>
      <c r="B1528" s="1">
        <v>37500</v>
      </c>
      <c r="C1528" t="s">
        <v>24</v>
      </c>
      <c r="D1528" s="19">
        <v>18</v>
      </c>
      <c r="E1528">
        <v>106</v>
      </c>
      <c r="F1528" t="s">
        <v>7</v>
      </c>
      <c r="G1528" t="s">
        <v>8</v>
      </c>
      <c r="H1528">
        <v>1</v>
      </c>
      <c r="I1528" t="s">
        <v>27</v>
      </c>
    </row>
    <row r="1529" spans="1:9" x14ac:dyDescent="0.2">
      <c r="A1529" t="str">
        <f t="shared" si="270"/>
        <v>37500Tiahura18107Autres</v>
      </c>
      <c r="B1529" s="1">
        <v>37500</v>
      </c>
      <c r="C1529" t="s">
        <v>24</v>
      </c>
      <c r="D1529" s="19">
        <v>18</v>
      </c>
      <c r="E1529">
        <v>107</v>
      </c>
      <c r="F1529" t="s">
        <v>14</v>
      </c>
      <c r="H1529">
        <v>0</v>
      </c>
    </row>
    <row r="1530" spans="1:9" x14ac:dyDescent="0.2">
      <c r="A1530" t="str">
        <f t="shared" si="270"/>
        <v>37500Tiahura18108Autres</v>
      </c>
      <c r="B1530" s="1">
        <v>37500</v>
      </c>
      <c r="C1530" t="s">
        <v>24</v>
      </c>
      <c r="D1530" s="19">
        <v>18</v>
      </c>
      <c r="E1530">
        <v>108</v>
      </c>
      <c r="F1530" t="s">
        <v>14</v>
      </c>
      <c r="H1530">
        <v>0</v>
      </c>
    </row>
    <row r="1531" spans="1:9" x14ac:dyDescent="0.2">
      <c r="A1531" t="str">
        <f t="shared" si="270"/>
        <v>37500Tiahura18109Autres</v>
      </c>
      <c r="B1531" s="1">
        <v>37500</v>
      </c>
      <c r="C1531" t="s">
        <v>24</v>
      </c>
      <c r="D1531" s="19">
        <v>18</v>
      </c>
      <c r="E1531">
        <v>109</v>
      </c>
      <c r="F1531" t="s">
        <v>14</v>
      </c>
      <c r="H1531">
        <v>0</v>
      </c>
    </row>
    <row r="1532" spans="1:9" x14ac:dyDescent="0.2">
      <c r="A1532" t="str">
        <f t="shared" si="270"/>
        <v>37500Tiahura18110Autres</v>
      </c>
      <c r="B1532" s="1">
        <v>37500</v>
      </c>
      <c r="C1532" t="s">
        <v>24</v>
      </c>
      <c r="D1532" s="19">
        <v>18</v>
      </c>
      <c r="E1532">
        <v>110</v>
      </c>
      <c r="F1532" t="s">
        <v>14</v>
      </c>
      <c r="H1532">
        <v>0</v>
      </c>
    </row>
    <row r="1533" spans="1:9" x14ac:dyDescent="0.2">
      <c r="A1533" t="str">
        <f t="shared" si="270"/>
        <v>37500Tiahura18111Autres</v>
      </c>
      <c r="B1533" s="1">
        <v>37500</v>
      </c>
      <c r="C1533" t="s">
        <v>24</v>
      </c>
      <c r="D1533" s="19">
        <v>18</v>
      </c>
      <c r="E1533">
        <v>111</v>
      </c>
      <c r="F1533" t="s">
        <v>14</v>
      </c>
      <c r="H1533">
        <v>0</v>
      </c>
    </row>
    <row r="1534" spans="1:9" x14ac:dyDescent="0.2">
      <c r="A1534" t="str">
        <f t="shared" si="270"/>
        <v>37500Tiahura18112Autres</v>
      </c>
      <c r="B1534" s="1">
        <v>37500</v>
      </c>
      <c r="C1534" t="s">
        <v>24</v>
      </c>
      <c r="D1534" s="19">
        <v>18</v>
      </c>
      <c r="E1534">
        <v>112</v>
      </c>
      <c r="F1534" t="s">
        <v>14</v>
      </c>
      <c r="H1534">
        <v>0</v>
      </c>
    </row>
    <row r="1535" spans="1:9" x14ac:dyDescent="0.2">
      <c r="A1535" t="str">
        <f t="shared" ref="A1535:A1598" si="271">B1535 &amp; C1535&amp; D1535&amp; E1535 &amp; F1535 &amp;G1535</f>
        <v>37500Tiahura18113Autres</v>
      </c>
      <c r="B1535" s="1">
        <v>37500</v>
      </c>
      <c r="C1535" t="s">
        <v>24</v>
      </c>
      <c r="D1535" s="19">
        <v>18</v>
      </c>
      <c r="E1535">
        <v>113</v>
      </c>
      <c r="F1535" t="s">
        <v>14</v>
      </c>
      <c r="H1535">
        <v>0</v>
      </c>
    </row>
    <row r="1536" spans="1:9" x14ac:dyDescent="0.2">
      <c r="A1536" t="str">
        <f t="shared" si="271"/>
        <v>37500Tiahura18114Autres</v>
      </c>
      <c r="B1536" s="1">
        <v>37500</v>
      </c>
      <c r="C1536" t="s">
        <v>24</v>
      </c>
      <c r="D1536" s="19">
        <v>18</v>
      </c>
      <c r="E1536">
        <v>114</v>
      </c>
      <c r="F1536" t="s">
        <v>14</v>
      </c>
      <c r="H1536">
        <v>0</v>
      </c>
    </row>
    <row r="1537" spans="1:9" x14ac:dyDescent="0.2">
      <c r="A1537" t="str">
        <f t="shared" si="271"/>
        <v>37500Tiahura18115PoritidaeDessous</v>
      </c>
      <c r="B1537" s="1">
        <v>37500</v>
      </c>
      <c r="C1537" t="s">
        <v>24</v>
      </c>
      <c r="D1537" s="19">
        <v>18</v>
      </c>
      <c r="E1537">
        <v>115</v>
      </c>
      <c r="F1537" t="s">
        <v>7</v>
      </c>
      <c r="G1537" t="s">
        <v>8</v>
      </c>
      <c r="H1537">
        <v>1</v>
      </c>
      <c r="I1537" t="s">
        <v>27</v>
      </c>
    </row>
    <row r="1538" spans="1:9" x14ac:dyDescent="0.2">
      <c r="A1538" t="str">
        <f t="shared" si="271"/>
        <v>37500Tiahura18116PoritidaeBords</v>
      </c>
      <c r="B1538" s="1">
        <v>37500</v>
      </c>
      <c r="C1538" t="s">
        <v>24</v>
      </c>
      <c r="D1538" s="19">
        <v>18</v>
      </c>
      <c r="E1538">
        <v>116</v>
      </c>
      <c r="F1538" t="s">
        <v>7</v>
      </c>
      <c r="G1538" t="s">
        <v>13</v>
      </c>
      <c r="H1538">
        <v>1</v>
      </c>
      <c r="I1538" t="s">
        <v>27</v>
      </c>
    </row>
    <row r="1539" spans="1:9" x14ac:dyDescent="0.2">
      <c r="A1539" t="str">
        <f t="shared" si="271"/>
        <v>37500Tiahura18117Autres</v>
      </c>
      <c r="B1539" s="1">
        <v>37500</v>
      </c>
      <c r="C1539" t="s">
        <v>24</v>
      </c>
      <c r="D1539" s="19">
        <v>18</v>
      </c>
      <c r="E1539">
        <v>117</v>
      </c>
      <c r="F1539" t="s">
        <v>14</v>
      </c>
      <c r="H1539">
        <v>0</v>
      </c>
    </row>
    <row r="1540" spans="1:9" x14ac:dyDescent="0.2">
      <c r="A1540" t="str">
        <f t="shared" si="271"/>
        <v>37500Tiahura18118PoritidaeBords</v>
      </c>
      <c r="B1540" s="1">
        <v>37500</v>
      </c>
      <c r="C1540" t="s">
        <v>24</v>
      </c>
      <c r="D1540" s="19">
        <v>18</v>
      </c>
      <c r="E1540">
        <v>118</v>
      </c>
      <c r="F1540" t="s">
        <v>7</v>
      </c>
      <c r="G1540" t="s">
        <v>13</v>
      </c>
      <c r="H1540">
        <v>1</v>
      </c>
      <c r="I1540" t="s">
        <v>27</v>
      </c>
    </row>
    <row r="1541" spans="1:9" x14ac:dyDescent="0.2">
      <c r="A1541" t="str">
        <f t="shared" si="271"/>
        <v>37500Tiahura18119Autres</v>
      </c>
      <c r="B1541" s="1">
        <v>37500</v>
      </c>
      <c r="C1541" t="s">
        <v>24</v>
      </c>
      <c r="D1541" s="19">
        <v>18</v>
      </c>
      <c r="E1541">
        <v>119</v>
      </c>
      <c r="F1541" t="s">
        <v>14</v>
      </c>
      <c r="H1541">
        <v>0</v>
      </c>
    </row>
    <row r="1542" spans="1:9" x14ac:dyDescent="0.2">
      <c r="A1542" t="str">
        <f t="shared" si="271"/>
        <v>37500Tiahura18120Autres</v>
      </c>
      <c r="B1542" s="1">
        <v>37500</v>
      </c>
      <c r="C1542" t="s">
        <v>24</v>
      </c>
      <c r="D1542" s="19">
        <v>18</v>
      </c>
      <c r="E1542">
        <v>120</v>
      </c>
      <c r="F1542" t="s">
        <v>14</v>
      </c>
      <c r="H1542">
        <v>0</v>
      </c>
    </row>
    <row r="1543" spans="1:9" x14ac:dyDescent="0.2">
      <c r="A1543" t="str">
        <f t="shared" si="271"/>
        <v>37500Haapiti6121Autres</v>
      </c>
      <c r="B1543" s="1">
        <v>37500</v>
      </c>
      <c r="C1543" t="s">
        <v>25</v>
      </c>
      <c r="D1543" s="19">
        <v>6</v>
      </c>
      <c r="E1543">
        <v>121</v>
      </c>
      <c r="F1543" t="s">
        <v>14</v>
      </c>
      <c r="H1543">
        <v>0</v>
      </c>
    </row>
    <row r="1544" spans="1:9" x14ac:dyDescent="0.2">
      <c r="A1544" t="str">
        <f t="shared" si="271"/>
        <v>37500Haapiti6122Autres</v>
      </c>
      <c r="B1544" s="1">
        <v>37500</v>
      </c>
      <c r="C1544" t="s">
        <v>25</v>
      </c>
      <c r="D1544" s="19">
        <v>6</v>
      </c>
      <c r="E1544">
        <v>122</v>
      </c>
      <c r="F1544" t="s">
        <v>14</v>
      </c>
      <c r="H1544">
        <v>0</v>
      </c>
    </row>
    <row r="1545" spans="1:9" x14ac:dyDescent="0.2">
      <c r="A1545" t="str">
        <f t="shared" si="271"/>
        <v>37500Haapiti6123Autres</v>
      </c>
      <c r="B1545" s="1">
        <v>37500</v>
      </c>
      <c r="C1545" t="s">
        <v>25</v>
      </c>
      <c r="D1545" s="19">
        <v>6</v>
      </c>
      <c r="E1545">
        <v>123</v>
      </c>
      <c r="F1545" t="s">
        <v>14</v>
      </c>
      <c r="H1545">
        <v>0</v>
      </c>
    </row>
    <row r="1546" spans="1:9" x14ac:dyDescent="0.2">
      <c r="A1546" t="str">
        <f t="shared" si="271"/>
        <v>37500Haapiti6124Autres</v>
      </c>
      <c r="B1546" s="1">
        <v>37500</v>
      </c>
      <c r="C1546" t="s">
        <v>25</v>
      </c>
      <c r="D1546" s="19">
        <v>6</v>
      </c>
      <c r="E1546">
        <v>124</v>
      </c>
      <c r="F1546" t="s">
        <v>14</v>
      </c>
      <c r="H1546">
        <v>0</v>
      </c>
    </row>
    <row r="1547" spans="1:9" x14ac:dyDescent="0.2">
      <c r="A1547" t="str">
        <f t="shared" si="271"/>
        <v>37500Haapiti6125Autres</v>
      </c>
      <c r="B1547" s="1">
        <v>37500</v>
      </c>
      <c r="C1547" t="s">
        <v>25</v>
      </c>
      <c r="D1547" s="19">
        <v>6</v>
      </c>
      <c r="E1547">
        <v>125</v>
      </c>
      <c r="F1547" t="s">
        <v>14</v>
      </c>
      <c r="H1547">
        <v>0</v>
      </c>
    </row>
    <row r="1548" spans="1:9" x14ac:dyDescent="0.2">
      <c r="A1548" t="str">
        <f t="shared" si="271"/>
        <v>37500Haapiti6126Autres</v>
      </c>
      <c r="B1548" s="1">
        <v>37500</v>
      </c>
      <c r="C1548" t="s">
        <v>25</v>
      </c>
      <c r="D1548" s="19">
        <v>6</v>
      </c>
      <c r="E1548">
        <v>126</v>
      </c>
      <c r="F1548" t="s">
        <v>14</v>
      </c>
      <c r="H1548">
        <v>0</v>
      </c>
    </row>
    <row r="1549" spans="1:9" x14ac:dyDescent="0.2">
      <c r="A1549" t="str">
        <f t="shared" si="271"/>
        <v>37500Haapiti6127Autres</v>
      </c>
      <c r="B1549" s="1">
        <v>37500</v>
      </c>
      <c r="C1549" t="s">
        <v>25</v>
      </c>
      <c r="D1549" s="19">
        <v>6</v>
      </c>
      <c r="E1549">
        <v>127</v>
      </c>
      <c r="F1549" t="s">
        <v>14</v>
      </c>
      <c r="H1549">
        <v>0</v>
      </c>
    </row>
    <row r="1550" spans="1:9" x14ac:dyDescent="0.2">
      <c r="A1550" t="str">
        <f t="shared" si="271"/>
        <v>37500Haapiti6128Autres</v>
      </c>
      <c r="B1550" s="1">
        <v>37500</v>
      </c>
      <c r="C1550" t="s">
        <v>25</v>
      </c>
      <c r="D1550" s="19">
        <v>6</v>
      </c>
      <c r="E1550">
        <v>128</v>
      </c>
      <c r="F1550" t="s">
        <v>14</v>
      </c>
      <c r="H1550">
        <v>0</v>
      </c>
    </row>
    <row r="1551" spans="1:9" x14ac:dyDescent="0.2">
      <c r="A1551" t="str">
        <f t="shared" si="271"/>
        <v>37500Haapiti6129Autres</v>
      </c>
      <c r="B1551" s="1">
        <v>37500</v>
      </c>
      <c r="C1551" t="s">
        <v>25</v>
      </c>
      <c r="D1551" s="19">
        <v>6</v>
      </c>
      <c r="E1551">
        <v>129</v>
      </c>
      <c r="F1551" t="s">
        <v>14</v>
      </c>
      <c r="H1551">
        <v>0</v>
      </c>
    </row>
    <row r="1552" spans="1:9" x14ac:dyDescent="0.2">
      <c r="A1552" t="str">
        <f t="shared" si="271"/>
        <v>37500Haapiti6130Autres</v>
      </c>
      <c r="B1552" s="1">
        <v>37500</v>
      </c>
      <c r="C1552" t="s">
        <v>25</v>
      </c>
      <c r="D1552" s="19">
        <v>6</v>
      </c>
      <c r="E1552">
        <v>130</v>
      </c>
      <c r="F1552" t="s">
        <v>14</v>
      </c>
      <c r="H1552">
        <v>0</v>
      </c>
    </row>
    <row r="1553" spans="1:9" x14ac:dyDescent="0.2">
      <c r="A1553" t="str">
        <f t="shared" si="271"/>
        <v>37500Haapiti6131Autres</v>
      </c>
      <c r="B1553" s="1">
        <v>37500</v>
      </c>
      <c r="C1553" t="s">
        <v>25</v>
      </c>
      <c r="D1553" s="19">
        <v>6</v>
      </c>
      <c r="E1553">
        <v>131</v>
      </c>
      <c r="F1553" t="s">
        <v>14</v>
      </c>
      <c r="H1553">
        <v>0</v>
      </c>
    </row>
    <row r="1554" spans="1:9" x14ac:dyDescent="0.2">
      <c r="A1554" t="str">
        <f t="shared" si="271"/>
        <v>37500Haapiti6132Autres</v>
      </c>
      <c r="B1554" s="1">
        <v>37500</v>
      </c>
      <c r="C1554" t="s">
        <v>25</v>
      </c>
      <c r="D1554" s="19">
        <v>6</v>
      </c>
      <c r="E1554">
        <v>132</v>
      </c>
      <c r="F1554" t="s">
        <v>14</v>
      </c>
      <c r="H1554">
        <v>0</v>
      </c>
    </row>
    <row r="1555" spans="1:9" x14ac:dyDescent="0.2">
      <c r="A1555" t="str">
        <f t="shared" si="271"/>
        <v>37500Haapiti6133Autres</v>
      </c>
      <c r="B1555" s="1">
        <v>37500</v>
      </c>
      <c r="C1555" t="s">
        <v>25</v>
      </c>
      <c r="D1555" s="19">
        <v>6</v>
      </c>
      <c r="E1555">
        <v>133</v>
      </c>
      <c r="F1555" t="s">
        <v>14</v>
      </c>
      <c r="H1555">
        <v>0</v>
      </c>
    </row>
    <row r="1556" spans="1:9" x14ac:dyDescent="0.2">
      <c r="A1556" t="str">
        <f t="shared" si="271"/>
        <v>37500Haapiti6134Autres</v>
      </c>
      <c r="B1556" s="1">
        <v>37500</v>
      </c>
      <c r="C1556" t="s">
        <v>25</v>
      </c>
      <c r="D1556" s="19">
        <v>6</v>
      </c>
      <c r="E1556">
        <v>134</v>
      </c>
      <c r="F1556" t="s">
        <v>14</v>
      </c>
      <c r="H1556">
        <v>0</v>
      </c>
    </row>
    <row r="1557" spans="1:9" x14ac:dyDescent="0.2">
      <c r="A1557" t="str">
        <f t="shared" si="271"/>
        <v>37500Haapiti6135Autres</v>
      </c>
      <c r="B1557" s="1">
        <v>37500</v>
      </c>
      <c r="C1557" t="s">
        <v>25</v>
      </c>
      <c r="D1557" s="19">
        <v>6</v>
      </c>
      <c r="E1557">
        <v>135</v>
      </c>
      <c r="F1557" t="s">
        <v>14</v>
      </c>
      <c r="H1557">
        <v>0</v>
      </c>
    </row>
    <row r="1558" spans="1:9" x14ac:dyDescent="0.2">
      <c r="A1558" t="str">
        <f t="shared" si="271"/>
        <v>37500Haapiti6136Autres</v>
      </c>
      <c r="B1558" s="1">
        <v>37500</v>
      </c>
      <c r="C1558" t="s">
        <v>25</v>
      </c>
      <c r="D1558" s="19">
        <v>6</v>
      </c>
      <c r="E1558">
        <v>136</v>
      </c>
      <c r="F1558" t="s">
        <v>14</v>
      </c>
      <c r="H1558">
        <v>0</v>
      </c>
    </row>
    <row r="1559" spans="1:9" x14ac:dyDescent="0.2">
      <c r="A1559" t="str">
        <f t="shared" si="271"/>
        <v>37500Haapiti6137AcroporidaeDessous</v>
      </c>
      <c r="B1559" s="1">
        <v>37500</v>
      </c>
      <c r="C1559" t="s">
        <v>25</v>
      </c>
      <c r="D1559" s="19">
        <v>6</v>
      </c>
      <c r="E1559">
        <v>137</v>
      </c>
      <c r="F1559" t="s">
        <v>17</v>
      </c>
      <c r="G1559" t="s">
        <v>8</v>
      </c>
      <c r="H1559">
        <v>1</v>
      </c>
      <c r="I1559" t="s">
        <v>27</v>
      </c>
    </row>
    <row r="1560" spans="1:9" x14ac:dyDescent="0.2">
      <c r="A1560" t="str">
        <f t="shared" si="271"/>
        <v>37500Haapiti6138Autres</v>
      </c>
      <c r="B1560" s="1">
        <v>37500</v>
      </c>
      <c r="C1560" t="s">
        <v>25</v>
      </c>
      <c r="D1560" s="19">
        <v>6</v>
      </c>
      <c r="E1560">
        <v>138</v>
      </c>
      <c r="F1560" t="s">
        <v>14</v>
      </c>
      <c r="H1560">
        <v>0</v>
      </c>
    </row>
    <row r="1561" spans="1:9" x14ac:dyDescent="0.2">
      <c r="A1561" t="str">
        <f t="shared" si="271"/>
        <v>37500Haapiti6139Autres</v>
      </c>
      <c r="B1561" s="1">
        <v>37500</v>
      </c>
      <c r="C1561" t="s">
        <v>25</v>
      </c>
      <c r="D1561" s="19">
        <v>6</v>
      </c>
      <c r="E1561">
        <v>139</v>
      </c>
      <c r="F1561" t="s">
        <v>14</v>
      </c>
      <c r="H1561">
        <v>0</v>
      </c>
    </row>
    <row r="1562" spans="1:9" x14ac:dyDescent="0.2">
      <c r="A1562" t="str">
        <f t="shared" si="271"/>
        <v>37500Haapiti6140Autres</v>
      </c>
      <c r="B1562" s="1">
        <v>37500</v>
      </c>
      <c r="C1562" t="s">
        <v>25</v>
      </c>
      <c r="D1562" s="19">
        <v>6</v>
      </c>
      <c r="E1562">
        <v>140</v>
      </c>
      <c r="F1562" t="s">
        <v>14</v>
      </c>
      <c r="H1562">
        <v>0</v>
      </c>
    </row>
    <row r="1563" spans="1:9" x14ac:dyDescent="0.2">
      <c r="A1563" t="str">
        <f t="shared" si="271"/>
        <v>37500Haapiti12141Autres</v>
      </c>
      <c r="B1563" s="1">
        <v>37500</v>
      </c>
      <c r="C1563" t="s">
        <v>25</v>
      </c>
      <c r="D1563" s="19">
        <v>12</v>
      </c>
      <c r="E1563">
        <v>141</v>
      </c>
      <c r="F1563" t="s">
        <v>14</v>
      </c>
      <c r="H1563">
        <v>0</v>
      </c>
    </row>
    <row r="1564" spans="1:9" x14ac:dyDescent="0.2">
      <c r="A1564" t="str">
        <f t="shared" si="271"/>
        <v>37500Haapiti12142</v>
      </c>
      <c r="B1564" s="1">
        <v>37500</v>
      </c>
      <c r="C1564" t="s">
        <v>25</v>
      </c>
      <c r="D1564" s="19">
        <v>12</v>
      </c>
      <c r="E1564">
        <v>142</v>
      </c>
      <c r="F1564" t="s">
        <v>27</v>
      </c>
      <c r="G1564" t="s">
        <v>27</v>
      </c>
      <c r="H1564" t="s">
        <v>27</v>
      </c>
      <c r="I1564" t="s">
        <v>31</v>
      </c>
    </row>
    <row r="1565" spans="1:9" x14ac:dyDescent="0.2">
      <c r="A1565" t="str">
        <f t="shared" si="271"/>
        <v>37500Haapiti12143Autres</v>
      </c>
      <c r="B1565" s="1">
        <v>37500</v>
      </c>
      <c r="C1565" t="s">
        <v>25</v>
      </c>
      <c r="D1565" s="19">
        <v>12</v>
      </c>
      <c r="E1565">
        <v>143</v>
      </c>
      <c r="F1565" t="s">
        <v>14</v>
      </c>
      <c r="H1565">
        <v>0</v>
      </c>
    </row>
    <row r="1566" spans="1:9" x14ac:dyDescent="0.2">
      <c r="A1566" t="str">
        <f t="shared" si="271"/>
        <v>37500Haapiti12144Autres</v>
      </c>
      <c r="B1566" s="1">
        <v>37500</v>
      </c>
      <c r="C1566" t="s">
        <v>25</v>
      </c>
      <c r="D1566" s="19">
        <v>12</v>
      </c>
      <c r="E1566">
        <v>144</v>
      </c>
      <c r="F1566" t="s">
        <v>14</v>
      </c>
      <c r="H1566">
        <v>0</v>
      </c>
    </row>
    <row r="1567" spans="1:9" x14ac:dyDescent="0.2">
      <c r="A1567" t="str">
        <f t="shared" si="271"/>
        <v>37500Haapiti12145Autres</v>
      </c>
      <c r="B1567" s="1">
        <v>37500</v>
      </c>
      <c r="C1567" t="s">
        <v>25</v>
      </c>
      <c r="D1567" s="19">
        <v>12</v>
      </c>
      <c r="E1567">
        <v>145</v>
      </c>
      <c r="F1567" t="s">
        <v>14</v>
      </c>
      <c r="H1567">
        <v>0</v>
      </c>
    </row>
    <row r="1568" spans="1:9" x14ac:dyDescent="0.2">
      <c r="A1568" t="str">
        <f t="shared" si="271"/>
        <v>37500Haapiti12146Autres</v>
      </c>
      <c r="B1568" s="1">
        <v>37500</v>
      </c>
      <c r="C1568" t="s">
        <v>25</v>
      </c>
      <c r="D1568" s="19">
        <v>12</v>
      </c>
      <c r="E1568">
        <v>146</v>
      </c>
      <c r="F1568" t="s">
        <v>14</v>
      </c>
      <c r="H1568">
        <v>0</v>
      </c>
    </row>
    <row r="1569" spans="1:9" x14ac:dyDescent="0.2">
      <c r="A1569" t="str">
        <f t="shared" si="271"/>
        <v>37500Haapiti12147AcroporidaeDessous</v>
      </c>
      <c r="B1569" s="1">
        <v>37500</v>
      </c>
      <c r="C1569" t="s">
        <v>25</v>
      </c>
      <c r="D1569" s="19">
        <v>12</v>
      </c>
      <c r="E1569">
        <v>147</v>
      </c>
      <c r="F1569" t="s">
        <v>17</v>
      </c>
      <c r="G1569" t="s">
        <v>8</v>
      </c>
      <c r="H1569">
        <v>1</v>
      </c>
      <c r="I1569" t="s">
        <v>27</v>
      </c>
    </row>
    <row r="1570" spans="1:9" x14ac:dyDescent="0.2">
      <c r="A1570" t="str">
        <f t="shared" si="271"/>
        <v>37500Haapiti12148Autres</v>
      </c>
      <c r="B1570" s="1">
        <v>37500</v>
      </c>
      <c r="C1570" t="s">
        <v>25</v>
      </c>
      <c r="D1570" s="19">
        <v>12</v>
      </c>
      <c r="E1570">
        <v>148</v>
      </c>
      <c r="F1570" t="s">
        <v>14</v>
      </c>
      <c r="H1570">
        <v>0</v>
      </c>
    </row>
    <row r="1571" spans="1:9" x14ac:dyDescent="0.2">
      <c r="A1571" t="str">
        <f t="shared" si="271"/>
        <v>37500Haapiti12149Autres</v>
      </c>
      <c r="B1571" s="1">
        <v>37500</v>
      </c>
      <c r="C1571" t="s">
        <v>25</v>
      </c>
      <c r="D1571" s="19">
        <v>12</v>
      </c>
      <c r="E1571">
        <v>149</v>
      </c>
      <c r="F1571" t="s">
        <v>14</v>
      </c>
      <c r="H1571">
        <v>0</v>
      </c>
    </row>
    <row r="1572" spans="1:9" x14ac:dyDescent="0.2">
      <c r="A1572" t="str">
        <f t="shared" si="271"/>
        <v>37500Haapiti12150Autres</v>
      </c>
      <c r="B1572" s="1">
        <v>37500</v>
      </c>
      <c r="C1572" t="s">
        <v>25</v>
      </c>
      <c r="D1572" s="19">
        <v>12</v>
      </c>
      <c r="E1572">
        <v>150</v>
      </c>
      <c r="F1572" t="s">
        <v>14</v>
      </c>
      <c r="H1572">
        <v>0</v>
      </c>
    </row>
    <row r="1573" spans="1:9" x14ac:dyDescent="0.2">
      <c r="A1573" t="str">
        <f t="shared" si="271"/>
        <v>37500Haapiti12151Autres</v>
      </c>
      <c r="B1573" s="1">
        <v>37500</v>
      </c>
      <c r="C1573" t="s">
        <v>25</v>
      </c>
      <c r="D1573" s="19">
        <v>12</v>
      </c>
      <c r="E1573">
        <v>151</v>
      </c>
      <c r="F1573" t="s">
        <v>14</v>
      </c>
      <c r="H1573">
        <v>0</v>
      </c>
    </row>
    <row r="1574" spans="1:9" x14ac:dyDescent="0.2">
      <c r="A1574" t="str">
        <f t="shared" si="271"/>
        <v>37500Haapiti12152Autres</v>
      </c>
      <c r="B1574" s="1">
        <v>37500</v>
      </c>
      <c r="C1574" t="s">
        <v>25</v>
      </c>
      <c r="D1574" s="19">
        <v>12</v>
      </c>
      <c r="E1574">
        <v>152</v>
      </c>
      <c r="F1574" t="s">
        <v>14</v>
      </c>
      <c r="H1574">
        <v>0</v>
      </c>
    </row>
    <row r="1575" spans="1:9" x14ac:dyDescent="0.2">
      <c r="A1575" t="str">
        <f t="shared" si="271"/>
        <v>37500Haapiti12153Autres</v>
      </c>
      <c r="B1575" s="1">
        <v>37500</v>
      </c>
      <c r="C1575" t="s">
        <v>25</v>
      </c>
      <c r="D1575" s="19">
        <v>12</v>
      </c>
      <c r="E1575">
        <v>153</v>
      </c>
      <c r="F1575" t="s">
        <v>14</v>
      </c>
      <c r="H1575">
        <v>0</v>
      </c>
    </row>
    <row r="1576" spans="1:9" x14ac:dyDescent="0.2">
      <c r="A1576" t="str">
        <f t="shared" si="271"/>
        <v>37500Haapiti12154Autres</v>
      </c>
      <c r="B1576" s="1">
        <v>37500</v>
      </c>
      <c r="C1576" t="s">
        <v>25</v>
      </c>
      <c r="D1576" s="19">
        <v>12</v>
      </c>
      <c r="E1576">
        <v>154</v>
      </c>
      <c r="F1576" t="s">
        <v>14</v>
      </c>
      <c r="H1576">
        <v>0</v>
      </c>
    </row>
    <row r="1577" spans="1:9" x14ac:dyDescent="0.2">
      <c r="A1577" t="str">
        <f t="shared" si="271"/>
        <v>37500Haapiti12155Autres</v>
      </c>
      <c r="B1577" s="1">
        <v>37500</v>
      </c>
      <c r="C1577" t="s">
        <v>25</v>
      </c>
      <c r="D1577" s="19">
        <v>12</v>
      </c>
      <c r="E1577">
        <v>155</v>
      </c>
      <c r="F1577" t="s">
        <v>14</v>
      </c>
      <c r="H1577">
        <v>0</v>
      </c>
    </row>
    <row r="1578" spans="1:9" x14ac:dyDescent="0.2">
      <c r="A1578" t="str">
        <f t="shared" si="271"/>
        <v>37500Haapiti12156Autres</v>
      </c>
      <c r="B1578" s="1">
        <v>37500</v>
      </c>
      <c r="C1578" t="s">
        <v>25</v>
      </c>
      <c r="D1578" s="19">
        <v>12</v>
      </c>
      <c r="E1578">
        <v>156</v>
      </c>
      <c r="F1578" t="s">
        <v>14</v>
      </c>
      <c r="H1578">
        <v>0</v>
      </c>
    </row>
    <row r="1579" spans="1:9" x14ac:dyDescent="0.2">
      <c r="A1579" t="str">
        <f t="shared" si="271"/>
        <v>37500Haapiti12157Autres</v>
      </c>
      <c r="B1579" s="1">
        <v>37500</v>
      </c>
      <c r="C1579" t="s">
        <v>25</v>
      </c>
      <c r="D1579" s="19">
        <v>12</v>
      </c>
      <c r="E1579">
        <v>157</v>
      </c>
      <c r="F1579" t="s">
        <v>14</v>
      </c>
      <c r="H1579">
        <v>0</v>
      </c>
    </row>
    <row r="1580" spans="1:9" x14ac:dyDescent="0.2">
      <c r="A1580" t="str">
        <f t="shared" si="271"/>
        <v>37500Haapiti12158Autres</v>
      </c>
      <c r="B1580" s="1">
        <v>37500</v>
      </c>
      <c r="C1580" t="s">
        <v>25</v>
      </c>
      <c r="D1580" s="19">
        <v>12</v>
      </c>
      <c r="E1580">
        <v>158</v>
      </c>
      <c r="F1580" t="s">
        <v>14</v>
      </c>
      <c r="H1580">
        <v>0</v>
      </c>
    </row>
    <row r="1581" spans="1:9" x14ac:dyDescent="0.2">
      <c r="A1581" t="str">
        <f t="shared" si="271"/>
        <v>37500Haapiti12159Autres</v>
      </c>
      <c r="B1581" s="1">
        <v>37500</v>
      </c>
      <c r="C1581" t="s">
        <v>25</v>
      </c>
      <c r="D1581" s="19">
        <v>12</v>
      </c>
      <c r="E1581">
        <v>159</v>
      </c>
      <c r="F1581" t="s">
        <v>14</v>
      </c>
      <c r="H1581">
        <v>0</v>
      </c>
    </row>
    <row r="1582" spans="1:9" x14ac:dyDescent="0.2">
      <c r="A1582" t="str">
        <f t="shared" si="271"/>
        <v>37500Haapiti12160Autres</v>
      </c>
      <c r="B1582" s="1">
        <v>37500</v>
      </c>
      <c r="C1582" t="s">
        <v>25</v>
      </c>
      <c r="D1582" s="19">
        <v>12</v>
      </c>
      <c r="E1582">
        <v>160</v>
      </c>
      <c r="F1582" t="s">
        <v>14</v>
      </c>
      <c r="H1582">
        <v>0</v>
      </c>
    </row>
    <row r="1583" spans="1:9" x14ac:dyDescent="0.2">
      <c r="A1583" t="str">
        <f t="shared" si="271"/>
        <v>37500Haapiti18161Autres</v>
      </c>
      <c r="B1583" s="1">
        <v>37500</v>
      </c>
      <c r="C1583" t="s">
        <v>25</v>
      </c>
      <c r="D1583" s="19">
        <v>18</v>
      </c>
      <c r="E1583">
        <v>161</v>
      </c>
      <c r="F1583" t="s">
        <v>14</v>
      </c>
      <c r="H1583">
        <v>0</v>
      </c>
    </row>
    <row r="1584" spans="1:9" x14ac:dyDescent="0.2">
      <c r="A1584" t="str">
        <f t="shared" si="271"/>
        <v>37500Haapiti18162Autres</v>
      </c>
      <c r="B1584" s="1">
        <v>37500</v>
      </c>
      <c r="C1584" t="s">
        <v>25</v>
      </c>
      <c r="D1584" s="19">
        <v>18</v>
      </c>
      <c r="E1584">
        <v>162</v>
      </c>
      <c r="F1584" t="s">
        <v>14</v>
      </c>
      <c r="H1584">
        <v>0</v>
      </c>
    </row>
    <row r="1585" spans="1:9" x14ac:dyDescent="0.2">
      <c r="A1585" t="str">
        <f t="shared" si="271"/>
        <v>37500Haapiti18163Autres</v>
      </c>
      <c r="B1585" s="1">
        <v>37500</v>
      </c>
      <c r="C1585" t="s">
        <v>25</v>
      </c>
      <c r="D1585" s="19">
        <v>18</v>
      </c>
      <c r="E1585">
        <v>163</v>
      </c>
      <c r="F1585" t="s">
        <v>14</v>
      </c>
      <c r="H1585">
        <v>0</v>
      </c>
    </row>
    <row r="1586" spans="1:9" x14ac:dyDescent="0.2">
      <c r="A1586" t="str">
        <f t="shared" si="271"/>
        <v>37500Haapiti18164Autres</v>
      </c>
      <c r="B1586" s="1">
        <v>37500</v>
      </c>
      <c r="C1586" t="s">
        <v>25</v>
      </c>
      <c r="D1586" s="19">
        <v>18</v>
      </c>
      <c r="E1586">
        <v>164</v>
      </c>
      <c r="F1586" t="s">
        <v>14</v>
      </c>
      <c r="H1586">
        <v>0</v>
      </c>
    </row>
    <row r="1587" spans="1:9" x14ac:dyDescent="0.2">
      <c r="A1587" t="str">
        <f t="shared" si="271"/>
        <v>37500Haapiti18165PocilloporidaeBords</v>
      </c>
      <c r="B1587" s="1">
        <v>37500</v>
      </c>
      <c r="C1587" t="s">
        <v>25</v>
      </c>
      <c r="D1587" s="19">
        <v>18</v>
      </c>
      <c r="E1587">
        <v>165</v>
      </c>
      <c r="F1587" t="s">
        <v>10</v>
      </c>
      <c r="G1587" t="s">
        <v>13</v>
      </c>
      <c r="H1587">
        <v>1</v>
      </c>
      <c r="I1587" t="s">
        <v>27</v>
      </c>
    </row>
    <row r="1588" spans="1:9" x14ac:dyDescent="0.2">
      <c r="A1588" t="str">
        <f t="shared" si="271"/>
        <v>37500Haapiti18166Autres</v>
      </c>
      <c r="B1588" s="1">
        <v>37500</v>
      </c>
      <c r="C1588" t="s">
        <v>25</v>
      </c>
      <c r="D1588" s="19">
        <v>18</v>
      </c>
      <c r="E1588">
        <v>166</v>
      </c>
      <c r="F1588" t="s">
        <v>14</v>
      </c>
      <c r="H1588">
        <v>0</v>
      </c>
    </row>
    <row r="1589" spans="1:9" x14ac:dyDescent="0.2">
      <c r="A1589" t="str">
        <f t="shared" si="271"/>
        <v>37500Haapiti18167Autres</v>
      </c>
      <c r="B1589" s="1">
        <v>37500</v>
      </c>
      <c r="C1589" t="s">
        <v>25</v>
      </c>
      <c r="D1589" s="19">
        <v>18</v>
      </c>
      <c r="E1589">
        <v>167</v>
      </c>
      <c r="F1589" t="s">
        <v>14</v>
      </c>
      <c r="H1589">
        <v>0</v>
      </c>
    </row>
    <row r="1590" spans="1:9" x14ac:dyDescent="0.2">
      <c r="A1590" t="str">
        <f t="shared" si="271"/>
        <v>37500Haapiti18168PocilloporidaeDessus</v>
      </c>
      <c r="B1590" s="1">
        <v>37500</v>
      </c>
      <c r="C1590" t="s">
        <v>25</v>
      </c>
      <c r="D1590" s="19">
        <v>18</v>
      </c>
      <c r="E1590">
        <v>168</v>
      </c>
      <c r="F1590" t="s">
        <v>10</v>
      </c>
      <c r="G1590" t="s">
        <v>11</v>
      </c>
      <c r="H1590">
        <v>2</v>
      </c>
      <c r="I1590" t="s">
        <v>27</v>
      </c>
    </row>
    <row r="1591" spans="1:9" x14ac:dyDescent="0.2">
      <c r="A1591" t="str">
        <f t="shared" si="271"/>
        <v>37500Haapiti18169Autres</v>
      </c>
      <c r="B1591" s="1">
        <v>37500</v>
      </c>
      <c r="C1591" t="s">
        <v>25</v>
      </c>
      <c r="D1591" s="19">
        <v>18</v>
      </c>
      <c r="E1591">
        <v>169</v>
      </c>
      <c r="F1591" t="s">
        <v>14</v>
      </c>
      <c r="H1591">
        <v>0</v>
      </c>
    </row>
    <row r="1592" spans="1:9" x14ac:dyDescent="0.2">
      <c r="A1592" t="str">
        <f t="shared" si="271"/>
        <v>37500Haapiti18170Autres</v>
      </c>
      <c r="B1592" s="1">
        <v>37500</v>
      </c>
      <c r="C1592" t="s">
        <v>25</v>
      </c>
      <c r="D1592" s="19">
        <v>18</v>
      </c>
      <c r="E1592">
        <v>170</v>
      </c>
      <c r="F1592" t="s">
        <v>14</v>
      </c>
      <c r="H1592">
        <v>0</v>
      </c>
    </row>
    <row r="1593" spans="1:9" x14ac:dyDescent="0.2">
      <c r="A1593" t="str">
        <f t="shared" si="271"/>
        <v>37500Haapiti18171Autres</v>
      </c>
      <c r="B1593" s="1">
        <v>37500</v>
      </c>
      <c r="C1593" t="s">
        <v>25</v>
      </c>
      <c r="D1593" s="19">
        <v>18</v>
      </c>
      <c r="E1593">
        <v>171</v>
      </c>
      <c r="F1593" t="s">
        <v>14</v>
      </c>
      <c r="H1593">
        <v>0</v>
      </c>
    </row>
    <row r="1594" spans="1:9" x14ac:dyDescent="0.2">
      <c r="A1594" t="str">
        <f t="shared" si="271"/>
        <v>37500Haapiti18172Autres</v>
      </c>
      <c r="B1594" s="1">
        <v>37500</v>
      </c>
      <c r="C1594" t="s">
        <v>25</v>
      </c>
      <c r="D1594" s="19">
        <v>18</v>
      </c>
      <c r="E1594">
        <v>172</v>
      </c>
      <c r="F1594" t="s">
        <v>14</v>
      </c>
      <c r="H1594">
        <v>0</v>
      </c>
    </row>
    <row r="1595" spans="1:9" x14ac:dyDescent="0.2">
      <c r="A1595" t="str">
        <f t="shared" si="271"/>
        <v>37500Haapiti18173Autres</v>
      </c>
      <c r="B1595" s="1">
        <v>37500</v>
      </c>
      <c r="C1595" t="s">
        <v>25</v>
      </c>
      <c r="D1595" s="19">
        <v>18</v>
      </c>
      <c r="E1595">
        <v>173</v>
      </c>
      <c r="F1595" t="s">
        <v>14</v>
      </c>
      <c r="H1595">
        <v>0</v>
      </c>
    </row>
    <row r="1596" spans="1:9" x14ac:dyDescent="0.2">
      <c r="A1596" t="str">
        <f t="shared" si="271"/>
        <v>37500Haapiti18174Autres</v>
      </c>
      <c r="B1596" s="1">
        <v>37500</v>
      </c>
      <c r="C1596" t="s">
        <v>25</v>
      </c>
      <c r="D1596" s="19">
        <v>18</v>
      </c>
      <c r="E1596">
        <v>174</v>
      </c>
      <c r="F1596" t="s">
        <v>14</v>
      </c>
      <c r="H1596">
        <v>0</v>
      </c>
    </row>
    <row r="1597" spans="1:9" x14ac:dyDescent="0.2">
      <c r="A1597" t="str">
        <f t="shared" si="271"/>
        <v>37500Haapiti18175Autres</v>
      </c>
      <c r="B1597" s="1">
        <v>37500</v>
      </c>
      <c r="C1597" t="s">
        <v>25</v>
      </c>
      <c r="D1597" s="19">
        <v>18</v>
      </c>
      <c r="E1597">
        <v>175</v>
      </c>
      <c r="F1597" t="s">
        <v>14</v>
      </c>
      <c r="H1597">
        <v>0</v>
      </c>
    </row>
    <row r="1598" spans="1:9" x14ac:dyDescent="0.2">
      <c r="A1598" t="str">
        <f t="shared" si="271"/>
        <v>37500Haapiti18176</v>
      </c>
      <c r="B1598" s="1">
        <v>37500</v>
      </c>
      <c r="C1598" t="s">
        <v>25</v>
      </c>
      <c r="D1598" s="19">
        <v>18</v>
      </c>
      <c r="E1598">
        <v>176</v>
      </c>
      <c r="F1598" t="s">
        <v>27</v>
      </c>
      <c r="G1598" t="s">
        <v>27</v>
      </c>
      <c r="H1598" t="s">
        <v>27</v>
      </c>
      <c r="I1598" t="s">
        <v>31</v>
      </c>
    </row>
    <row r="1599" spans="1:9" x14ac:dyDescent="0.2">
      <c r="A1599" t="str">
        <f t="shared" ref="A1599:A1662" si="272">B1599 &amp; C1599&amp; D1599&amp; E1599 &amp; F1599 &amp;G1599</f>
        <v>37500Haapiti18177Autres</v>
      </c>
      <c r="B1599" s="1">
        <v>37500</v>
      </c>
      <c r="C1599" t="s">
        <v>25</v>
      </c>
      <c r="D1599" s="19">
        <v>18</v>
      </c>
      <c r="E1599">
        <v>177</v>
      </c>
      <c r="F1599" t="s">
        <v>14</v>
      </c>
      <c r="H1599">
        <v>0</v>
      </c>
    </row>
    <row r="1600" spans="1:9" x14ac:dyDescent="0.2">
      <c r="A1600" t="str">
        <f t="shared" si="272"/>
        <v>37500Haapiti18178Autres</v>
      </c>
      <c r="B1600" s="1">
        <v>37500</v>
      </c>
      <c r="C1600" t="s">
        <v>25</v>
      </c>
      <c r="D1600" s="19">
        <v>18</v>
      </c>
      <c r="E1600">
        <v>178</v>
      </c>
      <c r="F1600" t="s">
        <v>14</v>
      </c>
      <c r="H1600">
        <v>0</v>
      </c>
    </row>
    <row r="1601" spans="1:9" x14ac:dyDescent="0.2">
      <c r="A1601" t="str">
        <f t="shared" si="272"/>
        <v>37500Haapiti18179Autres</v>
      </c>
      <c r="B1601" s="1">
        <v>37500</v>
      </c>
      <c r="C1601" t="s">
        <v>25</v>
      </c>
      <c r="D1601" s="19">
        <v>18</v>
      </c>
      <c r="E1601">
        <v>179</v>
      </c>
      <c r="F1601" t="s">
        <v>14</v>
      </c>
      <c r="H1601">
        <v>0</v>
      </c>
    </row>
    <row r="1602" spans="1:9" x14ac:dyDescent="0.2">
      <c r="A1602" t="str">
        <f t="shared" si="272"/>
        <v>37500Haapiti18180Autres</v>
      </c>
      <c r="B1602" s="1">
        <v>37500</v>
      </c>
      <c r="C1602" t="s">
        <v>25</v>
      </c>
      <c r="D1602" s="19">
        <v>18</v>
      </c>
      <c r="E1602">
        <v>180</v>
      </c>
      <c r="F1602" t="s">
        <v>14</v>
      </c>
      <c r="H1602">
        <v>0</v>
      </c>
    </row>
    <row r="1603" spans="1:9" x14ac:dyDescent="0.2">
      <c r="A1603" t="str">
        <f t="shared" si="272"/>
        <v>37591Vaipahu61AcroporidaeDessous</v>
      </c>
      <c r="B1603" s="1">
        <v>37591</v>
      </c>
      <c r="C1603" t="s">
        <v>23</v>
      </c>
      <c r="D1603" s="19">
        <v>6</v>
      </c>
      <c r="E1603">
        <v>1</v>
      </c>
      <c r="F1603" t="s">
        <v>17</v>
      </c>
      <c r="G1603" t="s">
        <v>8</v>
      </c>
      <c r="H1603">
        <v>2</v>
      </c>
      <c r="I1603" t="s">
        <v>27</v>
      </c>
    </row>
    <row r="1604" spans="1:9" x14ac:dyDescent="0.2">
      <c r="A1604" t="str">
        <f t="shared" si="272"/>
        <v>37591Vaipahu61AutresDessous</v>
      </c>
      <c r="B1604" s="1">
        <v>37591</v>
      </c>
      <c r="C1604" t="s">
        <v>23</v>
      </c>
      <c r="D1604" s="19">
        <v>6</v>
      </c>
      <c r="E1604">
        <v>1</v>
      </c>
      <c r="F1604" t="s">
        <v>14</v>
      </c>
      <c r="G1604" t="s">
        <v>8</v>
      </c>
      <c r="H1604">
        <v>1</v>
      </c>
      <c r="I1604" t="s">
        <v>27</v>
      </c>
    </row>
    <row r="1605" spans="1:9" x14ac:dyDescent="0.2">
      <c r="A1605" t="str">
        <f t="shared" si="272"/>
        <v>37591Vaipahu61PocilloporidaeDessous</v>
      </c>
      <c r="B1605" s="1">
        <v>37591</v>
      </c>
      <c r="C1605" t="s">
        <v>23</v>
      </c>
      <c r="D1605" s="19">
        <v>6</v>
      </c>
      <c r="E1605">
        <v>1</v>
      </c>
      <c r="F1605" t="s">
        <v>10</v>
      </c>
      <c r="G1605" t="s">
        <v>8</v>
      </c>
      <c r="H1605">
        <v>1</v>
      </c>
      <c r="I1605" t="s">
        <v>27</v>
      </c>
    </row>
    <row r="1606" spans="1:9" x14ac:dyDescent="0.2">
      <c r="A1606" t="str">
        <f t="shared" si="272"/>
        <v>37591Vaipahu61PoritidaeDessous</v>
      </c>
      <c r="B1606" s="1">
        <v>37591</v>
      </c>
      <c r="C1606" t="s">
        <v>23</v>
      </c>
      <c r="D1606" s="19">
        <v>6</v>
      </c>
      <c r="E1606">
        <v>1</v>
      </c>
      <c r="F1606" t="s">
        <v>7</v>
      </c>
      <c r="G1606" t="s">
        <v>8</v>
      </c>
      <c r="H1606">
        <v>2</v>
      </c>
      <c r="I1606" t="s">
        <v>27</v>
      </c>
    </row>
    <row r="1607" spans="1:9" x14ac:dyDescent="0.2">
      <c r="A1607" t="str">
        <f t="shared" si="272"/>
        <v>37591Vaipahu62</v>
      </c>
      <c r="B1607" s="1">
        <v>37591</v>
      </c>
      <c r="C1607" t="s">
        <v>23</v>
      </c>
      <c r="D1607" s="19">
        <v>6</v>
      </c>
      <c r="E1607">
        <v>2</v>
      </c>
      <c r="F1607" t="s">
        <v>27</v>
      </c>
      <c r="G1607" t="s">
        <v>27</v>
      </c>
      <c r="H1607" t="s">
        <v>27</v>
      </c>
      <c r="I1607" t="s">
        <v>31</v>
      </c>
    </row>
    <row r="1608" spans="1:9" x14ac:dyDescent="0.2">
      <c r="A1608" t="str">
        <f t="shared" si="272"/>
        <v>37591Vaipahu63PocilloporidaeDessous</v>
      </c>
      <c r="B1608" s="1">
        <v>37591</v>
      </c>
      <c r="C1608" t="s">
        <v>23</v>
      </c>
      <c r="D1608" s="19">
        <v>6</v>
      </c>
      <c r="E1608">
        <v>3</v>
      </c>
      <c r="F1608" t="s">
        <v>10</v>
      </c>
      <c r="G1608" t="s">
        <v>8</v>
      </c>
      <c r="H1608">
        <v>1</v>
      </c>
      <c r="I1608" t="s">
        <v>27</v>
      </c>
    </row>
    <row r="1609" spans="1:9" x14ac:dyDescent="0.2">
      <c r="A1609" t="str">
        <f t="shared" si="272"/>
        <v>37591Vaipahu63PocilloporidaeDessus</v>
      </c>
      <c r="B1609" s="1">
        <v>37591</v>
      </c>
      <c r="C1609" t="s">
        <v>23</v>
      </c>
      <c r="D1609" s="19">
        <v>6</v>
      </c>
      <c r="E1609">
        <v>3</v>
      </c>
      <c r="F1609" t="s">
        <v>10</v>
      </c>
      <c r="G1609" t="s">
        <v>11</v>
      </c>
      <c r="H1609">
        <v>1</v>
      </c>
      <c r="I1609" t="s">
        <v>27</v>
      </c>
    </row>
    <row r="1610" spans="1:9" x14ac:dyDescent="0.2">
      <c r="A1610" t="str">
        <f t="shared" si="272"/>
        <v>37591Vaipahu64CassésDessous</v>
      </c>
      <c r="B1610" s="1">
        <v>37591</v>
      </c>
      <c r="C1610" t="s">
        <v>23</v>
      </c>
      <c r="D1610" s="19">
        <v>6</v>
      </c>
      <c r="E1610">
        <v>4</v>
      </c>
      <c r="F1610" t="s">
        <v>12</v>
      </c>
      <c r="G1610" t="s">
        <v>8</v>
      </c>
      <c r="H1610">
        <v>1</v>
      </c>
      <c r="I1610" t="s">
        <v>27</v>
      </c>
    </row>
    <row r="1611" spans="1:9" x14ac:dyDescent="0.2">
      <c r="A1611" t="str">
        <f t="shared" si="272"/>
        <v>37591Vaipahu64PocilloporidaeBords</v>
      </c>
      <c r="B1611" s="1">
        <v>37591</v>
      </c>
      <c r="C1611" t="s">
        <v>23</v>
      </c>
      <c r="D1611" s="19">
        <v>6</v>
      </c>
      <c r="E1611">
        <v>4</v>
      </c>
      <c r="F1611" t="s">
        <v>10</v>
      </c>
      <c r="G1611" t="s">
        <v>13</v>
      </c>
      <c r="H1611">
        <v>2</v>
      </c>
      <c r="I1611" t="s">
        <v>27</v>
      </c>
    </row>
    <row r="1612" spans="1:9" x14ac:dyDescent="0.2">
      <c r="A1612" t="str">
        <f t="shared" si="272"/>
        <v>37591Vaipahu64PocilloporidaeDessous</v>
      </c>
      <c r="B1612" s="1">
        <v>37591</v>
      </c>
      <c r="C1612" t="s">
        <v>23</v>
      </c>
      <c r="D1612" s="19">
        <v>6</v>
      </c>
      <c r="E1612">
        <v>4</v>
      </c>
      <c r="F1612" t="s">
        <v>10</v>
      </c>
      <c r="G1612" t="s">
        <v>8</v>
      </c>
      <c r="H1612">
        <v>5</v>
      </c>
      <c r="I1612" t="s">
        <v>27</v>
      </c>
    </row>
    <row r="1613" spans="1:9" x14ac:dyDescent="0.2">
      <c r="A1613" t="str">
        <f t="shared" si="272"/>
        <v>37591Vaipahu65Autres</v>
      </c>
      <c r="B1613" s="1">
        <v>37591</v>
      </c>
      <c r="C1613" t="s">
        <v>23</v>
      </c>
      <c r="D1613" s="19">
        <v>6</v>
      </c>
      <c r="E1613">
        <v>5</v>
      </c>
      <c r="F1613" t="s">
        <v>14</v>
      </c>
      <c r="H1613">
        <v>0</v>
      </c>
    </row>
    <row r="1614" spans="1:9" x14ac:dyDescent="0.2">
      <c r="A1614" t="str">
        <f t="shared" si="272"/>
        <v>37591Vaipahu66AcroporidaeBords</v>
      </c>
      <c r="B1614" s="1">
        <v>37591</v>
      </c>
      <c r="C1614" t="s">
        <v>23</v>
      </c>
      <c r="D1614" s="19">
        <v>6</v>
      </c>
      <c r="E1614">
        <v>6</v>
      </c>
      <c r="F1614" t="s">
        <v>17</v>
      </c>
      <c r="G1614" t="s">
        <v>13</v>
      </c>
      <c r="H1614">
        <v>1</v>
      </c>
      <c r="I1614" t="s">
        <v>27</v>
      </c>
    </row>
    <row r="1615" spans="1:9" x14ac:dyDescent="0.2">
      <c r="A1615" t="str">
        <f t="shared" si="272"/>
        <v>37591Vaipahu66PocilloporidaeBords</v>
      </c>
      <c r="B1615" s="1">
        <v>37591</v>
      </c>
      <c r="C1615" t="s">
        <v>23</v>
      </c>
      <c r="D1615" s="19">
        <v>6</v>
      </c>
      <c r="E1615">
        <v>6</v>
      </c>
      <c r="F1615" t="s">
        <v>10</v>
      </c>
      <c r="G1615" t="s">
        <v>13</v>
      </c>
      <c r="H1615">
        <v>3</v>
      </c>
      <c r="I1615" t="s">
        <v>27</v>
      </c>
    </row>
    <row r="1616" spans="1:9" x14ac:dyDescent="0.2">
      <c r="A1616" t="str">
        <f t="shared" si="272"/>
        <v>37591Vaipahu66PocilloporidaeDessus</v>
      </c>
      <c r="B1616" s="1">
        <v>37591</v>
      </c>
      <c r="C1616" t="s">
        <v>23</v>
      </c>
      <c r="D1616" s="19">
        <v>6</v>
      </c>
      <c r="E1616">
        <v>6</v>
      </c>
      <c r="F1616" t="s">
        <v>10</v>
      </c>
      <c r="G1616" t="s">
        <v>11</v>
      </c>
      <c r="H1616">
        <v>1</v>
      </c>
      <c r="I1616" t="s">
        <v>27</v>
      </c>
    </row>
    <row r="1617" spans="1:9" x14ac:dyDescent="0.2">
      <c r="A1617" t="str">
        <f t="shared" si="272"/>
        <v>37591Vaipahu67Autres</v>
      </c>
      <c r="B1617" s="1">
        <v>37591</v>
      </c>
      <c r="C1617" t="s">
        <v>23</v>
      </c>
      <c r="D1617" s="19">
        <v>6</v>
      </c>
      <c r="E1617">
        <v>7</v>
      </c>
      <c r="F1617" t="s">
        <v>14</v>
      </c>
      <c r="H1617">
        <v>0</v>
      </c>
    </row>
    <row r="1618" spans="1:9" x14ac:dyDescent="0.2">
      <c r="A1618" t="str">
        <f t="shared" si="272"/>
        <v>37591Vaipahu68AcroporidaeDessus</v>
      </c>
      <c r="B1618" s="1">
        <v>37591</v>
      </c>
      <c r="C1618" t="s">
        <v>23</v>
      </c>
      <c r="D1618" s="19">
        <v>6</v>
      </c>
      <c r="E1618">
        <v>8</v>
      </c>
      <c r="F1618" t="s">
        <v>17</v>
      </c>
      <c r="G1618" t="s">
        <v>11</v>
      </c>
      <c r="H1618">
        <v>1</v>
      </c>
      <c r="I1618" t="s">
        <v>27</v>
      </c>
    </row>
    <row r="1619" spans="1:9" x14ac:dyDescent="0.2">
      <c r="A1619" t="str">
        <f t="shared" si="272"/>
        <v>37591Vaipahu68CassésBords</v>
      </c>
      <c r="B1619" s="1">
        <v>37591</v>
      </c>
      <c r="C1619" t="s">
        <v>23</v>
      </c>
      <c r="D1619" s="19">
        <v>6</v>
      </c>
      <c r="E1619">
        <v>8</v>
      </c>
      <c r="F1619" t="s">
        <v>12</v>
      </c>
      <c r="G1619" t="s">
        <v>13</v>
      </c>
      <c r="H1619">
        <v>1</v>
      </c>
      <c r="I1619" t="s">
        <v>27</v>
      </c>
    </row>
    <row r="1620" spans="1:9" x14ac:dyDescent="0.2">
      <c r="A1620" t="str">
        <f t="shared" si="272"/>
        <v>37591Vaipahu68PocilloporidaeBords</v>
      </c>
      <c r="B1620" s="1">
        <v>37591</v>
      </c>
      <c r="C1620" t="s">
        <v>23</v>
      </c>
      <c r="D1620" s="19">
        <v>6</v>
      </c>
      <c r="E1620">
        <v>8</v>
      </c>
      <c r="F1620" t="s">
        <v>10</v>
      </c>
      <c r="G1620" t="s">
        <v>13</v>
      </c>
      <c r="H1620">
        <v>2</v>
      </c>
      <c r="I1620" t="s">
        <v>27</v>
      </c>
    </row>
    <row r="1621" spans="1:9" x14ac:dyDescent="0.2">
      <c r="A1621" t="str">
        <f t="shared" si="272"/>
        <v>37591Vaipahu68PocilloporidaeDessus</v>
      </c>
      <c r="B1621" s="1">
        <v>37591</v>
      </c>
      <c r="C1621" t="s">
        <v>23</v>
      </c>
      <c r="D1621" s="19">
        <v>6</v>
      </c>
      <c r="E1621">
        <v>8</v>
      </c>
      <c r="F1621" t="s">
        <v>10</v>
      </c>
      <c r="G1621" t="s">
        <v>11</v>
      </c>
      <c r="H1621">
        <v>1</v>
      </c>
      <c r="I1621" t="s">
        <v>27</v>
      </c>
    </row>
    <row r="1622" spans="1:9" x14ac:dyDescent="0.2">
      <c r="A1622" t="str">
        <f t="shared" si="272"/>
        <v>37591Vaipahu69AcroporidaeBords</v>
      </c>
      <c r="B1622" s="1">
        <v>37591</v>
      </c>
      <c r="C1622" t="s">
        <v>23</v>
      </c>
      <c r="D1622" s="19">
        <v>6</v>
      </c>
      <c r="E1622">
        <v>9</v>
      </c>
      <c r="F1622" t="s">
        <v>17</v>
      </c>
      <c r="G1622" t="s">
        <v>13</v>
      </c>
      <c r="H1622">
        <v>1</v>
      </c>
      <c r="I1622" t="s">
        <v>27</v>
      </c>
    </row>
    <row r="1623" spans="1:9" x14ac:dyDescent="0.2">
      <c r="A1623" t="str">
        <f t="shared" si="272"/>
        <v>37591Vaipahu69PocilloporidaeBords</v>
      </c>
      <c r="B1623" s="1">
        <v>37591</v>
      </c>
      <c r="C1623" t="s">
        <v>23</v>
      </c>
      <c r="D1623" s="19">
        <v>6</v>
      </c>
      <c r="E1623">
        <v>9</v>
      </c>
      <c r="F1623" t="s">
        <v>10</v>
      </c>
      <c r="G1623" t="s">
        <v>13</v>
      </c>
      <c r="H1623">
        <v>1</v>
      </c>
      <c r="I1623" t="s">
        <v>27</v>
      </c>
    </row>
    <row r="1624" spans="1:9" x14ac:dyDescent="0.2">
      <c r="A1624" t="str">
        <f t="shared" si="272"/>
        <v>37591Vaipahu610AcroporidaeBords</v>
      </c>
      <c r="B1624" s="1">
        <v>37591</v>
      </c>
      <c r="C1624" t="s">
        <v>23</v>
      </c>
      <c r="D1624" s="19">
        <v>6</v>
      </c>
      <c r="E1624">
        <v>10</v>
      </c>
      <c r="F1624" t="s">
        <v>17</v>
      </c>
      <c r="G1624" t="s">
        <v>13</v>
      </c>
      <c r="H1624">
        <v>4</v>
      </c>
      <c r="I1624" t="s">
        <v>27</v>
      </c>
    </row>
    <row r="1625" spans="1:9" x14ac:dyDescent="0.2">
      <c r="A1625" t="str">
        <f t="shared" si="272"/>
        <v>37591Vaipahu610PocilloporidaeBords</v>
      </c>
      <c r="B1625" s="1">
        <v>37591</v>
      </c>
      <c r="C1625" t="s">
        <v>23</v>
      </c>
      <c r="D1625" s="19">
        <v>6</v>
      </c>
      <c r="E1625">
        <v>10</v>
      </c>
      <c r="F1625" t="s">
        <v>10</v>
      </c>
      <c r="G1625" t="s">
        <v>13</v>
      </c>
      <c r="H1625">
        <v>4</v>
      </c>
      <c r="I1625" t="s">
        <v>27</v>
      </c>
    </row>
    <row r="1626" spans="1:9" x14ac:dyDescent="0.2">
      <c r="A1626" t="str">
        <f t="shared" si="272"/>
        <v>37591Vaipahu610PocilloporidaeDessus</v>
      </c>
      <c r="B1626" s="1">
        <v>37591</v>
      </c>
      <c r="C1626" t="s">
        <v>23</v>
      </c>
      <c r="D1626" s="19">
        <v>6</v>
      </c>
      <c r="E1626">
        <v>10</v>
      </c>
      <c r="F1626" t="s">
        <v>10</v>
      </c>
      <c r="G1626" t="s">
        <v>11</v>
      </c>
      <c r="H1626">
        <v>1</v>
      </c>
      <c r="I1626" t="s">
        <v>27</v>
      </c>
    </row>
    <row r="1627" spans="1:9" x14ac:dyDescent="0.2">
      <c r="A1627" t="str">
        <f t="shared" si="272"/>
        <v>37591Vaipahu610PoritidaeBords</v>
      </c>
      <c r="B1627" s="1">
        <v>37591</v>
      </c>
      <c r="C1627" t="s">
        <v>23</v>
      </c>
      <c r="D1627" s="19">
        <v>6</v>
      </c>
      <c r="E1627">
        <v>10</v>
      </c>
      <c r="F1627" t="s">
        <v>7</v>
      </c>
      <c r="G1627" t="s">
        <v>13</v>
      </c>
      <c r="H1627">
        <v>1</v>
      </c>
      <c r="I1627" t="s">
        <v>27</v>
      </c>
    </row>
    <row r="1628" spans="1:9" x14ac:dyDescent="0.2">
      <c r="A1628" t="str">
        <f t="shared" si="272"/>
        <v>37591Vaipahu611CassésDessus</v>
      </c>
      <c r="B1628" s="1">
        <v>37591</v>
      </c>
      <c r="C1628" t="s">
        <v>23</v>
      </c>
      <c r="D1628" s="19">
        <v>6</v>
      </c>
      <c r="E1628">
        <v>11</v>
      </c>
      <c r="F1628" t="s">
        <v>12</v>
      </c>
      <c r="G1628" t="s">
        <v>11</v>
      </c>
      <c r="H1628">
        <v>1</v>
      </c>
      <c r="I1628" t="s">
        <v>27</v>
      </c>
    </row>
    <row r="1629" spans="1:9" x14ac:dyDescent="0.2">
      <c r="A1629" t="str">
        <f t="shared" si="272"/>
        <v>37591Vaipahu611PocilloporidaeBords</v>
      </c>
      <c r="B1629" s="1">
        <v>37591</v>
      </c>
      <c r="C1629" t="s">
        <v>23</v>
      </c>
      <c r="D1629" s="19">
        <v>6</v>
      </c>
      <c r="E1629">
        <v>11</v>
      </c>
      <c r="F1629" t="s">
        <v>10</v>
      </c>
      <c r="G1629" t="s">
        <v>13</v>
      </c>
      <c r="H1629">
        <v>2</v>
      </c>
      <c r="I1629" t="s">
        <v>27</v>
      </c>
    </row>
    <row r="1630" spans="1:9" x14ac:dyDescent="0.2">
      <c r="A1630" t="str">
        <f t="shared" si="272"/>
        <v>37591Vaipahu611PocilloporidaeDessus</v>
      </c>
      <c r="B1630" s="1">
        <v>37591</v>
      </c>
      <c r="C1630" t="s">
        <v>23</v>
      </c>
      <c r="D1630" s="19">
        <v>6</v>
      </c>
      <c r="E1630">
        <v>11</v>
      </c>
      <c r="F1630" t="s">
        <v>10</v>
      </c>
      <c r="G1630" t="s">
        <v>11</v>
      </c>
      <c r="H1630">
        <v>1</v>
      </c>
      <c r="I1630" t="s">
        <v>27</v>
      </c>
    </row>
    <row r="1631" spans="1:9" x14ac:dyDescent="0.2">
      <c r="A1631" t="str">
        <f t="shared" si="272"/>
        <v>37591Vaipahu611PoritidaeDessous</v>
      </c>
      <c r="B1631" s="1">
        <v>37591</v>
      </c>
      <c r="C1631" t="s">
        <v>23</v>
      </c>
      <c r="D1631" s="19">
        <v>6</v>
      </c>
      <c r="E1631">
        <v>11</v>
      </c>
      <c r="F1631" t="s">
        <v>7</v>
      </c>
      <c r="G1631" t="s">
        <v>8</v>
      </c>
      <c r="H1631">
        <v>1</v>
      </c>
      <c r="I1631" t="s">
        <v>27</v>
      </c>
    </row>
    <row r="1632" spans="1:9" x14ac:dyDescent="0.2">
      <c r="A1632" t="str">
        <f t="shared" si="272"/>
        <v>37591Vaipahu612Autres</v>
      </c>
      <c r="B1632" s="1">
        <v>37591</v>
      </c>
      <c r="C1632" t="s">
        <v>23</v>
      </c>
      <c r="D1632" s="19">
        <v>6</v>
      </c>
      <c r="E1632">
        <v>12</v>
      </c>
      <c r="F1632" t="s">
        <v>14</v>
      </c>
      <c r="H1632">
        <v>0</v>
      </c>
    </row>
    <row r="1633" spans="1:9" x14ac:dyDescent="0.2">
      <c r="A1633" t="str">
        <f t="shared" si="272"/>
        <v>37591Vaipahu613Autres</v>
      </c>
      <c r="B1633" s="1">
        <v>37591</v>
      </c>
      <c r="C1633" t="s">
        <v>23</v>
      </c>
      <c r="D1633" s="19">
        <v>6</v>
      </c>
      <c r="E1633">
        <v>13</v>
      </c>
      <c r="F1633" t="s">
        <v>14</v>
      </c>
      <c r="H1633">
        <v>0</v>
      </c>
    </row>
    <row r="1634" spans="1:9" x14ac:dyDescent="0.2">
      <c r="A1634" t="str">
        <f t="shared" si="272"/>
        <v>37591Vaipahu614PocilloporidaeDessous</v>
      </c>
      <c r="B1634" s="1">
        <v>37591</v>
      </c>
      <c r="C1634" t="s">
        <v>23</v>
      </c>
      <c r="D1634" s="19">
        <v>6</v>
      </c>
      <c r="E1634">
        <v>14</v>
      </c>
      <c r="F1634" t="s">
        <v>10</v>
      </c>
      <c r="G1634" t="s">
        <v>8</v>
      </c>
      <c r="H1634">
        <v>1</v>
      </c>
      <c r="I1634" t="s">
        <v>27</v>
      </c>
    </row>
    <row r="1635" spans="1:9" x14ac:dyDescent="0.2">
      <c r="A1635" t="str">
        <f t="shared" si="272"/>
        <v>37591Vaipahu615</v>
      </c>
      <c r="B1635" s="1">
        <v>37591</v>
      </c>
      <c r="C1635" t="s">
        <v>23</v>
      </c>
      <c r="D1635" s="19">
        <v>6</v>
      </c>
      <c r="E1635">
        <v>15</v>
      </c>
      <c r="F1635" t="s">
        <v>27</v>
      </c>
      <c r="G1635" t="s">
        <v>27</v>
      </c>
      <c r="H1635" t="s">
        <v>27</v>
      </c>
      <c r="I1635" t="s">
        <v>31</v>
      </c>
    </row>
    <row r="1636" spans="1:9" x14ac:dyDescent="0.2">
      <c r="A1636" t="str">
        <f t="shared" si="272"/>
        <v>37591Vaipahu616AcroporidaeDessous</v>
      </c>
      <c r="B1636" s="1">
        <v>37591</v>
      </c>
      <c r="C1636" t="s">
        <v>23</v>
      </c>
      <c r="D1636" s="19">
        <v>6</v>
      </c>
      <c r="E1636">
        <v>16</v>
      </c>
      <c r="F1636" t="s">
        <v>17</v>
      </c>
      <c r="G1636" t="s">
        <v>8</v>
      </c>
      <c r="H1636">
        <v>2</v>
      </c>
      <c r="I1636" t="s">
        <v>27</v>
      </c>
    </row>
    <row r="1637" spans="1:9" x14ac:dyDescent="0.2">
      <c r="A1637" t="str">
        <f t="shared" si="272"/>
        <v>37591Vaipahu616PocilloporidaeBords</v>
      </c>
      <c r="B1637" s="1">
        <v>37591</v>
      </c>
      <c r="C1637" t="s">
        <v>23</v>
      </c>
      <c r="D1637" s="19">
        <v>6</v>
      </c>
      <c r="E1637">
        <v>16</v>
      </c>
      <c r="F1637" t="s">
        <v>10</v>
      </c>
      <c r="G1637" t="s">
        <v>13</v>
      </c>
      <c r="H1637">
        <v>1</v>
      </c>
      <c r="I1637" t="s">
        <v>27</v>
      </c>
    </row>
    <row r="1638" spans="1:9" x14ac:dyDescent="0.2">
      <c r="A1638" t="str">
        <f t="shared" si="272"/>
        <v>37591Vaipahu616PocilloporidaeDessous</v>
      </c>
      <c r="B1638" s="1">
        <v>37591</v>
      </c>
      <c r="C1638" t="s">
        <v>23</v>
      </c>
      <c r="D1638" s="19">
        <v>6</v>
      </c>
      <c r="E1638">
        <v>16</v>
      </c>
      <c r="F1638" t="s">
        <v>10</v>
      </c>
      <c r="G1638" t="s">
        <v>8</v>
      </c>
      <c r="H1638">
        <v>1</v>
      </c>
      <c r="I1638" t="s">
        <v>27</v>
      </c>
    </row>
    <row r="1639" spans="1:9" x14ac:dyDescent="0.2">
      <c r="A1639" t="str">
        <f t="shared" si="272"/>
        <v>37591Vaipahu616PoritidaeDessous</v>
      </c>
      <c r="B1639" s="1">
        <v>37591</v>
      </c>
      <c r="C1639" t="s">
        <v>23</v>
      </c>
      <c r="D1639" s="19">
        <v>6</v>
      </c>
      <c r="E1639">
        <v>16</v>
      </c>
      <c r="F1639" t="s">
        <v>7</v>
      </c>
      <c r="G1639" t="s">
        <v>8</v>
      </c>
      <c r="H1639">
        <v>1</v>
      </c>
      <c r="I1639" t="s">
        <v>27</v>
      </c>
    </row>
    <row r="1640" spans="1:9" x14ac:dyDescent="0.2">
      <c r="A1640" t="str">
        <f t="shared" si="272"/>
        <v>37591Vaipahu617AcroporidaeBords</v>
      </c>
      <c r="B1640" s="1">
        <v>37591</v>
      </c>
      <c r="C1640" t="s">
        <v>23</v>
      </c>
      <c r="D1640" s="19">
        <v>6</v>
      </c>
      <c r="E1640">
        <v>17</v>
      </c>
      <c r="F1640" t="s">
        <v>17</v>
      </c>
      <c r="G1640" t="s">
        <v>13</v>
      </c>
      <c r="H1640">
        <v>4</v>
      </c>
      <c r="I1640" t="s">
        <v>27</v>
      </c>
    </row>
    <row r="1641" spans="1:9" x14ac:dyDescent="0.2">
      <c r="A1641" t="str">
        <f t="shared" si="272"/>
        <v>37591Vaipahu617AcroporidaeDessous</v>
      </c>
      <c r="B1641" s="1">
        <v>37591</v>
      </c>
      <c r="C1641" t="s">
        <v>23</v>
      </c>
      <c r="D1641" s="19">
        <v>6</v>
      </c>
      <c r="E1641">
        <v>17</v>
      </c>
      <c r="F1641" t="s">
        <v>17</v>
      </c>
      <c r="G1641" t="s">
        <v>8</v>
      </c>
      <c r="H1641">
        <v>1</v>
      </c>
      <c r="I1641" t="s">
        <v>27</v>
      </c>
    </row>
    <row r="1642" spans="1:9" x14ac:dyDescent="0.2">
      <c r="A1642" t="str">
        <f t="shared" si="272"/>
        <v>37591Vaipahu617PocilloporidaeBords</v>
      </c>
      <c r="B1642" s="1">
        <v>37591</v>
      </c>
      <c r="C1642" t="s">
        <v>23</v>
      </c>
      <c r="D1642" s="19">
        <v>6</v>
      </c>
      <c r="E1642">
        <v>17</v>
      </c>
      <c r="F1642" t="s">
        <v>10</v>
      </c>
      <c r="G1642" t="s">
        <v>13</v>
      </c>
      <c r="H1642">
        <v>4</v>
      </c>
      <c r="I1642" t="s">
        <v>27</v>
      </c>
    </row>
    <row r="1643" spans="1:9" x14ac:dyDescent="0.2">
      <c r="A1643" t="str">
        <f t="shared" si="272"/>
        <v>37591Vaipahu617PocilloporidaeDessous</v>
      </c>
      <c r="B1643" s="1">
        <v>37591</v>
      </c>
      <c r="C1643" t="s">
        <v>23</v>
      </c>
      <c r="D1643" s="19">
        <v>6</v>
      </c>
      <c r="E1643">
        <v>17</v>
      </c>
      <c r="F1643" t="s">
        <v>10</v>
      </c>
      <c r="G1643" t="s">
        <v>8</v>
      </c>
      <c r="H1643">
        <v>1</v>
      </c>
      <c r="I1643" t="s">
        <v>27</v>
      </c>
    </row>
    <row r="1644" spans="1:9" x14ac:dyDescent="0.2">
      <c r="A1644" t="str">
        <f t="shared" si="272"/>
        <v>37591Vaipahu618PocilloporidaeDessous</v>
      </c>
      <c r="B1644" s="1">
        <v>37591</v>
      </c>
      <c r="C1644" t="s">
        <v>23</v>
      </c>
      <c r="D1644" s="19">
        <v>6</v>
      </c>
      <c r="E1644">
        <v>18</v>
      </c>
      <c r="F1644" t="s">
        <v>10</v>
      </c>
      <c r="G1644" t="s">
        <v>8</v>
      </c>
      <c r="H1644">
        <v>1</v>
      </c>
      <c r="I1644" t="s">
        <v>27</v>
      </c>
    </row>
    <row r="1645" spans="1:9" x14ac:dyDescent="0.2">
      <c r="A1645" t="str">
        <f t="shared" si="272"/>
        <v>37591Vaipahu619CassésDessus</v>
      </c>
      <c r="B1645" s="1">
        <v>37591</v>
      </c>
      <c r="C1645" t="s">
        <v>23</v>
      </c>
      <c r="D1645" s="19">
        <v>6</v>
      </c>
      <c r="E1645">
        <v>19</v>
      </c>
      <c r="F1645" t="s">
        <v>12</v>
      </c>
      <c r="G1645" t="s">
        <v>11</v>
      </c>
      <c r="H1645">
        <v>1</v>
      </c>
      <c r="I1645" t="s">
        <v>27</v>
      </c>
    </row>
    <row r="1646" spans="1:9" x14ac:dyDescent="0.2">
      <c r="A1646" t="str">
        <f t="shared" si="272"/>
        <v>37591Vaipahu619PocilloporidaeBords</v>
      </c>
      <c r="B1646" s="1">
        <v>37591</v>
      </c>
      <c r="C1646" t="s">
        <v>23</v>
      </c>
      <c r="D1646" s="19">
        <v>6</v>
      </c>
      <c r="E1646">
        <v>19</v>
      </c>
      <c r="F1646" t="s">
        <v>10</v>
      </c>
      <c r="G1646" t="s">
        <v>13</v>
      </c>
      <c r="H1646">
        <v>1</v>
      </c>
      <c r="I1646" t="s">
        <v>27</v>
      </c>
    </row>
    <row r="1647" spans="1:9" x14ac:dyDescent="0.2">
      <c r="A1647" t="str">
        <f t="shared" si="272"/>
        <v>37591Vaipahu619PocilloporidaeDessous</v>
      </c>
      <c r="B1647" s="1">
        <v>37591</v>
      </c>
      <c r="C1647" t="s">
        <v>23</v>
      </c>
      <c r="D1647" s="19">
        <v>6</v>
      </c>
      <c r="E1647">
        <v>19</v>
      </c>
      <c r="F1647" t="s">
        <v>10</v>
      </c>
      <c r="G1647" t="s">
        <v>8</v>
      </c>
      <c r="H1647">
        <v>1</v>
      </c>
      <c r="I1647" t="s">
        <v>27</v>
      </c>
    </row>
    <row r="1648" spans="1:9" x14ac:dyDescent="0.2">
      <c r="A1648" t="str">
        <f t="shared" si="272"/>
        <v>37591Vaipahu619PoritidaeDessus</v>
      </c>
      <c r="B1648" s="1">
        <v>37591</v>
      </c>
      <c r="C1648" t="s">
        <v>23</v>
      </c>
      <c r="D1648" s="19">
        <v>6</v>
      </c>
      <c r="E1648">
        <v>19</v>
      </c>
      <c r="F1648" t="s">
        <v>7</v>
      </c>
      <c r="G1648" t="s">
        <v>11</v>
      </c>
      <c r="H1648">
        <v>1</v>
      </c>
      <c r="I1648" t="s">
        <v>27</v>
      </c>
    </row>
    <row r="1649" spans="1:9" x14ac:dyDescent="0.2">
      <c r="A1649" t="str">
        <f t="shared" si="272"/>
        <v>37591Vaipahu620AcroporidaeBords</v>
      </c>
      <c r="B1649" s="1">
        <v>37591</v>
      </c>
      <c r="C1649" t="s">
        <v>23</v>
      </c>
      <c r="D1649" s="19">
        <v>6</v>
      </c>
      <c r="E1649">
        <v>20</v>
      </c>
      <c r="F1649" t="s">
        <v>17</v>
      </c>
      <c r="G1649" t="s">
        <v>13</v>
      </c>
      <c r="H1649">
        <v>1</v>
      </c>
      <c r="I1649" t="s">
        <v>27</v>
      </c>
    </row>
    <row r="1650" spans="1:9" x14ac:dyDescent="0.2">
      <c r="A1650" t="str">
        <f t="shared" si="272"/>
        <v>37591Vaipahu620AcroporidaeDessous</v>
      </c>
      <c r="B1650" s="1">
        <v>37591</v>
      </c>
      <c r="C1650" t="s">
        <v>23</v>
      </c>
      <c r="D1650" s="19">
        <v>6</v>
      </c>
      <c r="E1650">
        <v>20</v>
      </c>
      <c r="F1650" t="s">
        <v>17</v>
      </c>
      <c r="G1650" t="s">
        <v>8</v>
      </c>
      <c r="H1650">
        <v>1</v>
      </c>
      <c r="I1650" t="s">
        <v>27</v>
      </c>
    </row>
    <row r="1651" spans="1:9" x14ac:dyDescent="0.2">
      <c r="A1651" t="str">
        <f t="shared" si="272"/>
        <v>37591Vaipahu620PocilloporidaeBords</v>
      </c>
      <c r="B1651" s="1">
        <v>37591</v>
      </c>
      <c r="C1651" t="s">
        <v>23</v>
      </c>
      <c r="D1651" s="19">
        <v>6</v>
      </c>
      <c r="E1651">
        <v>20</v>
      </c>
      <c r="F1651" t="s">
        <v>10</v>
      </c>
      <c r="G1651" t="s">
        <v>13</v>
      </c>
      <c r="H1651">
        <v>1</v>
      </c>
      <c r="I1651" t="s">
        <v>27</v>
      </c>
    </row>
    <row r="1652" spans="1:9" x14ac:dyDescent="0.2">
      <c r="A1652" t="str">
        <f t="shared" si="272"/>
        <v>37591Vaipahu620PocilloporidaeDessous</v>
      </c>
      <c r="B1652" s="1">
        <v>37591</v>
      </c>
      <c r="C1652" t="s">
        <v>23</v>
      </c>
      <c r="D1652" s="19">
        <v>6</v>
      </c>
      <c r="E1652">
        <v>20</v>
      </c>
      <c r="F1652" t="s">
        <v>10</v>
      </c>
      <c r="G1652" t="s">
        <v>8</v>
      </c>
      <c r="H1652">
        <v>2</v>
      </c>
      <c r="I1652" t="s">
        <v>27</v>
      </c>
    </row>
    <row r="1653" spans="1:9" x14ac:dyDescent="0.2">
      <c r="A1653" t="str">
        <f t="shared" si="272"/>
        <v>37591Vaipahu1221Autres</v>
      </c>
      <c r="B1653" s="1">
        <v>37591</v>
      </c>
      <c r="C1653" t="s">
        <v>23</v>
      </c>
      <c r="D1653" s="19">
        <v>12</v>
      </c>
      <c r="E1653">
        <v>21</v>
      </c>
      <c r="F1653" t="s">
        <v>14</v>
      </c>
      <c r="H1653">
        <v>0</v>
      </c>
    </row>
    <row r="1654" spans="1:9" x14ac:dyDescent="0.2">
      <c r="A1654" t="str">
        <f t="shared" si="272"/>
        <v>37591Vaipahu1222PocilloporidaeBords</v>
      </c>
      <c r="B1654" s="1">
        <v>37591</v>
      </c>
      <c r="C1654" t="s">
        <v>23</v>
      </c>
      <c r="D1654" s="19">
        <v>12</v>
      </c>
      <c r="E1654">
        <v>22</v>
      </c>
      <c r="F1654" t="s">
        <v>10</v>
      </c>
      <c r="G1654" t="s">
        <v>13</v>
      </c>
      <c r="H1654">
        <v>1</v>
      </c>
      <c r="I1654" t="s">
        <v>27</v>
      </c>
    </row>
    <row r="1655" spans="1:9" x14ac:dyDescent="0.2">
      <c r="A1655" t="str">
        <f t="shared" si="272"/>
        <v>37591Vaipahu1222PocilloporidaeDessous</v>
      </c>
      <c r="B1655" s="1">
        <v>37591</v>
      </c>
      <c r="C1655" t="s">
        <v>23</v>
      </c>
      <c r="D1655" s="19">
        <v>12</v>
      </c>
      <c r="E1655">
        <v>22</v>
      </c>
      <c r="F1655" t="s">
        <v>10</v>
      </c>
      <c r="G1655" t="s">
        <v>8</v>
      </c>
      <c r="H1655">
        <v>1</v>
      </c>
      <c r="I1655" t="s">
        <v>27</v>
      </c>
    </row>
    <row r="1656" spans="1:9" x14ac:dyDescent="0.2">
      <c r="A1656" t="str">
        <f t="shared" si="272"/>
        <v>37591Vaipahu1223CassésDessus</v>
      </c>
      <c r="B1656" s="1">
        <v>37591</v>
      </c>
      <c r="C1656" t="s">
        <v>23</v>
      </c>
      <c r="D1656" s="19">
        <v>12</v>
      </c>
      <c r="E1656">
        <v>23</v>
      </c>
      <c r="F1656" t="s">
        <v>12</v>
      </c>
      <c r="G1656" t="s">
        <v>11</v>
      </c>
      <c r="H1656">
        <v>1</v>
      </c>
      <c r="I1656" t="s">
        <v>27</v>
      </c>
    </row>
    <row r="1657" spans="1:9" x14ac:dyDescent="0.2">
      <c r="A1657" t="str">
        <f t="shared" si="272"/>
        <v>37591Vaipahu1223PocilloporidaeDessus</v>
      </c>
      <c r="B1657" s="1">
        <v>37591</v>
      </c>
      <c r="C1657" t="s">
        <v>23</v>
      </c>
      <c r="D1657" s="19">
        <v>12</v>
      </c>
      <c r="E1657">
        <v>23</v>
      </c>
      <c r="F1657" t="s">
        <v>10</v>
      </c>
      <c r="G1657" t="s">
        <v>11</v>
      </c>
      <c r="H1657">
        <v>1</v>
      </c>
      <c r="I1657" t="s">
        <v>27</v>
      </c>
    </row>
    <row r="1658" spans="1:9" x14ac:dyDescent="0.2">
      <c r="A1658" t="str">
        <f t="shared" si="272"/>
        <v>37591Vaipahu1224</v>
      </c>
      <c r="B1658" s="1">
        <v>37591</v>
      </c>
      <c r="C1658" t="s">
        <v>23</v>
      </c>
      <c r="D1658" s="19">
        <v>12</v>
      </c>
      <c r="E1658">
        <v>24</v>
      </c>
      <c r="F1658" t="s">
        <v>27</v>
      </c>
      <c r="G1658" t="s">
        <v>27</v>
      </c>
      <c r="H1658" t="s">
        <v>27</v>
      </c>
      <c r="I1658" t="s">
        <v>31</v>
      </c>
    </row>
    <row r="1659" spans="1:9" x14ac:dyDescent="0.2">
      <c r="A1659" t="str">
        <f t="shared" si="272"/>
        <v>37591Vaipahu1225AcroporidaeDessous</v>
      </c>
      <c r="B1659" s="1">
        <v>37591</v>
      </c>
      <c r="C1659" t="s">
        <v>23</v>
      </c>
      <c r="D1659" s="19">
        <v>12</v>
      </c>
      <c r="E1659">
        <v>25</v>
      </c>
      <c r="F1659" t="s">
        <v>17</v>
      </c>
      <c r="G1659" t="s">
        <v>8</v>
      </c>
      <c r="H1659">
        <v>1</v>
      </c>
      <c r="I1659" t="s">
        <v>27</v>
      </c>
    </row>
    <row r="1660" spans="1:9" x14ac:dyDescent="0.2">
      <c r="A1660" t="str">
        <f t="shared" si="272"/>
        <v>37591Vaipahu1225PocilloporidaeDessous</v>
      </c>
      <c r="B1660" s="1">
        <v>37591</v>
      </c>
      <c r="C1660" t="s">
        <v>23</v>
      </c>
      <c r="D1660" s="19">
        <v>12</v>
      </c>
      <c r="E1660">
        <v>25</v>
      </c>
      <c r="F1660" t="s">
        <v>10</v>
      </c>
      <c r="G1660" t="s">
        <v>8</v>
      </c>
      <c r="H1660">
        <v>1</v>
      </c>
      <c r="I1660" t="s">
        <v>27</v>
      </c>
    </row>
    <row r="1661" spans="1:9" x14ac:dyDescent="0.2">
      <c r="A1661" t="str">
        <f t="shared" si="272"/>
        <v>37591Vaipahu1225PoritidaeDessous</v>
      </c>
      <c r="B1661" s="1">
        <v>37591</v>
      </c>
      <c r="C1661" t="s">
        <v>23</v>
      </c>
      <c r="D1661" s="19">
        <v>12</v>
      </c>
      <c r="E1661">
        <v>25</v>
      </c>
      <c r="F1661" t="s">
        <v>7</v>
      </c>
      <c r="G1661" t="s">
        <v>8</v>
      </c>
      <c r="H1661">
        <v>2</v>
      </c>
      <c r="I1661" t="s">
        <v>27</v>
      </c>
    </row>
    <row r="1662" spans="1:9" x14ac:dyDescent="0.2">
      <c r="A1662" t="str">
        <f t="shared" si="272"/>
        <v>37591Vaipahu1226PocilloporidaeBords</v>
      </c>
      <c r="B1662" s="1">
        <v>37591</v>
      </c>
      <c r="C1662" t="s">
        <v>23</v>
      </c>
      <c r="D1662" s="19">
        <v>12</v>
      </c>
      <c r="E1662">
        <v>26</v>
      </c>
      <c r="F1662" t="s">
        <v>10</v>
      </c>
      <c r="G1662" t="s">
        <v>13</v>
      </c>
      <c r="H1662">
        <v>2</v>
      </c>
      <c r="I1662" t="s">
        <v>27</v>
      </c>
    </row>
    <row r="1663" spans="1:9" x14ac:dyDescent="0.2">
      <c r="A1663" t="str">
        <f t="shared" ref="A1663:A1726" si="273">B1663 &amp; C1663&amp; D1663&amp; E1663 &amp; F1663 &amp;G1663</f>
        <v>37591Vaipahu1226PocilloporidaeDessous</v>
      </c>
      <c r="B1663" s="1">
        <v>37591</v>
      </c>
      <c r="C1663" t="s">
        <v>23</v>
      </c>
      <c r="D1663" s="19">
        <v>12</v>
      </c>
      <c r="E1663">
        <v>26</v>
      </c>
      <c r="F1663" t="s">
        <v>10</v>
      </c>
      <c r="G1663" t="s">
        <v>8</v>
      </c>
      <c r="H1663">
        <v>1</v>
      </c>
      <c r="I1663" t="s">
        <v>27</v>
      </c>
    </row>
    <row r="1664" spans="1:9" x14ac:dyDescent="0.2">
      <c r="A1664" t="str">
        <f t="shared" si="273"/>
        <v>37591Vaipahu1227Autres</v>
      </c>
      <c r="B1664" s="1">
        <v>37591</v>
      </c>
      <c r="C1664" t="s">
        <v>23</v>
      </c>
      <c r="D1664" s="19">
        <v>12</v>
      </c>
      <c r="E1664">
        <v>27</v>
      </c>
      <c r="F1664" t="s">
        <v>14</v>
      </c>
      <c r="H1664">
        <v>0</v>
      </c>
    </row>
    <row r="1665" spans="1:9" x14ac:dyDescent="0.2">
      <c r="A1665" t="str">
        <f t="shared" si="273"/>
        <v>37591Vaipahu1228AcroporidaeBords</v>
      </c>
      <c r="B1665" s="1">
        <v>37591</v>
      </c>
      <c r="C1665" t="s">
        <v>23</v>
      </c>
      <c r="D1665" s="19">
        <v>12</v>
      </c>
      <c r="E1665">
        <v>28</v>
      </c>
      <c r="F1665" t="s">
        <v>17</v>
      </c>
      <c r="G1665" t="s">
        <v>13</v>
      </c>
      <c r="H1665">
        <v>1</v>
      </c>
      <c r="I1665" t="s">
        <v>27</v>
      </c>
    </row>
    <row r="1666" spans="1:9" x14ac:dyDescent="0.2">
      <c r="A1666" t="str">
        <f t="shared" si="273"/>
        <v>37591Vaipahu1228PoritidaeBords</v>
      </c>
      <c r="B1666" s="1">
        <v>37591</v>
      </c>
      <c r="C1666" t="s">
        <v>23</v>
      </c>
      <c r="D1666" s="19">
        <v>12</v>
      </c>
      <c r="E1666">
        <v>28</v>
      </c>
      <c r="F1666" t="s">
        <v>7</v>
      </c>
      <c r="G1666" t="s">
        <v>13</v>
      </c>
      <c r="H1666">
        <v>3</v>
      </c>
      <c r="I1666" t="s">
        <v>27</v>
      </c>
    </row>
    <row r="1667" spans="1:9" x14ac:dyDescent="0.2">
      <c r="A1667" t="str">
        <f t="shared" si="273"/>
        <v>37591Vaipahu1228PoritidaeDessous</v>
      </c>
      <c r="B1667" s="1">
        <v>37591</v>
      </c>
      <c r="C1667" t="s">
        <v>23</v>
      </c>
      <c r="D1667" s="19">
        <v>12</v>
      </c>
      <c r="E1667">
        <v>28</v>
      </c>
      <c r="F1667" t="s">
        <v>7</v>
      </c>
      <c r="G1667" t="s">
        <v>8</v>
      </c>
      <c r="H1667">
        <v>3</v>
      </c>
      <c r="I1667" t="s">
        <v>27</v>
      </c>
    </row>
    <row r="1668" spans="1:9" x14ac:dyDescent="0.2">
      <c r="A1668" t="str">
        <f t="shared" si="273"/>
        <v>37591Vaipahu1229PoritidaeDessus</v>
      </c>
      <c r="B1668" s="1">
        <v>37591</v>
      </c>
      <c r="C1668" t="s">
        <v>23</v>
      </c>
      <c r="D1668" s="19">
        <v>12</v>
      </c>
      <c r="E1668">
        <v>29</v>
      </c>
      <c r="F1668" t="s">
        <v>7</v>
      </c>
      <c r="G1668" t="s">
        <v>11</v>
      </c>
      <c r="H1668">
        <v>1</v>
      </c>
      <c r="I1668" t="s">
        <v>27</v>
      </c>
    </row>
    <row r="1669" spans="1:9" x14ac:dyDescent="0.2">
      <c r="A1669" t="str">
        <f t="shared" si="273"/>
        <v>37591Vaipahu1230AcroporidaeDessous</v>
      </c>
      <c r="B1669" s="1">
        <v>37591</v>
      </c>
      <c r="C1669" t="s">
        <v>23</v>
      </c>
      <c r="D1669" s="19">
        <v>12</v>
      </c>
      <c r="E1669">
        <v>30</v>
      </c>
      <c r="F1669" t="s">
        <v>17</v>
      </c>
      <c r="G1669" t="s">
        <v>8</v>
      </c>
      <c r="H1669">
        <v>3</v>
      </c>
      <c r="I1669" t="s">
        <v>27</v>
      </c>
    </row>
    <row r="1670" spans="1:9" x14ac:dyDescent="0.2">
      <c r="A1670" t="str">
        <f t="shared" si="273"/>
        <v>37591Vaipahu1231PocilloporidaeDessous</v>
      </c>
      <c r="B1670" s="1">
        <v>37591</v>
      </c>
      <c r="C1670" t="s">
        <v>23</v>
      </c>
      <c r="D1670" s="19">
        <v>12</v>
      </c>
      <c r="E1670">
        <v>31</v>
      </c>
      <c r="F1670" t="s">
        <v>10</v>
      </c>
      <c r="G1670" t="s">
        <v>8</v>
      </c>
      <c r="H1670">
        <v>1</v>
      </c>
      <c r="I1670" t="s">
        <v>27</v>
      </c>
    </row>
    <row r="1671" spans="1:9" x14ac:dyDescent="0.2">
      <c r="A1671" t="str">
        <f t="shared" si="273"/>
        <v>37591Vaipahu1232AutresDessus</v>
      </c>
      <c r="B1671" s="1">
        <v>37591</v>
      </c>
      <c r="C1671" t="s">
        <v>23</v>
      </c>
      <c r="D1671" s="19">
        <v>12</v>
      </c>
      <c r="E1671">
        <v>32</v>
      </c>
      <c r="F1671" t="s">
        <v>14</v>
      </c>
      <c r="G1671" t="s">
        <v>11</v>
      </c>
      <c r="H1671">
        <v>1</v>
      </c>
      <c r="I1671" t="s">
        <v>27</v>
      </c>
    </row>
    <row r="1672" spans="1:9" x14ac:dyDescent="0.2">
      <c r="A1672" t="str">
        <f t="shared" si="273"/>
        <v>37591Vaipahu1233PocilloporidaeDessus</v>
      </c>
      <c r="B1672" s="1">
        <v>37591</v>
      </c>
      <c r="C1672" t="s">
        <v>23</v>
      </c>
      <c r="D1672" s="19">
        <v>12</v>
      </c>
      <c r="E1672">
        <v>33</v>
      </c>
      <c r="F1672" t="s">
        <v>10</v>
      </c>
      <c r="G1672" t="s">
        <v>11</v>
      </c>
      <c r="H1672">
        <v>1</v>
      </c>
      <c r="I1672" t="s">
        <v>27</v>
      </c>
    </row>
    <row r="1673" spans="1:9" x14ac:dyDescent="0.2">
      <c r="A1673" t="str">
        <f t="shared" si="273"/>
        <v>37591Vaipahu1233PoritidaeDessous</v>
      </c>
      <c r="B1673" s="1">
        <v>37591</v>
      </c>
      <c r="C1673" t="s">
        <v>23</v>
      </c>
      <c r="D1673" s="19">
        <v>12</v>
      </c>
      <c r="E1673">
        <v>33</v>
      </c>
      <c r="F1673" t="s">
        <v>7</v>
      </c>
      <c r="G1673" t="s">
        <v>8</v>
      </c>
      <c r="H1673">
        <v>1</v>
      </c>
      <c r="I1673" t="s">
        <v>27</v>
      </c>
    </row>
    <row r="1674" spans="1:9" x14ac:dyDescent="0.2">
      <c r="A1674" t="str">
        <f t="shared" si="273"/>
        <v>37591Vaipahu1234AcroporidaeDessous</v>
      </c>
      <c r="B1674" s="1">
        <v>37591</v>
      </c>
      <c r="C1674" t="s">
        <v>23</v>
      </c>
      <c r="D1674" s="19">
        <v>12</v>
      </c>
      <c r="E1674">
        <v>34</v>
      </c>
      <c r="F1674" t="s">
        <v>17</v>
      </c>
      <c r="G1674" t="s">
        <v>8</v>
      </c>
      <c r="H1674">
        <v>2</v>
      </c>
      <c r="I1674" t="s">
        <v>27</v>
      </c>
    </row>
    <row r="1675" spans="1:9" x14ac:dyDescent="0.2">
      <c r="A1675" t="str">
        <f t="shared" si="273"/>
        <v>37591Vaipahu1234PocilloporidaeBords</v>
      </c>
      <c r="B1675" s="1">
        <v>37591</v>
      </c>
      <c r="C1675" t="s">
        <v>23</v>
      </c>
      <c r="D1675" s="19">
        <v>12</v>
      </c>
      <c r="E1675">
        <v>34</v>
      </c>
      <c r="F1675" t="s">
        <v>10</v>
      </c>
      <c r="G1675" t="s">
        <v>13</v>
      </c>
      <c r="H1675">
        <v>1</v>
      </c>
      <c r="I1675" t="s">
        <v>27</v>
      </c>
    </row>
    <row r="1676" spans="1:9" x14ac:dyDescent="0.2">
      <c r="A1676" t="str">
        <f t="shared" si="273"/>
        <v>37591Vaipahu1235AutresDessous</v>
      </c>
      <c r="B1676" s="1">
        <v>37591</v>
      </c>
      <c r="C1676" t="s">
        <v>23</v>
      </c>
      <c r="D1676" s="19">
        <v>12</v>
      </c>
      <c r="E1676">
        <v>35</v>
      </c>
      <c r="F1676" t="s">
        <v>14</v>
      </c>
      <c r="G1676" t="s">
        <v>8</v>
      </c>
      <c r="H1676">
        <v>1</v>
      </c>
      <c r="I1676" t="s">
        <v>27</v>
      </c>
    </row>
    <row r="1677" spans="1:9" x14ac:dyDescent="0.2">
      <c r="A1677" t="str">
        <f t="shared" si="273"/>
        <v>37591Vaipahu1235PocilloporidaeDessous</v>
      </c>
      <c r="B1677" s="1">
        <v>37591</v>
      </c>
      <c r="C1677" t="s">
        <v>23</v>
      </c>
      <c r="D1677" s="19">
        <v>12</v>
      </c>
      <c r="E1677">
        <v>35</v>
      </c>
      <c r="F1677" t="s">
        <v>10</v>
      </c>
      <c r="G1677" t="s">
        <v>8</v>
      </c>
      <c r="H1677">
        <v>2</v>
      </c>
      <c r="I1677" t="s">
        <v>27</v>
      </c>
    </row>
    <row r="1678" spans="1:9" x14ac:dyDescent="0.2">
      <c r="A1678" t="str">
        <f t="shared" si="273"/>
        <v>37591Vaipahu1236AcroporidaeBords</v>
      </c>
      <c r="B1678" s="1">
        <v>37591</v>
      </c>
      <c r="C1678" t="s">
        <v>23</v>
      </c>
      <c r="D1678" s="19">
        <v>12</v>
      </c>
      <c r="E1678">
        <v>36</v>
      </c>
      <c r="F1678" t="s">
        <v>17</v>
      </c>
      <c r="G1678" t="s">
        <v>13</v>
      </c>
      <c r="H1678">
        <v>1</v>
      </c>
      <c r="I1678" t="s">
        <v>27</v>
      </c>
    </row>
    <row r="1679" spans="1:9" x14ac:dyDescent="0.2">
      <c r="A1679" t="str">
        <f t="shared" si="273"/>
        <v>37591Vaipahu1236AcroporidaeDessus</v>
      </c>
      <c r="B1679" s="1">
        <v>37591</v>
      </c>
      <c r="C1679" t="s">
        <v>23</v>
      </c>
      <c r="D1679" s="19">
        <v>12</v>
      </c>
      <c r="E1679">
        <v>36</v>
      </c>
      <c r="F1679" t="s">
        <v>17</v>
      </c>
      <c r="G1679" t="s">
        <v>11</v>
      </c>
      <c r="H1679">
        <v>1</v>
      </c>
      <c r="I1679" t="s">
        <v>27</v>
      </c>
    </row>
    <row r="1680" spans="1:9" x14ac:dyDescent="0.2">
      <c r="A1680" t="str">
        <f t="shared" si="273"/>
        <v>37591Vaipahu1236PocilloporidaeBords</v>
      </c>
      <c r="B1680" s="1">
        <v>37591</v>
      </c>
      <c r="C1680" t="s">
        <v>23</v>
      </c>
      <c r="D1680" s="19">
        <v>12</v>
      </c>
      <c r="E1680">
        <v>36</v>
      </c>
      <c r="F1680" t="s">
        <v>10</v>
      </c>
      <c r="G1680" t="s">
        <v>13</v>
      </c>
      <c r="H1680">
        <v>5</v>
      </c>
      <c r="I1680" t="s">
        <v>27</v>
      </c>
    </row>
    <row r="1681" spans="1:9" x14ac:dyDescent="0.2">
      <c r="A1681" t="str">
        <f t="shared" si="273"/>
        <v>37591Vaipahu1237PocilloporidaeDessous</v>
      </c>
      <c r="B1681" s="1">
        <v>37591</v>
      </c>
      <c r="C1681" t="s">
        <v>23</v>
      </c>
      <c r="D1681" s="19">
        <v>12</v>
      </c>
      <c r="E1681">
        <v>37</v>
      </c>
      <c r="F1681" t="s">
        <v>10</v>
      </c>
      <c r="G1681" t="s">
        <v>8</v>
      </c>
      <c r="H1681">
        <v>1</v>
      </c>
      <c r="I1681" t="s">
        <v>27</v>
      </c>
    </row>
    <row r="1682" spans="1:9" x14ac:dyDescent="0.2">
      <c r="A1682" t="str">
        <f t="shared" si="273"/>
        <v>37591Vaipahu1238PocilloporidaeDessous</v>
      </c>
      <c r="B1682" s="1">
        <v>37591</v>
      </c>
      <c r="C1682" t="s">
        <v>23</v>
      </c>
      <c r="D1682" s="19">
        <v>12</v>
      </c>
      <c r="E1682">
        <v>38</v>
      </c>
      <c r="F1682" t="s">
        <v>10</v>
      </c>
      <c r="G1682" t="s">
        <v>8</v>
      </c>
      <c r="H1682">
        <v>1</v>
      </c>
      <c r="I1682" t="s">
        <v>27</v>
      </c>
    </row>
    <row r="1683" spans="1:9" x14ac:dyDescent="0.2">
      <c r="A1683" t="str">
        <f t="shared" si="273"/>
        <v>37591Vaipahu1239AcroporidaeDessous</v>
      </c>
      <c r="B1683" s="1">
        <v>37591</v>
      </c>
      <c r="C1683" t="s">
        <v>23</v>
      </c>
      <c r="D1683" s="19">
        <v>12</v>
      </c>
      <c r="E1683">
        <v>39</v>
      </c>
      <c r="F1683" t="s">
        <v>17</v>
      </c>
      <c r="G1683" t="s">
        <v>8</v>
      </c>
      <c r="H1683">
        <v>1</v>
      </c>
      <c r="I1683" t="s">
        <v>27</v>
      </c>
    </row>
    <row r="1684" spans="1:9" x14ac:dyDescent="0.2">
      <c r="A1684" t="str">
        <f t="shared" si="273"/>
        <v>37591Vaipahu1239PocilloporidaeDessus</v>
      </c>
      <c r="B1684" s="1">
        <v>37591</v>
      </c>
      <c r="C1684" t="s">
        <v>23</v>
      </c>
      <c r="D1684" s="19">
        <v>12</v>
      </c>
      <c r="E1684">
        <v>39</v>
      </c>
      <c r="F1684" t="s">
        <v>10</v>
      </c>
      <c r="G1684" t="s">
        <v>11</v>
      </c>
      <c r="H1684">
        <v>1</v>
      </c>
      <c r="I1684" t="s">
        <v>27</v>
      </c>
    </row>
    <row r="1685" spans="1:9" x14ac:dyDescent="0.2">
      <c r="A1685" t="str">
        <f t="shared" si="273"/>
        <v>37591Vaipahu1240PocilloporidaeBords</v>
      </c>
      <c r="B1685" s="1">
        <v>37591</v>
      </c>
      <c r="C1685" t="s">
        <v>23</v>
      </c>
      <c r="D1685" s="19">
        <v>12</v>
      </c>
      <c r="E1685">
        <v>40</v>
      </c>
      <c r="F1685" t="s">
        <v>10</v>
      </c>
      <c r="G1685" t="s">
        <v>13</v>
      </c>
      <c r="H1685">
        <v>1</v>
      </c>
      <c r="I1685" t="s">
        <v>27</v>
      </c>
    </row>
    <row r="1686" spans="1:9" x14ac:dyDescent="0.2">
      <c r="A1686" t="str">
        <f t="shared" si="273"/>
        <v>37591Vaipahu1841PocilloporidaeDessous</v>
      </c>
      <c r="B1686" s="1">
        <v>37591</v>
      </c>
      <c r="C1686" t="s">
        <v>23</v>
      </c>
      <c r="D1686" s="19">
        <v>18</v>
      </c>
      <c r="E1686">
        <v>41</v>
      </c>
      <c r="F1686" t="s">
        <v>10</v>
      </c>
      <c r="G1686" t="s">
        <v>8</v>
      </c>
      <c r="H1686">
        <v>1</v>
      </c>
      <c r="I1686" t="s">
        <v>27</v>
      </c>
    </row>
    <row r="1687" spans="1:9" x14ac:dyDescent="0.2">
      <c r="A1687" t="str">
        <f t="shared" si="273"/>
        <v>37591Vaipahu1842CassésDessus</v>
      </c>
      <c r="B1687" s="1">
        <v>37591</v>
      </c>
      <c r="C1687" t="s">
        <v>23</v>
      </c>
      <c r="D1687" s="19">
        <v>18</v>
      </c>
      <c r="E1687">
        <v>42</v>
      </c>
      <c r="F1687" t="s">
        <v>12</v>
      </c>
      <c r="G1687" t="s">
        <v>11</v>
      </c>
      <c r="H1687">
        <v>1</v>
      </c>
      <c r="I1687" t="s">
        <v>27</v>
      </c>
    </row>
    <row r="1688" spans="1:9" x14ac:dyDescent="0.2">
      <c r="A1688" t="str">
        <f t="shared" si="273"/>
        <v>37591Vaipahu1842PocilloporidaeDessous</v>
      </c>
      <c r="B1688" s="1">
        <v>37591</v>
      </c>
      <c r="C1688" t="s">
        <v>23</v>
      </c>
      <c r="D1688" s="19">
        <v>18</v>
      </c>
      <c r="E1688">
        <v>42</v>
      </c>
      <c r="F1688" t="s">
        <v>10</v>
      </c>
      <c r="G1688" t="s">
        <v>8</v>
      </c>
      <c r="H1688">
        <v>1</v>
      </c>
      <c r="I1688" t="s">
        <v>27</v>
      </c>
    </row>
    <row r="1689" spans="1:9" x14ac:dyDescent="0.2">
      <c r="A1689" t="str">
        <f t="shared" si="273"/>
        <v>37591Vaipahu1842PocilloporidaeDessus</v>
      </c>
      <c r="B1689" s="1">
        <v>37591</v>
      </c>
      <c r="C1689" t="s">
        <v>23</v>
      </c>
      <c r="D1689" s="19">
        <v>18</v>
      </c>
      <c r="E1689">
        <v>42</v>
      </c>
      <c r="F1689" t="s">
        <v>10</v>
      </c>
      <c r="G1689" t="s">
        <v>11</v>
      </c>
      <c r="H1689">
        <v>2</v>
      </c>
      <c r="I1689" t="s">
        <v>27</v>
      </c>
    </row>
    <row r="1690" spans="1:9" x14ac:dyDescent="0.2">
      <c r="A1690" t="str">
        <f t="shared" si="273"/>
        <v>37591Vaipahu1843Autres</v>
      </c>
      <c r="B1690" s="1">
        <v>37591</v>
      </c>
      <c r="C1690" t="s">
        <v>23</v>
      </c>
      <c r="D1690" s="19">
        <v>18</v>
      </c>
      <c r="E1690">
        <v>43</v>
      </c>
      <c r="F1690" t="s">
        <v>14</v>
      </c>
      <c r="H1690">
        <v>0</v>
      </c>
    </row>
    <row r="1691" spans="1:9" x14ac:dyDescent="0.2">
      <c r="A1691" t="str">
        <f t="shared" si="273"/>
        <v>37591Vaipahu1844PocilloporidaeBords</v>
      </c>
      <c r="B1691" s="1">
        <v>37591</v>
      </c>
      <c r="C1691" t="s">
        <v>23</v>
      </c>
      <c r="D1691" s="19">
        <v>18</v>
      </c>
      <c r="E1691">
        <v>44</v>
      </c>
      <c r="F1691" t="s">
        <v>10</v>
      </c>
      <c r="G1691" t="s">
        <v>13</v>
      </c>
      <c r="H1691">
        <v>2</v>
      </c>
      <c r="I1691" t="s">
        <v>27</v>
      </c>
    </row>
    <row r="1692" spans="1:9" x14ac:dyDescent="0.2">
      <c r="A1692" t="str">
        <f t="shared" si="273"/>
        <v>37591Vaipahu1845AcroporidaeDessous</v>
      </c>
      <c r="B1692" s="1">
        <v>37591</v>
      </c>
      <c r="C1692" t="s">
        <v>23</v>
      </c>
      <c r="D1692" s="19">
        <v>18</v>
      </c>
      <c r="E1692">
        <v>45</v>
      </c>
      <c r="F1692" t="s">
        <v>17</v>
      </c>
      <c r="G1692" t="s">
        <v>8</v>
      </c>
      <c r="H1692">
        <v>1</v>
      </c>
      <c r="I1692" t="s">
        <v>27</v>
      </c>
    </row>
    <row r="1693" spans="1:9" x14ac:dyDescent="0.2">
      <c r="A1693" t="str">
        <f t="shared" si="273"/>
        <v>37591Vaipahu1845AcroporidaeDessus</v>
      </c>
      <c r="B1693" s="1">
        <v>37591</v>
      </c>
      <c r="C1693" t="s">
        <v>23</v>
      </c>
      <c r="D1693" s="19">
        <v>18</v>
      </c>
      <c r="E1693">
        <v>45</v>
      </c>
      <c r="F1693" t="s">
        <v>17</v>
      </c>
      <c r="G1693" t="s">
        <v>11</v>
      </c>
      <c r="H1693">
        <v>1</v>
      </c>
      <c r="I1693" t="s">
        <v>27</v>
      </c>
    </row>
    <row r="1694" spans="1:9" x14ac:dyDescent="0.2">
      <c r="A1694" t="str">
        <f t="shared" si="273"/>
        <v>37591Vaipahu1845CassésDessus</v>
      </c>
      <c r="B1694" s="1">
        <v>37591</v>
      </c>
      <c r="C1694" t="s">
        <v>23</v>
      </c>
      <c r="D1694" s="19">
        <v>18</v>
      </c>
      <c r="E1694">
        <v>45</v>
      </c>
      <c r="F1694" t="s">
        <v>12</v>
      </c>
      <c r="G1694" t="s">
        <v>11</v>
      </c>
      <c r="H1694">
        <v>1</v>
      </c>
      <c r="I1694" t="s">
        <v>27</v>
      </c>
    </row>
    <row r="1695" spans="1:9" x14ac:dyDescent="0.2">
      <c r="A1695" t="str">
        <f t="shared" si="273"/>
        <v>37591Vaipahu1846AcroporidaeBords</v>
      </c>
      <c r="B1695" s="1">
        <v>37591</v>
      </c>
      <c r="C1695" t="s">
        <v>23</v>
      </c>
      <c r="D1695" s="19">
        <v>18</v>
      </c>
      <c r="E1695">
        <v>46</v>
      </c>
      <c r="F1695" t="s">
        <v>17</v>
      </c>
      <c r="G1695" t="s">
        <v>13</v>
      </c>
      <c r="H1695">
        <v>1</v>
      </c>
      <c r="I1695" t="s">
        <v>27</v>
      </c>
    </row>
    <row r="1696" spans="1:9" x14ac:dyDescent="0.2">
      <c r="A1696" t="str">
        <f t="shared" si="273"/>
        <v>37591Vaipahu1846PocilloporidaeBords</v>
      </c>
      <c r="B1696" s="1">
        <v>37591</v>
      </c>
      <c r="C1696" t="s">
        <v>23</v>
      </c>
      <c r="D1696" s="19">
        <v>18</v>
      </c>
      <c r="E1696">
        <v>46</v>
      </c>
      <c r="F1696" t="s">
        <v>10</v>
      </c>
      <c r="G1696" t="s">
        <v>13</v>
      </c>
      <c r="H1696">
        <v>1</v>
      </c>
      <c r="I1696" t="s">
        <v>27</v>
      </c>
    </row>
    <row r="1697" spans="1:9" x14ac:dyDescent="0.2">
      <c r="A1697" t="str">
        <f t="shared" si="273"/>
        <v>37591Vaipahu1846PocilloporidaeDessous</v>
      </c>
      <c r="B1697" s="1">
        <v>37591</v>
      </c>
      <c r="C1697" t="s">
        <v>23</v>
      </c>
      <c r="D1697" s="19">
        <v>18</v>
      </c>
      <c r="E1697">
        <v>46</v>
      </c>
      <c r="F1697" t="s">
        <v>10</v>
      </c>
      <c r="G1697" t="s">
        <v>8</v>
      </c>
      <c r="H1697">
        <v>1</v>
      </c>
      <c r="I1697" t="s">
        <v>27</v>
      </c>
    </row>
    <row r="1698" spans="1:9" x14ac:dyDescent="0.2">
      <c r="A1698" t="str">
        <f t="shared" si="273"/>
        <v>37591Vaipahu1847PocilloporidaeDessous</v>
      </c>
      <c r="B1698" s="1">
        <v>37591</v>
      </c>
      <c r="C1698" t="s">
        <v>23</v>
      </c>
      <c r="D1698" s="19">
        <v>18</v>
      </c>
      <c r="E1698">
        <v>47</v>
      </c>
      <c r="F1698" t="s">
        <v>10</v>
      </c>
      <c r="G1698" t="s">
        <v>8</v>
      </c>
      <c r="H1698">
        <v>2</v>
      </c>
      <c r="I1698" t="s">
        <v>27</v>
      </c>
    </row>
    <row r="1699" spans="1:9" x14ac:dyDescent="0.2">
      <c r="A1699" t="str">
        <f t="shared" si="273"/>
        <v>37591Vaipahu1848AcroporidaeDessus</v>
      </c>
      <c r="B1699" s="1">
        <v>37591</v>
      </c>
      <c r="C1699" t="s">
        <v>23</v>
      </c>
      <c r="D1699" s="19">
        <v>18</v>
      </c>
      <c r="E1699">
        <v>48</v>
      </c>
      <c r="F1699" t="s">
        <v>17</v>
      </c>
      <c r="G1699" t="s">
        <v>11</v>
      </c>
      <c r="H1699">
        <v>1</v>
      </c>
      <c r="I1699" t="s">
        <v>27</v>
      </c>
    </row>
    <row r="1700" spans="1:9" x14ac:dyDescent="0.2">
      <c r="A1700" t="str">
        <f t="shared" si="273"/>
        <v>37591Vaipahu1848PocilloporidaeDessous</v>
      </c>
      <c r="B1700" s="1">
        <v>37591</v>
      </c>
      <c r="C1700" t="s">
        <v>23</v>
      </c>
      <c r="D1700" s="19">
        <v>18</v>
      </c>
      <c r="E1700">
        <v>48</v>
      </c>
      <c r="F1700" t="s">
        <v>10</v>
      </c>
      <c r="G1700" t="s">
        <v>8</v>
      </c>
      <c r="H1700">
        <v>4</v>
      </c>
      <c r="I1700" t="s">
        <v>27</v>
      </c>
    </row>
    <row r="1701" spans="1:9" x14ac:dyDescent="0.2">
      <c r="A1701" t="str">
        <f t="shared" si="273"/>
        <v>37591Vaipahu1849PocilloporidaeBords</v>
      </c>
      <c r="B1701" s="1">
        <v>37591</v>
      </c>
      <c r="C1701" t="s">
        <v>23</v>
      </c>
      <c r="D1701" s="19">
        <v>18</v>
      </c>
      <c r="E1701">
        <v>49</v>
      </c>
      <c r="F1701" t="s">
        <v>10</v>
      </c>
      <c r="G1701" t="s">
        <v>13</v>
      </c>
      <c r="H1701">
        <v>1</v>
      </c>
      <c r="I1701" t="s">
        <v>27</v>
      </c>
    </row>
    <row r="1702" spans="1:9" x14ac:dyDescent="0.2">
      <c r="A1702" t="str">
        <f t="shared" si="273"/>
        <v>37591Vaipahu1849PocilloporidaeDessous</v>
      </c>
      <c r="B1702" s="1">
        <v>37591</v>
      </c>
      <c r="C1702" t="s">
        <v>23</v>
      </c>
      <c r="D1702" s="19">
        <v>18</v>
      </c>
      <c r="E1702">
        <v>49</v>
      </c>
      <c r="F1702" t="s">
        <v>10</v>
      </c>
      <c r="G1702" t="s">
        <v>8</v>
      </c>
      <c r="H1702">
        <v>1</v>
      </c>
      <c r="I1702" t="s">
        <v>27</v>
      </c>
    </row>
    <row r="1703" spans="1:9" x14ac:dyDescent="0.2">
      <c r="A1703" t="str">
        <f t="shared" si="273"/>
        <v>37591Vaipahu1850PocilloporidaeDessus</v>
      </c>
      <c r="B1703" s="1">
        <v>37591</v>
      </c>
      <c r="C1703" t="s">
        <v>23</v>
      </c>
      <c r="D1703" s="19">
        <v>18</v>
      </c>
      <c r="E1703">
        <v>50</v>
      </c>
      <c r="F1703" t="s">
        <v>10</v>
      </c>
      <c r="G1703" t="s">
        <v>11</v>
      </c>
      <c r="H1703">
        <v>1</v>
      </c>
      <c r="I1703" t="s">
        <v>27</v>
      </c>
    </row>
    <row r="1704" spans="1:9" x14ac:dyDescent="0.2">
      <c r="A1704" t="str">
        <f t="shared" si="273"/>
        <v>37591Vaipahu1851AcroporidaeBords</v>
      </c>
      <c r="B1704" s="1">
        <v>37591</v>
      </c>
      <c r="C1704" t="s">
        <v>23</v>
      </c>
      <c r="D1704" s="19">
        <v>18</v>
      </c>
      <c r="E1704">
        <v>51</v>
      </c>
      <c r="F1704" t="s">
        <v>17</v>
      </c>
      <c r="G1704" t="s">
        <v>13</v>
      </c>
      <c r="H1704">
        <v>1</v>
      </c>
      <c r="I1704" t="s">
        <v>27</v>
      </c>
    </row>
    <row r="1705" spans="1:9" x14ac:dyDescent="0.2">
      <c r="A1705" t="str">
        <f t="shared" si="273"/>
        <v>37591Vaipahu1852AutresBords</v>
      </c>
      <c r="B1705" s="1">
        <v>37591</v>
      </c>
      <c r="C1705" t="s">
        <v>23</v>
      </c>
      <c r="D1705" s="19">
        <v>18</v>
      </c>
      <c r="E1705">
        <v>52</v>
      </c>
      <c r="F1705" t="s">
        <v>14</v>
      </c>
      <c r="G1705" t="s">
        <v>13</v>
      </c>
      <c r="H1705">
        <v>1</v>
      </c>
      <c r="I1705" t="s">
        <v>27</v>
      </c>
    </row>
    <row r="1706" spans="1:9" x14ac:dyDescent="0.2">
      <c r="A1706" t="str">
        <f t="shared" si="273"/>
        <v>37591Vaipahu1852PocilloporidaeBords</v>
      </c>
      <c r="B1706" s="1">
        <v>37591</v>
      </c>
      <c r="C1706" t="s">
        <v>23</v>
      </c>
      <c r="D1706" s="19">
        <v>18</v>
      </c>
      <c r="E1706">
        <v>52</v>
      </c>
      <c r="F1706" t="s">
        <v>10</v>
      </c>
      <c r="G1706" t="s">
        <v>13</v>
      </c>
      <c r="H1706">
        <v>1</v>
      </c>
      <c r="I1706" t="s">
        <v>27</v>
      </c>
    </row>
    <row r="1707" spans="1:9" x14ac:dyDescent="0.2">
      <c r="A1707" t="str">
        <f t="shared" si="273"/>
        <v>37591Vaipahu1852PocilloporidaeDessous</v>
      </c>
      <c r="B1707" s="1">
        <v>37591</v>
      </c>
      <c r="C1707" t="s">
        <v>23</v>
      </c>
      <c r="D1707" s="19">
        <v>18</v>
      </c>
      <c r="E1707">
        <v>52</v>
      </c>
      <c r="F1707" t="s">
        <v>10</v>
      </c>
      <c r="G1707" t="s">
        <v>8</v>
      </c>
      <c r="H1707">
        <v>1</v>
      </c>
      <c r="I1707" t="s">
        <v>27</v>
      </c>
    </row>
    <row r="1708" spans="1:9" x14ac:dyDescent="0.2">
      <c r="A1708" t="str">
        <f t="shared" si="273"/>
        <v>37591Vaipahu1853PocilloporidaeDessous</v>
      </c>
      <c r="B1708" s="1">
        <v>37591</v>
      </c>
      <c r="C1708" t="s">
        <v>23</v>
      </c>
      <c r="D1708" s="19">
        <v>18</v>
      </c>
      <c r="E1708">
        <v>53</v>
      </c>
      <c r="F1708" t="s">
        <v>10</v>
      </c>
      <c r="G1708" t="s">
        <v>8</v>
      </c>
      <c r="H1708">
        <v>1</v>
      </c>
      <c r="I1708" t="s">
        <v>27</v>
      </c>
    </row>
    <row r="1709" spans="1:9" x14ac:dyDescent="0.2">
      <c r="A1709" t="str">
        <f t="shared" si="273"/>
        <v>37591Vaipahu1853PoritidaeDessous</v>
      </c>
      <c r="B1709" s="1">
        <v>37591</v>
      </c>
      <c r="C1709" t="s">
        <v>23</v>
      </c>
      <c r="D1709" s="19">
        <v>18</v>
      </c>
      <c r="E1709">
        <v>53</v>
      </c>
      <c r="F1709" t="s">
        <v>7</v>
      </c>
      <c r="G1709" t="s">
        <v>8</v>
      </c>
      <c r="H1709">
        <v>1</v>
      </c>
      <c r="I1709" t="s">
        <v>27</v>
      </c>
    </row>
    <row r="1710" spans="1:9" x14ac:dyDescent="0.2">
      <c r="A1710" t="str">
        <f t="shared" si="273"/>
        <v>37591Vaipahu1854Autres</v>
      </c>
      <c r="B1710" s="1">
        <v>37591</v>
      </c>
      <c r="C1710" t="s">
        <v>23</v>
      </c>
      <c r="D1710" s="19">
        <v>18</v>
      </c>
      <c r="E1710">
        <v>54</v>
      </c>
      <c r="F1710" t="s">
        <v>14</v>
      </c>
      <c r="H1710">
        <v>0</v>
      </c>
    </row>
    <row r="1711" spans="1:9" x14ac:dyDescent="0.2">
      <c r="A1711" t="str">
        <f t="shared" si="273"/>
        <v>37591Vaipahu1855AcroporidaeBords</v>
      </c>
      <c r="B1711" s="1">
        <v>37591</v>
      </c>
      <c r="C1711" t="s">
        <v>23</v>
      </c>
      <c r="D1711" s="19">
        <v>18</v>
      </c>
      <c r="E1711">
        <v>55</v>
      </c>
      <c r="F1711" t="s">
        <v>17</v>
      </c>
      <c r="G1711" t="s">
        <v>13</v>
      </c>
      <c r="H1711">
        <v>1</v>
      </c>
      <c r="I1711" t="s">
        <v>27</v>
      </c>
    </row>
    <row r="1712" spans="1:9" x14ac:dyDescent="0.2">
      <c r="A1712" t="str">
        <f t="shared" si="273"/>
        <v>37591Vaipahu1855PocilloporidaeDessous</v>
      </c>
      <c r="B1712" s="1">
        <v>37591</v>
      </c>
      <c r="C1712" t="s">
        <v>23</v>
      </c>
      <c r="D1712" s="19">
        <v>18</v>
      </c>
      <c r="E1712">
        <v>55</v>
      </c>
      <c r="F1712" t="s">
        <v>10</v>
      </c>
      <c r="G1712" t="s">
        <v>8</v>
      </c>
      <c r="H1712">
        <v>2</v>
      </c>
      <c r="I1712" t="s">
        <v>27</v>
      </c>
    </row>
    <row r="1713" spans="1:9" x14ac:dyDescent="0.2">
      <c r="A1713" t="str">
        <f t="shared" si="273"/>
        <v>37591Vaipahu1855PocilloporidaeDessus</v>
      </c>
      <c r="B1713" s="1">
        <v>37591</v>
      </c>
      <c r="C1713" t="s">
        <v>23</v>
      </c>
      <c r="D1713" s="19">
        <v>18</v>
      </c>
      <c r="E1713">
        <v>55</v>
      </c>
      <c r="F1713" t="s">
        <v>10</v>
      </c>
      <c r="G1713" t="s">
        <v>11</v>
      </c>
      <c r="H1713">
        <v>1</v>
      </c>
      <c r="I1713" t="s">
        <v>27</v>
      </c>
    </row>
    <row r="1714" spans="1:9" x14ac:dyDescent="0.2">
      <c r="A1714" t="str">
        <f t="shared" si="273"/>
        <v>37591Vaipahu1855PoritidaeDessous</v>
      </c>
      <c r="B1714" s="1">
        <v>37591</v>
      </c>
      <c r="C1714" t="s">
        <v>23</v>
      </c>
      <c r="D1714" s="19">
        <v>18</v>
      </c>
      <c r="E1714">
        <v>55</v>
      </c>
      <c r="F1714" t="s">
        <v>7</v>
      </c>
      <c r="G1714" t="s">
        <v>8</v>
      </c>
      <c r="H1714">
        <v>1</v>
      </c>
      <c r="I1714" t="s">
        <v>27</v>
      </c>
    </row>
    <row r="1715" spans="1:9" x14ac:dyDescent="0.2">
      <c r="A1715" t="str">
        <f t="shared" si="273"/>
        <v>37591Vaipahu1856PocilloporidaeDessous</v>
      </c>
      <c r="B1715" s="1">
        <v>37591</v>
      </c>
      <c r="C1715" t="s">
        <v>23</v>
      </c>
      <c r="D1715" s="19">
        <v>18</v>
      </c>
      <c r="E1715">
        <v>56</v>
      </c>
      <c r="F1715" t="s">
        <v>10</v>
      </c>
      <c r="G1715" t="s">
        <v>8</v>
      </c>
      <c r="H1715">
        <v>1</v>
      </c>
      <c r="I1715" t="s">
        <v>27</v>
      </c>
    </row>
    <row r="1716" spans="1:9" x14ac:dyDescent="0.2">
      <c r="A1716" t="str">
        <f t="shared" si="273"/>
        <v>37591Vaipahu1857PocilloporidaeBords</v>
      </c>
      <c r="B1716" s="1">
        <v>37591</v>
      </c>
      <c r="C1716" t="s">
        <v>23</v>
      </c>
      <c r="D1716" s="19">
        <v>18</v>
      </c>
      <c r="E1716">
        <v>57</v>
      </c>
      <c r="F1716" t="s">
        <v>10</v>
      </c>
      <c r="G1716" t="s">
        <v>13</v>
      </c>
      <c r="H1716">
        <v>1</v>
      </c>
      <c r="I1716" t="s">
        <v>27</v>
      </c>
    </row>
    <row r="1717" spans="1:9" x14ac:dyDescent="0.2">
      <c r="A1717" t="str">
        <f t="shared" si="273"/>
        <v>37591Vaipahu1858PocilloporidaeDessus</v>
      </c>
      <c r="B1717" s="1">
        <v>37591</v>
      </c>
      <c r="C1717" t="s">
        <v>23</v>
      </c>
      <c r="D1717" s="19">
        <v>18</v>
      </c>
      <c r="E1717">
        <v>58</v>
      </c>
      <c r="F1717" t="s">
        <v>10</v>
      </c>
      <c r="G1717" t="s">
        <v>11</v>
      </c>
      <c r="H1717">
        <v>3</v>
      </c>
      <c r="I1717" t="s">
        <v>27</v>
      </c>
    </row>
    <row r="1718" spans="1:9" x14ac:dyDescent="0.2">
      <c r="A1718" t="str">
        <f t="shared" si="273"/>
        <v>37591Vaipahu1859PocilloporidaeBords</v>
      </c>
      <c r="B1718" s="1">
        <v>37591</v>
      </c>
      <c r="C1718" t="s">
        <v>23</v>
      </c>
      <c r="D1718" s="19">
        <v>18</v>
      </c>
      <c r="E1718">
        <v>59</v>
      </c>
      <c r="F1718" t="s">
        <v>10</v>
      </c>
      <c r="G1718" t="s">
        <v>13</v>
      </c>
      <c r="H1718">
        <v>1</v>
      </c>
      <c r="I1718" t="s">
        <v>27</v>
      </c>
    </row>
    <row r="1719" spans="1:9" x14ac:dyDescent="0.2">
      <c r="A1719" t="str">
        <f t="shared" si="273"/>
        <v>37591Vaipahu1859PocilloporidaeDessus</v>
      </c>
      <c r="B1719" s="1">
        <v>37591</v>
      </c>
      <c r="C1719" t="s">
        <v>23</v>
      </c>
      <c r="D1719" s="19">
        <v>18</v>
      </c>
      <c r="E1719">
        <v>59</v>
      </c>
      <c r="F1719" t="s">
        <v>10</v>
      </c>
      <c r="G1719" t="s">
        <v>11</v>
      </c>
      <c r="H1719">
        <v>1</v>
      </c>
      <c r="I1719" t="s">
        <v>27</v>
      </c>
    </row>
    <row r="1720" spans="1:9" x14ac:dyDescent="0.2">
      <c r="A1720" t="str">
        <f t="shared" si="273"/>
        <v>37591Vaipahu1860Autres</v>
      </c>
      <c r="B1720" s="1">
        <v>37591</v>
      </c>
      <c r="C1720" t="s">
        <v>23</v>
      </c>
      <c r="D1720" s="19">
        <v>18</v>
      </c>
      <c r="E1720">
        <v>60</v>
      </c>
      <c r="F1720" t="s">
        <v>14</v>
      </c>
      <c r="H1720">
        <v>0</v>
      </c>
    </row>
    <row r="1721" spans="1:9" x14ac:dyDescent="0.2">
      <c r="A1721" t="str">
        <f t="shared" si="273"/>
        <v>37591Tiahura661PocilloporidaeDessous</v>
      </c>
      <c r="B1721" s="1">
        <v>37591</v>
      </c>
      <c r="C1721" t="s">
        <v>24</v>
      </c>
      <c r="D1721" s="19">
        <v>6</v>
      </c>
      <c r="E1721">
        <v>61</v>
      </c>
      <c r="F1721" t="s">
        <v>10</v>
      </c>
      <c r="G1721" t="s">
        <v>8</v>
      </c>
      <c r="H1721">
        <v>4</v>
      </c>
      <c r="I1721" t="s">
        <v>27</v>
      </c>
    </row>
    <row r="1722" spans="1:9" x14ac:dyDescent="0.2">
      <c r="A1722" t="str">
        <f t="shared" si="273"/>
        <v>37591Tiahura661PoritidaeDessous</v>
      </c>
      <c r="B1722" s="1">
        <v>37591</v>
      </c>
      <c r="C1722" t="s">
        <v>24</v>
      </c>
      <c r="D1722" s="19">
        <v>6</v>
      </c>
      <c r="E1722">
        <v>61</v>
      </c>
      <c r="F1722" t="s">
        <v>7</v>
      </c>
      <c r="G1722" t="s">
        <v>8</v>
      </c>
      <c r="H1722">
        <v>1</v>
      </c>
      <c r="I1722" t="s">
        <v>27</v>
      </c>
    </row>
    <row r="1723" spans="1:9" x14ac:dyDescent="0.2">
      <c r="A1723" t="str">
        <f t="shared" si="273"/>
        <v>37591Tiahura662Autres</v>
      </c>
      <c r="B1723" s="1">
        <v>37591</v>
      </c>
      <c r="C1723" t="s">
        <v>24</v>
      </c>
      <c r="D1723" s="19">
        <v>6</v>
      </c>
      <c r="E1723">
        <v>62</v>
      </c>
      <c r="F1723" t="s">
        <v>14</v>
      </c>
      <c r="H1723">
        <v>0</v>
      </c>
    </row>
    <row r="1724" spans="1:9" x14ac:dyDescent="0.2">
      <c r="A1724" t="str">
        <f t="shared" si="273"/>
        <v>37591Tiahura663Autres</v>
      </c>
      <c r="B1724" s="1">
        <v>37591</v>
      </c>
      <c r="C1724" t="s">
        <v>24</v>
      </c>
      <c r="D1724" s="19">
        <v>6</v>
      </c>
      <c r="E1724">
        <v>63</v>
      </c>
      <c r="F1724" t="s">
        <v>14</v>
      </c>
      <c r="H1724">
        <v>0</v>
      </c>
    </row>
    <row r="1725" spans="1:9" x14ac:dyDescent="0.2">
      <c r="A1725" t="str">
        <f t="shared" si="273"/>
        <v>37591Tiahura664PocilloporidaeBords</v>
      </c>
      <c r="B1725" s="1">
        <v>37591</v>
      </c>
      <c r="C1725" t="s">
        <v>24</v>
      </c>
      <c r="D1725" s="19">
        <v>6</v>
      </c>
      <c r="E1725">
        <v>64</v>
      </c>
      <c r="F1725" t="s">
        <v>10</v>
      </c>
      <c r="G1725" t="s">
        <v>13</v>
      </c>
      <c r="H1725">
        <v>1</v>
      </c>
      <c r="I1725" t="s">
        <v>27</v>
      </c>
    </row>
    <row r="1726" spans="1:9" x14ac:dyDescent="0.2">
      <c r="A1726" t="str">
        <f t="shared" si="273"/>
        <v>37591Tiahura665Autres</v>
      </c>
      <c r="B1726" s="1">
        <v>37591</v>
      </c>
      <c r="C1726" t="s">
        <v>24</v>
      </c>
      <c r="D1726" s="19">
        <v>6</v>
      </c>
      <c r="E1726">
        <v>65</v>
      </c>
      <c r="F1726" t="s">
        <v>14</v>
      </c>
      <c r="H1726">
        <v>0</v>
      </c>
    </row>
    <row r="1727" spans="1:9" x14ac:dyDescent="0.2">
      <c r="A1727" t="str">
        <f t="shared" ref="A1727:A1790" si="274">B1727 &amp; C1727&amp; D1727&amp; E1727 &amp; F1727 &amp;G1727</f>
        <v>37591Tiahura666AutresDessous</v>
      </c>
      <c r="B1727" s="1">
        <v>37591</v>
      </c>
      <c r="C1727" t="s">
        <v>24</v>
      </c>
      <c r="D1727" s="19">
        <v>6</v>
      </c>
      <c r="E1727">
        <v>66</v>
      </c>
      <c r="F1727" t="s">
        <v>14</v>
      </c>
      <c r="G1727" t="s">
        <v>8</v>
      </c>
      <c r="H1727">
        <v>1</v>
      </c>
      <c r="I1727" t="s">
        <v>27</v>
      </c>
    </row>
    <row r="1728" spans="1:9" x14ac:dyDescent="0.2">
      <c r="A1728" t="str">
        <f t="shared" si="274"/>
        <v>37591Tiahura667PocilloporidaeDessous</v>
      </c>
      <c r="B1728" s="1">
        <v>37591</v>
      </c>
      <c r="C1728" t="s">
        <v>24</v>
      </c>
      <c r="D1728" s="19">
        <v>6</v>
      </c>
      <c r="E1728">
        <v>67</v>
      </c>
      <c r="F1728" t="s">
        <v>10</v>
      </c>
      <c r="G1728" t="s">
        <v>8</v>
      </c>
      <c r="H1728">
        <v>1</v>
      </c>
      <c r="I1728" t="s">
        <v>27</v>
      </c>
    </row>
    <row r="1729" spans="1:9" x14ac:dyDescent="0.2">
      <c r="A1729" t="str">
        <f t="shared" si="274"/>
        <v>37591Tiahura668PocilloporidaeDessous</v>
      </c>
      <c r="B1729" s="1">
        <v>37591</v>
      </c>
      <c r="C1729" t="s">
        <v>24</v>
      </c>
      <c r="D1729" s="19">
        <v>6</v>
      </c>
      <c r="E1729">
        <v>68</v>
      </c>
      <c r="F1729" t="s">
        <v>10</v>
      </c>
      <c r="G1729" t="s">
        <v>8</v>
      </c>
      <c r="H1729">
        <v>1</v>
      </c>
      <c r="I1729" t="s">
        <v>27</v>
      </c>
    </row>
    <row r="1730" spans="1:9" x14ac:dyDescent="0.2">
      <c r="A1730" t="str">
        <f t="shared" si="274"/>
        <v>37591Tiahura669Autres</v>
      </c>
      <c r="B1730" s="1">
        <v>37591</v>
      </c>
      <c r="C1730" t="s">
        <v>24</v>
      </c>
      <c r="D1730" s="19">
        <v>6</v>
      </c>
      <c r="E1730">
        <v>69</v>
      </c>
      <c r="F1730" t="s">
        <v>14</v>
      </c>
      <c r="H1730">
        <v>0</v>
      </c>
    </row>
    <row r="1731" spans="1:9" x14ac:dyDescent="0.2">
      <c r="A1731" t="str">
        <f t="shared" si="274"/>
        <v>37591Tiahura670PocilloporidaeDessous</v>
      </c>
      <c r="B1731" s="1">
        <v>37591</v>
      </c>
      <c r="C1731" t="s">
        <v>24</v>
      </c>
      <c r="D1731" s="19">
        <v>6</v>
      </c>
      <c r="E1731">
        <v>70</v>
      </c>
      <c r="F1731" t="s">
        <v>10</v>
      </c>
      <c r="G1731" t="s">
        <v>8</v>
      </c>
      <c r="H1731">
        <v>4</v>
      </c>
      <c r="I1731" t="s">
        <v>27</v>
      </c>
    </row>
    <row r="1732" spans="1:9" x14ac:dyDescent="0.2">
      <c r="A1732" t="str">
        <f t="shared" si="274"/>
        <v>37591Tiahura671Autres</v>
      </c>
      <c r="B1732" s="1">
        <v>37591</v>
      </c>
      <c r="C1732" t="s">
        <v>24</v>
      </c>
      <c r="D1732" s="19">
        <v>6</v>
      </c>
      <c r="E1732">
        <v>71</v>
      </c>
      <c r="F1732" t="s">
        <v>14</v>
      </c>
      <c r="H1732">
        <v>0</v>
      </c>
    </row>
    <row r="1733" spans="1:9" x14ac:dyDescent="0.2">
      <c r="A1733" t="str">
        <f t="shared" si="274"/>
        <v>37591Tiahura672PocilloporidaeDessous</v>
      </c>
      <c r="B1733" s="1">
        <v>37591</v>
      </c>
      <c r="C1733" t="s">
        <v>24</v>
      </c>
      <c r="D1733" s="19">
        <v>6</v>
      </c>
      <c r="E1733">
        <v>72</v>
      </c>
      <c r="F1733" t="s">
        <v>10</v>
      </c>
      <c r="G1733" t="s">
        <v>8</v>
      </c>
      <c r="H1733">
        <v>1</v>
      </c>
      <c r="I1733" t="s">
        <v>27</v>
      </c>
    </row>
    <row r="1734" spans="1:9" x14ac:dyDescent="0.2">
      <c r="A1734" t="str">
        <f t="shared" si="274"/>
        <v>37591Tiahura673PocilloporidaeBords</v>
      </c>
      <c r="B1734" s="1">
        <v>37591</v>
      </c>
      <c r="C1734" t="s">
        <v>24</v>
      </c>
      <c r="D1734" s="19">
        <v>6</v>
      </c>
      <c r="E1734">
        <v>73</v>
      </c>
      <c r="F1734" t="s">
        <v>10</v>
      </c>
      <c r="G1734" t="s">
        <v>13</v>
      </c>
      <c r="H1734">
        <v>1</v>
      </c>
      <c r="I1734" t="s">
        <v>27</v>
      </c>
    </row>
    <row r="1735" spans="1:9" x14ac:dyDescent="0.2">
      <c r="A1735" t="str">
        <f t="shared" si="274"/>
        <v>37591Tiahura674PocilloporidaeBords</v>
      </c>
      <c r="B1735" s="1">
        <v>37591</v>
      </c>
      <c r="C1735" t="s">
        <v>24</v>
      </c>
      <c r="D1735" s="19">
        <v>6</v>
      </c>
      <c r="E1735">
        <v>74</v>
      </c>
      <c r="F1735" t="s">
        <v>10</v>
      </c>
      <c r="G1735" t="s">
        <v>13</v>
      </c>
      <c r="H1735">
        <v>1</v>
      </c>
      <c r="I1735" t="s">
        <v>27</v>
      </c>
    </row>
    <row r="1736" spans="1:9" x14ac:dyDescent="0.2">
      <c r="A1736" t="str">
        <f t="shared" si="274"/>
        <v>37591Tiahura675PocilloporidaeBords</v>
      </c>
      <c r="B1736" s="1">
        <v>37591</v>
      </c>
      <c r="C1736" t="s">
        <v>24</v>
      </c>
      <c r="D1736" s="19">
        <v>6</v>
      </c>
      <c r="E1736">
        <v>75</v>
      </c>
      <c r="F1736" t="s">
        <v>10</v>
      </c>
      <c r="G1736" t="s">
        <v>13</v>
      </c>
      <c r="H1736">
        <v>2</v>
      </c>
      <c r="I1736" t="s">
        <v>27</v>
      </c>
    </row>
    <row r="1737" spans="1:9" x14ac:dyDescent="0.2">
      <c r="A1737" t="str">
        <f t="shared" si="274"/>
        <v>37591Tiahura675PoritidaeBords</v>
      </c>
      <c r="B1737" s="1">
        <v>37591</v>
      </c>
      <c r="C1737" t="s">
        <v>24</v>
      </c>
      <c r="D1737" s="19">
        <v>6</v>
      </c>
      <c r="E1737">
        <v>75</v>
      </c>
      <c r="F1737" t="s">
        <v>7</v>
      </c>
      <c r="G1737" t="s">
        <v>13</v>
      </c>
      <c r="H1737">
        <v>1</v>
      </c>
      <c r="I1737" t="s">
        <v>27</v>
      </c>
    </row>
    <row r="1738" spans="1:9" x14ac:dyDescent="0.2">
      <c r="A1738" t="str">
        <f t="shared" si="274"/>
        <v>37591Tiahura676PocilloporidaeDessous</v>
      </c>
      <c r="B1738" s="1">
        <v>37591</v>
      </c>
      <c r="C1738" t="s">
        <v>24</v>
      </c>
      <c r="D1738" s="19">
        <v>6</v>
      </c>
      <c r="E1738">
        <v>76</v>
      </c>
      <c r="F1738" t="s">
        <v>10</v>
      </c>
      <c r="G1738" t="s">
        <v>8</v>
      </c>
      <c r="H1738">
        <v>4</v>
      </c>
      <c r="I1738" t="s">
        <v>27</v>
      </c>
    </row>
    <row r="1739" spans="1:9" x14ac:dyDescent="0.2">
      <c r="A1739" t="str">
        <f t="shared" si="274"/>
        <v>37591Tiahura676PocilloporidaeDessus</v>
      </c>
      <c r="B1739" s="1">
        <v>37591</v>
      </c>
      <c r="C1739" t="s">
        <v>24</v>
      </c>
      <c r="D1739" s="19">
        <v>6</v>
      </c>
      <c r="E1739">
        <v>76</v>
      </c>
      <c r="F1739" t="s">
        <v>10</v>
      </c>
      <c r="G1739" t="s">
        <v>11</v>
      </c>
      <c r="H1739">
        <v>2</v>
      </c>
      <c r="I1739" t="s">
        <v>27</v>
      </c>
    </row>
    <row r="1740" spans="1:9" x14ac:dyDescent="0.2">
      <c r="A1740" t="str">
        <f t="shared" si="274"/>
        <v>37591Tiahura677AutresBords</v>
      </c>
      <c r="B1740" s="1">
        <v>37591</v>
      </c>
      <c r="C1740" t="s">
        <v>24</v>
      </c>
      <c r="D1740" s="19">
        <v>6</v>
      </c>
      <c r="E1740">
        <v>77</v>
      </c>
      <c r="F1740" t="s">
        <v>14</v>
      </c>
      <c r="G1740" t="s">
        <v>13</v>
      </c>
      <c r="H1740">
        <v>1</v>
      </c>
      <c r="I1740" t="s">
        <v>27</v>
      </c>
    </row>
    <row r="1741" spans="1:9" x14ac:dyDescent="0.2">
      <c r="A1741" t="str">
        <f t="shared" si="274"/>
        <v>37591Tiahura677PocilloporidaeBords</v>
      </c>
      <c r="B1741" s="1">
        <v>37591</v>
      </c>
      <c r="C1741" t="s">
        <v>24</v>
      </c>
      <c r="D1741" s="19">
        <v>6</v>
      </c>
      <c r="E1741">
        <v>77</v>
      </c>
      <c r="F1741" t="s">
        <v>10</v>
      </c>
      <c r="G1741" t="s">
        <v>13</v>
      </c>
      <c r="H1741">
        <v>1</v>
      </c>
      <c r="I1741" t="s">
        <v>27</v>
      </c>
    </row>
    <row r="1742" spans="1:9" x14ac:dyDescent="0.2">
      <c r="A1742" t="str">
        <f t="shared" si="274"/>
        <v>37591Tiahura677PocilloporidaeDessous</v>
      </c>
      <c r="B1742" s="1">
        <v>37591</v>
      </c>
      <c r="C1742" t="s">
        <v>24</v>
      </c>
      <c r="D1742" s="19">
        <v>6</v>
      </c>
      <c r="E1742">
        <v>77</v>
      </c>
      <c r="F1742" t="s">
        <v>10</v>
      </c>
      <c r="G1742" t="s">
        <v>8</v>
      </c>
      <c r="H1742">
        <v>9</v>
      </c>
      <c r="I1742" t="s">
        <v>27</v>
      </c>
    </row>
    <row r="1743" spans="1:9" x14ac:dyDescent="0.2">
      <c r="A1743" t="str">
        <f t="shared" si="274"/>
        <v>37591Tiahura677PoritidaeBords</v>
      </c>
      <c r="B1743" s="1">
        <v>37591</v>
      </c>
      <c r="C1743" t="s">
        <v>24</v>
      </c>
      <c r="D1743" s="19">
        <v>6</v>
      </c>
      <c r="E1743">
        <v>77</v>
      </c>
      <c r="F1743" t="s">
        <v>7</v>
      </c>
      <c r="G1743" t="s">
        <v>13</v>
      </c>
      <c r="H1743">
        <v>2</v>
      </c>
      <c r="I1743" t="s">
        <v>27</v>
      </c>
    </row>
    <row r="1744" spans="1:9" x14ac:dyDescent="0.2">
      <c r="A1744" t="str">
        <f t="shared" si="274"/>
        <v>37591Tiahura678PocilloporidaeBords</v>
      </c>
      <c r="B1744" s="1">
        <v>37591</v>
      </c>
      <c r="C1744" t="s">
        <v>24</v>
      </c>
      <c r="D1744" s="19">
        <v>6</v>
      </c>
      <c r="E1744">
        <v>78</v>
      </c>
      <c r="F1744" t="s">
        <v>10</v>
      </c>
      <c r="G1744" t="s">
        <v>13</v>
      </c>
      <c r="H1744">
        <v>1</v>
      </c>
      <c r="I1744" t="s">
        <v>27</v>
      </c>
    </row>
    <row r="1745" spans="1:9" x14ac:dyDescent="0.2">
      <c r="A1745" t="str">
        <f t="shared" si="274"/>
        <v>37591Tiahura679PocilloporidaeBords</v>
      </c>
      <c r="B1745" s="1">
        <v>37591</v>
      </c>
      <c r="C1745" t="s">
        <v>24</v>
      </c>
      <c r="D1745" s="19">
        <v>6</v>
      </c>
      <c r="E1745">
        <v>79</v>
      </c>
      <c r="F1745" t="s">
        <v>10</v>
      </c>
      <c r="G1745" t="s">
        <v>13</v>
      </c>
      <c r="H1745">
        <v>4</v>
      </c>
      <c r="I1745" t="s">
        <v>27</v>
      </c>
    </row>
    <row r="1746" spans="1:9" x14ac:dyDescent="0.2">
      <c r="A1746" t="str">
        <f t="shared" si="274"/>
        <v>37591Tiahura679PocilloporidaeDessus</v>
      </c>
      <c r="B1746" s="1">
        <v>37591</v>
      </c>
      <c r="C1746" t="s">
        <v>24</v>
      </c>
      <c r="D1746" s="19">
        <v>6</v>
      </c>
      <c r="E1746">
        <v>79</v>
      </c>
      <c r="F1746" t="s">
        <v>10</v>
      </c>
      <c r="G1746" t="s">
        <v>11</v>
      </c>
      <c r="H1746">
        <v>1</v>
      </c>
      <c r="I1746" t="s">
        <v>27</v>
      </c>
    </row>
    <row r="1747" spans="1:9" x14ac:dyDescent="0.2">
      <c r="A1747" t="str">
        <f t="shared" si="274"/>
        <v>37591Tiahura680CassésBords</v>
      </c>
      <c r="B1747" s="1">
        <v>37591</v>
      </c>
      <c r="C1747" t="s">
        <v>24</v>
      </c>
      <c r="D1747" s="19">
        <v>6</v>
      </c>
      <c r="E1747">
        <v>80</v>
      </c>
      <c r="F1747" t="s">
        <v>12</v>
      </c>
      <c r="G1747" t="s">
        <v>13</v>
      </c>
      <c r="H1747">
        <v>1</v>
      </c>
      <c r="I1747" t="s">
        <v>27</v>
      </c>
    </row>
    <row r="1748" spans="1:9" x14ac:dyDescent="0.2">
      <c r="A1748" t="str">
        <f t="shared" si="274"/>
        <v>37591Tiahura680PocilloporidaeBords</v>
      </c>
      <c r="B1748" s="1">
        <v>37591</v>
      </c>
      <c r="C1748" t="s">
        <v>24</v>
      </c>
      <c r="D1748" s="19">
        <v>6</v>
      </c>
      <c r="E1748">
        <v>80</v>
      </c>
      <c r="F1748" t="s">
        <v>10</v>
      </c>
      <c r="G1748" t="s">
        <v>13</v>
      </c>
      <c r="H1748">
        <v>3</v>
      </c>
      <c r="I1748" t="s">
        <v>27</v>
      </c>
    </row>
    <row r="1749" spans="1:9" x14ac:dyDescent="0.2">
      <c r="A1749" t="str">
        <f t="shared" si="274"/>
        <v>37591Tiahura680PocilloporidaeDessous</v>
      </c>
      <c r="B1749" s="1">
        <v>37591</v>
      </c>
      <c r="C1749" t="s">
        <v>24</v>
      </c>
      <c r="D1749" s="19">
        <v>6</v>
      </c>
      <c r="E1749">
        <v>80</v>
      </c>
      <c r="F1749" t="s">
        <v>10</v>
      </c>
      <c r="G1749" t="s">
        <v>8</v>
      </c>
      <c r="H1749">
        <v>2</v>
      </c>
      <c r="I1749" t="s">
        <v>27</v>
      </c>
    </row>
    <row r="1750" spans="1:9" x14ac:dyDescent="0.2">
      <c r="A1750" t="str">
        <f t="shared" si="274"/>
        <v>37591Tiahura1281PoritidaeBords</v>
      </c>
      <c r="B1750" s="1">
        <v>37591</v>
      </c>
      <c r="C1750" t="s">
        <v>24</v>
      </c>
      <c r="D1750" s="19">
        <v>12</v>
      </c>
      <c r="E1750">
        <v>81</v>
      </c>
      <c r="F1750" t="s">
        <v>7</v>
      </c>
      <c r="G1750" t="s">
        <v>13</v>
      </c>
      <c r="H1750">
        <v>1</v>
      </c>
      <c r="I1750" t="s">
        <v>27</v>
      </c>
    </row>
    <row r="1751" spans="1:9" x14ac:dyDescent="0.2">
      <c r="A1751" t="str">
        <f t="shared" si="274"/>
        <v>37591Tiahura1282Autres</v>
      </c>
      <c r="B1751" s="1">
        <v>37591</v>
      </c>
      <c r="C1751" t="s">
        <v>24</v>
      </c>
      <c r="D1751" s="19">
        <v>12</v>
      </c>
      <c r="E1751">
        <v>82</v>
      </c>
      <c r="F1751" t="s">
        <v>14</v>
      </c>
      <c r="H1751">
        <v>0</v>
      </c>
    </row>
    <row r="1752" spans="1:9" x14ac:dyDescent="0.2">
      <c r="A1752" t="str">
        <f t="shared" si="274"/>
        <v>37591Tiahura1283PoritidaeDessous</v>
      </c>
      <c r="B1752" s="1">
        <v>37591</v>
      </c>
      <c r="C1752" t="s">
        <v>24</v>
      </c>
      <c r="D1752" s="19">
        <v>12</v>
      </c>
      <c r="E1752">
        <v>83</v>
      </c>
      <c r="F1752" t="s">
        <v>7</v>
      </c>
      <c r="G1752" t="s">
        <v>8</v>
      </c>
      <c r="H1752">
        <v>1</v>
      </c>
      <c r="I1752" t="s">
        <v>27</v>
      </c>
    </row>
    <row r="1753" spans="1:9" x14ac:dyDescent="0.2">
      <c r="A1753" t="str">
        <f t="shared" si="274"/>
        <v>37591Tiahura1284PocilloporidaeDessous</v>
      </c>
      <c r="B1753" s="1">
        <v>37591</v>
      </c>
      <c r="C1753" t="s">
        <v>24</v>
      </c>
      <c r="D1753" s="19">
        <v>12</v>
      </c>
      <c r="E1753">
        <v>84</v>
      </c>
      <c r="F1753" t="s">
        <v>10</v>
      </c>
      <c r="G1753" t="s">
        <v>8</v>
      </c>
      <c r="H1753">
        <v>1</v>
      </c>
      <c r="I1753" t="s">
        <v>27</v>
      </c>
    </row>
    <row r="1754" spans="1:9" x14ac:dyDescent="0.2">
      <c r="A1754" t="str">
        <f t="shared" si="274"/>
        <v>37591Tiahura1285Autres</v>
      </c>
      <c r="B1754" s="1">
        <v>37591</v>
      </c>
      <c r="C1754" t="s">
        <v>24</v>
      </c>
      <c r="D1754" s="19">
        <v>12</v>
      </c>
      <c r="E1754">
        <v>85</v>
      </c>
      <c r="F1754" t="s">
        <v>14</v>
      </c>
      <c r="H1754">
        <v>0</v>
      </c>
    </row>
    <row r="1755" spans="1:9" x14ac:dyDescent="0.2">
      <c r="A1755" t="str">
        <f t="shared" si="274"/>
        <v>37591Tiahura1286AcroporidaeBords</v>
      </c>
      <c r="B1755" s="1">
        <v>37591</v>
      </c>
      <c r="C1755" t="s">
        <v>24</v>
      </c>
      <c r="D1755" s="19">
        <v>12</v>
      </c>
      <c r="E1755">
        <v>86</v>
      </c>
      <c r="F1755" t="s">
        <v>17</v>
      </c>
      <c r="G1755" t="s">
        <v>13</v>
      </c>
      <c r="H1755">
        <v>1</v>
      </c>
      <c r="I1755" t="s">
        <v>27</v>
      </c>
    </row>
    <row r="1756" spans="1:9" x14ac:dyDescent="0.2">
      <c r="A1756" t="str">
        <f t="shared" si="274"/>
        <v>37591Tiahura1286PocilloporidaeDessous</v>
      </c>
      <c r="B1756" s="1">
        <v>37591</v>
      </c>
      <c r="C1756" t="s">
        <v>24</v>
      </c>
      <c r="D1756" s="19">
        <v>12</v>
      </c>
      <c r="E1756">
        <v>86</v>
      </c>
      <c r="F1756" t="s">
        <v>10</v>
      </c>
      <c r="G1756" t="s">
        <v>8</v>
      </c>
      <c r="H1756">
        <v>1</v>
      </c>
      <c r="I1756" t="s">
        <v>27</v>
      </c>
    </row>
    <row r="1757" spans="1:9" x14ac:dyDescent="0.2">
      <c r="A1757" t="str">
        <f t="shared" si="274"/>
        <v>37591Tiahura1286PoritidaeDessous</v>
      </c>
      <c r="B1757" s="1">
        <v>37591</v>
      </c>
      <c r="C1757" t="s">
        <v>24</v>
      </c>
      <c r="D1757" s="19">
        <v>12</v>
      </c>
      <c r="E1757">
        <v>86</v>
      </c>
      <c r="F1757" t="s">
        <v>7</v>
      </c>
      <c r="G1757" t="s">
        <v>8</v>
      </c>
      <c r="H1757">
        <v>1</v>
      </c>
      <c r="I1757" t="s">
        <v>27</v>
      </c>
    </row>
    <row r="1758" spans="1:9" x14ac:dyDescent="0.2">
      <c r="A1758" t="str">
        <f t="shared" si="274"/>
        <v>37591Tiahura1287PoritidaeDessous</v>
      </c>
      <c r="B1758" s="1">
        <v>37591</v>
      </c>
      <c r="C1758" t="s">
        <v>24</v>
      </c>
      <c r="D1758" s="19">
        <v>12</v>
      </c>
      <c r="E1758">
        <v>87</v>
      </c>
      <c r="F1758" t="s">
        <v>7</v>
      </c>
      <c r="G1758" t="s">
        <v>8</v>
      </c>
      <c r="H1758">
        <v>1</v>
      </c>
      <c r="I1758" t="s">
        <v>27</v>
      </c>
    </row>
    <row r="1759" spans="1:9" x14ac:dyDescent="0.2">
      <c r="A1759" t="str">
        <f t="shared" si="274"/>
        <v>37591Tiahura1288PocilloporidaeDessous</v>
      </c>
      <c r="B1759" s="1">
        <v>37591</v>
      </c>
      <c r="C1759" t="s">
        <v>24</v>
      </c>
      <c r="D1759" s="19">
        <v>12</v>
      </c>
      <c r="E1759">
        <v>88</v>
      </c>
      <c r="F1759" t="s">
        <v>10</v>
      </c>
      <c r="G1759" t="s">
        <v>8</v>
      </c>
      <c r="H1759">
        <v>3</v>
      </c>
      <c r="I1759" t="s">
        <v>27</v>
      </c>
    </row>
    <row r="1760" spans="1:9" x14ac:dyDescent="0.2">
      <c r="A1760" t="str">
        <f t="shared" si="274"/>
        <v>37591Tiahura1288PoritidaeDessous</v>
      </c>
      <c r="B1760" s="1">
        <v>37591</v>
      </c>
      <c r="C1760" t="s">
        <v>24</v>
      </c>
      <c r="D1760" s="19">
        <v>12</v>
      </c>
      <c r="E1760">
        <v>88</v>
      </c>
      <c r="F1760" t="s">
        <v>7</v>
      </c>
      <c r="G1760" t="s">
        <v>8</v>
      </c>
      <c r="H1760">
        <v>1</v>
      </c>
      <c r="I1760" t="s">
        <v>27</v>
      </c>
    </row>
    <row r="1761" spans="1:9" x14ac:dyDescent="0.2">
      <c r="A1761" t="str">
        <f t="shared" si="274"/>
        <v>37591Tiahura1289PoritidaeDessous</v>
      </c>
      <c r="B1761" s="1">
        <v>37591</v>
      </c>
      <c r="C1761" t="s">
        <v>24</v>
      </c>
      <c r="D1761" s="19">
        <v>12</v>
      </c>
      <c r="E1761">
        <v>89</v>
      </c>
      <c r="F1761" t="s">
        <v>7</v>
      </c>
      <c r="G1761" t="s">
        <v>8</v>
      </c>
      <c r="H1761">
        <v>1</v>
      </c>
      <c r="I1761" t="s">
        <v>27</v>
      </c>
    </row>
    <row r="1762" spans="1:9" x14ac:dyDescent="0.2">
      <c r="A1762" t="str">
        <f t="shared" si="274"/>
        <v>37591Tiahura1290PocilloporidaeDessous</v>
      </c>
      <c r="B1762" s="1">
        <v>37591</v>
      </c>
      <c r="C1762" t="s">
        <v>24</v>
      </c>
      <c r="D1762" s="19">
        <v>12</v>
      </c>
      <c r="E1762">
        <v>90</v>
      </c>
      <c r="F1762" t="s">
        <v>10</v>
      </c>
      <c r="G1762" t="s">
        <v>8</v>
      </c>
      <c r="H1762">
        <v>1</v>
      </c>
      <c r="I1762" t="s">
        <v>27</v>
      </c>
    </row>
    <row r="1763" spans="1:9" x14ac:dyDescent="0.2">
      <c r="A1763" t="str">
        <f t="shared" si="274"/>
        <v>37591Tiahura1291PocilloporidaeDessous</v>
      </c>
      <c r="B1763" s="1">
        <v>37591</v>
      </c>
      <c r="C1763" t="s">
        <v>24</v>
      </c>
      <c r="D1763" s="19">
        <v>12</v>
      </c>
      <c r="E1763">
        <v>91</v>
      </c>
      <c r="F1763" t="s">
        <v>10</v>
      </c>
      <c r="G1763" t="s">
        <v>8</v>
      </c>
      <c r="H1763">
        <v>1</v>
      </c>
      <c r="I1763" t="s">
        <v>27</v>
      </c>
    </row>
    <row r="1764" spans="1:9" x14ac:dyDescent="0.2">
      <c r="A1764" t="str">
        <f t="shared" si="274"/>
        <v>37591Tiahura1291PocilloporidaeDessus</v>
      </c>
      <c r="B1764" s="1">
        <v>37591</v>
      </c>
      <c r="C1764" t="s">
        <v>24</v>
      </c>
      <c r="D1764" s="19">
        <v>12</v>
      </c>
      <c r="E1764">
        <v>91</v>
      </c>
      <c r="F1764" t="s">
        <v>10</v>
      </c>
      <c r="G1764" t="s">
        <v>11</v>
      </c>
      <c r="H1764">
        <v>1</v>
      </c>
      <c r="I1764" t="s">
        <v>27</v>
      </c>
    </row>
    <row r="1765" spans="1:9" x14ac:dyDescent="0.2">
      <c r="A1765" t="str">
        <f t="shared" si="274"/>
        <v>37591Tiahura1292PocilloporidaeBords</v>
      </c>
      <c r="B1765" s="1">
        <v>37591</v>
      </c>
      <c r="C1765" t="s">
        <v>24</v>
      </c>
      <c r="D1765" s="19">
        <v>12</v>
      </c>
      <c r="E1765">
        <v>92</v>
      </c>
      <c r="F1765" t="s">
        <v>10</v>
      </c>
      <c r="G1765" t="s">
        <v>13</v>
      </c>
      <c r="H1765">
        <v>1</v>
      </c>
      <c r="I1765" t="s">
        <v>27</v>
      </c>
    </row>
    <row r="1766" spans="1:9" x14ac:dyDescent="0.2">
      <c r="A1766" t="str">
        <f t="shared" si="274"/>
        <v>37591Tiahura1292PocilloporidaeDessous</v>
      </c>
      <c r="B1766" s="1">
        <v>37591</v>
      </c>
      <c r="C1766" t="s">
        <v>24</v>
      </c>
      <c r="D1766" s="19">
        <v>12</v>
      </c>
      <c r="E1766">
        <v>92</v>
      </c>
      <c r="F1766" t="s">
        <v>10</v>
      </c>
      <c r="G1766" t="s">
        <v>8</v>
      </c>
      <c r="H1766">
        <v>1</v>
      </c>
      <c r="I1766" t="s">
        <v>27</v>
      </c>
    </row>
    <row r="1767" spans="1:9" x14ac:dyDescent="0.2">
      <c r="A1767" t="str">
        <f t="shared" si="274"/>
        <v>37591Tiahura1292PoritidaeBords</v>
      </c>
      <c r="B1767" s="1">
        <v>37591</v>
      </c>
      <c r="C1767" t="s">
        <v>24</v>
      </c>
      <c r="D1767" s="19">
        <v>12</v>
      </c>
      <c r="E1767">
        <v>92</v>
      </c>
      <c r="F1767" t="s">
        <v>7</v>
      </c>
      <c r="G1767" t="s">
        <v>13</v>
      </c>
      <c r="H1767">
        <v>1</v>
      </c>
      <c r="I1767" t="s">
        <v>27</v>
      </c>
    </row>
    <row r="1768" spans="1:9" x14ac:dyDescent="0.2">
      <c r="A1768" t="str">
        <f t="shared" si="274"/>
        <v>37591Tiahura1293Autres</v>
      </c>
      <c r="B1768" s="1">
        <v>37591</v>
      </c>
      <c r="C1768" t="s">
        <v>24</v>
      </c>
      <c r="D1768" s="19">
        <v>12</v>
      </c>
      <c r="E1768">
        <v>93</v>
      </c>
      <c r="F1768" t="s">
        <v>14</v>
      </c>
      <c r="H1768">
        <v>0</v>
      </c>
    </row>
    <row r="1769" spans="1:9" x14ac:dyDescent="0.2">
      <c r="A1769" t="str">
        <f t="shared" si="274"/>
        <v>37591Tiahura1294Autres</v>
      </c>
      <c r="B1769" s="1">
        <v>37591</v>
      </c>
      <c r="C1769" t="s">
        <v>24</v>
      </c>
      <c r="D1769" s="19">
        <v>12</v>
      </c>
      <c r="E1769">
        <v>94</v>
      </c>
      <c r="F1769" t="s">
        <v>14</v>
      </c>
      <c r="H1769">
        <v>0</v>
      </c>
    </row>
    <row r="1770" spans="1:9" x14ac:dyDescent="0.2">
      <c r="A1770" t="str">
        <f t="shared" si="274"/>
        <v>37591Tiahura1295Autres</v>
      </c>
      <c r="B1770" s="1">
        <v>37591</v>
      </c>
      <c r="C1770" t="s">
        <v>24</v>
      </c>
      <c r="D1770" s="19">
        <v>12</v>
      </c>
      <c r="E1770">
        <v>95</v>
      </c>
      <c r="F1770" t="s">
        <v>14</v>
      </c>
      <c r="H1770">
        <v>0</v>
      </c>
    </row>
    <row r="1771" spans="1:9" x14ac:dyDescent="0.2">
      <c r="A1771" t="str">
        <f t="shared" si="274"/>
        <v>37591Tiahura1296PocilloporidaeBords</v>
      </c>
      <c r="B1771" s="1">
        <v>37591</v>
      </c>
      <c r="C1771" t="s">
        <v>24</v>
      </c>
      <c r="D1771" s="19">
        <v>12</v>
      </c>
      <c r="E1771">
        <v>96</v>
      </c>
      <c r="F1771" t="s">
        <v>10</v>
      </c>
      <c r="G1771" t="s">
        <v>13</v>
      </c>
      <c r="H1771">
        <v>1</v>
      </c>
      <c r="I1771" t="s">
        <v>27</v>
      </c>
    </row>
    <row r="1772" spans="1:9" x14ac:dyDescent="0.2">
      <c r="A1772" t="str">
        <f t="shared" si="274"/>
        <v>37591Tiahura1296PocilloporidaeDessous</v>
      </c>
      <c r="B1772" s="1">
        <v>37591</v>
      </c>
      <c r="C1772" t="s">
        <v>24</v>
      </c>
      <c r="D1772" s="19">
        <v>12</v>
      </c>
      <c r="E1772">
        <v>96</v>
      </c>
      <c r="F1772" t="s">
        <v>10</v>
      </c>
      <c r="G1772" t="s">
        <v>8</v>
      </c>
      <c r="H1772">
        <v>1</v>
      </c>
      <c r="I1772" t="s">
        <v>27</v>
      </c>
    </row>
    <row r="1773" spans="1:9" x14ac:dyDescent="0.2">
      <c r="A1773" t="str">
        <f t="shared" si="274"/>
        <v>37591Tiahura1297CassésDessous</v>
      </c>
      <c r="B1773" s="1">
        <v>37591</v>
      </c>
      <c r="C1773" t="s">
        <v>24</v>
      </c>
      <c r="D1773" s="19">
        <v>12</v>
      </c>
      <c r="E1773">
        <v>97</v>
      </c>
      <c r="F1773" t="s">
        <v>12</v>
      </c>
      <c r="G1773" t="s">
        <v>8</v>
      </c>
      <c r="H1773">
        <v>1</v>
      </c>
      <c r="I1773" t="s">
        <v>27</v>
      </c>
    </row>
    <row r="1774" spans="1:9" x14ac:dyDescent="0.2">
      <c r="A1774" t="str">
        <f t="shared" si="274"/>
        <v>37591Tiahura1297PoritidaeBords</v>
      </c>
      <c r="B1774" s="1">
        <v>37591</v>
      </c>
      <c r="C1774" t="s">
        <v>24</v>
      </c>
      <c r="D1774" s="19">
        <v>12</v>
      </c>
      <c r="E1774">
        <v>97</v>
      </c>
      <c r="F1774" t="s">
        <v>7</v>
      </c>
      <c r="G1774" t="s">
        <v>13</v>
      </c>
      <c r="H1774">
        <v>1</v>
      </c>
      <c r="I1774" t="s">
        <v>27</v>
      </c>
    </row>
    <row r="1775" spans="1:9" x14ac:dyDescent="0.2">
      <c r="A1775" t="str">
        <f t="shared" si="274"/>
        <v>37591Tiahura1297PoritidaeDessous</v>
      </c>
      <c r="B1775" s="1">
        <v>37591</v>
      </c>
      <c r="C1775" t="s">
        <v>24</v>
      </c>
      <c r="D1775" s="19">
        <v>12</v>
      </c>
      <c r="E1775">
        <v>97</v>
      </c>
      <c r="F1775" t="s">
        <v>7</v>
      </c>
      <c r="G1775" t="s">
        <v>8</v>
      </c>
      <c r="H1775">
        <v>1</v>
      </c>
      <c r="I1775" t="s">
        <v>27</v>
      </c>
    </row>
    <row r="1776" spans="1:9" x14ac:dyDescent="0.2">
      <c r="A1776" t="str">
        <f t="shared" si="274"/>
        <v>37591Tiahura1298AcroporidaeBords</v>
      </c>
      <c r="B1776" s="1">
        <v>37591</v>
      </c>
      <c r="C1776" t="s">
        <v>24</v>
      </c>
      <c r="D1776" s="19">
        <v>12</v>
      </c>
      <c r="E1776">
        <v>98</v>
      </c>
      <c r="F1776" t="s">
        <v>17</v>
      </c>
      <c r="G1776" t="s">
        <v>13</v>
      </c>
      <c r="H1776">
        <v>1</v>
      </c>
      <c r="I1776" t="s">
        <v>27</v>
      </c>
    </row>
    <row r="1777" spans="1:9" x14ac:dyDescent="0.2">
      <c r="A1777" t="str">
        <f t="shared" si="274"/>
        <v>37591Tiahura1298CassésDessous</v>
      </c>
      <c r="B1777" s="1">
        <v>37591</v>
      </c>
      <c r="C1777" t="s">
        <v>24</v>
      </c>
      <c r="D1777" s="19">
        <v>12</v>
      </c>
      <c r="E1777">
        <v>98</v>
      </c>
      <c r="F1777" t="s">
        <v>12</v>
      </c>
      <c r="G1777" t="s">
        <v>8</v>
      </c>
      <c r="H1777">
        <v>1</v>
      </c>
      <c r="I1777" t="s">
        <v>27</v>
      </c>
    </row>
    <row r="1778" spans="1:9" x14ac:dyDescent="0.2">
      <c r="A1778" t="str">
        <f t="shared" si="274"/>
        <v>37591Tiahura1298PocilloporidaeBords</v>
      </c>
      <c r="B1778" s="1">
        <v>37591</v>
      </c>
      <c r="C1778" t="s">
        <v>24</v>
      </c>
      <c r="D1778" s="19">
        <v>12</v>
      </c>
      <c r="E1778">
        <v>98</v>
      </c>
      <c r="F1778" t="s">
        <v>10</v>
      </c>
      <c r="G1778" t="s">
        <v>13</v>
      </c>
      <c r="H1778">
        <v>4</v>
      </c>
      <c r="I1778" t="s">
        <v>27</v>
      </c>
    </row>
    <row r="1779" spans="1:9" x14ac:dyDescent="0.2">
      <c r="A1779" t="str">
        <f t="shared" si="274"/>
        <v>37591Tiahura1298PocilloporidaeDessous</v>
      </c>
      <c r="B1779" s="1">
        <v>37591</v>
      </c>
      <c r="C1779" t="s">
        <v>24</v>
      </c>
      <c r="D1779" s="19">
        <v>12</v>
      </c>
      <c r="E1779">
        <v>98</v>
      </c>
      <c r="F1779" t="s">
        <v>10</v>
      </c>
      <c r="G1779" t="s">
        <v>8</v>
      </c>
      <c r="H1779">
        <v>3</v>
      </c>
      <c r="I1779" t="s">
        <v>27</v>
      </c>
    </row>
    <row r="1780" spans="1:9" x14ac:dyDescent="0.2">
      <c r="A1780" t="str">
        <f t="shared" si="274"/>
        <v>37591Tiahura1298PoritidaeBords</v>
      </c>
      <c r="B1780" s="1">
        <v>37591</v>
      </c>
      <c r="C1780" t="s">
        <v>24</v>
      </c>
      <c r="D1780" s="19">
        <v>12</v>
      </c>
      <c r="E1780">
        <v>98</v>
      </c>
      <c r="F1780" t="s">
        <v>7</v>
      </c>
      <c r="G1780" t="s">
        <v>13</v>
      </c>
      <c r="H1780">
        <v>1</v>
      </c>
      <c r="I1780" t="s">
        <v>27</v>
      </c>
    </row>
    <row r="1781" spans="1:9" x14ac:dyDescent="0.2">
      <c r="A1781" t="str">
        <f t="shared" si="274"/>
        <v>37591Tiahura1298PoritidaeDessous</v>
      </c>
      <c r="B1781" s="1">
        <v>37591</v>
      </c>
      <c r="C1781" t="s">
        <v>24</v>
      </c>
      <c r="D1781" s="19">
        <v>12</v>
      </c>
      <c r="E1781">
        <v>98</v>
      </c>
      <c r="F1781" t="s">
        <v>7</v>
      </c>
      <c r="G1781" t="s">
        <v>8</v>
      </c>
      <c r="H1781">
        <v>1</v>
      </c>
      <c r="I1781" t="s">
        <v>27</v>
      </c>
    </row>
    <row r="1782" spans="1:9" x14ac:dyDescent="0.2">
      <c r="A1782" t="str">
        <f t="shared" si="274"/>
        <v>37591Tiahura1299PocilloporidaeDessous</v>
      </c>
      <c r="B1782" s="1">
        <v>37591</v>
      </c>
      <c r="C1782" t="s">
        <v>24</v>
      </c>
      <c r="D1782" s="19">
        <v>12</v>
      </c>
      <c r="E1782">
        <v>99</v>
      </c>
      <c r="F1782" t="s">
        <v>10</v>
      </c>
      <c r="G1782" t="s">
        <v>8</v>
      </c>
      <c r="H1782">
        <v>4</v>
      </c>
      <c r="I1782" t="s">
        <v>27</v>
      </c>
    </row>
    <row r="1783" spans="1:9" x14ac:dyDescent="0.2">
      <c r="A1783" t="str">
        <f t="shared" si="274"/>
        <v>37591Tiahura1299PoritidaeDessous</v>
      </c>
      <c r="B1783" s="1">
        <v>37591</v>
      </c>
      <c r="C1783" t="s">
        <v>24</v>
      </c>
      <c r="D1783" s="19">
        <v>12</v>
      </c>
      <c r="E1783">
        <v>99</v>
      </c>
      <c r="F1783" t="s">
        <v>7</v>
      </c>
      <c r="G1783" t="s">
        <v>8</v>
      </c>
      <c r="H1783">
        <v>1</v>
      </c>
      <c r="I1783" t="s">
        <v>27</v>
      </c>
    </row>
    <row r="1784" spans="1:9" x14ac:dyDescent="0.2">
      <c r="A1784" t="str">
        <f t="shared" si="274"/>
        <v>37591Tiahura12100PocilloporidaeDessous</v>
      </c>
      <c r="B1784" s="1">
        <v>37591</v>
      </c>
      <c r="C1784" t="s">
        <v>24</v>
      </c>
      <c r="D1784" s="19">
        <v>12</v>
      </c>
      <c r="E1784">
        <v>100</v>
      </c>
      <c r="F1784" t="s">
        <v>10</v>
      </c>
      <c r="G1784" t="s">
        <v>8</v>
      </c>
      <c r="H1784">
        <v>1</v>
      </c>
      <c r="I1784" t="s">
        <v>27</v>
      </c>
    </row>
    <row r="1785" spans="1:9" x14ac:dyDescent="0.2">
      <c r="A1785" t="str">
        <f t="shared" si="274"/>
        <v>37591Tiahura12100PoritidaeDessous</v>
      </c>
      <c r="B1785" s="1">
        <v>37591</v>
      </c>
      <c r="C1785" t="s">
        <v>24</v>
      </c>
      <c r="D1785" s="19">
        <v>12</v>
      </c>
      <c r="E1785">
        <v>100</v>
      </c>
      <c r="F1785" t="s">
        <v>7</v>
      </c>
      <c r="G1785" t="s">
        <v>8</v>
      </c>
      <c r="H1785">
        <v>1</v>
      </c>
      <c r="I1785" t="s">
        <v>27</v>
      </c>
    </row>
    <row r="1786" spans="1:9" x14ac:dyDescent="0.2">
      <c r="A1786" t="str">
        <f t="shared" si="274"/>
        <v>37591Tiahura18101PocilloporidaeDessous</v>
      </c>
      <c r="B1786" s="1">
        <v>37591</v>
      </c>
      <c r="C1786" t="s">
        <v>24</v>
      </c>
      <c r="D1786" s="19">
        <v>18</v>
      </c>
      <c r="E1786">
        <v>101</v>
      </c>
      <c r="F1786" t="s">
        <v>10</v>
      </c>
      <c r="G1786" t="s">
        <v>8</v>
      </c>
      <c r="H1786">
        <v>1</v>
      </c>
      <c r="I1786" t="s">
        <v>27</v>
      </c>
    </row>
    <row r="1787" spans="1:9" x14ac:dyDescent="0.2">
      <c r="A1787" t="str">
        <f t="shared" si="274"/>
        <v>37591Tiahura18102PocilloporidaeDessous</v>
      </c>
      <c r="B1787" s="1">
        <v>37591</v>
      </c>
      <c r="C1787" t="s">
        <v>24</v>
      </c>
      <c r="D1787" s="19">
        <v>18</v>
      </c>
      <c r="E1787">
        <v>102</v>
      </c>
      <c r="F1787" t="s">
        <v>10</v>
      </c>
      <c r="G1787" t="s">
        <v>8</v>
      </c>
      <c r="H1787">
        <v>1</v>
      </c>
      <c r="I1787" t="s">
        <v>27</v>
      </c>
    </row>
    <row r="1788" spans="1:9" x14ac:dyDescent="0.2">
      <c r="A1788" t="str">
        <f t="shared" si="274"/>
        <v>37591Tiahura18103Autres</v>
      </c>
      <c r="B1788" s="1">
        <v>37591</v>
      </c>
      <c r="C1788" t="s">
        <v>24</v>
      </c>
      <c r="D1788" s="19">
        <v>18</v>
      </c>
      <c r="E1788">
        <v>103</v>
      </c>
      <c r="F1788" t="s">
        <v>14</v>
      </c>
      <c r="H1788">
        <v>0</v>
      </c>
    </row>
    <row r="1789" spans="1:9" x14ac:dyDescent="0.2">
      <c r="A1789" t="str">
        <f t="shared" si="274"/>
        <v>37591Tiahura18104PocilloporidaeDessus</v>
      </c>
      <c r="B1789" s="1">
        <v>37591</v>
      </c>
      <c r="C1789" t="s">
        <v>24</v>
      </c>
      <c r="D1789" s="19">
        <v>18</v>
      </c>
      <c r="E1789">
        <v>104</v>
      </c>
      <c r="F1789" t="s">
        <v>10</v>
      </c>
      <c r="G1789" t="s">
        <v>11</v>
      </c>
      <c r="H1789">
        <v>2</v>
      </c>
      <c r="I1789" t="s">
        <v>27</v>
      </c>
    </row>
    <row r="1790" spans="1:9" x14ac:dyDescent="0.2">
      <c r="A1790" t="str">
        <f t="shared" si="274"/>
        <v>37591Tiahura18105Autres</v>
      </c>
      <c r="B1790" s="1">
        <v>37591</v>
      </c>
      <c r="C1790" t="s">
        <v>24</v>
      </c>
      <c r="D1790" s="19">
        <v>18</v>
      </c>
      <c r="E1790">
        <v>105</v>
      </c>
      <c r="F1790" t="s">
        <v>14</v>
      </c>
      <c r="H1790">
        <v>0</v>
      </c>
    </row>
    <row r="1791" spans="1:9" x14ac:dyDescent="0.2">
      <c r="A1791" t="str">
        <f t="shared" ref="A1791:A1854" si="275">B1791 &amp; C1791&amp; D1791&amp; E1791 &amp; F1791 &amp;G1791</f>
        <v>37591Tiahura18106AcroporidaeDessous</v>
      </c>
      <c r="B1791" s="1">
        <v>37591</v>
      </c>
      <c r="C1791" t="s">
        <v>24</v>
      </c>
      <c r="D1791" s="19">
        <v>18</v>
      </c>
      <c r="E1791">
        <v>106</v>
      </c>
      <c r="F1791" t="s">
        <v>17</v>
      </c>
      <c r="G1791" t="s">
        <v>8</v>
      </c>
      <c r="H1791">
        <v>1</v>
      </c>
      <c r="I1791" t="s">
        <v>27</v>
      </c>
    </row>
    <row r="1792" spans="1:9" x14ac:dyDescent="0.2">
      <c r="A1792" t="str">
        <f t="shared" si="275"/>
        <v>37591Tiahura18106PocilloporidaeDessous</v>
      </c>
      <c r="B1792" s="1">
        <v>37591</v>
      </c>
      <c r="C1792" t="s">
        <v>24</v>
      </c>
      <c r="D1792" s="19">
        <v>18</v>
      </c>
      <c r="E1792">
        <v>106</v>
      </c>
      <c r="F1792" t="s">
        <v>10</v>
      </c>
      <c r="G1792" t="s">
        <v>8</v>
      </c>
      <c r="H1792">
        <v>2</v>
      </c>
      <c r="I1792" t="s">
        <v>27</v>
      </c>
    </row>
    <row r="1793" spans="1:9" x14ac:dyDescent="0.2">
      <c r="A1793" t="str">
        <f t="shared" si="275"/>
        <v>37591Tiahura18106PoritidaeDessous</v>
      </c>
      <c r="B1793" s="1">
        <v>37591</v>
      </c>
      <c r="C1793" t="s">
        <v>24</v>
      </c>
      <c r="D1793" s="19">
        <v>18</v>
      </c>
      <c r="E1793">
        <v>106</v>
      </c>
      <c r="F1793" t="s">
        <v>7</v>
      </c>
      <c r="G1793" t="s">
        <v>8</v>
      </c>
      <c r="H1793">
        <v>2</v>
      </c>
      <c r="I1793" t="s">
        <v>27</v>
      </c>
    </row>
    <row r="1794" spans="1:9" x14ac:dyDescent="0.2">
      <c r="A1794" t="str">
        <f t="shared" si="275"/>
        <v>37591Tiahura18107Autres</v>
      </c>
      <c r="B1794" s="1">
        <v>37591</v>
      </c>
      <c r="C1794" t="s">
        <v>24</v>
      </c>
      <c r="D1794" s="19">
        <v>18</v>
      </c>
      <c r="E1794">
        <v>107</v>
      </c>
      <c r="F1794" t="s">
        <v>14</v>
      </c>
      <c r="H1794">
        <v>0</v>
      </c>
    </row>
    <row r="1795" spans="1:9" x14ac:dyDescent="0.2">
      <c r="A1795" t="str">
        <f t="shared" si="275"/>
        <v>37591Tiahura18108CassésDessus</v>
      </c>
      <c r="B1795" s="1">
        <v>37591</v>
      </c>
      <c r="C1795" t="s">
        <v>24</v>
      </c>
      <c r="D1795" s="19">
        <v>18</v>
      </c>
      <c r="E1795">
        <v>108</v>
      </c>
      <c r="F1795" t="s">
        <v>12</v>
      </c>
      <c r="G1795" t="s">
        <v>11</v>
      </c>
      <c r="H1795">
        <v>1</v>
      </c>
      <c r="I1795" t="s">
        <v>27</v>
      </c>
    </row>
    <row r="1796" spans="1:9" x14ac:dyDescent="0.2">
      <c r="A1796" t="str">
        <f t="shared" si="275"/>
        <v>37591Tiahura18109CassésDessus</v>
      </c>
      <c r="B1796" s="1">
        <v>37591</v>
      </c>
      <c r="C1796" t="s">
        <v>24</v>
      </c>
      <c r="D1796" s="19">
        <v>18</v>
      </c>
      <c r="E1796">
        <v>109</v>
      </c>
      <c r="F1796" t="s">
        <v>12</v>
      </c>
      <c r="G1796" t="s">
        <v>11</v>
      </c>
      <c r="H1796">
        <v>2</v>
      </c>
      <c r="I1796" t="s">
        <v>27</v>
      </c>
    </row>
    <row r="1797" spans="1:9" x14ac:dyDescent="0.2">
      <c r="A1797" t="str">
        <f t="shared" si="275"/>
        <v>37591Tiahura18109PocilloporidaeBords</v>
      </c>
      <c r="B1797" s="1">
        <v>37591</v>
      </c>
      <c r="C1797" t="s">
        <v>24</v>
      </c>
      <c r="D1797" s="19">
        <v>18</v>
      </c>
      <c r="E1797">
        <v>109</v>
      </c>
      <c r="F1797" t="s">
        <v>10</v>
      </c>
      <c r="G1797" t="s">
        <v>13</v>
      </c>
      <c r="H1797">
        <v>1</v>
      </c>
      <c r="I1797" t="s">
        <v>27</v>
      </c>
    </row>
    <row r="1798" spans="1:9" x14ac:dyDescent="0.2">
      <c r="A1798" t="str">
        <f t="shared" si="275"/>
        <v>37591Tiahura18109PocilloporidaeDessous</v>
      </c>
      <c r="B1798" s="1">
        <v>37591</v>
      </c>
      <c r="C1798" t="s">
        <v>24</v>
      </c>
      <c r="D1798" s="19">
        <v>18</v>
      </c>
      <c r="E1798">
        <v>109</v>
      </c>
      <c r="F1798" t="s">
        <v>10</v>
      </c>
      <c r="G1798" t="s">
        <v>8</v>
      </c>
      <c r="H1798">
        <v>1</v>
      </c>
      <c r="I1798" t="s">
        <v>27</v>
      </c>
    </row>
    <row r="1799" spans="1:9" x14ac:dyDescent="0.2">
      <c r="A1799" t="str">
        <f t="shared" si="275"/>
        <v>37591Tiahura18110AcroporidaeDessus</v>
      </c>
      <c r="B1799" s="1">
        <v>37591</v>
      </c>
      <c r="C1799" t="s">
        <v>24</v>
      </c>
      <c r="D1799" s="19">
        <v>18</v>
      </c>
      <c r="E1799">
        <v>110</v>
      </c>
      <c r="F1799" t="s">
        <v>17</v>
      </c>
      <c r="G1799" t="s">
        <v>11</v>
      </c>
      <c r="H1799">
        <v>1</v>
      </c>
      <c r="I1799" t="s">
        <v>27</v>
      </c>
    </row>
    <row r="1800" spans="1:9" x14ac:dyDescent="0.2">
      <c r="A1800" t="str">
        <f t="shared" si="275"/>
        <v>37591Tiahura18110CassésDessus</v>
      </c>
      <c r="B1800" s="1">
        <v>37591</v>
      </c>
      <c r="C1800" t="s">
        <v>24</v>
      </c>
      <c r="D1800" s="19">
        <v>18</v>
      </c>
      <c r="E1800">
        <v>110</v>
      </c>
      <c r="F1800" t="s">
        <v>12</v>
      </c>
      <c r="G1800" t="s">
        <v>11</v>
      </c>
      <c r="H1800">
        <v>2</v>
      </c>
      <c r="I1800" t="s">
        <v>27</v>
      </c>
    </row>
    <row r="1801" spans="1:9" x14ac:dyDescent="0.2">
      <c r="A1801" t="str">
        <f t="shared" si="275"/>
        <v>37591Tiahura18110PocilloporidaeBords</v>
      </c>
      <c r="B1801" s="1">
        <v>37591</v>
      </c>
      <c r="C1801" t="s">
        <v>24</v>
      </c>
      <c r="D1801" s="19">
        <v>18</v>
      </c>
      <c r="E1801">
        <v>110</v>
      </c>
      <c r="F1801" t="s">
        <v>10</v>
      </c>
      <c r="G1801" t="s">
        <v>13</v>
      </c>
      <c r="H1801">
        <v>1</v>
      </c>
      <c r="I1801" t="s">
        <v>27</v>
      </c>
    </row>
    <row r="1802" spans="1:9" x14ac:dyDescent="0.2">
      <c r="A1802" t="str">
        <f t="shared" si="275"/>
        <v>37591Tiahura18110PocilloporidaeDessous</v>
      </c>
      <c r="B1802" s="1">
        <v>37591</v>
      </c>
      <c r="C1802" t="s">
        <v>24</v>
      </c>
      <c r="D1802" s="19">
        <v>18</v>
      </c>
      <c r="E1802">
        <v>110</v>
      </c>
      <c r="F1802" t="s">
        <v>10</v>
      </c>
      <c r="G1802" t="s">
        <v>8</v>
      </c>
      <c r="H1802">
        <v>2</v>
      </c>
      <c r="I1802" t="s">
        <v>27</v>
      </c>
    </row>
    <row r="1803" spans="1:9" x14ac:dyDescent="0.2">
      <c r="A1803" t="str">
        <f t="shared" si="275"/>
        <v>37591Tiahura18110PocilloporidaeDessus</v>
      </c>
      <c r="B1803" s="1">
        <v>37591</v>
      </c>
      <c r="C1803" t="s">
        <v>24</v>
      </c>
      <c r="D1803" s="19">
        <v>18</v>
      </c>
      <c r="E1803">
        <v>110</v>
      </c>
      <c r="F1803" t="s">
        <v>10</v>
      </c>
      <c r="G1803" t="s">
        <v>11</v>
      </c>
      <c r="H1803">
        <v>2</v>
      </c>
      <c r="I1803" t="s">
        <v>27</v>
      </c>
    </row>
    <row r="1804" spans="1:9" x14ac:dyDescent="0.2">
      <c r="A1804" t="str">
        <f t="shared" si="275"/>
        <v>37591Tiahura18111PocilloporidaeBords</v>
      </c>
      <c r="B1804" s="1">
        <v>37591</v>
      </c>
      <c r="C1804" t="s">
        <v>24</v>
      </c>
      <c r="D1804" s="19">
        <v>18</v>
      </c>
      <c r="E1804">
        <v>111</v>
      </c>
      <c r="F1804" t="s">
        <v>10</v>
      </c>
      <c r="G1804" t="s">
        <v>13</v>
      </c>
      <c r="H1804">
        <v>3</v>
      </c>
      <c r="I1804" t="s">
        <v>27</v>
      </c>
    </row>
    <row r="1805" spans="1:9" x14ac:dyDescent="0.2">
      <c r="A1805" t="str">
        <f t="shared" si="275"/>
        <v>37591Tiahura18111PocilloporidaeDessus</v>
      </c>
      <c r="B1805" s="1">
        <v>37591</v>
      </c>
      <c r="C1805" t="s">
        <v>24</v>
      </c>
      <c r="D1805" s="19">
        <v>18</v>
      </c>
      <c r="E1805">
        <v>111</v>
      </c>
      <c r="F1805" t="s">
        <v>10</v>
      </c>
      <c r="G1805" t="s">
        <v>11</v>
      </c>
      <c r="H1805">
        <v>1</v>
      </c>
      <c r="I1805" t="s">
        <v>27</v>
      </c>
    </row>
    <row r="1806" spans="1:9" x14ac:dyDescent="0.2">
      <c r="A1806" t="str">
        <f t="shared" si="275"/>
        <v>37591Tiahura18112PocilloporidaeBords</v>
      </c>
      <c r="B1806" s="1">
        <v>37591</v>
      </c>
      <c r="C1806" t="s">
        <v>24</v>
      </c>
      <c r="D1806" s="19">
        <v>18</v>
      </c>
      <c r="E1806">
        <v>112</v>
      </c>
      <c r="F1806" t="s">
        <v>10</v>
      </c>
      <c r="G1806" t="s">
        <v>13</v>
      </c>
      <c r="H1806">
        <v>3</v>
      </c>
      <c r="I1806" t="s">
        <v>27</v>
      </c>
    </row>
    <row r="1807" spans="1:9" x14ac:dyDescent="0.2">
      <c r="A1807" t="str">
        <f t="shared" si="275"/>
        <v>37591Tiahura18113Autres</v>
      </c>
      <c r="B1807" s="1">
        <v>37591</v>
      </c>
      <c r="C1807" t="s">
        <v>24</v>
      </c>
      <c r="D1807" s="19">
        <v>18</v>
      </c>
      <c r="E1807">
        <v>113</v>
      </c>
      <c r="F1807" t="s">
        <v>14</v>
      </c>
      <c r="H1807">
        <v>0</v>
      </c>
    </row>
    <row r="1808" spans="1:9" x14ac:dyDescent="0.2">
      <c r="A1808" t="str">
        <f t="shared" si="275"/>
        <v>37591Tiahura18114PocilloporidaeBords</v>
      </c>
      <c r="B1808" s="1">
        <v>37591</v>
      </c>
      <c r="C1808" t="s">
        <v>24</v>
      </c>
      <c r="D1808" s="19">
        <v>18</v>
      </c>
      <c r="E1808">
        <v>114</v>
      </c>
      <c r="F1808" t="s">
        <v>10</v>
      </c>
      <c r="G1808" t="s">
        <v>13</v>
      </c>
      <c r="H1808">
        <v>2</v>
      </c>
      <c r="I1808" t="s">
        <v>27</v>
      </c>
    </row>
    <row r="1809" spans="1:9" x14ac:dyDescent="0.2">
      <c r="A1809" t="str">
        <f t="shared" si="275"/>
        <v>37591Tiahura18115AcroporidaeDessus</v>
      </c>
      <c r="B1809" s="1">
        <v>37591</v>
      </c>
      <c r="C1809" t="s">
        <v>24</v>
      </c>
      <c r="D1809" s="19">
        <v>18</v>
      </c>
      <c r="E1809">
        <v>115</v>
      </c>
      <c r="F1809" t="s">
        <v>17</v>
      </c>
      <c r="G1809" t="s">
        <v>11</v>
      </c>
      <c r="H1809">
        <v>1</v>
      </c>
      <c r="I1809" t="s">
        <v>27</v>
      </c>
    </row>
    <row r="1810" spans="1:9" x14ac:dyDescent="0.2">
      <c r="A1810" t="str">
        <f t="shared" si="275"/>
        <v>37591Tiahura18115PocilloporidaeBords</v>
      </c>
      <c r="B1810" s="1">
        <v>37591</v>
      </c>
      <c r="C1810" t="s">
        <v>24</v>
      </c>
      <c r="D1810" s="19">
        <v>18</v>
      </c>
      <c r="E1810">
        <v>115</v>
      </c>
      <c r="F1810" t="s">
        <v>10</v>
      </c>
      <c r="G1810" t="s">
        <v>13</v>
      </c>
      <c r="H1810">
        <v>1</v>
      </c>
      <c r="I1810" t="s">
        <v>27</v>
      </c>
    </row>
    <row r="1811" spans="1:9" x14ac:dyDescent="0.2">
      <c r="A1811" t="str">
        <f t="shared" si="275"/>
        <v>37591Tiahura18116PocilloporidaeBords</v>
      </c>
      <c r="B1811" s="1">
        <v>37591</v>
      </c>
      <c r="C1811" t="s">
        <v>24</v>
      </c>
      <c r="D1811" s="19">
        <v>18</v>
      </c>
      <c r="E1811">
        <v>116</v>
      </c>
      <c r="F1811" t="s">
        <v>10</v>
      </c>
      <c r="G1811" t="s">
        <v>13</v>
      </c>
      <c r="H1811">
        <v>3</v>
      </c>
      <c r="I1811" t="s">
        <v>27</v>
      </c>
    </row>
    <row r="1812" spans="1:9" x14ac:dyDescent="0.2">
      <c r="A1812" t="str">
        <f t="shared" si="275"/>
        <v>37591Tiahura18116PocilloporidaeDessous</v>
      </c>
      <c r="B1812" s="1">
        <v>37591</v>
      </c>
      <c r="C1812" t="s">
        <v>24</v>
      </c>
      <c r="D1812" s="19">
        <v>18</v>
      </c>
      <c r="E1812">
        <v>116</v>
      </c>
      <c r="F1812" t="s">
        <v>10</v>
      </c>
      <c r="G1812" t="s">
        <v>8</v>
      </c>
      <c r="H1812">
        <v>1</v>
      </c>
      <c r="I1812" t="s">
        <v>27</v>
      </c>
    </row>
    <row r="1813" spans="1:9" x14ac:dyDescent="0.2">
      <c r="A1813" t="str">
        <f t="shared" si="275"/>
        <v>37591Tiahura18117PocilloporidaeDessus</v>
      </c>
      <c r="B1813" s="1">
        <v>37591</v>
      </c>
      <c r="C1813" t="s">
        <v>24</v>
      </c>
      <c r="D1813" s="19">
        <v>18</v>
      </c>
      <c r="E1813">
        <v>117</v>
      </c>
      <c r="F1813" t="s">
        <v>10</v>
      </c>
      <c r="G1813" t="s">
        <v>11</v>
      </c>
      <c r="H1813">
        <v>1</v>
      </c>
      <c r="I1813" t="s">
        <v>27</v>
      </c>
    </row>
    <row r="1814" spans="1:9" x14ac:dyDescent="0.2">
      <c r="A1814" t="str">
        <f t="shared" si="275"/>
        <v>37591Tiahura18117PoritidaeDessous</v>
      </c>
      <c r="B1814" s="1">
        <v>37591</v>
      </c>
      <c r="C1814" t="s">
        <v>24</v>
      </c>
      <c r="D1814" s="19">
        <v>18</v>
      </c>
      <c r="E1814">
        <v>117</v>
      </c>
      <c r="F1814" t="s">
        <v>7</v>
      </c>
      <c r="G1814" t="s">
        <v>8</v>
      </c>
      <c r="H1814">
        <v>1</v>
      </c>
      <c r="I1814" t="s">
        <v>27</v>
      </c>
    </row>
    <row r="1815" spans="1:9" x14ac:dyDescent="0.2">
      <c r="A1815" t="str">
        <f t="shared" si="275"/>
        <v>37591Tiahura18118PocilloporidaeBords</v>
      </c>
      <c r="B1815" s="1">
        <v>37591</v>
      </c>
      <c r="C1815" t="s">
        <v>24</v>
      </c>
      <c r="D1815" s="19">
        <v>18</v>
      </c>
      <c r="E1815">
        <v>118</v>
      </c>
      <c r="F1815" t="s">
        <v>10</v>
      </c>
      <c r="G1815" t="s">
        <v>13</v>
      </c>
      <c r="H1815">
        <v>2</v>
      </c>
      <c r="I1815" t="s">
        <v>27</v>
      </c>
    </row>
    <row r="1816" spans="1:9" x14ac:dyDescent="0.2">
      <c r="A1816" t="str">
        <f t="shared" si="275"/>
        <v>37591Tiahura18118PocilloporidaeDessus</v>
      </c>
      <c r="B1816" s="1">
        <v>37591</v>
      </c>
      <c r="C1816" t="s">
        <v>24</v>
      </c>
      <c r="D1816" s="19">
        <v>18</v>
      </c>
      <c r="E1816">
        <v>118</v>
      </c>
      <c r="F1816" t="s">
        <v>10</v>
      </c>
      <c r="G1816" t="s">
        <v>11</v>
      </c>
      <c r="H1816">
        <v>1</v>
      </c>
      <c r="I1816" t="s">
        <v>27</v>
      </c>
    </row>
    <row r="1817" spans="1:9" x14ac:dyDescent="0.2">
      <c r="A1817" t="str">
        <f t="shared" si="275"/>
        <v>37591Tiahura18118PoritidaeBords</v>
      </c>
      <c r="B1817" s="1">
        <v>37591</v>
      </c>
      <c r="C1817" t="s">
        <v>24</v>
      </c>
      <c r="D1817" s="19">
        <v>18</v>
      </c>
      <c r="E1817">
        <v>118</v>
      </c>
      <c r="F1817" t="s">
        <v>7</v>
      </c>
      <c r="G1817" t="s">
        <v>13</v>
      </c>
      <c r="H1817">
        <v>1</v>
      </c>
      <c r="I1817" t="s">
        <v>27</v>
      </c>
    </row>
    <row r="1818" spans="1:9" x14ac:dyDescent="0.2">
      <c r="A1818" t="str">
        <f t="shared" si="275"/>
        <v>37591Tiahura18119Autres</v>
      </c>
      <c r="B1818" s="1">
        <v>37591</v>
      </c>
      <c r="C1818" t="s">
        <v>24</v>
      </c>
      <c r="D1818" s="19">
        <v>18</v>
      </c>
      <c r="E1818">
        <v>119</v>
      </c>
      <c r="F1818" t="s">
        <v>14</v>
      </c>
      <c r="H1818">
        <v>0</v>
      </c>
    </row>
    <row r="1819" spans="1:9" x14ac:dyDescent="0.2">
      <c r="A1819" t="str">
        <f t="shared" si="275"/>
        <v>37591Tiahura18120PocilloporidaeBords</v>
      </c>
      <c r="B1819" s="1">
        <v>37591</v>
      </c>
      <c r="C1819" t="s">
        <v>24</v>
      </c>
      <c r="D1819" s="19">
        <v>18</v>
      </c>
      <c r="E1819">
        <v>120</v>
      </c>
      <c r="F1819" t="s">
        <v>10</v>
      </c>
      <c r="G1819" t="s">
        <v>13</v>
      </c>
      <c r="H1819">
        <v>1</v>
      </c>
      <c r="I1819" t="s">
        <v>27</v>
      </c>
    </row>
    <row r="1820" spans="1:9" x14ac:dyDescent="0.2">
      <c r="A1820" t="str">
        <f t="shared" si="275"/>
        <v>37591Haapiti6121PocilloporidaeDessous</v>
      </c>
      <c r="B1820" s="1">
        <v>37591</v>
      </c>
      <c r="C1820" t="s">
        <v>25</v>
      </c>
      <c r="D1820" s="19">
        <v>6</v>
      </c>
      <c r="E1820">
        <v>121</v>
      </c>
      <c r="F1820" t="s">
        <v>10</v>
      </c>
      <c r="G1820" t="s">
        <v>8</v>
      </c>
      <c r="H1820">
        <v>2</v>
      </c>
      <c r="I1820" t="s">
        <v>27</v>
      </c>
    </row>
    <row r="1821" spans="1:9" x14ac:dyDescent="0.2">
      <c r="A1821" t="str">
        <f t="shared" si="275"/>
        <v>37591Haapiti6122Autres</v>
      </c>
      <c r="B1821" s="1">
        <v>37591</v>
      </c>
      <c r="C1821" t="s">
        <v>25</v>
      </c>
      <c r="D1821" s="19">
        <v>6</v>
      </c>
      <c r="E1821">
        <v>122</v>
      </c>
      <c r="F1821" t="s">
        <v>14</v>
      </c>
      <c r="H1821">
        <v>0</v>
      </c>
    </row>
    <row r="1822" spans="1:9" x14ac:dyDescent="0.2">
      <c r="A1822" t="str">
        <f t="shared" si="275"/>
        <v>37591Haapiti6123PocilloporidaeBords</v>
      </c>
      <c r="B1822" s="1">
        <v>37591</v>
      </c>
      <c r="C1822" t="s">
        <v>25</v>
      </c>
      <c r="D1822" s="19">
        <v>6</v>
      </c>
      <c r="E1822">
        <v>123</v>
      </c>
      <c r="F1822" t="s">
        <v>10</v>
      </c>
      <c r="G1822" t="s">
        <v>13</v>
      </c>
      <c r="H1822">
        <v>1</v>
      </c>
      <c r="I1822" t="s">
        <v>27</v>
      </c>
    </row>
    <row r="1823" spans="1:9" x14ac:dyDescent="0.2">
      <c r="A1823" t="str">
        <f t="shared" si="275"/>
        <v>37591Haapiti6124Autres</v>
      </c>
      <c r="B1823" s="1">
        <v>37591</v>
      </c>
      <c r="C1823" t="s">
        <v>25</v>
      </c>
      <c r="D1823" s="19">
        <v>6</v>
      </c>
      <c r="E1823">
        <v>124</v>
      </c>
      <c r="F1823" t="s">
        <v>14</v>
      </c>
      <c r="H1823">
        <v>0</v>
      </c>
    </row>
    <row r="1824" spans="1:9" x14ac:dyDescent="0.2">
      <c r="A1824" t="str">
        <f t="shared" si="275"/>
        <v>37591Haapiti6125Autres</v>
      </c>
      <c r="B1824" s="1">
        <v>37591</v>
      </c>
      <c r="C1824" t="s">
        <v>25</v>
      </c>
      <c r="D1824" s="19">
        <v>6</v>
      </c>
      <c r="E1824">
        <v>125</v>
      </c>
      <c r="F1824" t="s">
        <v>14</v>
      </c>
      <c r="H1824">
        <v>0</v>
      </c>
    </row>
    <row r="1825" spans="1:9" x14ac:dyDescent="0.2">
      <c r="A1825" t="str">
        <f t="shared" si="275"/>
        <v>37591Haapiti6126PocilloporidaeDessous</v>
      </c>
      <c r="B1825" s="1">
        <v>37591</v>
      </c>
      <c r="C1825" t="s">
        <v>25</v>
      </c>
      <c r="D1825" s="19">
        <v>6</v>
      </c>
      <c r="E1825">
        <v>126</v>
      </c>
      <c r="F1825" t="s">
        <v>10</v>
      </c>
      <c r="G1825" t="s">
        <v>8</v>
      </c>
      <c r="H1825">
        <v>1</v>
      </c>
      <c r="I1825" t="s">
        <v>27</v>
      </c>
    </row>
    <row r="1826" spans="1:9" x14ac:dyDescent="0.2">
      <c r="A1826" t="str">
        <f t="shared" si="275"/>
        <v>37591Haapiti6127AcroporidaeBords</v>
      </c>
      <c r="B1826" s="1">
        <v>37591</v>
      </c>
      <c r="C1826" t="s">
        <v>25</v>
      </c>
      <c r="D1826" s="19">
        <v>6</v>
      </c>
      <c r="E1826">
        <v>127</v>
      </c>
      <c r="F1826" t="s">
        <v>17</v>
      </c>
      <c r="G1826" t="s">
        <v>13</v>
      </c>
      <c r="H1826">
        <v>1</v>
      </c>
      <c r="I1826" t="s">
        <v>27</v>
      </c>
    </row>
    <row r="1827" spans="1:9" x14ac:dyDescent="0.2">
      <c r="A1827" t="str">
        <f t="shared" si="275"/>
        <v>37591Haapiti6127PocilloporidaeDessus</v>
      </c>
      <c r="B1827" s="1">
        <v>37591</v>
      </c>
      <c r="C1827" t="s">
        <v>25</v>
      </c>
      <c r="D1827" s="19">
        <v>6</v>
      </c>
      <c r="E1827">
        <v>127</v>
      </c>
      <c r="F1827" t="s">
        <v>10</v>
      </c>
      <c r="G1827" t="s">
        <v>11</v>
      </c>
      <c r="H1827">
        <v>1</v>
      </c>
      <c r="I1827" t="s">
        <v>27</v>
      </c>
    </row>
    <row r="1828" spans="1:9" x14ac:dyDescent="0.2">
      <c r="A1828" t="str">
        <f t="shared" si="275"/>
        <v>37591Haapiti6128Autres</v>
      </c>
      <c r="B1828" s="1">
        <v>37591</v>
      </c>
      <c r="C1828" t="s">
        <v>25</v>
      </c>
      <c r="D1828" s="19">
        <v>6</v>
      </c>
      <c r="E1828">
        <v>128</v>
      </c>
      <c r="F1828" t="s">
        <v>14</v>
      </c>
      <c r="H1828">
        <v>0</v>
      </c>
    </row>
    <row r="1829" spans="1:9" x14ac:dyDescent="0.2">
      <c r="A1829" t="str">
        <f t="shared" si="275"/>
        <v>37591Haapiti6129Autres</v>
      </c>
      <c r="B1829" s="1">
        <v>37591</v>
      </c>
      <c r="C1829" t="s">
        <v>25</v>
      </c>
      <c r="D1829" s="19">
        <v>6</v>
      </c>
      <c r="E1829">
        <v>129</v>
      </c>
      <c r="F1829" t="s">
        <v>14</v>
      </c>
      <c r="H1829">
        <v>0</v>
      </c>
    </row>
    <row r="1830" spans="1:9" x14ac:dyDescent="0.2">
      <c r="A1830" t="str">
        <f t="shared" si="275"/>
        <v>37591Haapiti6130Autres</v>
      </c>
      <c r="B1830" s="1">
        <v>37591</v>
      </c>
      <c r="C1830" t="s">
        <v>25</v>
      </c>
      <c r="D1830" s="19">
        <v>6</v>
      </c>
      <c r="E1830">
        <v>130</v>
      </c>
      <c r="F1830" t="s">
        <v>14</v>
      </c>
      <c r="H1830">
        <v>0</v>
      </c>
    </row>
    <row r="1831" spans="1:9" x14ac:dyDescent="0.2">
      <c r="A1831" t="str">
        <f t="shared" si="275"/>
        <v>37591Haapiti6131Autres</v>
      </c>
      <c r="B1831" s="1">
        <v>37591</v>
      </c>
      <c r="C1831" t="s">
        <v>25</v>
      </c>
      <c r="D1831" s="19">
        <v>6</v>
      </c>
      <c r="E1831">
        <v>131</v>
      </c>
      <c r="F1831" t="s">
        <v>14</v>
      </c>
      <c r="H1831">
        <v>0</v>
      </c>
    </row>
    <row r="1832" spans="1:9" x14ac:dyDescent="0.2">
      <c r="A1832" t="str">
        <f t="shared" si="275"/>
        <v>37591Haapiti6132PocilloporidaeDessous</v>
      </c>
      <c r="B1832" s="1">
        <v>37591</v>
      </c>
      <c r="C1832" t="s">
        <v>25</v>
      </c>
      <c r="D1832" s="19">
        <v>6</v>
      </c>
      <c r="E1832">
        <v>132</v>
      </c>
      <c r="F1832" t="s">
        <v>10</v>
      </c>
      <c r="G1832" t="s">
        <v>8</v>
      </c>
      <c r="H1832">
        <v>1</v>
      </c>
      <c r="I1832" t="s">
        <v>27</v>
      </c>
    </row>
    <row r="1833" spans="1:9" x14ac:dyDescent="0.2">
      <c r="A1833" t="str">
        <f t="shared" si="275"/>
        <v>37591Haapiti6133PocilloporidaeBords</v>
      </c>
      <c r="B1833" s="1">
        <v>37591</v>
      </c>
      <c r="C1833" t="s">
        <v>25</v>
      </c>
      <c r="D1833" s="19">
        <v>6</v>
      </c>
      <c r="E1833">
        <v>133</v>
      </c>
      <c r="F1833" t="s">
        <v>10</v>
      </c>
      <c r="G1833" t="s">
        <v>13</v>
      </c>
      <c r="H1833">
        <v>3</v>
      </c>
      <c r="I1833" t="s">
        <v>27</v>
      </c>
    </row>
    <row r="1834" spans="1:9" x14ac:dyDescent="0.2">
      <c r="A1834" t="str">
        <f t="shared" si="275"/>
        <v>37591Haapiti6133PocilloporidaeDessous</v>
      </c>
      <c r="B1834" s="1">
        <v>37591</v>
      </c>
      <c r="C1834" t="s">
        <v>25</v>
      </c>
      <c r="D1834" s="19">
        <v>6</v>
      </c>
      <c r="E1834">
        <v>133</v>
      </c>
      <c r="F1834" t="s">
        <v>10</v>
      </c>
      <c r="G1834" t="s">
        <v>8</v>
      </c>
      <c r="H1834">
        <v>1</v>
      </c>
      <c r="I1834" t="s">
        <v>27</v>
      </c>
    </row>
    <row r="1835" spans="1:9" x14ac:dyDescent="0.2">
      <c r="A1835" t="str">
        <f t="shared" si="275"/>
        <v>37591Haapiti6134PocilloporidaeBords</v>
      </c>
      <c r="B1835" s="1">
        <v>37591</v>
      </c>
      <c r="C1835" t="s">
        <v>25</v>
      </c>
      <c r="D1835" s="19">
        <v>6</v>
      </c>
      <c r="E1835">
        <v>134</v>
      </c>
      <c r="F1835" t="s">
        <v>10</v>
      </c>
      <c r="G1835" t="s">
        <v>13</v>
      </c>
      <c r="H1835">
        <v>3</v>
      </c>
      <c r="I1835" t="s">
        <v>27</v>
      </c>
    </row>
    <row r="1836" spans="1:9" x14ac:dyDescent="0.2">
      <c r="A1836" t="str">
        <f t="shared" si="275"/>
        <v>37591Haapiti6135Autres</v>
      </c>
      <c r="B1836" s="1">
        <v>37591</v>
      </c>
      <c r="C1836" t="s">
        <v>25</v>
      </c>
      <c r="D1836" s="19">
        <v>6</v>
      </c>
      <c r="E1836">
        <v>135</v>
      </c>
      <c r="F1836" t="s">
        <v>14</v>
      </c>
      <c r="H1836">
        <v>0</v>
      </c>
    </row>
    <row r="1837" spans="1:9" x14ac:dyDescent="0.2">
      <c r="A1837" t="str">
        <f t="shared" si="275"/>
        <v>37591Haapiti6136PocilloporidaeBords</v>
      </c>
      <c r="B1837" s="1">
        <v>37591</v>
      </c>
      <c r="C1837" t="s">
        <v>25</v>
      </c>
      <c r="D1837" s="19">
        <v>6</v>
      </c>
      <c r="E1837">
        <v>136</v>
      </c>
      <c r="F1837" t="s">
        <v>10</v>
      </c>
      <c r="G1837" t="s">
        <v>13</v>
      </c>
      <c r="H1837">
        <v>3</v>
      </c>
      <c r="I1837" t="s">
        <v>27</v>
      </c>
    </row>
    <row r="1838" spans="1:9" x14ac:dyDescent="0.2">
      <c r="A1838" t="str">
        <f t="shared" si="275"/>
        <v>37591Haapiti6136PocilloporidaeDessous</v>
      </c>
      <c r="B1838" s="1">
        <v>37591</v>
      </c>
      <c r="C1838" t="s">
        <v>25</v>
      </c>
      <c r="D1838" s="19">
        <v>6</v>
      </c>
      <c r="E1838">
        <v>136</v>
      </c>
      <c r="F1838" t="s">
        <v>10</v>
      </c>
      <c r="G1838" t="s">
        <v>8</v>
      </c>
      <c r="H1838">
        <v>1</v>
      </c>
      <c r="I1838" t="s">
        <v>27</v>
      </c>
    </row>
    <row r="1839" spans="1:9" x14ac:dyDescent="0.2">
      <c r="A1839" t="str">
        <f t="shared" si="275"/>
        <v>37591Haapiti6136PocilloporidaeDessus</v>
      </c>
      <c r="B1839" s="1">
        <v>37591</v>
      </c>
      <c r="C1839" t="s">
        <v>25</v>
      </c>
      <c r="D1839" s="19">
        <v>6</v>
      </c>
      <c r="E1839">
        <v>136</v>
      </c>
      <c r="F1839" t="s">
        <v>10</v>
      </c>
      <c r="G1839" t="s">
        <v>11</v>
      </c>
      <c r="H1839">
        <v>1</v>
      </c>
      <c r="I1839" t="s">
        <v>27</v>
      </c>
    </row>
    <row r="1840" spans="1:9" x14ac:dyDescent="0.2">
      <c r="A1840" t="str">
        <f t="shared" si="275"/>
        <v>37591Haapiti6137PocilloporidaeBords</v>
      </c>
      <c r="B1840" s="1">
        <v>37591</v>
      </c>
      <c r="C1840" t="s">
        <v>25</v>
      </c>
      <c r="D1840" s="19">
        <v>6</v>
      </c>
      <c r="E1840">
        <v>137</v>
      </c>
      <c r="F1840" t="s">
        <v>10</v>
      </c>
      <c r="G1840" t="s">
        <v>13</v>
      </c>
      <c r="H1840">
        <v>3</v>
      </c>
      <c r="I1840" t="s">
        <v>27</v>
      </c>
    </row>
    <row r="1841" spans="1:9" x14ac:dyDescent="0.2">
      <c r="A1841" t="str">
        <f t="shared" si="275"/>
        <v>37591Haapiti6137PocilloporidaeDessous</v>
      </c>
      <c r="B1841" s="1">
        <v>37591</v>
      </c>
      <c r="C1841" t="s">
        <v>25</v>
      </c>
      <c r="D1841" s="19">
        <v>6</v>
      </c>
      <c r="E1841">
        <v>137</v>
      </c>
      <c r="F1841" t="s">
        <v>10</v>
      </c>
      <c r="G1841" t="s">
        <v>8</v>
      </c>
      <c r="H1841">
        <v>1</v>
      </c>
      <c r="I1841" t="s">
        <v>27</v>
      </c>
    </row>
    <row r="1842" spans="1:9" x14ac:dyDescent="0.2">
      <c r="A1842" t="str">
        <f t="shared" si="275"/>
        <v>37591Haapiti6137PoritidaeBords</v>
      </c>
      <c r="B1842" s="1">
        <v>37591</v>
      </c>
      <c r="C1842" t="s">
        <v>25</v>
      </c>
      <c r="D1842" s="19">
        <v>6</v>
      </c>
      <c r="E1842">
        <v>137</v>
      </c>
      <c r="F1842" t="s">
        <v>7</v>
      </c>
      <c r="G1842" t="s">
        <v>13</v>
      </c>
      <c r="H1842">
        <v>2</v>
      </c>
      <c r="I1842" t="s">
        <v>27</v>
      </c>
    </row>
    <row r="1843" spans="1:9" x14ac:dyDescent="0.2">
      <c r="A1843" t="str">
        <f t="shared" si="275"/>
        <v>37591Haapiti6138Autres</v>
      </c>
      <c r="B1843" s="1">
        <v>37591</v>
      </c>
      <c r="C1843" t="s">
        <v>25</v>
      </c>
      <c r="D1843" s="19">
        <v>6</v>
      </c>
      <c r="E1843">
        <v>138</v>
      </c>
      <c r="F1843" t="s">
        <v>14</v>
      </c>
      <c r="H1843">
        <v>0</v>
      </c>
    </row>
    <row r="1844" spans="1:9" x14ac:dyDescent="0.2">
      <c r="A1844" t="str">
        <f t="shared" si="275"/>
        <v>37591Haapiti6139Autres</v>
      </c>
      <c r="B1844" s="1">
        <v>37591</v>
      </c>
      <c r="C1844" t="s">
        <v>25</v>
      </c>
      <c r="D1844" s="19">
        <v>6</v>
      </c>
      <c r="E1844">
        <v>139</v>
      </c>
      <c r="F1844" t="s">
        <v>14</v>
      </c>
      <c r="H1844">
        <v>0</v>
      </c>
    </row>
    <row r="1845" spans="1:9" x14ac:dyDescent="0.2">
      <c r="A1845" t="str">
        <f t="shared" si="275"/>
        <v>37591Haapiti6140Autres</v>
      </c>
      <c r="B1845" s="1">
        <v>37591</v>
      </c>
      <c r="C1845" t="s">
        <v>25</v>
      </c>
      <c r="D1845" s="19">
        <v>6</v>
      </c>
      <c r="E1845">
        <v>140</v>
      </c>
      <c r="F1845" t="s">
        <v>14</v>
      </c>
      <c r="H1845">
        <v>0</v>
      </c>
    </row>
    <row r="1846" spans="1:9" x14ac:dyDescent="0.2">
      <c r="A1846" t="str">
        <f t="shared" si="275"/>
        <v>37591Haapiti12141Autres</v>
      </c>
      <c r="B1846" s="1">
        <v>37591</v>
      </c>
      <c r="C1846" t="s">
        <v>25</v>
      </c>
      <c r="D1846" s="19">
        <v>12</v>
      </c>
      <c r="E1846">
        <v>141</v>
      </c>
      <c r="F1846" t="s">
        <v>14</v>
      </c>
      <c r="H1846">
        <v>0</v>
      </c>
    </row>
    <row r="1847" spans="1:9" x14ac:dyDescent="0.2">
      <c r="A1847" t="str">
        <f t="shared" si="275"/>
        <v>37591Haapiti12142</v>
      </c>
      <c r="B1847" s="1">
        <v>37591</v>
      </c>
      <c r="C1847" t="s">
        <v>25</v>
      </c>
      <c r="D1847" s="19">
        <v>12</v>
      </c>
      <c r="E1847">
        <v>142</v>
      </c>
      <c r="I1847" t="s">
        <v>31</v>
      </c>
    </row>
    <row r="1848" spans="1:9" x14ac:dyDescent="0.2">
      <c r="A1848" t="str">
        <f t="shared" si="275"/>
        <v>37591Haapiti12143PocilloporidaeDessous</v>
      </c>
      <c r="B1848" s="1">
        <v>37591</v>
      </c>
      <c r="C1848" t="s">
        <v>25</v>
      </c>
      <c r="D1848" s="19">
        <v>12</v>
      </c>
      <c r="E1848">
        <v>143</v>
      </c>
      <c r="F1848" t="s">
        <v>10</v>
      </c>
      <c r="G1848" t="s">
        <v>8</v>
      </c>
      <c r="H1848">
        <v>6</v>
      </c>
      <c r="I1848" t="s">
        <v>27</v>
      </c>
    </row>
    <row r="1849" spans="1:9" x14ac:dyDescent="0.2">
      <c r="A1849" t="str">
        <f t="shared" si="275"/>
        <v>37591Haapiti12144Autres</v>
      </c>
      <c r="B1849" s="1">
        <v>37591</v>
      </c>
      <c r="C1849" t="s">
        <v>25</v>
      </c>
      <c r="D1849" s="19">
        <v>12</v>
      </c>
      <c r="E1849">
        <v>144</v>
      </c>
      <c r="F1849" t="s">
        <v>14</v>
      </c>
      <c r="H1849">
        <v>0</v>
      </c>
    </row>
    <row r="1850" spans="1:9" x14ac:dyDescent="0.2">
      <c r="A1850" t="str">
        <f t="shared" si="275"/>
        <v>37591Haapiti12145Autres</v>
      </c>
      <c r="B1850" s="1">
        <v>37591</v>
      </c>
      <c r="C1850" t="s">
        <v>25</v>
      </c>
      <c r="D1850" s="19">
        <v>12</v>
      </c>
      <c r="E1850">
        <v>145</v>
      </c>
      <c r="F1850" t="s">
        <v>14</v>
      </c>
      <c r="H1850">
        <v>0</v>
      </c>
    </row>
    <row r="1851" spans="1:9" x14ac:dyDescent="0.2">
      <c r="A1851" t="str">
        <f t="shared" si="275"/>
        <v>37591Haapiti12146Autres</v>
      </c>
      <c r="B1851" s="1">
        <v>37591</v>
      </c>
      <c r="C1851" t="s">
        <v>25</v>
      </c>
      <c r="D1851" s="19">
        <v>12</v>
      </c>
      <c r="E1851">
        <v>146</v>
      </c>
      <c r="F1851" t="s">
        <v>14</v>
      </c>
      <c r="H1851">
        <v>0</v>
      </c>
    </row>
    <row r="1852" spans="1:9" x14ac:dyDescent="0.2">
      <c r="A1852" t="str">
        <f t="shared" si="275"/>
        <v>37591Haapiti12147CassésDessus</v>
      </c>
      <c r="B1852" s="1">
        <v>37591</v>
      </c>
      <c r="C1852" t="s">
        <v>25</v>
      </c>
      <c r="D1852" s="19">
        <v>12</v>
      </c>
      <c r="E1852">
        <v>147</v>
      </c>
      <c r="F1852" t="s">
        <v>12</v>
      </c>
      <c r="G1852" t="s">
        <v>11</v>
      </c>
      <c r="H1852">
        <v>1</v>
      </c>
      <c r="I1852" t="s">
        <v>27</v>
      </c>
    </row>
    <row r="1853" spans="1:9" x14ac:dyDescent="0.2">
      <c r="A1853" t="str">
        <f t="shared" si="275"/>
        <v>37591Haapiti12147PocilloporidaeDessous</v>
      </c>
      <c r="B1853" s="1">
        <v>37591</v>
      </c>
      <c r="C1853" t="s">
        <v>25</v>
      </c>
      <c r="D1853" s="19">
        <v>12</v>
      </c>
      <c r="E1853">
        <v>147</v>
      </c>
      <c r="F1853" t="s">
        <v>10</v>
      </c>
      <c r="G1853" t="s">
        <v>8</v>
      </c>
      <c r="H1853">
        <v>3</v>
      </c>
      <c r="I1853" t="s">
        <v>27</v>
      </c>
    </row>
    <row r="1854" spans="1:9" x14ac:dyDescent="0.2">
      <c r="A1854" t="str">
        <f t="shared" si="275"/>
        <v>37591Haapiti12148Autres</v>
      </c>
      <c r="B1854" s="1">
        <v>37591</v>
      </c>
      <c r="C1854" t="s">
        <v>25</v>
      </c>
      <c r="D1854" s="19">
        <v>12</v>
      </c>
      <c r="E1854">
        <v>148</v>
      </c>
      <c r="F1854" t="s">
        <v>14</v>
      </c>
      <c r="H1854">
        <v>0</v>
      </c>
    </row>
    <row r="1855" spans="1:9" x14ac:dyDescent="0.2">
      <c r="A1855" t="str">
        <f t="shared" ref="A1855:A1918" si="276">B1855 &amp; C1855&amp; D1855&amp; E1855 &amp; F1855 &amp;G1855</f>
        <v>37591Haapiti12149PocilloporidaeDessous</v>
      </c>
      <c r="B1855" s="1">
        <v>37591</v>
      </c>
      <c r="C1855" t="s">
        <v>25</v>
      </c>
      <c r="D1855" s="19">
        <v>12</v>
      </c>
      <c r="E1855">
        <v>149</v>
      </c>
      <c r="F1855" t="s">
        <v>10</v>
      </c>
      <c r="G1855" t="s">
        <v>8</v>
      </c>
      <c r="H1855">
        <v>1</v>
      </c>
      <c r="I1855" t="s">
        <v>27</v>
      </c>
    </row>
    <row r="1856" spans="1:9" x14ac:dyDescent="0.2">
      <c r="A1856" t="str">
        <f t="shared" si="276"/>
        <v>37591Haapiti12150Autres</v>
      </c>
      <c r="B1856" s="1">
        <v>37591</v>
      </c>
      <c r="C1856" t="s">
        <v>25</v>
      </c>
      <c r="D1856" s="19">
        <v>12</v>
      </c>
      <c r="E1856">
        <v>150</v>
      </c>
      <c r="F1856" t="s">
        <v>14</v>
      </c>
      <c r="H1856">
        <v>0</v>
      </c>
    </row>
    <row r="1857" spans="1:9" x14ac:dyDescent="0.2">
      <c r="A1857" t="str">
        <f t="shared" si="276"/>
        <v>37591Haapiti12151Autres</v>
      </c>
      <c r="B1857" s="1">
        <v>37591</v>
      </c>
      <c r="C1857" t="s">
        <v>25</v>
      </c>
      <c r="D1857" s="19">
        <v>12</v>
      </c>
      <c r="E1857">
        <v>151</v>
      </c>
      <c r="F1857" t="s">
        <v>14</v>
      </c>
      <c r="H1857">
        <v>0</v>
      </c>
    </row>
    <row r="1858" spans="1:9" x14ac:dyDescent="0.2">
      <c r="A1858" t="str">
        <f t="shared" si="276"/>
        <v>37591Haapiti12152PoritidaeDessous</v>
      </c>
      <c r="B1858" s="1">
        <v>37591</v>
      </c>
      <c r="C1858" t="s">
        <v>25</v>
      </c>
      <c r="D1858" s="19">
        <v>12</v>
      </c>
      <c r="E1858">
        <v>152</v>
      </c>
      <c r="F1858" t="s">
        <v>7</v>
      </c>
      <c r="G1858" t="s">
        <v>8</v>
      </c>
      <c r="H1858">
        <v>1</v>
      </c>
      <c r="I1858" t="s">
        <v>27</v>
      </c>
    </row>
    <row r="1859" spans="1:9" x14ac:dyDescent="0.2">
      <c r="A1859" t="str">
        <f t="shared" si="276"/>
        <v>37591Haapiti12153Autres</v>
      </c>
      <c r="B1859" s="1">
        <v>37591</v>
      </c>
      <c r="C1859" t="s">
        <v>25</v>
      </c>
      <c r="D1859" s="19">
        <v>12</v>
      </c>
      <c r="E1859">
        <v>153</v>
      </c>
      <c r="F1859" t="s">
        <v>14</v>
      </c>
      <c r="H1859">
        <v>0</v>
      </c>
    </row>
    <row r="1860" spans="1:9" x14ac:dyDescent="0.2">
      <c r="A1860" t="str">
        <f t="shared" si="276"/>
        <v>37591Haapiti12154Autres</v>
      </c>
      <c r="B1860" s="1">
        <v>37591</v>
      </c>
      <c r="C1860" t="s">
        <v>25</v>
      </c>
      <c r="D1860" s="19">
        <v>12</v>
      </c>
      <c r="E1860">
        <v>154</v>
      </c>
      <c r="F1860" t="s">
        <v>14</v>
      </c>
      <c r="H1860">
        <v>0</v>
      </c>
    </row>
    <row r="1861" spans="1:9" x14ac:dyDescent="0.2">
      <c r="A1861" t="str">
        <f t="shared" si="276"/>
        <v>37591Haapiti12155CassésDessus</v>
      </c>
      <c r="B1861" s="1">
        <v>37591</v>
      </c>
      <c r="C1861" t="s">
        <v>25</v>
      </c>
      <c r="D1861" s="19">
        <v>12</v>
      </c>
      <c r="E1861">
        <v>155</v>
      </c>
      <c r="F1861" t="s">
        <v>12</v>
      </c>
      <c r="G1861" t="s">
        <v>11</v>
      </c>
      <c r="H1861">
        <v>1</v>
      </c>
      <c r="I1861" t="s">
        <v>27</v>
      </c>
    </row>
    <row r="1862" spans="1:9" x14ac:dyDescent="0.2">
      <c r="A1862" t="str">
        <f t="shared" si="276"/>
        <v>37591Haapiti12155PocilloporidaeDessous</v>
      </c>
      <c r="B1862" s="1">
        <v>37591</v>
      </c>
      <c r="C1862" t="s">
        <v>25</v>
      </c>
      <c r="D1862" s="19">
        <v>12</v>
      </c>
      <c r="E1862">
        <v>155</v>
      </c>
      <c r="F1862" t="s">
        <v>10</v>
      </c>
      <c r="G1862" t="s">
        <v>8</v>
      </c>
      <c r="H1862">
        <v>2</v>
      </c>
      <c r="I1862" t="s">
        <v>27</v>
      </c>
    </row>
    <row r="1863" spans="1:9" x14ac:dyDescent="0.2">
      <c r="A1863" t="str">
        <f t="shared" si="276"/>
        <v>37591Haapiti12156PocilloporidaeBords</v>
      </c>
      <c r="B1863" s="1">
        <v>37591</v>
      </c>
      <c r="C1863" t="s">
        <v>25</v>
      </c>
      <c r="D1863" s="19">
        <v>12</v>
      </c>
      <c r="E1863">
        <v>156</v>
      </c>
      <c r="F1863" t="s">
        <v>10</v>
      </c>
      <c r="G1863" t="s">
        <v>13</v>
      </c>
      <c r="H1863">
        <v>2</v>
      </c>
      <c r="I1863" t="s">
        <v>27</v>
      </c>
    </row>
    <row r="1864" spans="1:9" x14ac:dyDescent="0.2">
      <c r="A1864" t="str">
        <f t="shared" si="276"/>
        <v>37591Haapiti12156PocilloporidaeDessous</v>
      </c>
      <c r="B1864" s="1">
        <v>37591</v>
      </c>
      <c r="C1864" t="s">
        <v>25</v>
      </c>
      <c r="D1864" s="19">
        <v>12</v>
      </c>
      <c r="E1864">
        <v>156</v>
      </c>
      <c r="F1864" t="s">
        <v>10</v>
      </c>
      <c r="G1864" t="s">
        <v>8</v>
      </c>
      <c r="H1864">
        <v>1</v>
      </c>
      <c r="I1864" t="s">
        <v>27</v>
      </c>
    </row>
    <row r="1865" spans="1:9" x14ac:dyDescent="0.2">
      <c r="A1865" t="str">
        <f t="shared" si="276"/>
        <v>37591Haapiti12157Autres</v>
      </c>
      <c r="B1865" s="1">
        <v>37591</v>
      </c>
      <c r="C1865" t="s">
        <v>25</v>
      </c>
      <c r="D1865" s="19">
        <v>12</v>
      </c>
      <c r="E1865">
        <v>157</v>
      </c>
      <c r="F1865" t="s">
        <v>14</v>
      </c>
      <c r="H1865">
        <v>0</v>
      </c>
    </row>
    <row r="1866" spans="1:9" x14ac:dyDescent="0.2">
      <c r="A1866" t="str">
        <f t="shared" si="276"/>
        <v>37591Haapiti12158Autres</v>
      </c>
      <c r="B1866" s="1">
        <v>37591</v>
      </c>
      <c r="C1866" t="s">
        <v>25</v>
      </c>
      <c r="D1866" s="19">
        <v>12</v>
      </c>
      <c r="E1866">
        <v>158</v>
      </c>
      <c r="F1866" t="s">
        <v>14</v>
      </c>
      <c r="H1866">
        <v>0</v>
      </c>
    </row>
    <row r="1867" spans="1:9" x14ac:dyDescent="0.2">
      <c r="A1867" t="str">
        <f t="shared" si="276"/>
        <v>37591Haapiti12159Autres</v>
      </c>
      <c r="B1867" s="1">
        <v>37591</v>
      </c>
      <c r="C1867" t="s">
        <v>25</v>
      </c>
      <c r="D1867" s="19">
        <v>12</v>
      </c>
      <c r="E1867">
        <v>159</v>
      </c>
      <c r="F1867" t="s">
        <v>14</v>
      </c>
      <c r="H1867">
        <v>0</v>
      </c>
    </row>
    <row r="1868" spans="1:9" x14ac:dyDescent="0.2">
      <c r="A1868" t="str">
        <f t="shared" si="276"/>
        <v>37591Haapiti12160AutresDessous</v>
      </c>
      <c r="B1868" s="1">
        <v>37591</v>
      </c>
      <c r="C1868" t="s">
        <v>25</v>
      </c>
      <c r="D1868" s="19">
        <v>12</v>
      </c>
      <c r="E1868">
        <v>160</v>
      </c>
      <c r="F1868" t="s">
        <v>14</v>
      </c>
      <c r="G1868" t="s">
        <v>8</v>
      </c>
      <c r="H1868">
        <v>1</v>
      </c>
      <c r="I1868" t="s">
        <v>27</v>
      </c>
    </row>
    <row r="1869" spans="1:9" x14ac:dyDescent="0.2">
      <c r="A1869" t="str">
        <f t="shared" si="276"/>
        <v>37591Haapiti12160PocilloporidaeDessous</v>
      </c>
      <c r="B1869" s="1">
        <v>37591</v>
      </c>
      <c r="C1869" t="s">
        <v>25</v>
      </c>
      <c r="D1869" s="19">
        <v>12</v>
      </c>
      <c r="E1869">
        <v>160</v>
      </c>
      <c r="F1869" t="s">
        <v>10</v>
      </c>
      <c r="G1869" t="s">
        <v>8</v>
      </c>
      <c r="H1869">
        <v>1</v>
      </c>
      <c r="I1869" t="s">
        <v>27</v>
      </c>
    </row>
    <row r="1870" spans="1:9" x14ac:dyDescent="0.2">
      <c r="A1870" t="str">
        <f t="shared" si="276"/>
        <v>37591Haapiti18161PocilloporidaeDessous</v>
      </c>
      <c r="B1870" s="1">
        <v>37591</v>
      </c>
      <c r="C1870" t="s">
        <v>25</v>
      </c>
      <c r="D1870" s="19">
        <v>18</v>
      </c>
      <c r="E1870">
        <v>161</v>
      </c>
      <c r="F1870" t="s">
        <v>10</v>
      </c>
      <c r="G1870" t="s">
        <v>8</v>
      </c>
      <c r="H1870">
        <v>3</v>
      </c>
      <c r="I1870" t="s">
        <v>27</v>
      </c>
    </row>
    <row r="1871" spans="1:9" x14ac:dyDescent="0.2">
      <c r="A1871" t="str">
        <f t="shared" si="276"/>
        <v>37591Haapiti18162PocilloporidaeDessous</v>
      </c>
      <c r="B1871" s="1">
        <v>37591</v>
      </c>
      <c r="C1871" t="s">
        <v>25</v>
      </c>
      <c r="D1871" s="19">
        <v>18</v>
      </c>
      <c r="E1871">
        <v>162</v>
      </c>
      <c r="F1871" t="s">
        <v>10</v>
      </c>
      <c r="G1871" t="s">
        <v>8</v>
      </c>
      <c r="H1871">
        <v>1</v>
      </c>
      <c r="I1871" t="s">
        <v>27</v>
      </c>
    </row>
    <row r="1872" spans="1:9" x14ac:dyDescent="0.2">
      <c r="A1872" t="str">
        <f t="shared" si="276"/>
        <v>37591Haapiti18162PocilloporidaeDessus</v>
      </c>
      <c r="B1872" s="1">
        <v>37591</v>
      </c>
      <c r="C1872" t="s">
        <v>25</v>
      </c>
      <c r="D1872" s="19">
        <v>18</v>
      </c>
      <c r="E1872">
        <v>162</v>
      </c>
      <c r="F1872" t="s">
        <v>10</v>
      </c>
      <c r="G1872" t="s">
        <v>11</v>
      </c>
      <c r="H1872">
        <v>1</v>
      </c>
      <c r="I1872" t="s">
        <v>27</v>
      </c>
    </row>
    <row r="1873" spans="1:9" x14ac:dyDescent="0.2">
      <c r="A1873" t="str">
        <f t="shared" si="276"/>
        <v>37591Haapiti18163PocilloporidaeDessus</v>
      </c>
      <c r="B1873" s="1">
        <v>37591</v>
      </c>
      <c r="C1873" t="s">
        <v>25</v>
      </c>
      <c r="D1873" s="19">
        <v>18</v>
      </c>
      <c r="E1873">
        <v>163</v>
      </c>
      <c r="F1873" t="s">
        <v>10</v>
      </c>
      <c r="G1873" t="s">
        <v>11</v>
      </c>
      <c r="H1873">
        <v>1</v>
      </c>
      <c r="I1873" t="s">
        <v>27</v>
      </c>
    </row>
    <row r="1874" spans="1:9" x14ac:dyDescent="0.2">
      <c r="A1874" t="str">
        <f t="shared" si="276"/>
        <v>37591Haapiti18164AutresDessus</v>
      </c>
      <c r="B1874" s="1">
        <v>37591</v>
      </c>
      <c r="C1874" t="s">
        <v>25</v>
      </c>
      <c r="D1874" s="19">
        <v>18</v>
      </c>
      <c r="E1874">
        <v>164</v>
      </c>
      <c r="F1874" t="s">
        <v>14</v>
      </c>
      <c r="G1874" t="s">
        <v>11</v>
      </c>
      <c r="H1874">
        <v>1</v>
      </c>
      <c r="I1874" t="s">
        <v>27</v>
      </c>
    </row>
    <row r="1875" spans="1:9" x14ac:dyDescent="0.2">
      <c r="A1875" t="str">
        <f t="shared" si="276"/>
        <v>37591Haapiti18165AutresBords</v>
      </c>
      <c r="B1875" s="1">
        <v>37591</v>
      </c>
      <c r="C1875" t="s">
        <v>25</v>
      </c>
      <c r="D1875" s="19">
        <v>18</v>
      </c>
      <c r="E1875">
        <v>165</v>
      </c>
      <c r="F1875" t="s">
        <v>14</v>
      </c>
      <c r="G1875" t="s">
        <v>13</v>
      </c>
      <c r="H1875">
        <v>1</v>
      </c>
      <c r="I1875" t="s">
        <v>27</v>
      </c>
    </row>
    <row r="1876" spans="1:9" x14ac:dyDescent="0.2">
      <c r="A1876" t="str">
        <f t="shared" si="276"/>
        <v>37591Haapiti18165PocilloporidaeBords</v>
      </c>
      <c r="B1876" s="1">
        <v>37591</v>
      </c>
      <c r="C1876" t="s">
        <v>25</v>
      </c>
      <c r="D1876" s="19">
        <v>18</v>
      </c>
      <c r="E1876">
        <v>165</v>
      </c>
      <c r="F1876" t="s">
        <v>10</v>
      </c>
      <c r="G1876" t="s">
        <v>13</v>
      </c>
      <c r="H1876">
        <v>2</v>
      </c>
      <c r="I1876" t="s">
        <v>27</v>
      </c>
    </row>
    <row r="1877" spans="1:9" x14ac:dyDescent="0.2">
      <c r="A1877" t="str">
        <f t="shared" si="276"/>
        <v>37591Haapiti18165PocilloporidaeDessus</v>
      </c>
      <c r="B1877" s="1">
        <v>37591</v>
      </c>
      <c r="C1877" t="s">
        <v>25</v>
      </c>
      <c r="D1877" s="19">
        <v>18</v>
      </c>
      <c r="E1877">
        <v>165</v>
      </c>
      <c r="F1877" t="s">
        <v>10</v>
      </c>
      <c r="G1877" t="s">
        <v>11</v>
      </c>
      <c r="H1877">
        <v>1</v>
      </c>
      <c r="I1877" t="s">
        <v>27</v>
      </c>
    </row>
    <row r="1878" spans="1:9" x14ac:dyDescent="0.2">
      <c r="A1878" t="str">
        <f t="shared" si="276"/>
        <v>37591Haapiti18166PocilloporidaeDessous</v>
      </c>
      <c r="B1878" s="1">
        <v>37591</v>
      </c>
      <c r="C1878" t="s">
        <v>25</v>
      </c>
      <c r="D1878" s="19">
        <v>18</v>
      </c>
      <c r="E1878">
        <v>166</v>
      </c>
      <c r="F1878" t="s">
        <v>10</v>
      </c>
      <c r="G1878" t="s">
        <v>8</v>
      </c>
      <c r="H1878">
        <v>1</v>
      </c>
      <c r="I1878" t="s">
        <v>27</v>
      </c>
    </row>
    <row r="1879" spans="1:9" x14ac:dyDescent="0.2">
      <c r="A1879" t="str">
        <f t="shared" si="276"/>
        <v>37591Haapiti18166PocilloporidaeDessus</v>
      </c>
      <c r="B1879" s="1">
        <v>37591</v>
      </c>
      <c r="C1879" t="s">
        <v>25</v>
      </c>
      <c r="D1879" s="19">
        <v>18</v>
      </c>
      <c r="E1879">
        <v>166</v>
      </c>
      <c r="F1879" t="s">
        <v>10</v>
      </c>
      <c r="G1879" t="s">
        <v>11</v>
      </c>
      <c r="H1879">
        <v>2</v>
      </c>
      <c r="I1879" t="s">
        <v>27</v>
      </c>
    </row>
    <row r="1880" spans="1:9" x14ac:dyDescent="0.2">
      <c r="A1880" t="str">
        <f t="shared" si="276"/>
        <v>37591Haapiti18167PocilloporidaeBords</v>
      </c>
      <c r="B1880" s="1">
        <v>37591</v>
      </c>
      <c r="C1880" t="s">
        <v>25</v>
      </c>
      <c r="D1880" s="19">
        <v>18</v>
      </c>
      <c r="E1880">
        <v>167</v>
      </c>
      <c r="F1880" t="s">
        <v>10</v>
      </c>
      <c r="G1880" t="s">
        <v>13</v>
      </c>
      <c r="H1880">
        <v>2</v>
      </c>
      <c r="I1880" t="s">
        <v>27</v>
      </c>
    </row>
    <row r="1881" spans="1:9" x14ac:dyDescent="0.2">
      <c r="A1881" t="str">
        <f t="shared" si="276"/>
        <v>37591Haapiti18167PocilloporidaeDessous</v>
      </c>
      <c r="B1881" s="1">
        <v>37591</v>
      </c>
      <c r="C1881" t="s">
        <v>25</v>
      </c>
      <c r="D1881" s="19">
        <v>18</v>
      </c>
      <c r="E1881">
        <v>167</v>
      </c>
      <c r="F1881" t="s">
        <v>10</v>
      </c>
      <c r="G1881" t="s">
        <v>8</v>
      </c>
      <c r="H1881">
        <v>1</v>
      </c>
      <c r="I1881" t="s">
        <v>27</v>
      </c>
    </row>
    <row r="1882" spans="1:9" x14ac:dyDescent="0.2">
      <c r="A1882" t="str">
        <f t="shared" si="276"/>
        <v>37591Haapiti18167PocilloporidaeDessus</v>
      </c>
      <c r="B1882" s="1">
        <v>37591</v>
      </c>
      <c r="C1882" t="s">
        <v>25</v>
      </c>
      <c r="D1882" s="19">
        <v>18</v>
      </c>
      <c r="E1882">
        <v>167</v>
      </c>
      <c r="F1882" t="s">
        <v>10</v>
      </c>
      <c r="G1882" t="s">
        <v>11</v>
      </c>
      <c r="H1882">
        <v>1</v>
      </c>
      <c r="I1882" t="s">
        <v>27</v>
      </c>
    </row>
    <row r="1883" spans="1:9" x14ac:dyDescent="0.2">
      <c r="A1883" t="str">
        <f t="shared" si="276"/>
        <v>37591Haapiti18168PocilloporidaeBords</v>
      </c>
      <c r="B1883" s="1">
        <v>37591</v>
      </c>
      <c r="C1883" t="s">
        <v>25</v>
      </c>
      <c r="D1883" s="19">
        <v>18</v>
      </c>
      <c r="E1883">
        <v>168</v>
      </c>
      <c r="F1883" t="s">
        <v>10</v>
      </c>
      <c r="G1883" t="s">
        <v>13</v>
      </c>
      <c r="H1883">
        <v>2</v>
      </c>
      <c r="I1883" t="s">
        <v>27</v>
      </c>
    </row>
    <row r="1884" spans="1:9" x14ac:dyDescent="0.2">
      <c r="A1884" t="str">
        <f t="shared" si="276"/>
        <v>37591Haapiti18168PocilloporidaeDessous</v>
      </c>
      <c r="B1884" s="1">
        <v>37591</v>
      </c>
      <c r="C1884" t="s">
        <v>25</v>
      </c>
      <c r="D1884" s="19">
        <v>18</v>
      </c>
      <c r="E1884">
        <v>168</v>
      </c>
      <c r="F1884" t="s">
        <v>10</v>
      </c>
      <c r="G1884" t="s">
        <v>8</v>
      </c>
      <c r="H1884">
        <v>1</v>
      </c>
      <c r="I1884" t="s">
        <v>27</v>
      </c>
    </row>
    <row r="1885" spans="1:9" x14ac:dyDescent="0.2">
      <c r="A1885" t="str">
        <f t="shared" si="276"/>
        <v>37591Haapiti18169PocilloporidaeDessous</v>
      </c>
      <c r="B1885" s="1">
        <v>37591</v>
      </c>
      <c r="C1885" t="s">
        <v>25</v>
      </c>
      <c r="D1885" s="19">
        <v>18</v>
      </c>
      <c r="E1885">
        <v>169</v>
      </c>
      <c r="F1885" t="s">
        <v>10</v>
      </c>
      <c r="G1885" t="s">
        <v>8</v>
      </c>
      <c r="H1885">
        <v>1</v>
      </c>
      <c r="I1885" t="s">
        <v>27</v>
      </c>
    </row>
    <row r="1886" spans="1:9" x14ac:dyDescent="0.2">
      <c r="A1886" t="str">
        <f t="shared" si="276"/>
        <v>37591Haapiti18169PocilloporidaeDessus</v>
      </c>
      <c r="B1886" s="1">
        <v>37591</v>
      </c>
      <c r="C1886" t="s">
        <v>25</v>
      </c>
      <c r="D1886" s="19">
        <v>18</v>
      </c>
      <c r="E1886">
        <v>169</v>
      </c>
      <c r="F1886" t="s">
        <v>10</v>
      </c>
      <c r="G1886" t="s">
        <v>11</v>
      </c>
      <c r="H1886">
        <v>1</v>
      </c>
      <c r="I1886" t="s">
        <v>27</v>
      </c>
    </row>
    <row r="1887" spans="1:9" x14ac:dyDescent="0.2">
      <c r="A1887" t="str">
        <f t="shared" si="276"/>
        <v>37591Haapiti18170PocilloporidaeDessus</v>
      </c>
      <c r="B1887" s="1">
        <v>37591</v>
      </c>
      <c r="C1887" t="s">
        <v>25</v>
      </c>
      <c r="D1887" s="19">
        <v>18</v>
      </c>
      <c r="E1887">
        <v>170</v>
      </c>
      <c r="F1887" t="s">
        <v>10</v>
      </c>
      <c r="G1887" t="s">
        <v>11</v>
      </c>
      <c r="H1887">
        <v>2</v>
      </c>
      <c r="I1887" t="s">
        <v>27</v>
      </c>
    </row>
    <row r="1888" spans="1:9" x14ac:dyDescent="0.2">
      <c r="A1888" t="str">
        <f t="shared" si="276"/>
        <v>37591Haapiti18171PocilloporidaeBords</v>
      </c>
      <c r="B1888" s="1">
        <v>37591</v>
      </c>
      <c r="C1888" t="s">
        <v>25</v>
      </c>
      <c r="D1888" s="19">
        <v>18</v>
      </c>
      <c r="E1888">
        <v>171</v>
      </c>
      <c r="F1888" t="s">
        <v>10</v>
      </c>
      <c r="G1888" t="s">
        <v>13</v>
      </c>
      <c r="H1888">
        <v>1</v>
      </c>
      <c r="I1888" t="s">
        <v>27</v>
      </c>
    </row>
    <row r="1889" spans="1:9" x14ac:dyDescent="0.2">
      <c r="A1889" t="str">
        <f t="shared" si="276"/>
        <v>37591Haapiti18172AcroporidaeDessous</v>
      </c>
      <c r="B1889" s="1">
        <v>37591</v>
      </c>
      <c r="C1889" t="s">
        <v>25</v>
      </c>
      <c r="D1889" s="19">
        <v>18</v>
      </c>
      <c r="E1889">
        <v>172</v>
      </c>
      <c r="F1889" t="s">
        <v>17</v>
      </c>
      <c r="G1889" t="s">
        <v>8</v>
      </c>
      <c r="H1889">
        <v>1</v>
      </c>
      <c r="I1889" t="s">
        <v>27</v>
      </c>
    </row>
    <row r="1890" spans="1:9" x14ac:dyDescent="0.2">
      <c r="A1890" t="str">
        <f t="shared" si="276"/>
        <v>37591Haapiti18172PocilloporidaeBords</v>
      </c>
      <c r="B1890" s="1">
        <v>37591</v>
      </c>
      <c r="C1890" t="s">
        <v>25</v>
      </c>
      <c r="D1890" s="19">
        <v>18</v>
      </c>
      <c r="E1890">
        <v>172</v>
      </c>
      <c r="F1890" t="s">
        <v>10</v>
      </c>
      <c r="G1890" t="s">
        <v>13</v>
      </c>
      <c r="H1890">
        <v>3</v>
      </c>
      <c r="I1890" t="s">
        <v>27</v>
      </c>
    </row>
    <row r="1891" spans="1:9" x14ac:dyDescent="0.2">
      <c r="A1891" t="str">
        <f t="shared" si="276"/>
        <v>37591Haapiti18172PocilloporidaeDessous</v>
      </c>
      <c r="B1891" s="1">
        <v>37591</v>
      </c>
      <c r="C1891" t="s">
        <v>25</v>
      </c>
      <c r="D1891" s="19">
        <v>18</v>
      </c>
      <c r="E1891">
        <v>172</v>
      </c>
      <c r="F1891" t="s">
        <v>10</v>
      </c>
      <c r="G1891" t="s">
        <v>8</v>
      </c>
      <c r="H1891">
        <v>3</v>
      </c>
      <c r="I1891" t="s">
        <v>27</v>
      </c>
    </row>
    <row r="1892" spans="1:9" x14ac:dyDescent="0.2">
      <c r="A1892" t="str">
        <f t="shared" si="276"/>
        <v>37591Haapiti18173AutresDessous</v>
      </c>
      <c r="B1892" s="1">
        <v>37591</v>
      </c>
      <c r="C1892" t="s">
        <v>25</v>
      </c>
      <c r="D1892" s="19">
        <v>18</v>
      </c>
      <c r="E1892">
        <v>173</v>
      </c>
      <c r="F1892" t="s">
        <v>14</v>
      </c>
      <c r="G1892" t="s">
        <v>8</v>
      </c>
      <c r="H1892">
        <v>1</v>
      </c>
      <c r="I1892" t="s">
        <v>27</v>
      </c>
    </row>
    <row r="1893" spans="1:9" x14ac:dyDescent="0.2">
      <c r="A1893" t="str">
        <f t="shared" si="276"/>
        <v>37591Haapiti18173PocilloporidaeDessus</v>
      </c>
      <c r="B1893" s="1">
        <v>37591</v>
      </c>
      <c r="C1893" t="s">
        <v>25</v>
      </c>
      <c r="D1893" s="19">
        <v>18</v>
      </c>
      <c r="E1893">
        <v>173</v>
      </c>
      <c r="F1893" t="s">
        <v>10</v>
      </c>
      <c r="G1893" t="s">
        <v>11</v>
      </c>
      <c r="H1893">
        <v>2</v>
      </c>
      <c r="I1893" t="s">
        <v>27</v>
      </c>
    </row>
    <row r="1894" spans="1:9" x14ac:dyDescent="0.2">
      <c r="A1894" t="str">
        <f t="shared" si="276"/>
        <v>37591Haapiti18173PoritidaeDessus</v>
      </c>
      <c r="B1894" s="1">
        <v>37591</v>
      </c>
      <c r="C1894" t="s">
        <v>25</v>
      </c>
      <c r="D1894" s="19">
        <v>18</v>
      </c>
      <c r="E1894">
        <v>173</v>
      </c>
      <c r="F1894" t="s">
        <v>7</v>
      </c>
      <c r="G1894" t="s">
        <v>11</v>
      </c>
      <c r="H1894">
        <v>1</v>
      </c>
      <c r="I1894" t="s">
        <v>27</v>
      </c>
    </row>
    <row r="1895" spans="1:9" x14ac:dyDescent="0.2">
      <c r="A1895" t="str">
        <f t="shared" si="276"/>
        <v>37591Haapiti18174PocilloporidaeDessous</v>
      </c>
      <c r="B1895" s="1">
        <v>37591</v>
      </c>
      <c r="C1895" t="s">
        <v>25</v>
      </c>
      <c r="D1895" s="19">
        <v>18</v>
      </c>
      <c r="E1895">
        <v>174</v>
      </c>
      <c r="F1895" t="s">
        <v>10</v>
      </c>
      <c r="G1895" t="s">
        <v>8</v>
      </c>
      <c r="H1895">
        <v>4</v>
      </c>
      <c r="I1895" t="s">
        <v>27</v>
      </c>
    </row>
    <row r="1896" spans="1:9" x14ac:dyDescent="0.2">
      <c r="A1896" t="str">
        <f t="shared" si="276"/>
        <v>37591Haapiti18175PocilloporidaeBords</v>
      </c>
      <c r="B1896" s="1">
        <v>37591</v>
      </c>
      <c r="C1896" t="s">
        <v>25</v>
      </c>
      <c r="D1896" s="19">
        <v>18</v>
      </c>
      <c r="E1896">
        <v>175</v>
      </c>
      <c r="F1896" t="s">
        <v>10</v>
      </c>
      <c r="G1896" t="s">
        <v>13</v>
      </c>
      <c r="H1896">
        <v>1</v>
      </c>
      <c r="I1896" t="s">
        <v>27</v>
      </c>
    </row>
    <row r="1897" spans="1:9" x14ac:dyDescent="0.2">
      <c r="A1897" t="str">
        <f t="shared" si="276"/>
        <v>37591Haapiti18176</v>
      </c>
      <c r="B1897" s="1">
        <v>37591</v>
      </c>
      <c r="C1897" t="s">
        <v>25</v>
      </c>
      <c r="D1897" s="19">
        <v>18</v>
      </c>
      <c r="E1897">
        <v>176</v>
      </c>
      <c r="F1897" t="s">
        <v>27</v>
      </c>
      <c r="G1897" t="s">
        <v>27</v>
      </c>
      <c r="H1897" t="s">
        <v>27</v>
      </c>
      <c r="I1897" t="s">
        <v>31</v>
      </c>
    </row>
    <row r="1898" spans="1:9" x14ac:dyDescent="0.2">
      <c r="A1898" t="str">
        <f t="shared" si="276"/>
        <v>37591Haapiti18177PocilloporidaeDessous</v>
      </c>
      <c r="B1898" s="1">
        <v>37591</v>
      </c>
      <c r="C1898" t="s">
        <v>25</v>
      </c>
      <c r="D1898" s="19">
        <v>18</v>
      </c>
      <c r="E1898">
        <v>177</v>
      </c>
      <c r="F1898" t="s">
        <v>10</v>
      </c>
      <c r="G1898" t="s">
        <v>8</v>
      </c>
      <c r="H1898">
        <v>2</v>
      </c>
      <c r="I1898" t="s">
        <v>27</v>
      </c>
    </row>
    <row r="1899" spans="1:9" x14ac:dyDescent="0.2">
      <c r="A1899" t="str">
        <f t="shared" si="276"/>
        <v>37591Haapiti18178PocilloporidaeDessus</v>
      </c>
      <c r="B1899" s="1">
        <v>37591</v>
      </c>
      <c r="C1899" t="s">
        <v>25</v>
      </c>
      <c r="D1899" s="19">
        <v>18</v>
      </c>
      <c r="E1899">
        <v>178</v>
      </c>
      <c r="F1899" t="s">
        <v>10</v>
      </c>
      <c r="G1899" t="s">
        <v>11</v>
      </c>
      <c r="H1899">
        <v>1</v>
      </c>
      <c r="I1899" t="s">
        <v>27</v>
      </c>
    </row>
    <row r="1900" spans="1:9" x14ac:dyDescent="0.2">
      <c r="A1900" t="str">
        <f t="shared" si="276"/>
        <v>37591Haapiti18179PocilloporidaeDessous</v>
      </c>
      <c r="B1900" s="1">
        <v>37591</v>
      </c>
      <c r="C1900" t="s">
        <v>25</v>
      </c>
      <c r="D1900" s="19">
        <v>18</v>
      </c>
      <c r="E1900">
        <v>179</v>
      </c>
      <c r="F1900" t="s">
        <v>10</v>
      </c>
      <c r="G1900" t="s">
        <v>8</v>
      </c>
      <c r="H1900">
        <v>2</v>
      </c>
      <c r="I1900" t="s">
        <v>27</v>
      </c>
    </row>
    <row r="1901" spans="1:9" x14ac:dyDescent="0.2">
      <c r="A1901" t="str">
        <f t="shared" si="276"/>
        <v>37591Haapiti18179PoritidaeDessous</v>
      </c>
      <c r="B1901" s="1">
        <v>37591</v>
      </c>
      <c r="C1901" t="s">
        <v>25</v>
      </c>
      <c r="D1901" s="19">
        <v>18</v>
      </c>
      <c r="E1901">
        <v>179</v>
      </c>
      <c r="F1901" t="s">
        <v>7</v>
      </c>
      <c r="G1901" t="s">
        <v>8</v>
      </c>
      <c r="H1901">
        <v>1</v>
      </c>
      <c r="I1901" t="s">
        <v>27</v>
      </c>
    </row>
    <row r="1902" spans="1:9" x14ac:dyDescent="0.2">
      <c r="A1902" t="str">
        <f t="shared" si="276"/>
        <v>37591Haapiti18180PocilloporidaeBords</v>
      </c>
      <c r="B1902" s="1">
        <v>37591</v>
      </c>
      <c r="C1902" t="s">
        <v>25</v>
      </c>
      <c r="D1902" s="19">
        <v>18</v>
      </c>
      <c r="E1902">
        <v>180</v>
      </c>
      <c r="F1902" t="s">
        <v>10</v>
      </c>
      <c r="G1902" t="s">
        <v>13</v>
      </c>
      <c r="H1902">
        <v>1</v>
      </c>
      <c r="I1902" t="s">
        <v>27</v>
      </c>
    </row>
    <row r="1903" spans="1:9" x14ac:dyDescent="0.2">
      <c r="A1903" t="str">
        <f t="shared" si="276"/>
        <v>37591Haapiti18180PocilloporidaeDessous</v>
      </c>
      <c r="B1903" s="1">
        <v>37591</v>
      </c>
      <c r="C1903" t="s">
        <v>25</v>
      </c>
      <c r="D1903" s="19">
        <v>18</v>
      </c>
      <c r="E1903">
        <v>180</v>
      </c>
      <c r="F1903" t="s">
        <v>10</v>
      </c>
      <c r="G1903" t="s">
        <v>8</v>
      </c>
      <c r="H1903">
        <v>1</v>
      </c>
      <c r="I1903" t="s">
        <v>27</v>
      </c>
    </row>
    <row r="1904" spans="1:9" x14ac:dyDescent="0.2">
      <c r="A1904" t="str">
        <f t="shared" si="276"/>
        <v>37865Vaipahu61AcroporidaeDessus</v>
      </c>
      <c r="B1904" s="1">
        <v>37865</v>
      </c>
      <c r="C1904" t="s">
        <v>23</v>
      </c>
      <c r="D1904" s="19">
        <v>6</v>
      </c>
      <c r="E1904">
        <v>1</v>
      </c>
      <c r="F1904" t="s">
        <v>17</v>
      </c>
      <c r="G1904" t="s">
        <v>11</v>
      </c>
      <c r="H1904">
        <v>1</v>
      </c>
      <c r="I1904" t="s">
        <v>27</v>
      </c>
    </row>
    <row r="1905" spans="1:9" x14ac:dyDescent="0.2">
      <c r="A1905" t="str">
        <f t="shared" si="276"/>
        <v>37865Vaipahu62Autres</v>
      </c>
      <c r="B1905" s="1">
        <v>37865</v>
      </c>
      <c r="C1905" t="s">
        <v>23</v>
      </c>
      <c r="D1905" s="19">
        <v>6</v>
      </c>
      <c r="E1905">
        <v>2</v>
      </c>
      <c r="F1905" t="s">
        <v>14</v>
      </c>
      <c r="H1905">
        <v>0</v>
      </c>
    </row>
    <row r="1906" spans="1:9" x14ac:dyDescent="0.2">
      <c r="A1906" t="str">
        <f t="shared" si="276"/>
        <v>37865Vaipahu63Autres</v>
      </c>
      <c r="B1906" s="1">
        <v>37865</v>
      </c>
      <c r="C1906" t="s">
        <v>23</v>
      </c>
      <c r="D1906" s="19">
        <v>6</v>
      </c>
      <c r="E1906">
        <v>3</v>
      </c>
      <c r="F1906" t="s">
        <v>14</v>
      </c>
      <c r="H1906">
        <v>0</v>
      </c>
    </row>
    <row r="1907" spans="1:9" x14ac:dyDescent="0.2">
      <c r="A1907" t="str">
        <f t="shared" si="276"/>
        <v>37865Vaipahu64Autres</v>
      </c>
      <c r="B1907" s="1">
        <v>37865</v>
      </c>
      <c r="C1907" t="s">
        <v>23</v>
      </c>
      <c r="D1907" s="19">
        <v>6</v>
      </c>
      <c r="E1907">
        <v>4</v>
      </c>
      <c r="F1907" t="s">
        <v>14</v>
      </c>
      <c r="H1907">
        <v>0</v>
      </c>
    </row>
    <row r="1908" spans="1:9" x14ac:dyDescent="0.2">
      <c r="A1908" t="str">
        <f t="shared" si="276"/>
        <v>37865Vaipahu65Autres</v>
      </c>
      <c r="B1908" s="1">
        <v>37865</v>
      </c>
      <c r="C1908" t="s">
        <v>23</v>
      </c>
      <c r="D1908" s="19">
        <v>6</v>
      </c>
      <c r="E1908">
        <v>5</v>
      </c>
      <c r="F1908" t="s">
        <v>14</v>
      </c>
      <c r="H1908">
        <v>0</v>
      </c>
    </row>
    <row r="1909" spans="1:9" x14ac:dyDescent="0.2">
      <c r="A1909" t="str">
        <f t="shared" si="276"/>
        <v>37865Vaipahu66Autres</v>
      </c>
      <c r="B1909" s="1">
        <v>37865</v>
      </c>
      <c r="C1909" t="s">
        <v>23</v>
      </c>
      <c r="D1909" s="19">
        <v>6</v>
      </c>
      <c r="E1909">
        <v>6</v>
      </c>
      <c r="F1909" t="s">
        <v>14</v>
      </c>
      <c r="H1909">
        <v>0</v>
      </c>
    </row>
    <row r="1910" spans="1:9" x14ac:dyDescent="0.2">
      <c r="A1910" t="str">
        <f t="shared" si="276"/>
        <v>37865Vaipahu67Autres</v>
      </c>
      <c r="B1910" s="1">
        <v>37865</v>
      </c>
      <c r="C1910" t="s">
        <v>23</v>
      </c>
      <c r="D1910" s="19">
        <v>6</v>
      </c>
      <c r="E1910">
        <v>7</v>
      </c>
      <c r="F1910" t="s">
        <v>14</v>
      </c>
      <c r="H1910">
        <v>0</v>
      </c>
    </row>
    <row r="1911" spans="1:9" x14ac:dyDescent="0.2">
      <c r="A1911" t="str">
        <f t="shared" si="276"/>
        <v>37865Vaipahu68Autres</v>
      </c>
      <c r="B1911" s="1">
        <v>37865</v>
      </c>
      <c r="C1911" t="s">
        <v>23</v>
      </c>
      <c r="D1911" s="19">
        <v>6</v>
      </c>
      <c r="E1911">
        <v>8</v>
      </c>
      <c r="F1911" t="s">
        <v>14</v>
      </c>
      <c r="H1911">
        <v>0</v>
      </c>
    </row>
    <row r="1912" spans="1:9" x14ac:dyDescent="0.2">
      <c r="A1912" t="str">
        <f t="shared" si="276"/>
        <v>37865Vaipahu69Autres</v>
      </c>
      <c r="B1912" s="1">
        <v>37865</v>
      </c>
      <c r="C1912" t="s">
        <v>23</v>
      </c>
      <c r="D1912" s="19">
        <v>6</v>
      </c>
      <c r="E1912">
        <v>9</v>
      </c>
      <c r="F1912" t="s">
        <v>14</v>
      </c>
      <c r="H1912">
        <v>0</v>
      </c>
    </row>
    <row r="1913" spans="1:9" x14ac:dyDescent="0.2">
      <c r="A1913" t="str">
        <f t="shared" si="276"/>
        <v>37865Vaipahu610AcroporidaeBords</v>
      </c>
      <c r="B1913" s="1">
        <v>37865</v>
      </c>
      <c r="C1913" t="s">
        <v>23</v>
      </c>
      <c r="D1913" s="19">
        <v>6</v>
      </c>
      <c r="E1913">
        <v>10</v>
      </c>
      <c r="F1913" t="s">
        <v>17</v>
      </c>
      <c r="G1913" t="s">
        <v>13</v>
      </c>
      <c r="H1913">
        <v>1</v>
      </c>
      <c r="I1913" t="s">
        <v>27</v>
      </c>
    </row>
    <row r="1914" spans="1:9" x14ac:dyDescent="0.2">
      <c r="A1914" t="str">
        <f t="shared" si="276"/>
        <v>37865Vaipahu611Autres</v>
      </c>
      <c r="B1914" s="1">
        <v>37865</v>
      </c>
      <c r="C1914" t="s">
        <v>23</v>
      </c>
      <c r="D1914" s="19">
        <v>6</v>
      </c>
      <c r="E1914">
        <v>11</v>
      </c>
      <c r="F1914" t="s">
        <v>14</v>
      </c>
      <c r="H1914">
        <v>0</v>
      </c>
    </row>
    <row r="1915" spans="1:9" x14ac:dyDescent="0.2">
      <c r="A1915" t="str">
        <f t="shared" si="276"/>
        <v>37865Vaipahu612PoritidaeDessus</v>
      </c>
      <c r="B1915" s="1">
        <v>37865</v>
      </c>
      <c r="C1915" t="s">
        <v>23</v>
      </c>
      <c r="D1915" s="19">
        <v>6</v>
      </c>
      <c r="E1915">
        <v>12</v>
      </c>
      <c r="F1915" t="s">
        <v>7</v>
      </c>
      <c r="G1915" t="s">
        <v>11</v>
      </c>
      <c r="H1915">
        <v>1</v>
      </c>
      <c r="I1915" t="s">
        <v>27</v>
      </c>
    </row>
    <row r="1916" spans="1:9" x14ac:dyDescent="0.2">
      <c r="A1916" t="str">
        <f t="shared" si="276"/>
        <v>37865Vaipahu613Autres</v>
      </c>
      <c r="B1916" s="1">
        <v>37865</v>
      </c>
      <c r="C1916" t="s">
        <v>23</v>
      </c>
      <c r="D1916" s="19">
        <v>6</v>
      </c>
      <c r="E1916">
        <v>13</v>
      </c>
      <c r="F1916" t="s">
        <v>14</v>
      </c>
      <c r="H1916">
        <v>0</v>
      </c>
    </row>
    <row r="1917" spans="1:9" x14ac:dyDescent="0.2">
      <c r="A1917" t="str">
        <f t="shared" si="276"/>
        <v>37865Vaipahu614Autres</v>
      </c>
      <c r="B1917" s="1">
        <v>37865</v>
      </c>
      <c r="C1917" t="s">
        <v>23</v>
      </c>
      <c r="D1917" s="19">
        <v>6</v>
      </c>
      <c r="E1917">
        <v>14</v>
      </c>
      <c r="F1917" t="s">
        <v>14</v>
      </c>
      <c r="H1917">
        <v>0</v>
      </c>
    </row>
    <row r="1918" spans="1:9" x14ac:dyDescent="0.2">
      <c r="A1918" t="str">
        <f t="shared" si="276"/>
        <v>37865Vaipahu615</v>
      </c>
      <c r="B1918" s="1">
        <v>37865</v>
      </c>
      <c r="C1918" t="s">
        <v>23</v>
      </c>
      <c r="D1918" s="19">
        <v>6</v>
      </c>
      <c r="E1918">
        <v>15</v>
      </c>
      <c r="F1918" t="s">
        <v>27</v>
      </c>
      <c r="G1918" t="s">
        <v>27</v>
      </c>
      <c r="H1918" t="s">
        <v>27</v>
      </c>
      <c r="I1918" t="s">
        <v>31</v>
      </c>
    </row>
    <row r="1919" spans="1:9" x14ac:dyDescent="0.2">
      <c r="A1919" t="str">
        <f t="shared" ref="A1919:A1982" si="277">B1919 &amp; C1919&amp; D1919&amp; E1919 &amp; F1919 &amp;G1919</f>
        <v>37865Vaipahu616AcroporidaeDessous</v>
      </c>
      <c r="B1919" s="1">
        <v>37865</v>
      </c>
      <c r="C1919" t="s">
        <v>23</v>
      </c>
      <c r="D1919" s="19">
        <v>6</v>
      </c>
      <c r="E1919">
        <v>16</v>
      </c>
      <c r="F1919" t="s">
        <v>17</v>
      </c>
      <c r="G1919" t="s">
        <v>8</v>
      </c>
      <c r="H1919">
        <v>1</v>
      </c>
      <c r="I1919" t="s">
        <v>27</v>
      </c>
    </row>
    <row r="1920" spans="1:9" x14ac:dyDescent="0.2">
      <c r="A1920" t="str">
        <f t="shared" si="277"/>
        <v>37865Vaipahu617AcroporidaeBords</v>
      </c>
      <c r="B1920" s="1">
        <v>37865</v>
      </c>
      <c r="C1920" t="s">
        <v>23</v>
      </c>
      <c r="D1920" s="19">
        <v>6</v>
      </c>
      <c r="E1920">
        <v>17</v>
      </c>
      <c r="F1920" t="s">
        <v>17</v>
      </c>
      <c r="G1920" t="s">
        <v>13</v>
      </c>
      <c r="H1920">
        <v>1</v>
      </c>
      <c r="I1920" t="s">
        <v>27</v>
      </c>
    </row>
    <row r="1921" spans="1:9" x14ac:dyDescent="0.2">
      <c r="A1921" t="str">
        <f t="shared" si="277"/>
        <v>37865Vaipahu617PocilloporidaeBords</v>
      </c>
      <c r="B1921" s="1">
        <v>37865</v>
      </c>
      <c r="C1921" t="s">
        <v>23</v>
      </c>
      <c r="D1921" s="19">
        <v>6</v>
      </c>
      <c r="E1921">
        <v>17</v>
      </c>
      <c r="F1921" t="s">
        <v>10</v>
      </c>
      <c r="G1921" t="s">
        <v>13</v>
      </c>
      <c r="H1921">
        <v>1</v>
      </c>
      <c r="I1921" t="s">
        <v>27</v>
      </c>
    </row>
    <row r="1922" spans="1:9" x14ac:dyDescent="0.2">
      <c r="A1922" t="str">
        <f t="shared" si="277"/>
        <v>37865Vaipahu618Autres</v>
      </c>
      <c r="B1922" s="1">
        <v>37865</v>
      </c>
      <c r="C1922" t="s">
        <v>23</v>
      </c>
      <c r="D1922" s="19">
        <v>6</v>
      </c>
      <c r="E1922">
        <v>18</v>
      </c>
      <c r="F1922" t="s">
        <v>14</v>
      </c>
      <c r="H1922">
        <v>0</v>
      </c>
    </row>
    <row r="1923" spans="1:9" x14ac:dyDescent="0.2">
      <c r="A1923" t="str">
        <f t="shared" si="277"/>
        <v>37865Vaipahu619Autres</v>
      </c>
      <c r="B1923" s="1">
        <v>37865</v>
      </c>
      <c r="C1923" t="s">
        <v>23</v>
      </c>
      <c r="D1923" s="19">
        <v>6</v>
      </c>
      <c r="E1923">
        <v>19</v>
      </c>
      <c r="F1923" t="s">
        <v>14</v>
      </c>
      <c r="H1923">
        <v>0</v>
      </c>
    </row>
    <row r="1924" spans="1:9" x14ac:dyDescent="0.2">
      <c r="A1924" t="str">
        <f t="shared" si="277"/>
        <v>37865Vaipahu620Autres</v>
      </c>
      <c r="B1924" s="1">
        <v>37865</v>
      </c>
      <c r="C1924" t="s">
        <v>23</v>
      </c>
      <c r="D1924" s="19">
        <v>6</v>
      </c>
      <c r="E1924">
        <v>20</v>
      </c>
      <c r="F1924" t="s">
        <v>14</v>
      </c>
      <c r="H1924">
        <v>0</v>
      </c>
    </row>
    <row r="1925" spans="1:9" x14ac:dyDescent="0.2">
      <c r="A1925" t="str">
        <f t="shared" si="277"/>
        <v>37865Vaipahu621Autres</v>
      </c>
      <c r="B1925" s="1">
        <v>37865</v>
      </c>
      <c r="C1925" t="s">
        <v>23</v>
      </c>
      <c r="D1925" s="19">
        <v>6</v>
      </c>
      <c r="E1925">
        <v>21</v>
      </c>
      <c r="F1925" t="s">
        <v>14</v>
      </c>
      <c r="H1925">
        <v>0</v>
      </c>
    </row>
    <row r="1926" spans="1:9" x14ac:dyDescent="0.2">
      <c r="A1926" t="str">
        <f t="shared" si="277"/>
        <v>37865Vaipahu1222AcroporidaeBords</v>
      </c>
      <c r="B1926" s="1">
        <v>37865</v>
      </c>
      <c r="C1926" t="s">
        <v>23</v>
      </c>
      <c r="D1926" s="19">
        <v>12</v>
      </c>
      <c r="E1926">
        <v>22</v>
      </c>
      <c r="F1926" t="s">
        <v>17</v>
      </c>
      <c r="G1926" t="s">
        <v>13</v>
      </c>
      <c r="H1926">
        <v>1</v>
      </c>
      <c r="I1926" t="s">
        <v>27</v>
      </c>
    </row>
    <row r="1927" spans="1:9" x14ac:dyDescent="0.2">
      <c r="A1927" t="str">
        <f t="shared" si="277"/>
        <v>37865Vaipahu1222AcroporidaeDessus</v>
      </c>
      <c r="B1927" s="1">
        <v>37865</v>
      </c>
      <c r="C1927" t="s">
        <v>23</v>
      </c>
      <c r="D1927" s="19">
        <v>12</v>
      </c>
      <c r="E1927">
        <v>22</v>
      </c>
      <c r="F1927" t="s">
        <v>17</v>
      </c>
      <c r="G1927" t="s">
        <v>11</v>
      </c>
      <c r="H1927">
        <v>1</v>
      </c>
      <c r="I1927" t="s">
        <v>27</v>
      </c>
    </row>
    <row r="1928" spans="1:9" x14ac:dyDescent="0.2">
      <c r="A1928" t="str">
        <f t="shared" si="277"/>
        <v>37865Vaipahu1223AcroporidaeBords</v>
      </c>
      <c r="B1928" s="1">
        <v>37865</v>
      </c>
      <c r="C1928" t="s">
        <v>23</v>
      </c>
      <c r="D1928" s="19">
        <v>12</v>
      </c>
      <c r="E1928">
        <v>23</v>
      </c>
      <c r="F1928" t="s">
        <v>17</v>
      </c>
      <c r="G1928" t="s">
        <v>13</v>
      </c>
      <c r="H1928">
        <v>2</v>
      </c>
      <c r="I1928" t="s">
        <v>27</v>
      </c>
    </row>
    <row r="1929" spans="1:9" x14ac:dyDescent="0.2">
      <c r="A1929" t="str">
        <f t="shared" si="277"/>
        <v>37865Vaipahu1224Autres</v>
      </c>
      <c r="B1929" s="1">
        <v>37865</v>
      </c>
      <c r="C1929" t="s">
        <v>23</v>
      </c>
      <c r="D1929" s="19">
        <v>12</v>
      </c>
      <c r="E1929">
        <v>24</v>
      </c>
      <c r="F1929" t="s">
        <v>14</v>
      </c>
      <c r="H1929">
        <v>0</v>
      </c>
    </row>
    <row r="1930" spans="1:9" x14ac:dyDescent="0.2">
      <c r="A1930" t="str">
        <f t="shared" si="277"/>
        <v>37865Vaipahu1225PoritidaeDessous</v>
      </c>
      <c r="B1930" s="1">
        <v>37865</v>
      </c>
      <c r="C1930" t="s">
        <v>23</v>
      </c>
      <c r="D1930" s="19">
        <v>12</v>
      </c>
      <c r="E1930">
        <v>25</v>
      </c>
      <c r="F1930" t="s">
        <v>7</v>
      </c>
      <c r="G1930" t="s">
        <v>8</v>
      </c>
      <c r="H1930">
        <v>1</v>
      </c>
      <c r="I1930" t="s">
        <v>27</v>
      </c>
    </row>
    <row r="1931" spans="1:9" x14ac:dyDescent="0.2">
      <c r="A1931" t="str">
        <f t="shared" si="277"/>
        <v>37865Vaipahu1226Autres</v>
      </c>
      <c r="B1931" s="1">
        <v>37865</v>
      </c>
      <c r="C1931" t="s">
        <v>23</v>
      </c>
      <c r="D1931" s="19">
        <v>12</v>
      </c>
      <c r="E1931">
        <v>26</v>
      </c>
      <c r="F1931" t="s">
        <v>14</v>
      </c>
      <c r="H1931">
        <v>0</v>
      </c>
    </row>
    <row r="1932" spans="1:9" x14ac:dyDescent="0.2">
      <c r="A1932" t="str">
        <f t="shared" si="277"/>
        <v>37865Vaipahu1227PoritidaeDessous</v>
      </c>
      <c r="B1932" s="1">
        <v>37865</v>
      </c>
      <c r="C1932" t="s">
        <v>23</v>
      </c>
      <c r="D1932" s="19">
        <v>12</v>
      </c>
      <c r="E1932">
        <v>27</v>
      </c>
      <c r="F1932" t="s">
        <v>7</v>
      </c>
      <c r="G1932" t="s">
        <v>8</v>
      </c>
      <c r="H1932">
        <v>1</v>
      </c>
      <c r="I1932" t="s">
        <v>27</v>
      </c>
    </row>
    <row r="1933" spans="1:9" x14ac:dyDescent="0.2">
      <c r="A1933" t="str">
        <f t="shared" si="277"/>
        <v>37865Vaipahu1228PoritidaeDessous</v>
      </c>
      <c r="B1933" s="1">
        <v>37865</v>
      </c>
      <c r="C1933" t="s">
        <v>23</v>
      </c>
      <c r="D1933" s="19">
        <v>12</v>
      </c>
      <c r="E1933">
        <v>28</v>
      </c>
      <c r="F1933" t="s">
        <v>7</v>
      </c>
      <c r="G1933" t="s">
        <v>8</v>
      </c>
      <c r="H1933">
        <v>1</v>
      </c>
      <c r="I1933" t="s">
        <v>27</v>
      </c>
    </row>
    <row r="1934" spans="1:9" x14ac:dyDescent="0.2">
      <c r="A1934" t="str">
        <f t="shared" si="277"/>
        <v>37865Vaipahu1229AutresDessous</v>
      </c>
      <c r="B1934" s="1">
        <v>37865</v>
      </c>
      <c r="C1934" t="s">
        <v>23</v>
      </c>
      <c r="D1934" s="19">
        <v>12</v>
      </c>
      <c r="E1934">
        <v>29</v>
      </c>
      <c r="F1934" t="s">
        <v>14</v>
      </c>
      <c r="G1934" t="s">
        <v>8</v>
      </c>
      <c r="H1934">
        <v>2</v>
      </c>
      <c r="I1934" t="s">
        <v>27</v>
      </c>
    </row>
    <row r="1935" spans="1:9" x14ac:dyDescent="0.2">
      <c r="A1935" t="str">
        <f t="shared" si="277"/>
        <v>37865Vaipahu1230Autres</v>
      </c>
      <c r="B1935" s="1">
        <v>37865</v>
      </c>
      <c r="C1935" t="s">
        <v>23</v>
      </c>
      <c r="D1935" s="19">
        <v>12</v>
      </c>
      <c r="E1935">
        <v>30</v>
      </c>
      <c r="F1935" t="s">
        <v>14</v>
      </c>
      <c r="H1935">
        <v>0</v>
      </c>
    </row>
    <row r="1936" spans="1:9" x14ac:dyDescent="0.2">
      <c r="A1936" t="str">
        <f t="shared" si="277"/>
        <v>37865Vaipahu1231Autres</v>
      </c>
      <c r="B1936" s="1">
        <v>37865</v>
      </c>
      <c r="C1936" t="s">
        <v>23</v>
      </c>
      <c r="D1936" s="19">
        <v>12</v>
      </c>
      <c r="E1936">
        <v>31</v>
      </c>
      <c r="F1936" t="s">
        <v>14</v>
      </c>
      <c r="H1936">
        <v>0</v>
      </c>
    </row>
    <row r="1937" spans="1:9" x14ac:dyDescent="0.2">
      <c r="A1937" t="str">
        <f t="shared" si="277"/>
        <v>37865Vaipahu1232Autres</v>
      </c>
      <c r="B1937" s="1">
        <v>37865</v>
      </c>
      <c r="C1937" t="s">
        <v>23</v>
      </c>
      <c r="D1937" s="19">
        <v>12</v>
      </c>
      <c r="E1937">
        <v>32</v>
      </c>
      <c r="F1937" t="s">
        <v>14</v>
      </c>
      <c r="H1937">
        <v>0</v>
      </c>
    </row>
    <row r="1938" spans="1:9" x14ac:dyDescent="0.2">
      <c r="A1938" t="str">
        <f t="shared" si="277"/>
        <v>37865Vaipahu1233AcroporidaeDessous</v>
      </c>
      <c r="B1938" s="1">
        <v>37865</v>
      </c>
      <c r="C1938" t="s">
        <v>23</v>
      </c>
      <c r="D1938" s="19">
        <v>12</v>
      </c>
      <c r="E1938">
        <v>33</v>
      </c>
      <c r="F1938" t="s">
        <v>17</v>
      </c>
      <c r="G1938" t="s">
        <v>8</v>
      </c>
      <c r="H1938">
        <v>1</v>
      </c>
      <c r="I1938" t="s">
        <v>27</v>
      </c>
    </row>
    <row r="1939" spans="1:9" x14ac:dyDescent="0.2">
      <c r="A1939" t="str">
        <f t="shared" si="277"/>
        <v>37865Vaipahu1233PoritidaeDessous</v>
      </c>
      <c r="B1939" s="1">
        <v>37865</v>
      </c>
      <c r="C1939" t="s">
        <v>23</v>
      </c>
      <c r="D1939" s="19">
        <v>12</v>
      </c>
      <c r="E1939">
        <v>33</v>
      </c>
      <c r="F1939" t="s">
        <v>7</v>
      </c>
      <c r="G1939" t="s">
        <v>8</v>
      </c>
      <c r="H1939">
        <v>1</v>
      </c>
      <c r="I1939" t="s">
        <v>27</v>
      </c>
    </row>
    <row r="1940" spans="1:9" x14ac:dyDescent="0.2">
      <c r="A1940" t="str">
        <f t="shared" si="277"/>
        <v>37865Vaipahu1234Autres</v>
      </c>
      <c r="B1940" s="1">
        <v>37865</v>
      </c>
      <c r="C1940" t="s">
        <v>23</v>
      </c>
      <c r="D1940" s="19">
        <v>12</v>
      </c>
      <c r="E1940">
        <v>34</v>
      </c>
      <c r="F1940" t="s">
        <v>14</v>
      </c>
      <c r="H1940">
        <v>0</v>
      </c>
    </row>
    <row r="1941" spans="1:9" x14ac:dyDescent="0.2">
      <c r="A1941" t="str">
        <f t="shared" si="277"/>
        <v>37865Vaipahu1235Autres</v>
      </c>
      <c r="B1941" s="1">
        <v>37865</v>
      </c>
      <c r="C1941" t="s">
        <v>23</v>
      </c>
      <c r="D1941" s="19">
        <v>12</v>
      </c>
      <c r="E1941">
        <v>35</v>
      </c>
      <c r="F1941" t="s">
        <v>14</v>
      </c>
      <c r="H1941">
        <v>0</v>
      </c>
    </row>
    <row r="1942" spans="1:9" x14ac:dyDescent="0.2">
      <c r="A1942" t="str">
        <f t="shared" si="277"/>
        <v>37865Vaipahu1236PoritidaeDessous</v>
      </c>
      <c r="B1942" s="1">
        <v>37865</v>
      </c>
      <c r="C1942" t="s">
        <v>23</v>
      </c>
      <c r="D1942" s="19">
        <v>12</v>
      </c>
      <c r="E1942">
        <v>36</v>
      </c>
      <c r="F1942" t="s">
        <v>7</v>
      </c>
      <c r="G1942" t="s">
        <v>8</v>
      </c>
      <c r="H1942">
        <v>1</v>
      </c>
      <c r="I1942" t="s">
        <v>27</v>
      </c>
    </row>
    <row r="1943" spans="1:9" x14ac:dyDescent="0.2">
      <c r="A1943" t="str">
        <f t="shared" si="277"/>
        <v>37865Vaipahu1237PoritidaeBords</v>
      </c>
      <c r="B1943" s="1">
        <v>37865</v>
      </c>
      <c r="C1943" t="s">
        <v>23</v>
      </c>
      <c r="D1943" s="19">
        <v>12</v>
      </c>
      <c r="E1943">
        <v>37</v>
      </c>
      <c r="F1943" t="s">
        <v>7</v>
      </c>
      <c r="G1943" t="s">
        <v>13</v>
      </c>
      <c r="H1943">
        <v>1</v>
      </c>
      <c r="I1943" t="s">
        <v>27</v>
      </c>
    </row>
    <row r="1944" spans="1:9" x14ac:dyDescent="0.2">
      <c r="A1944" t="str">
        <f t="shared" si="277"/>
        <v>37865Vaipahu1238Autres</v>
      </c>
      <c r="B1944" s="1">
        <v>37865</v>
      </c>
      <c r="C1944" t="s">
        <v>23</v>
      </c>
      <c r="D1944" s="19">
        <v>12</v>
      </c>
      <c r="E1944">
        <v>38</v>
      </c>
      <c r="F1944" t="s">
        <v>14</v>
      </c>
      <c r="H1944">
        <v>0</v>
      </c>
    </row>
    <row r="1945" spans="1:9" x14ac:dyDescent="0.2">
      <c r="A1945" t="str">
        <f t="shared" si="277"/>
        <v>37865Vaipahu1239Autres</v>
      </c>
      <c r="B1945" s="1">
        <v>37865</v>
      </c>
      <c r="C1945" t="s">
        <v>23</v>
      </c>
      <c r="D1945" s="19">
        <v>12</v>
      </c>
      <c r="E1945">
        <v>39</v>
      </c>
      <c r="F1945" t="s">
        <v>14</v>
      </c>
      <c r="H1945">
        <v>0</v>
      </c>
    </row>
    <row r="1946" spans="1:9" x14ac:dyDescent="0.2">
      <c r="A1946" t="str">
        <f t="shared" si="277"/>
        <v>37865Vaipahu1240Autres</v>
      </c>
      <c r="B1946" s="1">
        <v>37865</v>
      </c>
      <c r="C1946" t="s">
        <v>23</v>
      </c>
      <c r="D1946" s="19">
        <v>12</v>
      </c>
      <c r="E1946">
        <v>40</v>
      </c>
      <c r="F1946" t="s">
        <v>14</v>
      </c>
      <c r="H1946">
        <v>0</v>
      </c>
    </row>
    <row r="1947" spans="1:9" x14ac:dyDescent="0.2">
      <c r="A1947" t="str">
        <f t="shared" si="277"/>
        <v>37865Vaipahu1841Autres</v>
      </c>
      <c r="B1947" s="1">
        <v>37865</v>
      </c>
      <c r="C1947" t="s">
        <v>23</v>
      </c>
      <c r="D1947" s="19">
        <v>18</v>
      </c>
      <c r="E1947">
        <v>41</v>
      </c>
      <c r="F1947" t="s">
        <v>14</v>
      </c>
      <c r="H1947">
        <v>0</v>
      </c>
    </row>
    <row r="1948" spans="1:9" x14ac:dyDescent="0.2">
      <c r="A1948" t="str">
        <f t="shared" si="277"/>
        <v>37865Vaipahu1842PoritidaeDessous</v>
      </c>
      <c r="B1948" s="1">
        <v>37865</v>
      </c>
      <c r="C1948" t="s">
        <v>23</v>
      </c>
      <c r="D1948" s="19">
        <v>18</v>
      </c>
      <c r="E1948">
        <v>42</v>
      </c>
      <c r="F1948" t="s">
        <v>7</v>
      </c>
      <c r="G1948" t="s">
        <v>8</v>
      </c>
      <c r="H1948">
        <v>1</v>
      </c>
      <c r="I1948" t="s">
        <v>27</v>
      </c>
    </row>
    <row r="1949" spans="1:9" x14ac:dyDescent="0.2">
      <c r="A1949" t="str">
        <f t="shared" si="277"/>
        <v>37865Vaipahu1843Autres</v>
      </c>
      <c r="B1949" s="1">
        <v>37865</v>
      </c>
      <c r="C1949" t="s">
        <v>23</v>
      </c>
      <c r="D1949" s="19">
        <v>18</v>
      </c>
      <c r="E1949">
        <v>43</v>
      </c>
      <c r="F1949" t="s">
        <v>14</v>
      </c>
      <c r="H1949">
        <v>0</v>
      </c>
    </row>
    <row r="1950" spans="1:9" x14ac:dyDescent="0.2">
      <c r="A1950" t="str">
        <f t="shared" si="277"/>
        <v>37865Vaipahu1844Autres</v>
      </c>
      <c r="B1950" s="1">
        <v>37865</v>
      </c>
      <c r="C1950" t="s">
        <v>23</v>
      </c>
      <c r="D1950" s="19">
        <v>18</v>
      </c>
      <c r="E1950">
        <v>44</v>
      </c>
      <c r="F1950" t="s">
        <v>14</v>
      </c>
      <c r="H1950">
        <v>0</v>
      </c>
    </row>
    <row r="1951" spans="1:9" x14ac:dyDescent="0.2">
      <c r="A1951" t="str">
        <f t="shared" si="277"/>
        <v>37865Vaipahu1845Autres</v>
      </c>
      <c r="B1951" s="1">
        <v>37865</v>
      </c>
      <c r="C1951" t="s">
        <v>23</v>
      </c>
      <c r="D1951" s="19">
        <v>18</v>
      </c>
      <c r="E1951">
        <v>45</v>
      </c>
      <c r="F1951" t="s">
        <v>14</v>
      </c>
      <c r="H1951">
        <v>0</v>
      </c>
    </row>
    <row r="1952" spans="1:9" x14ac:dyDescent="0.2">
      <c r="A1952" t="str">
        <f t="shared" si="277"/>
        <v>37865Vaipahu1846Autres</v>
      </c>
      <c r="B1952" s="1">
        <v>37865</v>
      </c>
      <c r="C1952" t="s">
        <v>23</v>
      </c>
      <c r="D1952" s="19">
        <v>18</v>
      </c>
      <c r="E1952">
        <v>46</v>
      </c>
      <c r="F1952" t="s">
        <v>14</v>
      </c>
      <c r="H1952">
        <v>0</v>
      </c>
    </row>
    <row r="1953" spans="1:9" x14ac:dyDescent="0.2">
      <c r="A1953" t="str">
        <f t="shared" si="277"/>
        <v>37865Vaipahu1847Autres</v>
      </c>
      <c r="B1953" s="1">
        <v>37865</v>
      </c>
      <c r="C1953" t="s">
        <v>23</v>
      </c>
      <c r="D1953" s="19">
        <v>18</v>
      </c>
      <c r="E1953">
        <v>47</v>
      </c>
      <c r="F1953" t="s">
        <v>14</v>
      </c>
      <c r="H1953">
        <v>0</v>
      </c>
    </row>
    <row r="1954" spans="1:9" x14ac:dyDescent="0.2">
      <c r="A1954" t="str">
        <f t="shared" si="277"/>
        <v>37865Vaipahu1848Autres</v>
      </c>
      <c r="B1954" s="1">
        <v>37865</v>
      </c>
      <c r="C1954" t="s">
        <v>23</v>
      </c>
      <c r="D1954" s="19">
        <v>18</v>
      </c>
      <c r="E1954">
        <v>48</v>
      </c>
      <c r="F1954" t="s">
        <v>14</v>
      </c>
      <c r="H1954">
        <v>0</v>
      </c>
    </row>
    <row r="1955" spans="1:9" x14ac:dyDescent="0.2">
      <c r="A1955" t="str">
        <f t="shared" si="277"/>
        <v>37865Vaipahu1849Autres</v>
      </c>
      <c r="B1955" s="1">
        <v>37865</v>
      </c>
      <c r="C1955" t="s">
        <v>23</v>
      </c>
      <c r="D1955" s="19">
        <v>18</v>
      </c>
      <c r="E1955">
        <v>49</v>
      </c>
      <c r="F1955" t="s">
        <v>14</v>
      </c>
      <c r="H1955">
        <v>0</v>
      </c>
    </row>
    <row r="1956" spans="1:9" x14ac:dyDescent="0.2">
      <c r="A1956" t="str">
        <f t="shared" si="277"/>
        <v>37865Vaipahu1850Autres</v>
      </c>
      <c r="B1956" s="1">
        <v>37865</v>
      </c>
      <c r="C1956" t="s">
        <v>23</v>
      </c>
      <c r="D1956" s="19">
        <v>18</v>
      </c>
      <c r="E1956">
        <v>50</v>
      </c>
      <c r="F1956" t="s">
        <v>14</v>
      </c>
      <c r="H1956">
        <v>0</v>
      </c>
    </row>
    <row r="1957" spans="1:9" x14ac:dyDescent="0.2">
      <c r="A1957" t="str">
        <f t="shared" si="277"/>
        <v>37865Vaipahu1851Autres</v>
      </c>
      <c r="B1957" s="1">
        <v>37865</v>
      </c>
      <c r="C1957" t="s">
        <v>23</v>
      </c>
      <c r="D1957" s="19">
        <v>18</v>
      </c>
      <c r="E1957">
        <v>51</v>
      </c>
      <c r="F1957" t="s">
        <v>14</v>
      </c>
      <c r="H1957">
        <v>0</v>
      </c>
    </row>
    <row r="1958" spans="1:9" x14ac:dyDescent="0.2">
      <c r="A1958" t="str">
        <f t="shared" si="277"/>
        <v>37865Vaipahu1852Autres</v>
      </c>
      <c r="B1958" s="1">
        <v>37865</v>
      </c>
      <c r="C1958" t="s">
        <v>23</v>
      </c>
      <c r="D1958" s="19">
        <v>18</v>
      </c>
      <c r="E1958">
        <v>52</v>
      </c>
      <c r="F1958" t="s">
        <v>14</v>
      </c>
      <c r="H1958">
        <v>0</v>
      </c>
    </row>
    <row r="1959" spans="1:9" x14ac:dyDescent="0.2">
      <c r="A1959" t="str">
        <f t="shared" si="277"/>
        <v>37865Vaipahu1853Autres</v>
      </c>
      <c r="B1959" s="1">
        <v>37865</v>
      </c>
      <c r="C1959" t="s">
        <v>23</v>
      </c>
      <c r="D1959" s="19">
        <v>18</v>
      </c>
      <c r="E1959">
        <v>53</v>
      </c>
      <c r="F1959" t="s">
        <v>14</v>
      </c>
      <c r="H1959">
        <v>0</v>
      </c>
    </row>
    <row r="1960" spans="1:9" x14ac:dyDescent="0.2">
      <c r="A1960" t="str">
        <f t="shared" si="277"/>
        <v>37865Vaipahu1854Autres</v>
      </c>
      <c r="B1960" s="1">
        <v>37865</v>
      </c>
      <c r="C1960" t="s">
        <v>23</v>
      </c>
      <c r="D1960" s="19">
        <v>18</v>
      </c>
      <c r="E1960">
        <v>54</v>
      </c>
      <c r="F1960" t="s">
        <v>14</v>
      </c>
      <c r="H1960">
        <v>0</v>
      </c>
    </row>
    <row r="1961" spans="1:9" x14ac:dyDescent="0.2">
      <c r="A1961" t="str">
        <f t="shared" si="277"/>
        <v>37865Vaipahu1855Autres</v>
      </c>
      <c r="B1961" s="1">
        <v>37865</v>
      </c>
      <c r="C1961" t="s">
        <v>23</v>
      </c>
      <c r="D1961" s="19">
        <v>18</v>
      </c>
      <c r="E1961">
        <v>55</v>
      </c>
      <c r="F1961" t="s">
        <v>14</v>
      </c>
      <c r="H1961">
        <v>0</v>
      </c>
    </row>
    <row r="1962" spans="1:9" x14ac:dyDescent="0.2">
      <c r="A1962" t="str">
        <f t="shared" si="277"/>
        <v>37865Vaipahu1856Autres</v>
      </c>
      <c r="B1962" s="1">
        <v>37865</v>
      </c>
      <c r="C1962" t="s">
        <v>23</v>
      </c>
      <c r="D1962" s="19">
        <v>18</v>
      </c>
      <c r="E1962">
        <v>56</v>
      </c>
      <c r="F1962" t="s">
        <v>14</v>
      </c>
      <c r="H1962">
        <v>0</v>
      </c>
    </row>
    <row r="1963" spans="1:9" x14ac:dyDescent="0.2">
      <c r="A1963" t="str">
        <f t="shared" si="277"/>
        <v>37865Vaipahu1857Autres</v>
      </c>
      <c r="B1963" s="1">
        <v>37865</v>
      </c>
      <c r="C1963" t="s">
        <v>23</v>
      </c>
      <c r="D1963" s="19">
        <v>18</v>
      </c>
      <c r="E1963">
        <v>57</v>
      </c>
      <c r="F1963" t="s">
        <v>14</v>
      </c>
      <c r="H1963">
        <v>0</v>
      </c>
    </row>
    <row r="1964" spans="1:9" x14ac:dyDescent="0.2">
      <c r="A1964" t="str">
        <f t="shared" si="277"/>
        <v>37865Vaipahu1858Autres</v>
      </c>
      <c r="B1964" s="1">
        <v>37865</v>
      </c>
      <c r="C1964" t="s">
        <v>23</v>
      </c>
      <c r="D1964" s="19">
        <v>18</v>
      </c>
      <c r="E1964">
        <v>58</v>
      </c>
      <c r="F1964" t="s">
        <v>14</v>
      </c>
      <c r="H1964">
        <v>0</v>
      </c>
    </row>
    <row r="1965" spans="1:9" x14ac:dyDescent="0.2">
      <c r="A1965" t="str">
        <f t="shared" si="277"/>
        <v>37865Vaipahu1859Autres</v>
      </c>
      <c r="B1965" s="1">
        <v>37865</v>
      </c>
      <c r="C1965" t="s">
        <v>23</v>
      </c>
      <c r="D1965" s="19">
        <v>18</v>
      </c>
      <c r="E1965">
        <v>59</v>
      </c>
      <c r="F1965" t="s">
        <v>14</v>
      </c>
      <c r="H1965">
        <v>0</v>
      </c>
    </row>
    <row r="1966" spans="1:9" x14ac:dyDescent="0.2">
      <c r="A1966" t="str">
        <f t="shared" si="277"/>
        <v>37865Vaipahu1860Autres</v>
      </c>
      <c r="B1966" s="1">
        <v>37865</v>
      </c>
      <c r="C1966" t="s">
        <v>23</v>
      </c>
      <c r="D1966" s="19">
        <v>18</v>
      </c>
      <c r="E1966">
        <v>60</v>
      </c>
      <c r="F1966" t="s">
        <v>14</v>
      </c>
      <c r="H1966">
        <v>0</v>
      </c>
    </row>
    <row r="1967" spans="1:9" x14ac:dyDescent="0.2">
      <c r="A1967" t="str">
        <f t="shared" si="277"/>
        <v>37865Tiahura661Autres</v>
      </c>
      <c r="B1967" s="1">
        <v>37865</v>
      </c>
      <c r="C1967" t="s">
        <v>24</v>
      </c>
      <c r="D1967" s="19">
        <v>6</v>
      </c>
      <c r="E1967">
        <v>61</v>
      </c>
      <c r="F1967" t="s">
        <v>14</v>
      </c>
      <c r="H1967">
        <v>0</v>
      </c>
    </row>
    <row r="1968" spans="1:9" x14ac:dyDescent="0.2">
      <c r="A1968" t="str">
        <f t="shared" si="277"/>
        <v>37865Tiahura662AcroporidaeBords</v>
      </c>
      <c r="B1968" s="1">
        <v>37865</v>
      </c>
      <c r="C1968" t="s">
        <v>24</v>
      </c>
      <c r="D1968" s="19">
        <v>6</v>
      </c>
      <c r="E1968">
        <v>62</v>
      </c>
      <c r="F1968" t="s">
        <v>17</v>
      </c>
      <c r="G1968" t="s">
        <v>13</v>
      </c>
      <c r="H1968">
        <v>1</v>
      </c>
      <c r="I1968" t="s">
        <v>27</v>
      </c>
    </row>
    <row r="1969" spans="1:9" x14ac:dyDescent="0.2">
      <c r="A1969" t="str">
        <f t="shared" si="277"/>
        <v>37865Tiahura663Autres</v>
      </c>
      <c r="B1969" s="1">
        <v>37865</v>
      </c>
      <c r="C1969" t="s">
        <v>24</v>
      </c>
      <c r="D1969" s="19">
        <v>6</v>
      </c>
      <c r="E1969">
        <v>63</v>
      </c>
      <c r="F1969" t="s">
        <v>14</v>
      </c>
      <c r="H1969">
        <v>0</v>
      </c>
    </row>
    <row r="1970" spans="1:9" x14ac:dyDescent="0.2">
      <c r="A1970" t="str">
        <f t="shared" si="277"/>
        <v>37865Tiahura664PocilloporidaeBords</v>
      </c>
      <c r="B1970" s="1">
        <v>37865</v>
      </c>
      <c r="C1970" t="s">
        <v>24</v>
      </c>
      <c r="D1970" s="19">
        <v>6</v>
      </c>
      <c r="E1970">
        <v>64</v>
      </c>
      <c r="F1970" t="s">
        <v>10</v>
      </c>
      <c r="G1970" t="s">
        <v>13</v>
      </c>
      <c r="H1970">
        <v>2</v>
      </c>
      <c r="I1970" t="s">
        <v>27</v>
      </c>
    </row>
    <row r="1971" spans="1:9" x14ac:dyDescent="0.2">
      <c r="A1971" t="str">
        <f t="shared" si="277"/>
        <v>37865Tiahura665AcroporidaeDessous</v>
      </c>
      <c r="B1971" s="1">
        <v>37865</v>
      </c>
      <c r="C1971" t="s">
        <v>24</v>
      </c>
      <c r="D1971" s="19">
        <v>6</v>
      </c>
      <c r="E1971">
        <v>65</v>
      </c>
      <c r="F1971" t="s">
        <v>17</v>
      </c>
      <c r="G1971" t="s">
        <v>8</v>
      </c>
      <c r="H1971">
        <v>1</v>
      </c>
      <c r="I1971" t="s">
        <v>27</v>
      </c>
    </row>
    <row r="1972" spans="1:9" x14ac:dyDescent="0.2">
      <c r="A1972" t="str">
        <f t="shared" si="277"/>
        <v>37865Tiahura665PocilloporidaeDessous</v>
      </c>
      <c r="B1972" s="1">
        <v>37865</v>
      </c>
      <c r="C1972" t="s">
        <v>24</v>
      </c>
      <c r="D1972" s="19">
        <v>6</v>
      </c>
      <c r="E1972">
        <v>65</v>
      </c>
      <c r="F1972" t="s">
        <v>10</v>
      </c>
      <c r="G1972" t="s">
        <v>8</v>
      </c>
      <c r="H1972">
        <v>1</v>
      </c>
      <c r="I1972" t="s">
        <v>27</v>
      </c>
    </row>
    <row r="1973" spans="1:9" x14ac:dyDescent="0.2">
      <c r="A1973" t="str">
        <f t="shared" si="277"/>
        <v>37865Tiahura666Autres</v>
      </c>
      <c r="B1973" s="1">
        <v>37865</v>
      </c>
      <c r="C1973" t="s">
        <v>24</v>
      </c>
      <c r="D1973" s="19">
        <v>6</v>
      </c>
      <c r="E1973">
        <v>66</v>
      </c>
      <c r="F1973" t="s">
        <v>14</v>
      </c>
      <c r="H1973">
        <v>0</v>
      </c>
    </row>
    <row r="1974" spans="1:9" x14ac:dyDescent="0.2">
      <c r="A1974" t="str">
        <f t="shared" si="277"/>
        <v>37865Tiahura667AcroporidaeDessous</v>
      </c>
      <c r="B1974" s="1">
        <v>37865</v>
      </c>
      <c r="C1974" t="s">
        <v>24</v>
      </c>
      <c r="D1974" s="19">
        <v>6</v>
      </c>
      <c r="E1974">
        <v>67</v>
      </c>
      <c r="F1974" t="s">
        <v>17</v>
      </c>
      <c r="G1974" t="s">
        <v>8</v>
      </c>
      <c r="H1974">
        <v>1</v>
      </c>
      <c r="I1974" t="s">
        <v>27</v>
      </c>
    </row>
    <row r="1975" spans="1:9" x14ac:dyDescent="0.2">
      <c r="A1975" t="str">
        <f t="shared" si="277"/>
        <v>37865Tiahura668Autres</v>
      </c>
      <c r="B1975" s="1">
        <v>37865</v>
      </c>
      <c r="C1975" t="s">
        <v>24</v>
      </c>
      <c r="D1975" s="19">
        <v>6</v>
      </c>
      <c r="E1975">
        <v>68</v>
      </c>
      <c r="F1975" t="s">
        <v>14</v>
      </c>
      <c r="H1975">
        <v>0</v>
      </c>
    </row>
    <row r="1976" spans="1:9" x14ac:dyDescent="0.2">
      <c r="A1976" t="str">
        <f t="shared" si="277"/>
        <v>37865Tiahura669AcroporidaeDessous</v>
      </c>
      <c r="B1976" s="1">
        <v>37865</v>
      </c>
      <c r="C1976" t="s">
        <v>24</v>
      </c>
      <c r="D1976" s="19">
        <v>6</v>
      </c>
      <c r="E1976">
        <v>69</v>
      </c>
      <c r="F1976" t="s">
        <v>17</v>
      </c>
      <c r="G1976" t="s">
        <v>8</v>
      </c>
      <c r="H1976">
        <v>1</v>
      </c>
      <c r="I1976" t="s">
        <v>27</v>
      </c>
    </row>
    <row r="1977" spans="1:9" x14ac:dyDescent="0.2">
      <c r="A1977" t="str">
        <f t="shared" si="277"/>
        <v>37865Tiahura669PocilloporidaeDessous</v>
      </c>
      <c r="B1977" s="1">
        <v>37865</v>
      </c>
      <c r="C1977" t="s">
        <v>24</v>
      </c>
      <c r="D1977" s="19">
        <v>6</v>
      </c>
      <c r="E1977">
        <v>69</v>
      </c>
      <c r="F1977" t="s">
        <v>10</v>
      </c>
      <c r="G1977" t="s">
        <v>8</v>
      </c>
      <c r="H1977">
        <v>2</v>
      </c>
      <c r="I1977" t="s">
        <v>27</v>
      </c>
    </row>
    <row r="1978" spans="1:9" x14ac:dyDescent="0.2">
      <c r="A1978" t="str">
        <f t="shared" si="277"/>
        <v>37865Tiahura670PocilloporidaeDessous</v>
      </c>
      <c r="B1978" s="1">
        <v>37865</v>
      </c>
      <c r="C1978" t="s">
        <v>24</v>
      </c>
      <c r="D1978" s="19">
        <v>6</v>
      </c>
      <c r="E1978">
        <v>70</v>
      </c>
      <c r="F1978" t="s">
        <v>10</v>
      </c>
      <c r="G1978" t="s">
        <v>8</v>
      </c>
      <c r="H1978">
        <v>1</v>
      </c>
      <c r="I1978" t="s">
        <v>27</v>
      </c>
    </row>
    <row r="1979" spans="1:9" x14ac:dyDescent="0.2">
      <c r="A1979" t="str">
        <f t="shared" si="277"/>
        <v>37865Tiahura671Autres</v>
      </c>
      <c r="B1979" s="1">
        <v>37865</v>
      </c>
      <c r="C1979" t="s">
        <v>24</v>
      </c>
      <c r="D1979" s="19">
        <v>6</v>
      </c>
      <c r="E1979">
        <v>71</v>
      </c>
      <c r="F1979" t="s">
        <v>14</v>
      </c>
      <c r="H1979">
        <v>0</v>
      </c>
    </row>
    <row r="1980" spans="1:9" x14ac:dyDescent="0.2">
      <c r="A1980" t="str">
        <f t="shared" si="277"/>
        <v>37865Tiahura672CassésBords</v>
      </c>
      <c r="B1980" s="1">
        <v>37865</v>
      </c>
      <c r="C1980" t="s">
        <v>24</v>
      </c>
      <c r="D1980" s="19">
        <v>6</v>
      </c>
      <c r="E1980">
        <v>72</v>
      </c>
      <c r="F1980" t="s">
        <v>12</v>
      </c>
      <c r="G1980" t="s">
        <v>13</v>
      </c>
      <c r="H1980">
        <v>1</v>
      </c>
      <c r="I1980" t="s">
        <v>27</v>
      </c>
    </row>
    <row r="1981" spans="1:9" x14ac:dyDescent="0.2">
      <c r="A1981" t="str">
        <f t="shared" si="277"/>
        <v>37865Tiahura673Autres</v>
      </c>
      <c r="B1981" s="1">
        <v>37865</v>
      </c>
      <c r="C1981" t="s">
        <v>24</v>
      </c>
      <c r="D1981" s="19">
        <v>6</v>
      </c>
      <c r="E1981">
        <v>73</v>
      </c>
      <c r="F1981" t="s">
        <v>14</v>
      </c>
      <c r="H1981">
        <v>0</v>
      </c>
    </row>
    <row r="1982" spans="1:9" x14ac:dyDescent="0.2">
      <c r="A1982" t="str">
        <f t="shared" si="277"/>
        <v>37865Tiahura674AcroporidaeDessous</v>
      </c>
      <c r="B1982" s="1">
        <v>37865</v>
      </c>
      <c r="C1982" t="s">
        <v>24</v>
      </c>
      <c r="D1982" s="19">
        <v>6</v>
      </c>
      <c r="E1982">
        <v>74</v>
      </c>
      <c r="F1982" t="s">
        <v>17</v>
      </c>
      <c r="G1982" t="s">
        <v>8</v>
      </c>
      <c r="H1982">
        <v>1</v>
      </c>
      <c r="I1982" t="s">
        <v>27</v>
      </c>
    </row>
    <row r="1983" spans="1:9" x14ac:dyDescent="0.2">
      <c r="A1983" t="str">
        <f t="shared" ref="A1983:A2046" si="278">B1983 &amp; C1983&amp; D1983&amp; E1983 &amp; F1983 &amp;G1983</f>
        <v>37865Tiahura674PocilloporidaeDessous</v>
      </c>
      <c r="B1983" s="1">
        <v>37865</v>
      </c>
      <c r="C1983" t="s">
        <v>24</v>
      </c>
      <c r="D1983" s="19">
        <v>6</v>
      </c>
      <c r="E1983">
        <v>74</v>
      </c>
      <c r="F1983" t="s">
        <v>10</v>
      </c>
      <c r="G1983" t="s">
        <v>8</v>
      </c>
      <c r="H1983">
        <v>2</v>
      </c>
      <c r="I1983" t="s">
        <v>27</v>
      </c>
    </row>
    <row r="1984" spans="1:9" x14ac:dyDescent="0.2">
      <c r="A1984" t="str">
        <f t="shared" si="278"/>
        <v>37865Tiahura675PocilloporidaeBords</v>
      </c>
      <c r="B1984" s="1">
        <v>37865</v>
      </c>
      <c r="C1984" t="s">
        <v>24</v>
      </c>
      <c r="D1984" s="19">
        <v>6</v>
      </c>
      <c r="E1984">
        <v>75</v>
      </c>
      <c r="F1984" t="s">
        <v>10</v>
      </c>
      <c r="G1984" t="s">
        <v>13</v>
      </c>
      <c r="H1984">
        <v>1</v>
      </c>
      <c r="I1984" t="s">
        <v>27</v>
      </c>
    </row>
    <row r="1985" spans="1:9" x14ac:dyDescent="0.2">
      <c r="A1985" t="str">
        <f t="shared" si="278"/>
        <v>37865Tiahura676Autres</v>
      </c>
      <c r="B1985" s="1">
        <v>37865</v>
      </c>
      <c r="C1985" t="s">
        <v>24</v>
      </c>
      <c r="D1985" s="19">
        <v>6</v>
      </c>
      <c r="E1985">
        <v>76</v>
      </c>
      <c r="F1985" t="s">
        <v>14</v>
      </c>
      <c r="H1985">
        <v>0</v>
      </c>
    </row>
    <row r="1986" spans="1:9" x14ac:dyDescent="0.2">
      <c r="A1986" t="str">
        <f t="shared" si="278"/>
        <v>37865Tiahura677Autres</v>
      </c>
      <c r="B1986" s="1">
        <v>37865</v>
      </c>
      <c r="C1986" t="s">
        <v>24</v>
      </c>
      <c r="D1986" s="19">
        <v>6</v>
      </c>
      <c r="E1986">
        <v>77</v>
      </c>
      <c r="F1986" t="s">
        <v>14</v>
      </c>
      <c r="H1986">
        <v>0</v>
      </c>
    </row>
    <row r="1987" spans="1:9" x14ac:dyDescent="0.2">
      <c r="A1987" t="str">
        <f t="shared" si="278"/>
        <v>37865Tiahura678Autres</v>
      </c>
      <c r="B1987" s="1">
        <v>37865</v>
      </c>
      <c r="C1987" t="s">
        <v>24</v>
      </c>
      <c r="D1987" s="19">
        <v>6</v>
      </c>
      <c r="E1987">
        <v>78</v>
      </c>
      <c r="F1987" t="s">
        <v>14</v>
      </c>
      <c r="H1987">
        <v>0</v>
      </c>
    </row>
    <row r="1988" spans="1:9" x14ac:dyDescent="0.2">
      <c r="A1988" t="str">
        <f t="shared" si="278"/>
        <v>37865Tiahura679Autres</v>
      </c>
      <c r="B1988" s="1">
        <v>37865</v>
      </c>
      <c r="C1988" t="s">
        <v>24</v>
      </c>
      <c r="D1988" s="19">
        <v>6</v>
      </c>
      <c r="E1988">
        <v>79</v>
      </c>
      <c r="F1988" t="s">
        <v>14</v>
      </c>
      <c r="H1988">
        <v>0</v>
      </c>
    </row>
    <row r="1989" spans="1:9" x14ac:dyDescent="0.2">
      <c r="A1989" t="str">
        <f t="shared" si="278"/>
        <v>37865Tiahura680AutresDessous</v>
      </c>
      <c r="B1989" s="1">
        <v>37865</v>
      </c>
      <c r="C1989" t="s">
        <v>24</v>
      </c>
      <c r="D1989" s="19">
        <v>6</v>
      </c>
      <c r="E1989">
        <v>80</v>
      </c>
      <c r="F1989" t="s">
        <v>14</v>
      </c>
      <c r="G1989" t="s">
        <v>8</v>
      </c>
      <c r="H1989">
        <v>1</v>
      </c>
      <c r="I1989" t="s">
        <v>27</v>
      </c>
    </row>
    <row r="1990" spans="1:9" x14ac:dyDescent="0.2">
      <c r="A1990" t="str">
        <f t="shared" si="278"/>
        <v>37865Tiahura680PocilloporidaeDessous</v>
      </c>
      <c r="B1990" s="1">
        <v>37865</v>
      </c>
      <c r="C1990" t="s">
        <v>24</v>
      </c>
      <c r="D1990" s="19">
        <v>6</v>
      </c>
      <c r="E1990">
        <v>80</v>
      </c>
      <c r="F1990" t="s">
        <v>10</v>
      </c>
      <c r="G1990" t="s">
        <v>8</v>
      </c>
      <c r="H1990">
        <v>2</v>
      </c>
      <c r="I1990" t="s">
        <v>27</v>
      </c>
    </row>
    <row r="1991" spans="1:9" x14ac:dyDescent="0.2">
      <c r="A1991" t="str">
        <f t="shared" si="278"/>
        <v>37865Tiahura1281Autres</v>
      </c>
      <c r="B1991" s="1">
        <v>37865</v>
      </c>
      <c r="C1991" t="s">
        <v>24</v>
      </c>
      <c r="D1991" s="19">
        <v>12</v>
      </c>
      <c r="E1991">
        <v>81</v>
      </c>
      <c r="F1991" t="s">
        <v>14</v>
      </c>
      <c r="H1991">
        <v>0</v>
      </c>
    </row>
    <row r="1992" spans="1:9" x14ac:dyDescent="0.2">
      <c r="A1992" t="str">
        <f t="shared" si="278"/>
        <v>37865Tiahura1282PoritidaeDessous</v>
      </c>
      <c r="B1992" s="1">
        <v>37865</v>
      </c>
      <c r="C1992" t="s">
        <v>24</v>
      </c>
      <c r="D1992" s="19">
        <v>12</v>
      </c>
      <c r="E1992">
        <v>82</v>
      </c>
      <c r="F1992" t="s">
        <v>7</v>
      </c>
      <c r="G1992" t="s">
        <v>8</v>
      </c>
      <c r="H1992">
        <v>1</v>
      </c>
      <c r="I1992" t="s">
        <v>27</v>
      </c>
    </row>
    <row r="1993" spans="1:9" x14ac:dyDescent="0.2">
      <c r="A1993" t="str">
        <f t="shared" si="278"/>
        <v>37865Tiahura1283PoritidaeDessous</v>
      </c>
      <c r="B1993" s="1">
        <v>37865</v>
      </c>
      <c r="C1993" t="s">
        <v>24</v>
      </c>
      <c r="D1993" s="19">
        <v>12</v>
      </c>
      <c r="E1993">
        <v>83</v>
      </c>
      <c r="F1993" t="s">
        <v>7</v>
      </c>
      <c r="G1993" t="s">
        <v>8</v>
      </c>
      <c r="H1993">
        <v>1</v>
      </c>
      <c r="I1993" t="s">
        <v>27</v>
      </c>
    </row>
    <row r="1994" spans="1:9" x14ac:dyDescent="0.2">
      <c r="A1994" t="str">
        <f t="shared" si="278"/>
        <v>37865Tiahura1284Autres</v>
      </c>
      <c r="B1994" s="1">
        <v>37865</v>
      </c>
      <c r="C1994" t="s">
        <v>24</v>
      </c>
      <c r="D1994" s="19">
        <v>12</v>
      </c>
      <c r="E1994">
        <v>84</v>
      </c>
      <c r="F1994" t="s">
        <v>14</v>
      </c>
      <c r="H1994">
        <v>0</v>
      </c>
    </row>
    <row r="1995" spans="1:9" x14ac:dyDescent="0.2">
      <c r="A1995" t="str">
        <f t="shared" si="278"/>
        <v>37865Tiahura1285Autres</v>
      </c>
      <c r="B1995" s="1">
        <v>37865</v>
      </c>
      <c r="C1995" t="s">
        <v>24</v>
      </c>
      <c r="D1995" s="19">
        <v>12</v>
      </c>
      <c r="E1995">
        <v>85</v>
      </c>
      <c r="F1995" t="s">
        <v>14</v>
      </c>
      <c r="H1995">
        <v>0</v>
      </c>
    </row>
    <row r="1996" spans="1:9" x14ac:dyDescent="0.2">
      <c r="A1996" t="str">
        <f t="shared" si="278"/>
        <v>37865Tiahura1286Autres</v>
      </c>
      <c r="B1996" s="1">
        <v>37865</v>
      </c>
      <c r="C1996" t="s">
        <v>24</v>
      </c>
      <c r="D1996" s="19">
        <v>12</v>
      </c>
      <c r="E1996">
        <v>86</v>
      </c>
      <c r="F1996" t="s">
        <v>14</v>
      </c>
      <c r="H1996">
        <v>0</v>
      </c>
    </row>
    <row r="1997" spans="1:9" x14ac:dyDescent="0.2">
      <c r="A1997" t="str">
        <f t="shared" si="278"/>
        <v>37865Tiahura1287Autres</v>
      </c>
      <c r="B1997" s="1">
        <v>37865</v>
      </c>
      <c r="C1997" t="s">
        <v>24</v>
      </c>
      <c r="D1997" s="19">
        <v>12</v>
      </c>
      <c r="E1997">
        <v>87</v>
      </c>
      <c r="F1997" t="s">
        <v>14</v>
      </c>
      <c r="H1997">
        <v>0</v>
      </c>
    </row>
    <row r="1998" spans="1:9" x14ac:dyDescent="0.2">
      <c r="A1998" t="str">
        <f t="shared" si="278"/>
        <v>37865Tiahura1288Autres</v>
      </c>
      <c r="B1998" s="1">
        <v>37865</v>
      </c>
      <c r="C1998" t="s">
        <v>24</v>
      </c>
      <c r="D1998" s="19">
        <v>12</v>
      </c>
      <c r="E1998">
        <v>88</v>
      </c>
      <c r="F1998" t="s">
        <v>14</v>
      </c>
      <c r="H1998">
        <v>0</v>
      </c>
    </row>
    <row r="1999" spans="1:9" x14ac:dyDescent="0.2">
      <c r="A1999" t="str">
        <f t="shared" si="278"/>
        <v>37865Tiahura1289Autres</v>
      </c>
      <c r="B1999" s="1">
        <v>37865</v>
      </c>
      <c r="C1999" t="s">
        <v>24</v>
      </c>
      <c r="D1999" s="19">
        <v>12</v>
      </c>
      <c r="E1999">
        <v>89</v>
      </c>
      <c r="F1999" t="s">
        <v>14</v>
      </c>
      <c r="H1999">
        <v>0</v>
      </c>
    </row>
    <row r="2000" spans="1:9" x14ac:dyDescent="0.2">
      <c r="A2000" t="str">
        <f t="shared" si="278"/>
        <v>37865Tiahura1290Autres</v>
      </c>
      <c r="B2000" s="1">
        <v>37865</v>
      </c>
      <c r="C2000" t="s">
        <v>24</v>
      </c>
      <c r="D2000" s="19">
        <v>12</v>
      </c>
      <c r="E2000">
        <v>90</v>
      </c>
      <c r="F2000" t="s">
        <v>14</v>
      </c>
      <c r="H2000">
        <v>0</v>
      </c>
    </row>
    <row r="2001" spans="1:9" x14ac:dyDescent="0.2">
      <c r="A2001" t="str">
        <f t="shared" si="278"/>
        <v>37865Tiahura1291AcroporidaeDessous</v>
      </c>
      <c r="B2001" s="1">
        <v>37865</v>
      </c>
      <c r="C2001" t="s">
        <v>24</v>
      </c>
      <c r="D2001" s="19">
        <v>12</v>
      </c>
      <c r="E2001">
        <v>91</v>
      </c>
      <c r="F2001" t="s">
        <v>17</v>
      </c>
      <c r="G2001" t="s">
        <v>8</v>
      </c>
      <c r="H2001">
        <v>1</v>
      </c>
      <c r="I2001" t="s">
        <v>27</v>
      </c>
    </row>
    <row r="2002" spans="1:9" x14ac:dyDescent="0.2">
      <c r="A2002" t="str">
        <f t="shared" si="278"/>
        <v>37865Tiahura1292</v>
      </c>
      <c r="B2002" s="1">
        <v>37865</v>
      </c>
      <c r="C2002" t="s">
        <v>24</v>
      </c>
      <c r="D2002" s="19">
        <v>12</v>
      </c>
      <c r="E2002">
        <v>92</v>
      </c>
    </row>
    <row r="2003" spans="1:9" x14ac:dyDescent="0.2">
      <c r="A2003" t="str">
        <f t="shared" si="278"/>
        <v>37865Tiahura1293AcroporidaeDessous</v>
      </c>
      <c r="B2003" s="1">
        <v>37865</v>
      </c>
      <c r="C2003" t="s">
        <v>24</v>
      </c>
      <c r="D2003" s="19">
        <v>12</v>
      </c>
      <c r="E2003">
        <v>93</v>
      </c>
      <c r="F2003" t="s">
        <v>17</v>
      </c>
      <c r="G2003" t="s">
        <v>8</v>
      </c>
      <c r="H2003">
        <v>1</v>
      </c>
      <c r="I2003" t="s">
        <v>27</v>
      </c>
    </row>
    <row r="2004" spans="1:9" x14ac:dyDescent="0.2">
      <c r="A2004" t="str">
        <f t="shared" si="278"/>
        <v>37865Tiahura1293PoritidaeDessous</v>
      </c>
      <c r="B2004" s="1">
        <v>37865</v>
      </c>
      <c r="C2004" t="s">
        <v>24</v>
      </c>
      <c r="D2004" s="19">
        <v>12</v>
      </c>
      <c r="E2004">
        <v>93</v>
      </c>
      <c r="F2004" t="s">
        <v>7</v>
      </c>
      <c r="G2004" t="s">
        <v>8</v>
      </c>
      <c r="H2004">
        <v>1</v>
      </c>
      <c r="I2004" t="s">
        <v>27</v>
      </c>
    </row>
    <row r="2005" spans="1:9" x14ac:dyDescent="0.2">
      <c r="A2005" t="str">
        <f t="shared" si="278"/>
        <v>37865Tiahura1294PocilloporidaeDessous</v>
      </c>
      <c r="B2005" s="1">
        <v>37865</v>
      </c>
      <c r="C2005" t="s">
        <v>24</v>
      </c>
      <c r="D2005" s="19">
        <v>12</v>
      </c>
      <c r="E2005">
        <v>94</v>
      </c>
      <c r="F2005" t="s">
        <v>10</v>
      </c>
      <c r="G2005" t="s">
        <v>8</v>
      </c>
      <c r="H2005">
        <v>1</v>
      </c>
      <c r="I2005" t="s">
        <v>27</v>
      </c>
    </row>
    <row r="2006" spans="1:9" x14ac:dyDescent="0.2">
      <c r="A2006" t="str">
        <f t="shared" si="278"/>
        <v>37865Tiahura1294PoritidaeDessous</v>
      </c>
      <c r="B2006" s="1">
        <v>37865</v>
      </c>
      <c r="C2006" t="s">
        <v>24</v>
      </c>
      <c r="D2006" s="19">
        <v>12</v>
      </c>
      <c r="E2006">
        <v>94</v>
      </c>
      <c r="F2006" t="s">
        <v>7</v>
      </c>
      <c r="G2006" t="s">
        <v>8</v>
      </c>
      <c r="H2006">
        <v>1</v>
      </c>
      <c r="I2006" t="s">
        <v>27</v>
      </c>
    </row>
    <row r="2007" spans="1:9" x14ac:dyDescent="0.2">
      <c r="A2007" t="str">
        <f t="shared" si="278"/>
        <v>37865Tiahura1295</v>
      </c>
      <c r="B2007" s="1">
        <v>37865</v>
      </c>
      <c r="C2007" t="s">
        <v>24</v>
      </c>
      <c r="D2007" s="19">
        <v>12</v>
      </c>
      <c r="E2007">
        <v>95</v>
      </c>
      <c r="I2007" t="s">
        <v>31</v>
      </c>
    </row>
    <row r="2008" spans="1:9" x14ac:dyDescent="0.2">
      <c r="A2008" t="str">
        <f t="shared" si="278"/>
        <v>37865Tiahura1296AcroporidaeDessous</v>
      </c>
      <c r="B2008" s="1">
        <v>37865</v>
      </c>
      <c r="C2008" t="s">
        <v>24</v>
      </c>
      <c r="D2008" s="19">
        <v>12</v>
      </c>
      <c r="E2008">
        <v>96</v>
      </c>
      <c r="F2008" t="s">
        <v>17</v>
      </c>
      <c r="G2008" t="s">
        <v>8</v>
      </c>
      <c r="H2008">
        <v>1</v>
      </c>
      <c r="I2008" t="s">
        <v>27</v>
      </c>
    </row>
    <row r="2009" spans="1:9" x14ac:dyDescent="0.2">
      <c r="A2009" t="str">
        <f t="shared" si="278"/>
        <v>37865Tiahura1296PocilloporidaeBords</v>
      </c>
      <c r="B2009" s="1">
        <v>37865</v>
      </c>
      <c r="C2009" t="s">
        <v>24</v>
      </c>
      <c r="D2009" s="19">
        <v>12</v>
      </c>
      <c r="E2009">
        <v>96</v>
      </c>
      <c r="F2009" t="s">
        <v>10</v>
      </c>
      <c r="G2009" t="s">
        <v>13</v>
      </c>
      <c r="H2009">
        <v>1</v>
      </c>
      <c r="I2009" t="s">
        <v>27</v>
      </c>
    </row>
    <row r="2010" spans="1:9" x14ac:dyDescent="0.2">
      <c r="A2010" t="str">
        <f t="shared" si="278"/>
        <v>37865Tiahura1297Autres</v>
      </c>
      <c r="B2010" s="1">
        <v>37865</v>
      </c>
      <c r="C2010" t="s">
        <v>24</v>
      </c>
      <c r="D2010" s="19">
        <v>12</v>
      </c>
      <c r="E2010">
        <v>97</v>
      </c>
      <c r="F2010" t="s">
        <v>14</v>
      </c>
      <c r="H2010">
        <v>0</v>
      </c>
    </row>
    <row r="2011" spans="1:9" x14ac:dyDescent="0.2">
      <c r="A2011" t="str">
        <f t="shared" si="278"/>
        <v>37865Tiahura1298Autres</v>
      </c>
      <c r="B2011" s="1">
        <v>37865</v>
      </c>
      <c r="C2011" t="s">
        <v>24</v>
      </c>
      <c r="D2011" s="19">
        <v>12</v>
      </c>
      <c r="E2011">
        <v>98</v>
      </c>
      <c r="F2011" t="s">
        <v>14</v>
      </c>
      <c r="H2011">
        <v>0</v>
      </c>
    </row>
    <row r="2012" spans="1:9" x14ac:dyDescent="0.2">
      <c r="A2012" t="str">
        <f t="shared" si="278"/>
        <v>37865Tiahura1299Autres</v>
      </c>
      <c r="B2012" s="1">
        <v>37865</v>
      </c>
      <c r="C2012" t="s">
        <v>24</v>
      </c>
      <c r="D2012" s="19">
        <v>12</v>
      </c>
      <c r="E2012">
        <v>99</v>
      </c>
      <c r="F2012" t="s">
        <v>14</v>
      </c>
      <c r="H2012">
        <v>0</v>
      </c>
    </row>
    <row r="2013" spans="1:9" x14ac:dyDescent="0.2">
      <c r="A2013" t="str">
        <f t="shared" si="278"/>
        <v>37865Tiahura12100Autres</v>
      </c>
      <c r="B2013" s="1">
        <v>37865</v>
      </c>
      <c r="C2013" t="s">
        <v>24</v>
      </c>
      <c r="D2013" s="19">
        <v>12</v>
      </c>
      <c r="E2013">
        <v>100</v>
      </c>
      <c r="F2013" t="s">
        <v>14</v>
      </c>
      <c r="H2013">
        <v>0</v>
      </c>
    </row>
    <row r="2014" spans="1:9" x14ac:dyDescent="0.2">
      <c r="A2014" t="str">
        <f t="shared" si="278"/>
        <v>37865Tiahura18101AcroporidaeDessous</v>
      </c>
      <c r="B2014" s="1">
        <v>37865</v>
      </c>
      <c r="C2014" t="s">
        <v>24</v>
      </c>
      <c r="D2014" s="19">
        <v>18</v>
      </c>
      <c r="E2014">
        <v>101</v>
      </c>
      <c r="F2014" t="s">
        <v>17</v>
      </c>
      <c r="G2014" t="s">
        <v>8</v>
      </c>
      <c r="H2014">
        <v>1</v>
      </c>
      <c r="I2014" t="s">
        <v>27</v>
      </c>
    </row>
    <row r="2015" spans="1:9" x14ac:dyDescent="0.2">
      <c r="A2015" t="str">
        <f t="shared" si="278"/>
        <v>37865Tiahura18102AcroporidaeBords</v>
      </c>
      <c r="B2015" s="1">
        <v>37865</v>
      </c>
      <c r="C2015" t="s">
        <v>24</v>
      </c>
      <c r="D2015" s="19">
        <v>18</v>
      </c>
      <c r="E2015">
        <v>102</v>
      </c>
      <c r="F2015" t="s">
        <v>17</v>
      </c>
      <c r="G2015" t="s">
        <v>13</v>
      </c>
      <c r="H2015">
        <v>2</v>
      </c>
      <c r="I2015" t="s">
        <v>27</v>
      </c>
    </row>
    <row r="2016" spans="1:9" x14ac:dyDescent="0.2">
      <c r="A2016" t="str">
        <f t="shared" si="278"/>
        <v>37865Tiahura18103Autres</v>
      </c>
      <c r="B2016" s="1">
        <v>37865</v>
      </c>
      <c r="C2016" t="s">
        <v>24</v>
      </c>
      <c r="D2016" s="19">
        <v>18</v>
      </c>
      <c r="E2016">
        <v>103</v>
      </c>
      <c r="F2016" t="s">
        <v>14</v>
      </c>
      <c r="H2016">
        <v>0</v>
      </c>
    </row>
    <row r="2017" spans="1:9" x14ac:dyDescent="0.2">
      <c r="A2017" t="str">
        <f t="shared" si="278"/>
        <v>37865Tiahura18104Autres</v>
      </c>
      <c r="B2017" s="1">
        <v>37865</v>
      </c>
      <c r="C2017" t="s">
        <v>24</v>
      </c>
      <c r="D2017" s="19">
        <v>18</v>
      </c>
      <c r="E2017">
        <v>104</v>
      </c>
      <c r="F2017" t="s">
        <v>14</v>
      </c>
      <c r="H2017">
        <v>0</v>
      </c>
    </row>
    <row r="2018" spans="1:9" x14ac:dyDescent="0.2">
      <c r="A2018" t="str">
        <f t="shared" si="278"/>
        <v>37865Tiahura18105Autres</v>
      </c>
      <c r="B2018" s="1">
        <v>37865</v>
      </c>
      <c r="C2018" t="s">
        <v>24</v>
      </c>
      <c r="D2018" s="19">
        <v>18</v>
      </c>
      <c r="E2018">
        <v>105</v>
      </c>
      <c r="F2018" t="s">
        <v>14</v>
      </c>
      <c r="H2018">
        <v>0</v>
      </c>
    </row>
    <row r="2019" spans="1:9" x14ac:dyDescent="0.2">
      <c r="A2019" t="str">
        <f t="shared" si="278"/>
        <v>37865Tiahura18106Autres</v>
      </c>
      <c r="B2019" s="1">
        <v>37865</v>
      </c>
      <c r="C2019" t="s">
        <v>24</v>
      </c>
      <c r="D2019" s="19">
        <v>18</v>
      </c>
      <c r="E2019">
        <v>106</v>
      </c>
      <c r="F2019" t="s">
        <v>14</v>
      </c>
      <c r="H2019">
        <v>0</v>
      </c>
    </row>
    <row r="2020" spans="1:9" x14ac:dyDescent="0.2">
      <c r="A2020" t="str">
        <f t="shared" si="278"/>
        <v>37865Tiahura18107PocilloporidaeDessous</v>
      </c>
      <c r="B2020" s="1">
        <v>37865</v>
      </c>
      <c r="C2020" t="s">
        <v>24</v>
      </c>
      <c r="D2020" s="19">
        <v>18</v>
      </c>
      <c r="E2020">
        <v>107</v>
      </c>
      <c r="F2020" t="s">
        <v>10</v>
      </c>
      <c r="G2020" t="s">
        <v>8</v>
      </c>
      <c r="H2020">
        <v>1</v>
      </c>
      <c r="I2020" t="s">
        <v>27</v>
      </c>
    </row>
    <row r="2021" spans="1:9" x14ac:dyDescent="0.2">
      <c r="A2021" t="str">
        <f t="shared" si="278"/>
        <v>37865Tiahura18108Autres</v>
      </c>
      <c r="B2021" s="1">
        <v>37865</v>
      </c>
      <c r="C2021" t="s">
        <v>24</v>
      </c>
      <c r="D2021" s="19">
        <v>18</v>
      </c>
      <c r="E2021">
        <v>108</v>
      </c>
      <c r="F2021" t="s">
        <v>14</v>
      </c>
      <c r="H2021">
        <v>0</v>
      </c>
    </row>
    <row r="2022" spans="1:9" x14ac:dyDescent="0.2">
      <c r="A2022" t="str">
        <f t="shared" si="278"/>
        <v>37865Tiahura18109PoritidaeDessous</v>
      </c>
      <c r="B2022" s="1">
        <v>37865</v>
      </c>
      <c r="C2022" t="s">
        <v>24</v>
      </c>
      <c r="D2022" s="19">
        <v>18</v>
      </c>
      <c r="E2022">
        <v>109</v>
      </c>
      <c r="F2022" t="s">
        <v>7</v>
      </c>
      <c r="G2022" t="s">
        <v>8</v>
      </c>
      <c r="H2022">
        <v>1</v>
      </c>
      <c r="I2022" t="s">
        <v>27</v>
      </c>
    </row>
    <row r="2023" spans="1:9" x14ac:dyDescent="0.2">
      <c r="A2023" t="str">
        <f t="shared" si="278"/>
        <v>37865Tiahura18110Autres</v>
      </c>
      <c r="B2023" s="1">
        <v>37865</v>
      </c>
      <c r="C2023" t="s">
        <v>24</v>
      </c>
      <c r="D2023" s="19">
        <v>18</v>
      </c>
      <c r="E2023">
        <v>110</v>
      </c>
      <c r="F2023" t="s">
        <v>14</v>
      </c>
      <c r="H2023">
        <v>0</v>
      </c>
    </row>
    <row r="2024" spans="1:9" x14ac:dyDescent="0.2">
      <c r="A2024" t="str">
        <f t="shared" si="278"/>
        <v>37865Tiahura18111Autres</v>
      </c>
      <c r="B2024" s="1">
        <v>37865</v>
      </c>
      <c r="C2024" t="s">
        <v>24</v>
      </c>
      <c r="D2024" s="19">
        <v>18</v>
      </c>
      <c r="E2024">
        <v>111</v>
      </c>
      <c r="F2024" t="s">
        <v>14</v>
      </c>
      <c r="H2024">
        <v>0</v>
      </c>
    </row>
    <row r="2025" spans="1:9" x14ac:dyDescent="0.2">
      <c r="A2025" t="str">
        <f t="shared" si="278"/>
        <v>37865Tiahura18112AcroporidaeBords</v>
      </c>
      <c r="B2025" s="1">
        <v>37865</v>
      </c>
      <c r="C2025" t="s">
        <v>24</v>
      </c>
      <c r="D2025" s="19">
        <v>18</v>
      </c>
      <c r="E2025">
        <v>112</v>
      </c>
      <c r="F2025" t="s">
        <v>17</v>
      </c>
      <c r="G2025" t="s">
        <v>13</v>
      </c>
      <c r="H2025">
        <v>2</v>
      </c>
      <c r="I2025" t="s">
        <v>27</v>
      </c>
    </row>
    <row r="2026" spans="1:9" x14ac:dyDescent="0.2">
      <c r="A2026" t="str">
        <f t="shared" si="278"/>
        <v>37865Tiahura18113Autres</v>
      </c>
      <c r="B2026" s="1">
        <v>37865</v>
      </c>
      <c r="C2026" t="s">
        <v>24</v>
      </c>
      <c r="D2026" s="19">
        <v>18</v>
      </c>
      <c r="E2026">
        <v>113</v>
      </c>
      <c r="F2026" t="s">
        <v>14</v>
      </c>
      <c r="H2026">
        <v>0</v>
      </c>
    </row>
    <row r="2027" spans="1:9" x14ac:dyDescent="0.2">
      <c r="A2027" t="str">
        <f t="shared" si="278"/>
        <v>37865Tiahura18114PoritidaeBords</v>
      </c>
      <c r="B2027" s="1">
        <v>37865</v>
      </c>
      <c r="C2027" t="s">
        <v>24</v>
      </c>
      <c r="D2027" s="19">
        <v>18</v>
      </c>
      <c r="E2027">
        <v>114</v>
      </c>
      <c r="F2027" t="s">
        <v>7</v>
      </c>
      <c r="G2027" t="s">
        <v>13</v>
      </c>
      <c r="H2027">
        <v>1</v>
      </c>
      <c r="I2027" t="s">
        <v>27</v>
      </c>
    </row>
    <row r="2028" spans="1:9" x14ac:dyDescent="0.2">
      <c r="A2028" t="str">
        <f t="shared" si="278"/>
        <v>37865Tiahura18115Autres</v>
      </c>
      <c r="B2028" s="1">
        <v>37865</v>
      </c>
      <c r="C2028" t="s">
        <v>24</v>
      </c>
      <c r="D2028" s="19">
        <v>18</v>
      </c>
      <c r="E2028">
        <v>115</v>
      </c>
      <c r="F2028" t="s">
        <v>14</v>
      </c>
      <c r="H2028">
        <v>0</v>
      </c>
    </row>
    <row r="2029" spans="1:9" x14ac:dyDescent="0.2">
      <c r="A2029" t="str">
        <f t="shared" si="278"/>
        <v>37865Tiahura18116AcroporidaeBords</v>
      </c>
      <c r="B2029" s="1">
        <v>37865</v>
      </c>
      <c r="C2029" t="s">
        <v>24</v>
      </c>
      <c r="D2029" s="19">
        <v>18</v>
      </c>
      <c r="E2029">
        <v>116</v>
      </c>
      <c r="F2029" t="s">
        <v>17</v>
      </c>
      <c r="G2029" t="s">
        <v>13</v>
      </c>
      <c r="H2029">
        <v>1</v>
      </c>
      <c r="I2029" t="s">
        <v>27</v>
      </c>
    </row>
    <row r="2030" spans="1:9" x14ac:dyDescent="0.2">
      <c r="A2030" t="str">
        <f t="shared" si="278"/>
        <v>37865Tiahura18116PoritidaeDessous</v>
      </c>
      <c r="B2030" s="1">
        <v>37865</v>
      </c>
      <c r="C2030" t="s">
        <v>24</v>
      </c>
      <c r="D2030" s="19">
        <v>18</v>
      </c>
      <c r="E2030">
        <v>116</v>
      </c>
      <c r="F2030" t="s">
        <v>7</v>
      </c>
      <c r="G2030" t="s">
        <v>8</v>
      </c>
      <c r="H2030">
        <v>1</v>
      </c>
      <c r="I2030" t="s">
        <v>27</v>
      </c>
    </row>
    <row r="2031" spans="1:9" x14ac:dyDescent="0.2">
      <c r="A2031" t="str">
        <f t="shared" si="278"/>
        <v>37865Tiahura18117Autres</v>
      </c>
      <c r="B2031" s="1">
        <v>37865</v>
      </c>
      <c r="C2031" t="s">
        <v>24</v>
      </c>
      <c r="D2031" s="19">
        <v>18</v>
      </c>
      <c r="E2031">
        <v>117</v>
      </c>
      <c r="F2031" t="s">
        <v>14</v>
      </c>
      <c r="H2031">
        <v>0</v>
      </c>
    </row>
    <row r="2032" spans="1:9" x14ac:dyDescent="0.2">
      <c r="A2032" t="str">
        <f t="shared" si="278"/>
        <v>37865Tiahura18118Autres</v>
      </c>
      <c r="B2032" s="1">
        <v>37865</v>
      </c>
      <c r="C2032" t="s">
        <v>24</v>
      </c>
      <c r="D2032" s="19">
        <v>18</v>
      </c>
      <c r="E2032">
        <v>118</v>
      </c>
      <c r="F2032" t="s">
        <v>14</v>
      </c>
      <c r="H2032">
        <v>0</v>
      </c>
    </row>
    <row r="2033" spans="1:9" x14ac:dyDescent="0.2">
      <c r="A2033" t="str">
        <f t="shared" si="278"/>
        <v>37865Tiahura18119Autres</v>
      </c>
      <c r="B2033" s="1">
        <v>37865</v>
      </c>
      <c r="C2033" t="s">
        <v>24</v>
      </c>
      <c r="D2033" s="19">
        <v>18</v>
      </c>
      <c r="E2033">
        <v>119</v>
      </c>
      <c r="F2033" t="s">
        <v>14</v>
      </c>
      <c r="H2033">
        <v>0</v>
      </c>
    </row>
    <row r="2034" spans="1:9" x14ac:dyDescent="0.2">
      <c r="A2034" t="str">
        <f t="shared" si="278"/>
        <v>37865Tiahura18120Autres</v>
      </c>
      <c r="B2034" s="1">
        <v>37865</v>
      </c>
      <c r="C2034" t="s">
        <v>24</v>
      </c>
      <c r="D2034" s="19">
        <v>18</v>
      </c>
      <c r="E2034">
        <v>120</v>
      </c>
      <c r="F2034" t="s">
        <v>14</v>
      </c>
      <c r="H2034">
        <v>0</v>
      </c>
    </row>
    <row r="2035" spans="1:9" x14ac:dyDescent="0.2">
      <c r="A2035" t="str">
        <f t="shared" si="278"/>
        <v>37865Haapiti6121Autres</v>
      </c>
      <c r="B2035" s="1">
        <v>37865</v>
      </c>
      <c r="C2035" t="s">
        <v>25</v>
      </c>
      <c r="D2035" s="19">
        <v>6</v>
      </c>
      <c r="E2035">
        <v>121</v>
      </c>
      <c r="F2035" t="s">
        <v>14</v>
      </c>
      <c r="H2035">
        <v>0</v>
      </c>
    </row>
    <row r="2036" spans="1:9" x14ac:dyDescent="0.2">
      <c r="A2036" t="str">
        <f t="shared" si="278"/>
        <v>37865Haapiti6122Autres</v>
      </c>
      <c r="B2036" s="1">
        <v>37865</v>
      </c>
      <c r="C2036" t="s">
        <v>25</v>
      </c>
      <c r="D2036" s="19">
        <v>6</v>
      </c>
      <c r="E2036">
        <v>122</v>
      </c>
      <c r="F2036" t="s">
        <v>14</v>
      </c>
      <c r="H2036">
        <v>0</v>
      </c>
    </row>
    <row r="2037" spans="1:9" x14ac:dyDescent="0.2">
      <c r="A2037" t="str">
        <f t="shared" si="278"/>
        <v>37865Haapiti6123Autres</v>
      </c>
      <c r="B2037" s="1">
        <v>37865</v>
      </c>
      <c r="C2037" t="s">
        <v>25</v>
      </c>
      <c r="D2037" s="19">
        <v>6</v>
      </c>
      <c r="E2037">
        <v>123</v>
      </c>
      <c r="F2037" t="s">
        <v>14</v>
      </c>
      <c r="H2037">
        <v>0</v>
      </c>
    </row>
    <row r="2038" spans="1:9" x14ac:dyDescent="0.2">
      <c r="A2038" t="str">
        <f t="shared" si="278"/>
        <v>37865Haapiti6124Autres</v>
      </c>
      <c r="B2038" s="1">
        <v>37865</v>
      </c>
      <c r="C2038" t="s">
        <v>25</v>
      </c>
      <c r="D2038" s="19">
        <v>6</v>
      </c>
      <c r="E2038">
        <v>124</v>
      </c>
      <c r="F2038" t="s">
        <v>14</v>
      </c>
      <c r="H2038">
        <v>0</v>
      </c>
    </row>
    <row r="2039" spans="1:9" x14ac:dyDescent="0.2">
      <c r="A2039" t="str">
        <f t="shared" si="278"/>
        <v>37865Haapiti6125Autres</v>
      </c>
      <c r="B2039" s="1">
        <v>37865</v>
      </c>
      <c r="C2039" t="s">
        <v>25</v>
      </c>
      <c r="D2039" s="19">
        <v>6</v>
      </c>
      <c r="E2039">
        <v>125</v>
      </c>
      <c r="F2039" t="s">
        <v>14</v>
      </c>
      <c r="H2039">
        <v>0</v>
      </c>
    </row>
    <row r="2040" spans="1:9" x14ac:dyDescent="0.2">
      <c r="A2040" t="str">
        <f t="shared" si="278"/>
        <v>37865Haapiti6126Autres</v>
      </c>
      <c r="B2040" s="1">
        <v>37865</v>
      </c>
      <c r="C2040" t="s">
        <v>25</v>
      </c>
      <c r="D2040" s="19">
        <v>6</v>
      </c>
      <c r="E2040">
        <v>126</v>
      </c>
      <c r="F2040" t="s">
        <v>14</v>
      </c>
      <c r="H2040">
        <v>0</v>
      </c>
    </row>
    <row r="2041" spans="1:9" x14ac:dyDescent="0.2">
      <c r="A2041" t="str">
        <f t="shared" si="278"/>
        <v>37865Haapiti6127Autres</v>
      </c>
      <c r="B2041" s="1">
        <v>37865</v>
      </c>
      <c r="C2041" t="s">
        <v>25</v>
      </c>
      <c r="D2041" s="19">
        <v>6</v>
      </c>
      <c r="E2041">
        <v>127</v>
      </c>
      <c r="F2041" t="s">
        <v>14</v>
      </c>
      <c r="H2041">
        <v>0</v>
      </c>
    </row>
    <row r="2042" spans="1:9" x14ac:dyDescent="0.2">
      <c r="A2042" t="str">
        <f t="shared" si="278"/>
        <v>37865Haapiti6128Autres</v>
      </c>
      <c r="B2042" s="1">
        <v>37865</v>
      </c>
      <c r="C2042" t="s">
        <v>25</v>
      </c>
      <c r="D2042" s="19">
        <v>6</v>
      </c>
      <c r="E2042">
        <v>128</v>
      </c>
      <c r="F2042" t="s">
        <v>14</v>
      </c>
      <c r="H2042">
        <v>0</v>
      </c>
    </row>
    <row r="2043" spans="1:9" x14ac:dyDescent="0.2">
      <c r="A2043" t="str">
        <f t="shared" si="278"/>
        <v>37865Haapiti6129Autres</v>
      </c>
      <c r="B2043" s="1">
        <v>37865</v>
      </c>
      <c r="C2043" t="s">
        <v>25</v>
      </c>
      <c r="D2043" s="19">
        <v>6</v>
      </c>
      <c r="E2043">
        <v>129</v>
      </c>
      <c r="F2043" t="s">
        <v>14</v>
      </c>
      <c r="H2043">
        <v>0</v>
      </c>
    </row>
    <row r="2044" spans="1:9" x14ac:dyDescent="0.2">
      <c r="A2044" t="str">
        <f t="shared" si="278"/>
        <v>37865Haapiti6130Autres</v>
      </c>
      <c r="B2044" s="1">
        <v>37865</v>
      </c>
      <c r="C2044" t="s">
        <v>25</v>
      </c>
      <c r="D2044" s="19">
        <v>6</v>
      </c>
      <c r="E2044">
        <v>130</v>
      </c>
      <c r="F2044" t="s">
        <v>14</v>
      </c>
      <c r="H2044">
        <v>0</v>
      </c>
    </row>
    <row r="2045" spans="1:9" x14ac:dyDescent="0.2">
      <c r="A2045" t="str">
        <f t="shared" si="278"/>
        <v>37865Haapiti6131Autres</v>
      </c>
      <c r="B2045" s="1">
        <v>37865</v>
      </c>
      <c r="C2045" t="s">
        <v>25</v>
      </c>
      <c r="D2045" s="19">
        <v>6</v>
      </c>
      <c r="E2045">
        <v>131</v>
      </c>
      <c r="F2045" t="s">
        <v>14</v>
      </c>
      <c r="H2045">
        <v>0</v>
      </c>
    </row>
    <row r="2046" spans="1:9" x14ac:dyDescent="0.2">
      <c r="A2046" t="str">
        <f t="shared" si="278"/>
        <v>37865Haapiti6132AcroporidaeDessus</v>
      </c>
      <c r="B2046" s="1">
        <v>37865</v>
      </c>
      <c r="C2046" t="s">
        <v>25</v>
      </c>
      <c r="D2046" s="19">
        <v>6</v>
      </c>
      <c r="E2046">
        <v>132</v>
      </c>
      <c r="F2046" t="s">
        <v>17</v>
      </c>
      <c r="G2046" t="s">
        <v>11</v>
      </c>
      <c r="H2046">
        <v>1</v>
      </c>
      <c r="I2046" t="s">
        <v>27</v>
      </c>
    </row>
    <row r="2047" spans="1:9" x14ac:dyDescent="0.2">
      <c r="A2047" t="str">
        <f t="shared" ref="A2047:A2110" si="279">B2047 &amp; C2047&amp; D2047&amp; E2047 &amp; F2047 &amp;G2047</f>
        <v>37865Haapiti6133Autres</v>
      </c>
      <c r="B2047" s="1">
        <v>37865</v>
      </c>
      <c r="C2047" t="s">
        <v>25</v>
      </c>
      <c r="D2047" s="19">
        <v>6</v>
      </c>
      <c r="E2047">
        <v>133</v>
      </c>
      <c r="F2047" t="s">
        <v>14</v>
      </c>
      <c r="H2047">
        <v>0</v>
      </c>
    </row>
    <row r="2048" spans="1:9" x14ac:dyDescent="0.2">
      <c r="A2048" t="str">
        <f t="shared" si="279"/>
        <v>37865Haapiti6134Autres</v>
      </c>
      <c r="B2048" s="1">
        <v>37865</v>
      </c>
      <c r="C2048" t="s">
        <v>25</v>
      </c>
      <c r="D2048" s="19">
        <v>6</v>
      </c>
      <c r="E2048">
        <v>134</v>
      </c>
      <c r="F2048" t="s">
        <v>14</v>
      </c>
      <c r="H2048">
        <v>0</v>
      </c>
    </row>
    <row r="2049" spans="1:9" x14ac:dyDescent="0.2">
      <c r="A2049" t="str">
        <f t="shared" si="279"/>
        <v>37865Haapiti6135Autres</v>
      </c>
      <c r="B2049" s="1">
        <v>37865</v>
      </c>
      <c r="C2049" t="s">
        <v>25</v>
      </c>
      <c r="D2049" s="19">
        <v>6</v>
      </c>
      <c r="E2049">
        <v>135</v>
      </c>
      <c r="F2049" t="s">
        <v>14</v>
      </c>
      <c r="H2049">
        <v>0</v>
      </c>
    </row>
    <row r="2050" spans="1:9" x14ac:dyDescent="0.2">
      <c r="A2050" t="str">
        <f t="shared" si="279"/>
        <v>37865Haapiti6136Autres</v>
      </c>
      <c r="B2050" s="1">
        <v>37865</v>
      </c>
      <c r="C2050" t="s">
        <v>25</v>
      </c>
      <c r="D2050" s="19">
        <v>6</v>
      </c>
      <c r="E2050">
        <v>136</v>
      </c>
      <c r="F2050" t="s">
        <v>14</v>
      </c>
      <c r="H2050">
        <v>0</v>
      </c>
    </row>
    <row r="2051" spans="1:9" x14ac:dyDescent="0.2">
      <c r="A2051" t="str">
        <f t="shared" si="279"/>
        <v>37865Haapiti6137Autres</v>
      </c>
      <c r="B2051" s="1">
        <v>37865</v>
      </c>
      <c r="C2051" t="s">
        <v>25</v>
      </c>
      <c r="D2051" s="19">
        <v>6</v>
      </c>
      <c r="E2051">
        <v>137</v>
      </c>
      <c r="F2051" t="s">
        <v>14</v>
      </c>
      <c r="H2051">
        <v>0</v>
      </c>
    </row>
    <row r="2052" spans="1:9" x14ac:dyDescent="0.2">
      <c r="A2052" t="str">
        <f t="shared" si="279"/>
        <v>37865Haapiti6138Autres</v>
      </c>
      <c r="B2052" s="1">
        <v>37865</v>
      </c>
      <c r="C2052" t="s">
        <v>25</v>
      </c>
      <c r="D2052" s="19">
        <v>6</v>
      </c>
      <c r="E2052">
        <v>138</v>
      </c>
      <c r="F2052" t="s">
        <v>14</v>
      </c>
      <c r="H2052">
        <v>0</v>
      </c>
    </row>
    <row r="2053" spans="1:9" x14ac:dyDescent="0.2">
      <c r="A2053" t="str">
        <f t="shared" si="279"/>
        <v>37865Haapiti6139Autres</v>
      </c>
      <c r="B2053" s="1">
        <v>37865</v>
      </c>
      <c r="C2053" t="s">
        <v>25</v>
      </c>
      <c r="D2053" s="19">
        <v>6</v>
      </c>
      <c r="E2053">
        <v>139</v>
      </c>
      <c r="F2053" t="s">
        <v>14</v>
      </c>
      <c r="H2053">
        <v>0</v>
      </c>
    </row>
    <row r="2054" spans="1:9" x14ac:dyDescent="0.2">
      <c r="A2054" t="str">
        <f t="shared" si="279"/>
        <v>37865Haapiti6140Autres</v>
      </c>
      <c r="B2054" s="1">
        <v>37865</v>
      </c>
      <c r="C2054" t="s">
        <v>25</v>
      </c>
      <c r="D2054" s="19">
        <v>6</v>
      </c>
      <c r="E2054">
        <v>140</v>
      </c>
      <c r="F2054" t="s">
        <v>14</v>
      </c>
      <c r="H2054">
        <v>0</v>
      </c>
    </row>
    <row r="2055" spans="1:9" x14ac:dyDescent="0.2">
      <c r="A2055" t="str">
        <f t="shared" si="279"/>
        <v>37865Haapiti12141Autres</v>
      </c>
      <c r="B2055" s="1">
        <v>37865</v>
      </c>
      <c r="C2055" t="s">
        <v>25</v>
      </c>
      <c r="D2055" s="19">
        <v>12</v>
      </c>
      <c r="E2055">
        <v>141</v>
      </c>
      <c r="F2055" t="s">
        <v>14</v>
      </c>
      <c r="H2055">
        <v>0</v>
      </c>
    </row>
    <row r="2056" spans="1:9" x14ac:dyDescent="0.2">
      <c r="A2056" t="str">
        <f t="shared" si="279"/>
        <v>37865Haapiti12142Autres</v>
      </c>
      <c r="B2056" s="1">
        <v>37865</v>
      </c>
      <c r="C2056" t="s">
        <v>25</v>
      </c>
      <c r="D2056" s="19">
        <v>12</v>
      </c>
      <c r="E2056">
        <v>142</v>
      </c>
      <c r="F2056" t="s">
        <v>14</v>
      </c>
      <c r="H2056">
        <v>0</v>
      </c>
    </row>
    <row r="2057" spans="1:9" x14ac:dyDescent="0.2">
      <c r="A2057" t="str">
        <f t="shared" si="279"/>
        <v>37865Haapiti12143PoritidaeDessous</v>
      </c>
      <c r="B2057" s="1">
        <v>37865</v>
      </c>
      <c r="C2057" t="s">
        <v>25</v>
      </c>
      <c r="D2057" s="19">
        <v>12</v>
      </c>
      <c r="E2057">
        <v>143</v>
      </c>
      <c r="F2057" t="s">
        <v>7</v>
      </c>
      <c r="G2057" t="s">
        <v>8</v>
      </c>
      <c r="H2057">
        <v>1</v>
      </c>
      <c r="I2057" t="s">
        <v>27</v>
      </c>
    </row>
    <row r="2058" spans="1:9" x14ac:dyDescent="0.2">
      <c r="A2058" t="str">
        <f t="shared" si="279"/>
        <v>37865Haapiti12144CassésDessus</v>
      </c>
      <c r="B2058" s="1">
        <v>37865</v>
      </c>
      <c r="C2058" t="s">
        <v>25</v>
      </c>
      <c r="D2058" s="19">
        <v>12</v>
      </c>
      <c r="E2058">
        <v>144</v>
      </c>
      <c r="F2058" t="s">
        <v>12</v>
      </c>
      <c r="G2058" t="s">
        <v>11</v>
      </c>
      <c r="H2058">
        <v>1</v>
      </c>
      <c r="I2058" t="s">
        <v>27</v>
      </c>
    </row>
    <row r="2059" spans="1:9" x14ac:dyDescent="0.2">
      <c r="A2059" t="str">
        <f t="shared" si="279"/>
        <v>37865Haapiti12144PoritidaeDessous</v>
      </c>
      <c r="B2059" s="1">
        <v>37865</v>
      </c>
      <c r="C2059" t="s">
        <v>25</v>
      </c>
      <c r="D2059" s="19">
        <v>12</v>
      </c>
      <c r="E2059">
        <v>144</v>
      </c>
      <c r="F2059" t="s">
        <v>7</v>
      </c>
      <c r="G2059" t="s">
        <v>8</v>
      </c>
      <c r="H2059">
        <v>2</v>
      </c>
      <c r="I2059" t="s">
        <v>27</v>
      </c>
    </row>
    <row r="2060" spans="1:9" x14ac:dyDescent="0.2">
      <c r="A2060" t="str">
        <f t="shared" si="279"/>
        <v>37865Haapiti12145AcroporidaeBords</v>
      </c>
      <c r="B2060" s="1">
        <v>37865</v>
      </c>
      <c r="C2060" t="s">
        <v>25</v>
      </c>
      <c r="D2060" s="19">
        <v>12</v>
      </c>
      <c r="E2060">
        <v>145</v>
      </c>
      <c r="F2060" t="s">
        <v>17</v>
      </c>
      <c r="G2060" t="s">
        <v>13</v>
      </c>
      <c r="H2060">
        <v>1</v>
      </c>
      <c r="I2060" t="s">
        <v>27</v>
      </c>
    </row>
    <row r="2061" spans="1:9" x14ac:dyDescent="0.2">
      <c r="A2061" t="str">
        <f t="shared" si="279"/>
        <v>37865Haapiti12146</v>
      </c>
      <c r="B2061" s="1">
        <v>37865</v>
      </c>
      <c r="C2061" t="s">
        <v>25</v>
      </c>
      <c r="D2061" s="19">
        <v>12</v>
      </c>
      <c r="E2061">
        <v>146</v>
      </c>
      <c r="F2061" t="s">
        <v>27</v>
      </c>
      <c r="G2061" t="s">
        <v>27</v>
      </c>
      <c r="I2061" t="s">
        <v>31</v>
      </c>
    </row>
    <row r="2062" spans="1:9" x14ac:dyDescent="0.2">
      <c r="A2062" t="str">
        <f t="shared" si="279"/>
        <v>37865Haapiti12147Autres</v>
      </c>
      <c r="B2062" s="1">
        <v>37865</v>
      </c>
      <c r="C2062" t="s">
        <v>25</v>
      </c>
      <c r="D2062" s="19">
        <v>12</v>
      </c>
      <c r="E2062">
        <v>147</v>
      </c>
      <c r="F2062" t="s">
        <v>14</v>
      </c>
      <c r="H2062">
        <v>0</v>
      </c>
    </row>
    <row r="2063" spans="1:9" x14ac:dyDescent="0.2">
      <c r="A2063" t="str">
        <f t="shared" si="279"/>
        <v>37865Haapiti12148Autres</v>
      </c>
      <c r="B2063" s="1">
        <v>37865</v>
      </c>
      <c r="C2063" t="s">
        <v>25</v>
      </c>
      <c r="D2063" s="19">
        <v>12</v>
      </c>
      <c r="E2063">
        <v>148</v>
      </c>
      <c r="F2063" t="s">
        <v>14</v>
      </c>
      <c r="H2063">
        <v>0</v>
      </c>
    </row>
    <row r="2064" spans="1:9" x14ac:dyDescent="0.2">
      <c r="A2064" t="str">
        <f t="shared" si="279"/>
        <v>37865Haapiti12149Autres</v>
      </c>
      <c r="B2064" s="1">
        <v>37865</v>
      </c>
      <c r="C2064" t="s">
        <v>25</v>
      </c>
      <c r="D2064" s="19">
        <v>12</v>
      </c>
      <c r="E2064">
        <v>149</v>
      </c>
      <c r="F2064" t="s">
        <v>14</v>
      </c>
      <c r="H2064">
        <v>0</v>
      </c>
    </row>
    <row r="2065" spans="1:9" x14ac:dyDescent="0.2">
      <c r="A2065" t="str">
        <f t="shared" si="279"/>
        <v>37865Haapiti12150Autres</v>
      </c>
      <c r="B2065" s="1">
        <v>37865</v>
      </c>
      <c r="C2065" t="s">
        <v>25</v>
      </c>
      <c r="D2065" s="19">
        <v>12</v>
      </c>
      <c r="E2065">
        <v>150</v>
      </c>
      <c r="F2065" t="s">
        <v>14</v>
      </c>
      <c r="H2065">
        <v>0</v>
      </c>
    </row>
    <row r="2066" spans="1:9" x14ac:dyDescent="0.2">
      <c r="A2066" t="str">
        <f t="shared" si="279"/>
        <v>37865Haapiti12151Autres</v>
      </c>
      <c r="B2066" s="1">
        <v>37865</v>
      </c>
      <c r="C2066" t="s">
        <v>25</v>
      </c>
      <c r="D2066" s="19">
        <v>12</v>
      </c>
      <c r="E2066">
        <v>151</v>
      </c>
      <c r="F2066" t="s">
        <v>14</v>
      </c>
      <c r="H2066">
        <v>0</v>
      </c>
    </row>
    <row r="2067" spans="1:9" x14ac:dyDescent="0.2">
      <c r="A2067" t="str">
        <f t="shared" si="279"/>
        <v>37865Haapiti12152Autres</v>
      </c>
      <c r="B2067" s="1">
        <v>37865</v>
      </c>
      <c r="C2067" t="s">
        <v>25</v>
      </c>
      <c r="D2067" s="19">
        <v>12</v>
      </c>
      <c r="E2067">
        <v>152</v>
      </c>
      <c r="F2067" t="s">
        <v>14</v>
      </c>
      <c r="H2067">
        <v>0</v>
      </c>
    </row>
    <row r="2068" spans="1:9" x14ac:dyDescent="0.2">
      <c r="A2068" t="str">
        <f t="shared" si="279"/>
        <v>37865Haapiti12152PoritidaeDessous</v>
      </c>
      <c r="B2068" s="1">
        <v>37865</v>
      </c>
      <c r="C2068" t="s">
        <v>25</v>
      </c>
      <c r="D2068" s="19">
        <v>12</v>
      </c>
      <c r="E2068">
        <v>152</v>
      </c>
      <c r="F2068" t="s">
        <v>7</v>
      </c>
      <c r="G2068" t="s">
        <v>8</v>
      </c>
      <c r="H2068">
        <v>1</v>
      </c>
      <c r="I2068" t="s">
        <v>27</v>
      </c>
    </row>
    <row r="2069" spans="1:9" x14ac:dyDescent="0.2">
      <c r="A2069" t="str">
        <f t="shared" si="279"/>
        <v>37865Haapiti12153Autres</v>
      </c>
      <c r="B2069" s="1">
        <v>37865</v>
      </c>
      <c r="C2069" t="s">
        <v>25</v>
      </c>
      <c r="D2069" s="19">
        <v>12</v>
      </c>
      <c r="E2069">
        <v>153</v>
      </c>
      <c r="F2069" t="s">
        <v>14</v>
      </c>
      <c r="H2069">
        <v>0</v>
      </c>
    </row>
    <row r="2070" spans="1:9" x14ac:dyDescent="0.2">
      <c r="A2070" t="str">
        <f t="shared" si="279"/>
        <v>37865Haapiti12154AcroporidaeDessous</v>
      </c>
      <c r="B2070" s="1">
        <v>37865</v>
      </c>
      <c r="C2070" t="s">
        <v>25</v>
      </c>
      <c r="D2070" s="19">
        <v>12</v>
      </c>
      <c r="E2070">
        <v>154</v>
      </c>
      <c r="F2070" t="s">
        <v>17</v>
      </c>
      <c r="G2070" t="s">
        <v>8</v>
      </c>
      <c r="H2070">
        <v>1</v>
      </c>
      <c r="I2070" t="s">
        <v>27</v>
      </c>
    </row>
    <row r="2071" spans="1:9" x14ac:dyDescent="0.2">
      <c r="A2071" t="str">
        <f t="shared" si="279"/>
        <v>37865Haapiti12155Autres</v>
      </c>
      <c r="B2071" s="1">
        <v>37865</v>
      </c>
      <c r="C2071" t="s">
        <v>25</v>
      </c>
      <c r="D2071" s="19">
        <v>12</v>
      </c>
      <c r="E2071">
        <v>155</v>
      </c>
      <c r="F2071" t="s">
        <v>14</v>
      </c>
      <c r="H2071">
        <v>0</v>
      </c>
    </row>
    <row r="2072" spans="1:9" x14ac:dyDescent="0.2">
      <c r="A2072" t="str">
        <f t="shared" si="279"/>
        <v>37865Haapiti12156Autres</v>
      </c>
      <c r="B2072" s="1">
        <v>37865</v>
      </c>
      <c r="C2072" t="s">
        <v>25</v>
      </c>
      <c r="D2072" s="19">
        <v>12</v>
      </c>
      <c r="E2072">
        <v>156</v>
      </c>
      <c r="F2072" t="s">
        <v>14</v>
      </c>
      <c r="H2072">
        <v>0</v>
      </c>
    </row>
    <row r="2073" spans="1:9" x14ac:dyDescent="0.2">
      <c r="A2073" t="str">
        <f t="shared" si="279"/>
        <v>37865Haapiti12157Autres</v>
      </c>
      <c r="B2073" s="1">
        <v>37865</v>
      </c>
      <c r="C2073" t="s">
        <v>25</v>
      </c>
      <c r="D2073" s="19">
        <v>12</v>
      </c>
      <c r="E2073">
        <v>157</v>
      </c>
      <c r="F2073" t="s">
        <v>14</v>
      </c>
      <c r="H2073">
        <v>0</v>
      </c>
    </row>
    <row r="2074" spans="1:9" x14ac:dyDescent="0.2">
      <c r="A2074" t="str">
        <f t="shared" si="279"/>
        <v>37865Haapiti12158Autres</v>
      </c>
      <c r="B2074" s="1">
        <v>37865</v>
      </c>
      <c r="C2074" t="s">
        <v>25</v>
      </c>
      <c r="D2074" s="19">
        <v>12</v>
      </c>
      <c r="E2074">
        <v>158</v>
      </c>
      <c r="F2074" t="s">
        <v>14</v>
      </c>
      <c r="H2074">
        <v>0</v>
      </c>
    </row>
    <row r="2075" spans="1:9" x14ac:dyDescent="0.2">
      <c r="A2075" t="str">
        <f t="shared" si="279"/>
        <v>37865Haapiti12159Autres</v>
      </c>
      <c r="B2075" s="1">
        <v>37865</v>
      </c>
      <c r="C2075" t="s">
        <v>25</v>
      </c>
      <c r="D2075" s="19">
        <v>12</v>
      </c>
      <c r="E2075">
        <v>159</v>
      </c>
      <c r="F2075" t="s">
        <v>14</v>
      </c>
      <c r="H2075">
        <v>0</v>
      </c>
    </row>
    <row r="2076" spans="1:9" x14ac:dyDescent="0.2">
      <c r="A2076" t="str">
        <f t="shared" si="279"/>
        <v>37865Haapiti12160Autres</v>
      </c>
      <c r="B2076" s="1">
        <v>37865</v>
      </c>
      <c r="C2076" t="s">
        <v>25</v>
      </c>
      <c r="D2076" s="19">
        <v>12</v>
      </c>
      <c r="E2076">
        <v>160</v>
      </c>
      <c r="F2076" t="s">
        <v>14</v>
      </c>
      <c r="H2076">
        <v>0</v>
      </c>
    </row>
    <row r="2077" spans="1:9" x14ac:dyDescent="0.2">
      <c r="A2077" t="str">
        <f t="shared" si="279"/>
        <v>37865Haapiti18161Autres</v>
      </c>
      <c r="B2077" s="1">
        <v>37865</v>
      </c>
      <c r="C2077" t="s">
        <v>25</v>
      </c>
      <c r="D2077" s="19">
        <v>18</v>
      </c>
      <c r="E2077">
        <v>161</v>
      </c>
      <c r="F2077" t="s">
        <v>14</v>
      </c>
      <c r="H2077">
        <v>0</v>
      </c>
    </row>
    <row r="2078" spans="1:9" x14ac:dyDescent="0.2">
      <c r="A2078" t="str">
        <f t="shared" si="279"/>
        <v>37865Haapiti18162Autres</v>
      </c>
      <c r="B2078" s="1">
        <v>37865</v>
      </c>
      <c r="C2078" t="s">
        <v>25</v>
      </c>
      <c r="D2078" s="19">
        <v>18</v>
      </c>
      <c r="E2078">
        <v>162</v>
      </c>
      <c r="F2078" t="s">
        <v>14</v>
      </c>
      <c r="H2078">
        <v>0</v>
      </c>
    </row>
    <row r="2079" spans="1:9" x14ac:dyDescent="0.2">
      <c r="A2079" t="str">
        <f t="shared" si="279"/>
        <v>37865Haapiti18163Autres</v>
      </c>
      <c r="B2079" s="1">
        <v>37865</v>
      </c>
      <c r="C2079" t="s">
        <v>25</v>
      </c>
      <c r="D2079" s="19">
        <v>18</v>
      </c>
      <c r="E2079">
        <v>163</v>
      </c>
      <c r="F2079" t="s">
        <v>14</v>
      </c>
      <c r="H2079">
        <v>0</v>
      </c>
    </row>
    <row r="2080" spans="1:9" x14ac:dyDescent="0.2">
      <c r="A2080" t="str">
        <f t="shared" si="279"/>
        <v>37865Haapiti18164Autres</v>
      </c>
      <c r="B2080" s="1">
        <v>37865</v>
      </c>
      <c r="C2080" t="s">
        <v>25</v>
      </c>
      <c r="D2080" s="19">
        <v>18</v>
      </c>
      <c r="E2080">
        <v>164</v>
      </c>
      <c r="F2080" t="s">
        <v>14</v>
      </c>
      <c r="H2080">
        <v>0</v>
      </c>
    </row>
    <row r="2081" spans="1:9" x14ac:dyDescent="0.2">
      <c r="A2081" t="str">
        <f t="shared" si="279"/>
        <v>37865Haapiti18165Autres</v>
      </c>
      <c r="B2081" s="1">
        <v>37865</v>
      </c>
      <c r="C2081" t="s">
        <v>25</v>
      </c>
      <c r="D2081" s="19">
        <v>18</v>
      </c>
      <c r="E2081">
        <v>165</v>
      </c>
      <c r="F2081" t="s">
        <v>14</v>
      </c>
      <c r="H2081">
        <v>0</v>
      </c>
    </row>
    <row r="2082" spans="1:9" x14ac:dyDescent="0.2">
      <c r="A2082" t="str">
        <f t="shared" si="279"/>
        <v>37865Haapiti18166Autres</v>
      </c>
      <c r="B2082" s="1">
        <v>37865</v>
      </c>
      <c r="C2082" t="s">
        <v>25</v>
      </c>
      <c r="D2082" s="19">
        <v>18</v>
      </c>
      <c r="E2082">
        <v>166</v>
      </c>
      <c r="F2082" t="s">
        <v>14</v>
      </c>
      <c r="H2082">
        <v>0</v>
      </c>
    </row>
    <row r="2083" spans="1:9" x14ac:dyDescent="0.2">
      <c r="A2083" t="str">
        <f t="shared" si="279"/>
        <v>37865Haapiti18167Autres</v>
      </c>
      <c r="B2083" s="1">
        <v>37865</v>
      </c>
      <c r="C2083" t="s">
        <v>25</v>
      </c>
      <c r="D2083" s="19">
        <v>18</v>
      </c>
      <c r="E2083">
        <v>167</v>
      </c>
      <c r="F2083" t="s">
        <v>14</v>
      </c>
      <c r="H2083">
        <v>0</v>
      </c>
    </row>
    <row r="2084" spans="1:9" x14ac:dyDescent="0.2">
      <c r="A2084" t="str">
        <f t="shared" si="279"/>
        <v>37865Haapiti18168Autres</v>
      </c>
      <c r="B2084" s="1">
        <v>37865</v>
      </c>
      <c r="C2084" t="s">
        <v>25</v>
      </c>
      <c r="D2084" s="19">
        <v>18</v>
      </c>
      <c r="E2084">
        <v>168</v>
      </c>
      <c r="F2084" t="s">
        <v>14</v>
      </c>
      <c r="H2084">
        <v>0</v>
      </c>
    </row>
    <row r="2085" spans="1:9" x14ac:dyDescent="0.2">
      <c r="A2085" t="str">
        <f t="shared" si="279"/>
        <v>37865Haapiti18169Autres</v>
      </c>
      <c r="B2085" s="1">
        <v>37865</v>
      </c>
      <c r="C2085" t="s">
        <v>25</v>
      </c>
      <c r="D2085" s="19">
        <v>18</v>
      </c>
      <c r="E2085">
        <v>169</v>
      </c>
      <c r="F2085" t="s">
        <v>14</v>
      </c>
      <c r="H2085">
        <v>0</v>
      </c>
    </row>
    <row r="2086" spans="1:9" x14ac:dyDescent="0.2">
      <c r="A2086" t="str">
        <f t="shared" si="279"/>
        <v>37865Haapiti18170Autres</v>
      </c>
      <c r="B2086" s="1">
        <v>37865</v>
      </c>
      <c r="C2086" t="s">
        <v>25</v>
      </c>
      <c r="D2086" s="19">
        <v>18</v>
      </c>
      <c r="E2086">
        <v>170</v>
      </c>
      <c r="F2086" t="s">
        <v>14</v>
      </c>
      <c r="H2086">
        <v>0</v>
      </c>
    </row>
    <row r="2087" spans="1:9" x14ac:dyDescent="0.2">
      <c r="A2087" t="str">
        <f t="shared" si="279"/>
        <v>37865Haapiti18171Autres</v>
      </c>
      <c r="B2087" s="1">
        <v>37865</v>
      </c>
      <c r="C2087" t="s">
        <v>25</v>
      </c>
      <c r="D2087" s="19">
        <v>18</v>
      </c>
      <c r="E2087">
        <v>171</v>
      </c>
      <c r="F2087" t="s">
        <v>14</v>
      </c>
      <c r="H2087">
        <v>0</v>
      </c>
    </row>
    <row r="2088" spans="1:9" x14ac:dyDescent="0.2">
      <c r="A2088" t="str">
        <f t="shared" si="279"/>
        <v>37865Haapiti18172Autres</v>
      </c>
      <c r="B2088" s="1">
        <v>37865</v>
      </c>
      <c r="C2088" t="s">
        <v>25</v>
      </c>
      <c r="D2088" s="19">
        <v>18</v>
      </c>
      <c r="E2088">
        <v>172</v>
      </c>
      <c r="F2088" t="s">
        <v>14</v>
      </c>
      <c r="H2088">
        <v>0</v>
      </c>
    </row>
    <row r="2089" spans="1:9" x14ac:dyDescent="0.2">
      <c r="A2089" t="str">
        <f t="shared" si="279"/>
        <v>37865Haapiti18173Autres</v>
      </c>
      <c r="B2089" s="1">
        <v>37865</v>
      </c>
      <c r="C2089" t="s">
        <v>25</v>
      </c>
      <c r="D2089" s="19">
        <v>18</v>
      </c>
      <c r="E2089">
        <v>173</v>
      </c>
      <c r="F2089" t="s">
        <v>14</v>
      </c>
      <c r="H2089">
        <v>0</v>
      </c>
    </row>
    <row r="2090" spans="1:9" x14ac:dyDescent="0.2">
      <c r="A2090" t="str">
        <f t="shared" si="279"/>
        <v>37865Haapiti18174Autres</v>
      </c>
      <c r="B2090" s="1">
        <v>37865</v>
      </c>
      <c r="C2090" t="s">
        <v>25</v>
      </c>
      <c r="D2090" s="19">
        <v>18</v>
      </c>
      <c r="E2090">
        <v>174</v>
      </c>
      <c r="F2090" t="s">
        <v>14</v>
      </c>
      <c r="H2090">
        <v>0</v>
      </c>
    </row>
    <row r="2091" spans="1:9" x14ac:dyDescent="0.2">
      <c r="A2091" t="str">
        <f t="shared" si="279"/>
        <v>37865Haapiti18175Autres</v>
      </c>
      <c r="B2091" s="1">
        <v>37865</v>
      </c>
      <c r="C2091" t="s">
        <v>25</v>
      </c>
      <c r="D2091" s="19">
        <v>18</v>
      </c>
      <c r="E2091">
        <v>175</v>
      </c>
      <c r="F2091" t="s">
        <v>14</v>
      </c>
      <c r="H2091">
        <v>0</v>
      </c>
    </row>
    <row r="2092" spans="1:9" x14ac:dyDescent="0.2">
      <c r="A2092" t="str">
        <f t="shared" si="279"/>
        <v>37865Haapiti18176Autres</v>
      </c>
      <c r="B2092" s="1">
        <v>37865</v>
      </c>
      <c r="C2092" t="s">
        <v>25</v>
      </c>
      <c r="D2092" s="19">
        <v>18</v>
      </c>
      <c r="E2092">
        <v>176</v>
      </c>
      <c r="F2092" t="s">
        <v>14</v>
      </c>
      <c r="H2092">
        <v>0</v>
      </c>
    </row>
    <row r="2093" spans="1:9" x14ac:dyDescent="0.2">
      <c r="A2093" t="str">
        <f t="shared" si="279"/>
        <v>37865Haapiti18177CassésDessous</v>
      </c>
      <c r="B2093" s="1">
        <v>37865</v>
      </c>
      <c r="C2093" t="s">
        <v>25</v>
      </c>
      <c r="D2093" s="19">
        <v>18</v>
      </c>
      <c r="E2093">
        <v>177</v>
      </c>
      <c r="F2093" t="s">
        <v>12</v>
      </c>
      <c r="G2093" t="s">
        <v>8</v>
      </c>
      <c r="H2093">
        <v>1</v>
      </c>
      <c r="I2093" t="s">
        <v>27</v>
      </c>
    </row>
    <row r="2094" spans="1:9" x14ac:dyDescent="0.2">
      <c r="A2094" t="str">
        <f t="shared" si="279"/>
        <v>37865Haapiti18178Autres</v>
      </c>
      <c r="B2094" s="1">
        <v>37865</v>
      </c>
      <c r="C2094" t="s">
        <v>25</v>
      </c>
      <c r="D2094" s="19">
        <v>18</v>
      </c>
      <c r="E2094">
        <v>178</v>
      </c>
      <c r="F2094" t="s">
        <v>14</v>
      </c>
      <c r="H2094">
        <v>0</v>
      </c>
    </row>
    <row r="2095" spans="1:9" x14ac:dyDescent="0.2">
      <c r="A2095" t="str">
        <f t="shared" si="279"/>
        <v>37865Haapiti18179Autres</v>
      </c>
      <c r="B2095" s="1">
        <v>37865</v>
      </c>
      <c r="C2095" t="s">
        <v>25</v>
      </c>
      <c r="D2095" s="19">
        <v>18</v>
      </c>
      <c r="E2095">
        <v>179</v>
      </c>
      <c r="F2095" t="s">
        <v>14</v>
      </c>
      <c r="H2095">
        <v>0</v>
      </c>
    </row>
    <row r="2096" spans="1:9" x14ac:dyDescent="0.2">
      <c r="A2096" t="str">
        <f t="shared" si="279"/>
        <v>37865Haapiti18180PocilloporidaeDessus</v>
      </c>
      <c r="B2096" s="1">
        <v>37865</v>
      </c>
      <c r="C2096" t="s">
        <v>25</v>
      </c>
      <c r="D2096" s="19">
        <v>18</v>
      </c>
      <c r="E2096">
        <v>180</v>
      </c>
      <c r="F2096" t="s">
        <v>10</v>
      </c>
      <c r="G2096" t="s">
        <v>11</v>
      </c>
      <c r="H2096">
        <v>1</v>
      </c>
      <c r="I2096" t="s">
        <v>27</v>
      </c>
    </row>
    <row r="2097" spans="1:9" x14ac:dyDescent="0.2">
      <c r="A2097" t="str">
        <f t="shared" si="279"/>
        <v>37956Vaipahu181Autres</v>
      </c>
      <c r="B2097" s="1">
        <v>37956</v>
      </c>
      <c r="C2097" t="s">
        <v>23</v>
      </c>
      <c r="D2097" s="19">
        <v>18</v>
      </c>
      <c r="E2097">
        <v>1</v>
      </c>
      <c r="F2097" t="s">
        <v>14</v>
      </c>
      <c r="H2097">
        <v>0</v>
      </c>
    </row>
    <row r="2098" spans="1:9" x14ac:dyDescent="0.2">
      <c r="A2098" t="str">
        <f t="shared" si="279"/>
        <v>37956Vaipahu61CassésDessous</v>
      </c>
      <c r="B2098" s="1">
        <v>37956</v>
      </c>
      <c r="C2098" t="s">
        <v>23</v>
      </c>
      <c r="D2098" s="19">
        <v>6</v>
      </c>
      <c r="E2098">
        <v>1</v>
      </c>
      <c r="F2098" t="s">
        <v>12</v>
      </c>
      <c r="G2098" t="s">
        <v>8</v>
      </c>
      <c r="H2098">
        <v>1</v>
      </c>
      <c r="I2098" t="s">
        <v>27</v>
      </c>
    </row>
    <row r="2099" spans="1:9" x14ac:dyDescent="0.2">
      <c r="A2099" t="str">
        <f t="shared" si="279"/>
        <v>37956Vaipahu182Autres</v>
      </c>
      <c r="B2099" s="1">
        <v>37956</v>
      </c>
      <c r="C2099" t="s">
        <v>23</v>
      </c>
      <c r="D2099" s="19">
        <v>18</v>
      </c>
      <c r="E2099">
        <v>2</v>
      </c>
      <c r="F2099" t="s">
        <v>14</v>
      </c>
      <c r="H2099">
        <v>0</v>
      </c>
    </row>
    <row r="2100" spans="1:9" x14ac:dyDescent="0.2">
      <c r="A2100" t="str">
        <f t="shared" si="279"/>
        <v>37956Vaipahu62Autres</v>
      </c>
      <c r="B2100" s="1">
        <v>37956</v>
      </c>
      <c r="C2100" t="s">
        <v>23</v>
      </c>
      <c r="D2100" s="19">
        <v>6</v>
      </c>
      <c r="E2100">
        <v>2</v>
      </c>
      <c r="F2100" t="s">
        <v>14</v>
      </c>
      <c r="H2100">
        <v>0</v>
      </c>
    </row>
    <row r="2101" spans="1:9" x14ac:dyDescent="0.2">
      <c r="A2101" t="str">
        <f t="shared" si="279"/>
        <v>37956Vaipahu183Autres</v>
      </c>
      <c r="B2101" s="1">
        <v>37956</v>
      </c>
      <c r="C2101" t="s">
        <v>23</v>
      </c>
      <c r="D2101" s="19">
        <v>18</v>
      </c>
      <c r="E2101">
        <v>3</v>
      </c>
      <c r="F2101" t="s">
        <v>14</v>
      </c>
      <c r="H2101">
        <v>0</v>
      </c>
    </row>
    <row r="2102" spans="1:9" x14ac:dyDescent="0.2">
      <c r="A2102" t="str">
        <f t="shared" si="279"/>
        <v>37956Vaipahu63AcroporidaeBords</v>
      </c>
      <c r="B2102" s="1">
        <v>37956</v>
      </c>
      <c r="C2102" t="s">
        <v>23</v>
      </c>
      <c r="D2102" s="19">
        <v>6</v>
      </c>
      <c r="E2102">
        <v>3</v>
      </c>
      <c r="F2102" t="s">
        <v>17</v>
      </c>
      <c r="G2102" t="s">
        <v>13</v>
      </c>
      <c r="H2102">
        <v>1</v>
      </c>
      <c r="I2102" t="s">
        <v>27</v>
      </c>
    </row>
    <row r="2103" spans="1:9" x14ac:dyDescent="0.2">
      <c r="A2103" t="str">
        <f t="shared" si="279"/>
        <v>37956Vaipahu63PocilloporidaeBords</v>
      </c>
      <c r="B2103" s="1">
        <v>37956</v>
      </c>
      <c r="C2103" t="s">
        <v>23</v>
      </c>
      <c r="D2103" s="19">
        <v>6</v>
      </c>
      <c r="E2103">
        <v>3</v>
      </c>
      <c r="F2103" t="s">
        <v>10</v>
      </c>
      <c r="G2103" t="s">
        <v>13</v>
      </c>
      <c r="H2103">
        <v>4</v>
      </c>
      <c r="I2103" t="s">
        <v>27</v>
      </c>
    </row>
    <row r="2104" spans="1:9" x14ac:dyDescent="0.2">
      <c r="A2104" t="str">
        <f t="shared" si="279"/>
        <v>37956Vaipahu63PocilloporidaeDessous</v>
      </c>
      <c r="B2104" s="1">
        <v>37956</v>
      </c>
      <c r="C2104" t="s">
        <v>23</v>
      </c>
      <c r="D2104" s="19">
        <v>6</v>
      </c>
      <c r="E2104">
        <v>3</v>
      </c>
      <c r="F2104" t="s">
        <v>10</v>
      </c>
      <c r="G2104" t="s">
        <v>8</v>
      </c>
      <c r="H2104">
        <v>2</v>
      </c>
      <c r="I2104" t="s">
        <v>27</v>
      </c>
    </row>
    <row r="2105" spans="1:9" x14ac:dyDescent="0.2">
      <c r="A2105" t="str">
        <f t="shared" si="279"/>
        <v>37956Vaipahu184Autres</v>
      </c>
      <c r="B2105" s="1">
        <v>37956</v>
      </c>
      <c r="C2105" t="s">
        <v>23</v>
      </c>
      <c r="D2105" s="19">
        <v>18</v>
      </c>
      <c r="E2105">
        <v>4</v>
      </c>
      <c r="F2105" t="s">
        <v>14</v>
      </c>
      <c r="H2105">
        <v>0</v>
      </c>
    </row>
    <row r="2106" spans="1:9" x14ac:dyDescent="0.2">
      <c r="A2106" t="str">
        <f t="shared" si="279"/>
        <v>37956Vaipahu64CassésDessous</v>
      </c>
      <c r="B2106" s="1">
        <v>37956</v>
      </c>
      <c r="C2106" t="s">
        <v>23</v>
      </c>
      <c r="D2106" s="19">
        <v>6</v>
      </c>
      <c r="E2106">
        <v>4</v>
      </c>
      <c r="F2106" t="s">
        <v>12</v>
      </c>
      <c r="G2106" t="s">
        <v>8</v>
      </c>
      <c r="H2106">
        <v>1</v>
      </c>
      <c r="I2106" t="s">
        <v>27</v>
      </c>
    </row>
    <row r="2107" spans="1:9" x14ac:dyDescent="0.2">
      <c r="A2107" t="str">
        <f t="shared" si="279"/>
        <v>37956Vaipahu65CassésDessus</v>
      </c>
      <c r="B2107" s="1">
        <v>37956</v>
      </c>
      <c r="C2107" t="s">
        <v>23</v>
      </c>
      <c r="D2107" s="19">
        <v>6</v>
      </c>
      <c r="E2107">
        <v>5</v>
      </c>
      <c r="F2107" t="s">
        <v>12</v>
      </c>
      <c r="G2107" t="s">
        <v>11</v>
      </c>
      <c r="H2107">
        <v>1</v>
      </c>
      <c r="I2107" t="s">
        <v>27</v>
      </c>
    </row>
    <row r="2108" spans="1:9" x14ac:dyDescent="0.2">
      <c r="A2108" t="str">
        <f t="shared" si="279"/>
        <v>37956Vaipahu65PocilloporidaeDessous</v>
      </c>
      <c r="B2108" s="1">
        <v>37956</v>
      </c>
      <c r="C2108" t="s">
        <v>23</v>
      </c>
      <c r="D2108" s="19">
        <v>6</v>
      </c>
      <c r="E2108">
        <v>5</v>
      </c>
      <c r="F2108" t="s">
        <v>10</v>
      </c>
      <c r="G2108" t="s">
        <v>8</v>
      </c>
      <c r="H2108">
        <v>5</v>
      </c>
      <c r="I2108" t="s">
        <v>27</v>
      </c>
    </row>
    <row r="2109" spans="1:9" x14ac:dyDescent="0.2">
      <c r="A2109" t="str">
        <f t="shared" si="279"/>
        <v>37956Vaipahu65PoritidaeDessous</v>
      </c>
      <c r="B2109" s="1">
        <v>37956</v>
      </c>
      <c r="C2109" t="s">
        <v>23</v>
      </c>
      <c r="D2109" s="19">
        <v>6</v>
      </c>
      <c r="E2109">
        <v>5</v>
      </c>
      <c r="F2109" t="s">
        <v>7</v>
      </c>
      <c r="G2109" t="s">
        <v>8</v>
      </c>
      <c r="H2109">
        <v>1</v>
      </c>
      <c r="I2109" t="s">
        <v>27</v>
      </c>
    </row>
    <row r="2110" spans="1:9" x14ac:dyDescent="0.2">
      <c r="A2110" t="str">
        <f t="shared" si="279"/>
        <v>37956Vaipahu66AcroporidaeBords</v>
      </c>
      <c r="B2110" s="1">
        <v>37956</v>
      </c>
      <c r="C2110" t="s">
        <v>23</v>
      </c>
      <c r="D2110" s="19">
        <v>6</v>
      </c>
      <c r="E2110">
        <v>6</v>
      </c>
      <c r="F2110" t="s">
        <v>17</v>
      </c>
      <c r="G2110" t="s">
        <v>13</v>
      </c>
      <c r="H2110">
        <v>1</v>
      </c>
      <c r="I2110" t="s">
        <v>27</v>
      </c>
    </row>
    <row r="2111" spans="1:9" x14ac:dyDescent="0.2">
      <c r="A2111" t="str">
        <f t="shared" ref="A2111:A2174" si="280">B2111 &amp; C2111&amp; D2111&amp; E2111 &amp; F2111 &amp;G2111</f>
        <v>37956Vaipahu66PocilloporidaeBords</v>
      </c>
      <c r="B2111" s="1">
        <v>37956</v>
      </c>
      <c r="C2111" t="s">
        <v>23</v>
      </c>
      <c r="D2111" s="19">
        <v>6</v>
      </c>
      <c r="E2111">
        <v>6</v>
      </c>
      <c r="F2111" t="s">
        <v>10</v>
      </c>
      <c r="G2111" t="s">
        <v>13</v>
      </c>
      <c r="H2111">
        <v>1</v>
      </c>
      <c r="I2111" t="s">
        <v>27</v>
      </c>
    </row>
    <row r="2112" spans="1:9" x14ac:dyDescent="0.2">
      <c r="A2112" t="str">
        <f t="shared" si="280"/>
        <v>37956Vaipahu66PocilloporidaeDessus</v>
      </c>
      <c r="B2112" s="1">
        <v>37956</v>
      </c>
      <c r="C2112" t="s">
        <v>23</v>
      </c>
      <c r="D2112" s="19">
        <v>6</v>
      </c>
      <c r="E2112">
        <v>6</v>
      </c>
      <c r="F2112" t="s">
        <v>10</v>
      </c>
      <c r="G2112" t="s">
        <v>11</v>
      </c>
      <c r="H2112">
        <v>1</v>
      </c>
      <c r="I2112" t="s">
        <v>27</v>
      </c>
    </row>
    <row r="2113" spans="1:9" x14ac:dyDescent="0.2">
      <c r="A2113" t="str">
        <f t="shared" si="280"/>
        <v>37956Vaipahu67PocilloporidaeBords</v>
      </c>
      <c r="B2113" s="1">
        <v>37956</v>
      </c>
      <c r="C2113" t="s">
        <v>23</v>
      </c>
      <c r="D2113" s="19">
        <v>6</v>
      </c>
      <c r="E2113">
        <v>7</v>
      </c>
      <c r="F2113" t="s">
        <v>10</v>
      </c>
      <c r="G2113" t="s">
        <v>13</v>
      </c>
      <c r="H2113">
        <v>2</v>
      </c>
      <c r="I2113" t="s">
        <v>27</v>
      </c>
    </row>
    <row r="2114" spans="1:9" x14ac:dyDescent="0.2">
      <c r="A2114" t="str">
        <f t="shared" si="280"/>
        <v>37956Vaipahu68PocilloporidaeBords</v>
      </c>
      <c r="B2114" s="1">
        <v>37956</v>
      </c>
      <c r="C2114" t="s">
        <v>23</v>
      </c>
      <c r="D2114" s="19">
        <v>6</v>
      </c>
      <c r="E2114">
        <v>8</v>
      </c>
      <c r="F2114" t="s">
        <v>10</v>
      </c>
      <c r="G2114" t="s">
        <v>13</v>
      </c>
      <c r="H2114">
        <v>2</v>
      </c>
      <c r="I2114" t="s">
        <v>27</v>
      </c>
    </row>
    <row r="2115" spans="1:9" x14ac:dyDescent="0.2">
      <c r="A2115" t="str">
        <f t="shared" si="280"/>
        <v>37956Vaipahu69Autres</v>
      </c>
      <c r="B2115" s="1">
        <v>37956</v>
      </c>
      <c r="C2115" t="s">
        <v>23</v>
      </c>
      <c r="D2115" s="19">
        <v>6</v>
      </c>
      <c r="E2115">
        <v>9</v>
      </c>
      <c r="F2115" t="s">
        <v>14</v>
      </c>
      <c r="H2115">
        <v>0</v>
      </c>
    </row>
    <row r="2116" spans="1:9" x14ac:dyDescent="0.2">
      <c r="A2116" t="str">
        <f t="shared" si="280"/>
        <v>37956Vaipahu610PocilloporidaeBords</v>
      </c>
      <c r="B2116" s="1">
        <v>37956</v>
      </c>
      <c r="C2116" t="s">
        <v>23</v>
      </c>
      <c r="D2116" s="19">
        <v>6</v>
      </c>
      <c r="E2116">
        <v>10</v>
      </c>
      <c r="F2116" t="s">
        <v>10</v>
      </c>
      <c r="G2116" t="s">
        <v>13</v>
      </c>
      <c r="H2116">
        <v>1</v>
      </c>
      <c r="I2116" t="s">
        <v>27</v>
      </c>
    </row>
    <row r="2117" spans="1:9" x14ac:dyDescent="0.2">
      <c r="A2117" t="str">
        <f t="shared" si="280"/>
        <v>37956Vaipahu610PocilloporidaeDessous</v>
      </c>
      <c r="B2117" s="1">
        <v>37956</v>
      </c>
      <c r="C2117" t="s">
        <v>23</v>
      </c>
      <c r="D2117" s="19">
        <v>6</v>
      </c>
      <c r="E2117">
        <v>10</v>
      </c>
      <c r="F2117" t="s">
        <v>10</v>
      </c>
      <c r="G2117" t="s">
        <v>8</v>
      </c>
      <c r="H2117">
        <v>1</v>
      </c>
      <c r="I2117" t="s">
        <v>27</v>
      </c>
    </row>
    <row r="2118" spans="1:9" x14ac:dyDescent="0.2">
      <c r="A2118" t="str">
        <f t="shared" si="280"/>
        <v>37956Vaipahu611CassésDessus</v>
      </c>
      <c r="B2118" s="1">
        <v>37956</v>
      </c>
      <c r="C2118" t="s">
        <v>23</v>
      </c>
      <c r="D2118" s="19">
        <v>6</v>
      </c>
      <c r="E2118">
        <v>11</v>
      </c>
      <c r="F2118" t="s">
        <v>12</v>
      </c>
      <c r="G2118" t="s">
        <v>11</v>
      </c>
      <c r="H2118">
        <v>1</v>
      </c>
      <c r="I2118" t="s">
        <v>27</v>
      </c>
    </row>
    <row r="2119" spans="1:9" x14ac:dyDescent="0.2">
      <c r="A2119" t="str">
        <f t="shared" si="280"/>
        <v>37956Vaipahu611PocilloporidaeBords</v>
      </c>
      <c r="B2119" s="1">
        <v>37956</v>
      </c>
      <c r="C2119" t="s">
        <v>23</v>
      </c>
      <c r="D2119" s="19">
        <v>6</v>
      </c>
      <c r="E2119">
        <v>11</v>
      </c>
      <c r="F2119" t="s">
        <v>10</v>
      </c>
      <c r="G2119" t="s">
        <v>13</v>
      </c>
      <c r="H2119">
        <v>3</v>
      </c>
      <c r="I2119" t="s">
        <v>27</v>
      </c>
    </row>
    <row r="2120" spans="1:9" x14ac:dyDescent="0.2">
      <c r="A2120" t="str">
        <f t="shared" si="280"/>
        <v>37956Vaipahu611PocilloporidaeDessus</v>
      </c>
      <c r="B2120" s="1">
        <v>37956</v>
      </c>
      <c r="C2120" t="s">
        <v>23</v>
      </c>
      <c r="D2120" s="19">
        <v>6</v>
      </c>
      <c r="E2120">
        <v>11</v>
      </c>
      <c r="F2120" t="s">
        <v>10</v>
      </c>
      <c r="G2120" t="s">
        <v>11</v>
      </c>
      <c r="H2120">
        <v>3</v>
      </c>
      <c r="I2120" t="s">
        <v>27</v>
      </c>
    </row>
    <row r="2121" spans="1:9" x14ac:dyDescent="0.2">
      <c r="A2121" t="str">
        <f t="shared" si="280"/>
        <v>37956Vaipahu612PocilloporidaeBords</v>
      </c>
      <c r="B2121" s="1">
        <v>37956</v>
      </c>
      <c r="C2121" t="s">
        <v>23</v>
      </c>
      <c r="D2121" s="19">
        <v>6</v>
      </c>
      <c r="E2121">
        <v>12</v>
      </c>
      <c r="F2121" t="s">
        <v>10</v>
      </c>
      <c r="G2121" t="s">
        <v>13</v>
      </c>
      <c r="H2121">
        <v>1</v>
      </c>
      <c r="I2121" t="s">
        <v>27</v>
      </c>
    </row>
    <row r="2122" spans="1:9" x14ac:dyDescent="0.2">
      <c r="A2122" t="str">
        <f t="shared" si="280"/>
        <v>37956Vaipahu613PocilloporidaeDessus</v>
      </c>
      <c r="B2122" s="1">
        <v>37956</v>
      </c>
      <c r="C2122" t="s">
        <v>23</v>
      </c>
      <c r="D2122" s="19">
        <v>6</v>
      </c>
      <c r="E2122">
        <v>13</v>
      </c>
      <c r="F2122" t="s">
        <v>10</v>
      </c>
      <c r="G2122" t="s">
        <v>11</v>
      </c>
      <c r="H2122">
        <v>3</v>
      </c>
      <c r="I2122" t="s">
        <v>27</v>
      </c>
    </row>
    <row r="2123" spans="1:9" x14ac:dyDescent="0.2">
      <c r="A2123" t="str">
        <f t="shared" si="280"/>
        <v>37956Vaipahu614PocilloporidaeBords</v>
      </c>
      <c r="B2123" s="1">
        <v>37956</v>
      </c>
      <c r="C2123" t="s">
        <v>23</v>
      </c>
      <c r="D2123" s="19">
        <v>6</v>
      </c>
      <c r="E2123">
        <v>14</v>
      </c>
      <c r="F2123" t="s">
        <v>10</v>
      </c>
      <c r="G2123" t="s">
        <v>13</v>
      </c>
      <c r="H2123">
        <v>4</v>
      </c>
      <c r="I2123" t="s">
        <v>27</v>
      </c>
    </row>
    <row r="2124" spans="1:9" x14ac:dyDescent="0.2">
      <c r="A2124" t="str">
        <f t="shared" si="280"/>
        <v>37956Vaipahu614PocilloporidaeDessous</v>
      </c>
      <c r="B2124" s="1">
        <v>37956</v>
      </c>
      <c r="C2124" t="s">
        <v>23</v>
      </c>
      <c r="D2124" s="19">
        <v>6</v>
      </c>
      <c r="E2124">
        <v>14</v>
      </c>
      <c r="F2124" t="s">
        <v>10</v>
      </c>
      <c r="G2124" t="s">
        <v>8</v>
      </c>
      <c r="H2124">
        <v>1</v>
      </c>
      <c r="I2124" t="s">
        <v>27</v>
      </c>
    </row>
    <row r="2125" spans="1:9" x14ac:dyDescent="0.2">
      <c r="A2125" t="str">
        <f t="shared" si="280"/>
        <v>37956Vaipahu615PocilloporidaeBords</v>
      </c>
      <c r="B2125" s="1">
        <v>37956</v>
      </c>
      <c r="C2125" t="s">
        <v>23</v>
      </c>
      <c r="D2125" s="19">
        <v>6</v>
      </c>
      <c r="E2125">
        <v>15</v>
      </c>
      <c r="F2125" t="s">
        <v>10</v>
      </c>
      <c r="G2125" t="s">
        <v>13</v>
      </c>
      <c r="H2125">
        <v>3</v>
      </c>
      <c r="I2125" t="s">
        <v>27</v>
      </c>
    </row>
    <row r="2126" spans="1:9" x14ac:dyDescent="0.2">
      <c r="A2126" t="str">
        <f t="shared" si="280"/>
        <v>37956Vaipahu615PoritidaeDessus</v>
      </c>
      <c r="B2126" s="1">
        <v>37956</v>
      </c>
      <c r="C2126" t="s">
        <v>23</v>
      </c>
      <c r="D2126" s="19">
        <v>6</v>
      </c>
      <c r="E2126">
        <v>15</v>
      </c>
      <c r="F2126" t="s">
        <v>7</v>
      </c>
      <c r="G2126" t="s">
        <v>11</v>
      </c>
      <c r="H2126">
        <v>1</v>
      </c>
      <c r="I2126" t="s">
        <v>27</v>
      </c>
    </row>
    <row r="2127" spans="1:9" x14ac:dyDescent="0.2">
      <c r="A2127" t="str">
        <f t="shared" si="280"/>
        <v>37956Vaipahu616AcroporidaeDessous</v>
      </c>
      <c r="B2127" s="1">
        <v>37956</v>
      </c>
      <c r="C2127" t="s">
        <v>23</v>
      </c>
      <c r="D2127" s="19">
        <v>6</v>
      </c>
      <c r="E2127">
        <v>16</v>
      </c>
      <c r="F2127" t="s">
        <v>17</v>
      </c>
      <c r="G2127" t="s">
        <v>8</v>
      </c>
      <c r="H2127">
        <v>1</v>
      </c>
      <c r="I2127" t="s">
        <v>27</v>
      </c>
    </row>
    <row r="2128" spans="1:9" x14ac:dyDescent="0.2">
      <c r="A2128" t="str">
        <f t="shared" si="280"/>
        <v>37956Vaipahu616PocilloporidaeBords</v>
      </c>
      <c r="B2128" s="1">
        <v>37956</v>
      </c>
      <c r="C2128" t="s">
        <v>23</v>
      </c>
      <c r="D2128" s="19">
        <v>6</v>
      </c>
      <c r="E2128">
        <v>16</v>
      </c>
      <c r="F2128" t="s">
        <v>10</v>
      </c>
      <c r="G2128" t="s">
        <v>13</v>
      </c>
      <c r="H2128">
        <v>1</v>
      </c>
      <c r="I2128" t="s">
        <v>27</v>
      </c>
    </row>
    <row r="2129" spans="1:9" x14ac:dyDescent="0.2">
      <c r="A2129" t="str">
        <f t="shared" si="280"/>
        <v>37956Vaipahu617PocilloporidaeBords</v>
      </c>
      <c r="B2129" s="1">
        <v>37956</v>
      </c>
      <c r="C2129" t="s">
        <v>23</v>
      </c>
      <c r="D2129" s="19">
        <v>6</v>
      </c>
      <c r="E2129">
        <v>17</v>
      </c>
      <c r="F2129" t="s">
        <v>10</v>
      </c>
      <c r="G2129" t="s">
        <v>13</v>
      </c>
      <c r="H2129">
        <v>5</v>
      </c>
      <c r="I2129" t="s">
        <v>27</v>
      </c>
    </row>
    <row r="2130" spans="1:9" x14ac:dyDescent="0.2">
      <c r="A2130" t="str">
        <f t="shared" si="280"/>
        <v>37956Vaipahu617PocilloporidaeDessous</v>
      </c>
      <c r="B2130" s="1">
        <v>37956</v>
      </c>
      <c r="C2130" t="s">
        <v>23</v>
      </c>
      <c r="D2130" s="19">
        <v>6</v>
      </c>
      <c r="E2130">
        <v>17</v>
      </c>
      <c r="F2130" t="s">
        <v>10</v>
      </c>
      <c r="G2130" t="s">
        <v>8</v>
      </c>
      <c r="H2130">
        <v>1</v>
      </c>
      <c r="I2130" t="s">
        <v>27</v>
      </c>
    </row>
    <row r="2131" spans="1:9" x14ac:dyDescent="0.2">
      <c r="A2131" t="str">
        <f t="shared" si="280"/>
        <v>37956Vaipahu618PocilloporidaeBords</v>
      </c>
      <c r="B2131" s="1">
        <v>37956</v>
      </c>
      <c r="C2131" t="s">
        <v>23</v>
      </c>
      <c r="D2131" s="19">
        <v>6</v>
      </c>
      <c r="E2131">
        <v>18</v>
      </c>
      <c r="F2131" t="s">
        <v>10</v>
      </c>
      <c r="G2131" t="s">
        <v>13</v>
      </c>
      <c r="H2131">
        <v>2</v>
      </c>
      <c r="I2131" t="s">
        <v>27</v>
      </c>
    </row>
    <row r="2132" spans="1:9" x14ac:dyDescent="0.2">
      <c r="A2132" t="str">
        <f t="shared" si="280"/>
        <v>37956Vaipahu619PocilloporidaeDessous</v>
      </c>
      <c r="B2132" s="1">
        <v>37956</v>
      </c>
      <c r="C2132" t="s">
        <v>23</v>
      </c>
      <c r="D2132" s="19">
        <v>6</v>
      </c>
      <c r="E2132">
        <v>19</v>
      </c>
      <c r="F2132" t="s">
        <v>10</v>
      </c>
      <c r="G2132" t="s">
        <v>8</v>
      </c>
      <c r="H2132">
        <v>2</v>
      </c>
      <c r="I2132" t="s">
        <v>27</v>
      </c>
    </row>
    <row r="2133" spans="1:9" x14ac:dyDescent="0.2">
      <c r="A2133" t="str">
        <f t="shared" si="280"/>
        <v>37956Vaipahu619PocilloporidaeDessus</v>
      </c>
      <c r="B2133" s="1">
        <v>37956</v>
      </c>
      <c r="C2133" t="s">
        <v>23</v>
      </c>
      <c r="D2133" s="19">
        <v>6</v>
      </c>
      <c r="E2133">
        <v>19</v>
      </c>
      <c r="F2133" t="s">
        <v>10</v>
      </c>
      <c r="G2133" t="s">
        <v>11</v>
      </c>
      <c r="H2133">
        <v>1</v>
      </c>
      <c r="I2133" t="s">
        <v>27</v>
      </c>
    </row>
    <row r="2134" spans="1:9" x14ac:dyDescent="0.2">
      <c r="A2134" t="str">
        <f t="shared" si="280"/>
        <v>37956Vaipahu620AutresBords</v>
      </c>
      <c r="B2134" s="1">
        <v>37956</v>
      </c>
      <c r="C2134" t="s">
        <v>23</v>
      </c>
      <c r="D2134" s="19">
        <v>6</v>
      </c>
      <c r="E2134">
        <v>20</v>
      </c>
      <c r="F2134" t="s">
        <v>14</v>
      </c>
      <c r="G2134" t="s">
        <v>13</v>
      </c>
      <c r="H2134">
        <v>1</v>
      </c>
      <c r="I2134" t="s">
        <v>27</v>
      </c>
    </row>
    <row r="2135" spans="1:9" x14ac:dyDescent="0.2">
      <c r="A2135" t="str">
        <f t="shared" si="280"/>
        <v>37956Vaipahu620PocilloporidaeBords</v>
      </c>
      <c r="B2135" s="1">
        <v>37956</v>
      </c>
      <c r="C2135" t="s">
        <v>23</v>
      </c>
      <c r="D2135" s="19">
        <v>6</v>
      </c>
      <c r="E2135">
        <v>20</v>
      </c>
      <c r="F2135" t="s">
        <v>10</v>
      </c>
      <c r="G2135" t="s">
        <v>13</v>
      </c>
      <c r="H2135">
        <v>3</v>
      </c>
      <c r="I2135" t="s">
        <v>27</v>
      </c>
    </row>
    <row r="2136" spans="1:9" x14ac:dyDescent="0.2">
      <c r="A2136" t="str">
        <f t="shared" si="280"/>
        <v>37956Vaipahu1221AutresDessus</v>
      </c>
      <c r="B2136" s="1">
        <v>37956</v>
      </c>
      <c r="C2136" t="s">
        <v>23</v>
      </c>
      <c r="D2136" s="19">
        <v>12</v>
      </c>
      <c r="E2136">
        <v>21</v>
      </c>
      <c r="F2136" t="s">
        <v>14</v>
      </c>
      <c r="G2136" t="s">
        <v>11</v>
      </c>
      <c r="H2136">
        <v>1</v>
      </c>
      <c r="I2136" t="s">
        <v>27</v>
      </c>
    </row>
    <row r="2137" spans="1:9" x14ac:dyDescent="0.2">
      <c r="A2137" t="str">
        <f t="shared" si="280"/>
        <v>37956Vaipahu1221PocilloporidaeBords</v>
      </c>
      <c r="B2137" s="1">
        <v>37956</v>
      </c>
      <c r="C2137" t="s">
        <v>23</v>
      </c>
      <c r="D2137" s="19">
        <v>12</v>
      </c>
      <c r="E2137">
        <v>21</v>
      </c>
      <c r="F2137" t="s">
        <v>10</v>
      </c>
      <c r="G2137" t="s">
        <v>13</v>
      </c>
      <c r="H2137">
        <v>5</v>
      </c>
      <c r="I2137" t="s">
        <v>27</v>
      </c>
    </row>
    <row r="2138" spans="1:9" x14ac:dyDescent="0.2">
      <c r="A2138" t="str">
        <f t="shared" si="280"/>
        <v>37956Vaipahu1221PocilloporidaeDessus</v>
      </c>
      <c r="B2138" s="1">
        <v>37956</v>
      </c>
      <c r="C2138" t="s">
        <v>23</v>
      </c>
      <c r="D2138" s="19">
        <v>12</v>
      </c>
      <c r="E2138">
        <v>21</v>
      </c>
      <c r="F2138" t="s">
        <v>10</v>
      </c>
      <c r="G2138" t="s">
        <v>11</v>
      </c>
      <c r="H2138">
        <v>1</v>
      </c>
      <c r="I2138" t="s">
        <v>27</v>
      </c>
    </row>
    <row r="2139" spans="1:9" x14ac:dyDescent="0.2">
      <c r="A2139" t="str">
        <f t="shared" si="280"/>
        <v>37956Vaipahu1221PoritidaeBords</v>
      </c>
      <c r="B2139" s="1">
        <v>37956</v>
      </c>
      <c r="C2139" t="s">
        <v>23</v>
      </c>
      <c r="D2139" s="19">
        <v>12</v>
      </c>
      <c r="E2139">
        <v>21</v>
      </c>
      <c r="F2139" t="s">
        <v>7</v>
      </c>
      <c r="G2139" t="s">
        <v>13</v>
      </c>
      <c r="H2139">
        <v>1</v>
      </c>
      <c r="I2139" t="s">
        <v>27</v>
      </c>
    </row>
    <row r="2140" spans="1:9" x14ac:dyDescent="0.2">
      <c r="A2140" t="str">
        <f t="shared" si="280"/>
        <v>37956Vaipahu1222Autres</v>
      </c>
      <c r="B2140" s="1">
        <v>37956</v>
      </c>
      <c r="C2140" t="s">
        <v>23</v>
      </c>
      <c r="D2140" s="19">
        <v>12</v>
      </c>
      <c r="E2140">
        <v>22</v>
      </c>
      <c r="F2140" t="s">
        <v>14</v>
      </c>
      <c r="H2140">
        <v>0</v>
      </c>
    </row>
    <row r="2141" spans="1:9" x14ac:dyDescent="0.2">
      <c r="A2141" t="str">
        <f t="shared" si="280"/>
        <v>37956Vaipahu1223PoritidaeBords</v>
      </c>
      <c r="B2141" s="1">
        <v>37956</v>
      </c>
      <c r="C2141" t="s">
        <v>23</v>
      </c>
      <c r="D2141" s="19">
        <v>12</v>
      </c>
      <c r="E2141">
        <v>23</v>
      </c>
      <c r="F2141" t="s">
        <v>7</v>
      </c>
      <c r="G2141" t="s">
        <v>13</v>
      </c>
      <c r="H2141">
        <v>1</v>
      </c>
      <c r="I2141" t="s">
        <v>27</v>
      </c>
    </row>
    <row r="2142" spans="1:9" x14ac:dyDescent="0.2">
      <c r="A2142" t="str">
        <f t="shared" si="280"/>
        <v>37956Vaipahu1224PocilloporidaeDessous</v>
      </c>
      <c r="B2142" s="1">
        <v>37956</v>
      </c>
      <c r="C2142" t="s">
        <v>23</v>
      </c>
      <c r="D2142" s="19">
        <v>12</v>
      </c>
      <c r="E2142">
        <v>24</v>
      </c>
      <c r="F2142" t="s">
        <v>10</v>
      </c>
      <c r="G2142" t="s">
        <v>8</v>
      </c>
      <c r="H2142">
        <v>1</v>
      </c>
      <c r="I2142" t="s">
        <v>27</v>
      </c>
    </row>
    <row r="2143" spans="1:9" x14ac:dyDescent="0.2">
      <c r="A2143" t="str">
        <f t="shared" si="280"/>
        <v>37956Vaipahu1225PocilloporidaeDessous</v>
      </c>
      <c r="B2143" s="1">
        <v>37956</v>
      </c>
      <c r="C2143" t="s">
        <v>23</v>
      </c>
      <c r="D2143" s="19">
        <v>12</v>
      </c>
      <c r="E2143">
        <v>25</v>
      </c>
      <c r="F2143" t="s">
        <v>10</v>
      </c>
      <c r="G2143" t="s">
        <v>8</v>
      </c>
      <c r="H2143">
        <v>1</v>
      </c>
      <c r="I2143" t="s">
        <v>27</v>
      </c>
    </row>
    <row r="2144" spans="1:9" x14ac:dyDescent="0.2">
      <c r="A2144" t="str">
        <f t="shared" si="280"/>
        <v>37956Vaipahu1226PocilloporidaeDessous</v>
      </c>
      <c r="B2144" s="1">
        <v>37956</v>
      </c>
      <c r="C2144" t="s">
        <v>23</v>
      </c>
      <c r="D2144" s="19">
        <v>12</v>
      </c>
      <c r="E2144">
        <v>26</v>
      </c>
      <c r="F2144" t="s">
        <v>10</v>
      </c>
      <c r="G2144" t="s">
        <v>8</v>
      </c>
      <c r="H2144">
        <v>1</v>
      </c>
      <c r="I2144" t="s">
        <v>27</v>
      </c>
    </row>
    <row r="2145" spans="1:9" x14ac:dyDescent="0.2">
      <c r="A2145" t="str">
        <f t="shared" si="280"/>
        <v>37956Vaipahu1227PocilloporidaeDessous</v>
      </c>
      <c r="B2145" s="1">
        <v>37956</v>
      </c>
      <c r="C2145" t="s">
        <v>23</v>
      </c>
      <c r="D2145" s="19">
        <v>12</v>
      </c>
      <c r="E2145">
        <v>27</v>
      </c>
      <c r="F2145" t="s">
        <v>10</v>
      </c>
      <c r="G2145" t="s">
        <v>8</v>
      </c>
      <c r="H2145">
        <v>1</v>
      </c>
      <c r="I2145" t="s">
        <v>27</v>
      </c>
    </row>
    <row r="2146" spans="1:9" x14ac:dyDescent="0.2">
      <c r="A2146" t="str">
        <f t="shared" si="280"/>
        <v>37956Vaipahu1228PocilloporidaeBords</v>
      </c>
      <c r="B2146" s="1">
        <v>37956</v>
      </c>
      <c r="C2146" t="s">
        <v>23</v>
      </c>
      <c r="D2146" s="19">
        <v>12</v>
      </c>
      <c r="E2146">
        <v>28</v>
      </c>
      <c r="F2146" t="s">
        <v>10</v>
      </c>
      <c r="G2146" t="s">
        <v>13</v>
      </c>
      <c r="H2146">
        <v>1</v>
      </c>
      <c r="I2146" t="s">
        <v>27</v>
      </c>
    </row>
    <row r="2147" spans="1:9" x14ac:dyDescent="0.2">
      <c r="A2147" t="str">
        <f t="shared" si="280"/>
        <v>37956Vaipahu1228PocilloporidaeDessous</v>
      </c>
      <c r="B2147" s="1">
        <v>37956</v>
      </c>
      <c r="C2147" t="s">
        <v>23</v>
      </c>
      <c r="D2147" s="19">
        <v>12</v>
      </c>
      <c r="E2147">
        <v>28</v>
      </c>
      <c r="F2147" t="s">
        <v>10</v>
      </c>
      <c r="G2147" t="s">
        <v>8</v>
      </c>
      <c r="H2147">
        <v>1</v>
      </c>
      <c r="I2147" t="s">
        <v>27</v>
      </c>
    </row>
    <row r="2148" spans="1:9" x14ac:dyDescent="0.2">
      <c r="A2148" t="str">
        <f t="shared" si="280"/>
        <v>37956Vaipahu1228PocilloporidaeDessus</v>
      </c>
      <c r="B2148" s="1">
        <v>37956</v>
      </c>
      <c r="C2148" t="s">
        <v>23</v>
      </c>
      <c r="D2148" s="19">
        <v>12</v>
      </c>
      <c r="E2148">
        <v>28</v>
      </c>
      <c r="F2148" t="s">
        <v>10</v>
      </c>
      <c r="G2148" t="s">
        <v>11</v>
      </c>
      <c r="H2148">
        <v>2</v>
      </c>
      <c r="I2148" t="s">
        <v>27</v>
      </c>
    </row>
    <row r="2149" spans="1:9" x14ac:dyDescent="0.2">
      <c r="A2149" t="str">
        <f t="shared" si="280"/>
        <v>37956Vaipahu1228PoritidaeBords</v>
      </c>
      <c r="B2149" s="1">
        <v>37956</v>
      </c>
      <c r="C2149" t="s">
        <v>23</v>
      </c>
      <c r="D2149" s="19">
        <v>12</v>
      </c>
      <c r="E2149">
        <v>28</v>
      </c>
      <c r="F2149" t="s">
        <v>7</v>
      </c>
      <c r="G2149" t="s">
        <v>13</v>
      </c>
      <c r="H2149">
        <v>1</v>
      </c>
      <c r="I2149" t="s">
        <v>27</v>
      </c>
    </row>
    <row r="2150" spans="1:9" x14ac:dyDescent="0.2">
      <c r="A2150" t="str">
        <f t="shared" si="280"/>
        <v>37956Vaipahu1228PoritidaeDessous</v>
      </c>
      <c r="B2150" s="1">
        <v>37956</v>
      </c>
      <c r="C2150" t="s">
        <v>23</v>
      </c>
      <c r="D2150" s="19">
        <v>12</v>
      </c>
      <c r="E2150">
        <v>28</v>
      </c>
      <c r="F2150" t="s">
        <v>7</v>
      </c>
      <c r="G2150" t="s">
        <v>8</v>
      </c>
      <c r="H2150">
        <v>1</v>
      </c>
      <c r="I2150" t="s">
        <v>27</v>
      </c>
    </row>
    <row r="2151" spans="1:9" x14ac:dyDescent="0.2">
      <c r="A2151" t="str">
        <f t="shared" si="280"/>
        <v>37956Vaipahu1229PocilloporidaeBords</v>
      </c>
      <c r="B2151" s="1">
        <v>37956</v>
      </c>
      <c r="C2151" t="s">
        <v>23</v>
      </c>
      <c r="D2151" s="19">
        <v>12</v>
      </c>
      <c r="E2151">
        <v>29</v>
      </c>
      <c r="F2151" t="s">
        <v>10</v>
      </c>
      <c r="G2151" t="s">
        <v>13</v>
      </c>
      <c r="H2151">
        <v>2</v>
      </c>
      <c r="I2151" t="s">
        <v>27</v>
      </c>
    </row>
    <row r="2152" spans="1:9" x14ac:dyDescent="0.2">
      <c r="A2152" t="str">
        <f t="shared" si="280"/>
        <v>37956Vaipahu1229PocilloporidaeDessous</v>
      </c>
      <c r="B2152" s="1">
        <v>37956</v>
      </c>
      <c r="C2152" t="s">
        <v>23</v>
      </c>
      <c r="D2152" s="19">
        <v>12</v>
      </c>
      <c r="E2152">
        <v>29</v>
      </c>
      <c r="F2152" t="s">
        <v>10</v>
      </c>
      <c r="G2152" t="s">
        <v>8</v>
      </c>
      <c r="H2152">
        <v>5</v>
      </c>
      <c r="I2152" t="s">
        <v>27</v>
      </c>
    </row>
    <row r="2153" spans="1:9" x14ac:dyDescent="0.2">
      <c r="A2153" t="str">
        <f t="shared" si="280"/>
        <v>37956Vaipahu1229PocilloporidaeDessus</v>
      </c>
      <c r="B2153" s="1">
        <v>37956</v>
      </c>
      <c r="C2153" t="s">
        <v>23</v>
      </c>
      <c r="D2153" s="19">
        <v>12</v>
      </c>
      <c r="E2153">
        <v>29</v>
      </c>
      <c r="F2153" t="s">
        <v>10</v>
      </c>
      <c r="G2153" t="s">
        <v>11</v>
      </c>
      <c r="H2153">
        <v>1</v>
      </c>
      <c r="I2153" t="s">
        <v>27</v>
      </c>
    </row>
    <row r="2154" spans="1:9" x14ac:dyDescent="0.2">
      <c r="A2154" t="str">
        <f t="shared" si="280"/>
        <v>37956Vaipahu1230CassésDessous</v>
      </c>
      <c r="B2154" s="1">
        <v>37956</v>
      </c>
      <c r="C2154" t="s">
        <v>23</v>
      </c>
      <c r="D2154" s="19">
        <v>12</v>
      </c>
      <c r="E2154">
        <v>30</v>
      </c>
      <c r="F2154" t="s">
        <v>12</v>
      </c>
      <c r="G2154" t="s">
        <v>8</v>
      </c>
      <c r="H2154">
        <v>1</v>
      </c>
      <c r="I2154" t="s">
        <v>27</v>
      </c>
    </row>
    <row r="2155" spans="1:9" x14ac:dyDescent="0.2">
      <c r="A2155" t="str">
        <f t="shared" si="280"/>
        <v>37956Vaipahu1230PocilloporidaeDessous</v>
      </c>
      <c r="B2155" s="1">
        <v>37956</v>
      </c>
      <c r="C2155" t="s">
        <v>23</v>
      </c>
      <c r="D2155" s="19">
        <v>12</v>
      </c>
      <c r="E2155">
        <v>30</v>
      </c>
      <c r="F2155" t="s">
        <v>10</v>
      </c>
      <c r="G2155" t="s">
        <v>8</v>
      </c>
      <c r="H2155">
        <v>1</v>
      </c>
      <c r="I2155" t="s">
        <v>27</v>
      </c>
    </row>
    <row r="2156" spans="1:9" x14ac:dyDescent="0.2">
      <c r="A2156" t="str">
        <f t="shared" si="280"/>
        <v>37956Vaipahu1231PocilloporidaeDessous</v>
      </c>
      <c r="B2156" s="1">
        <v>37956</v>
      </c>
      <c r="C2156" t="s">
        <v>23</v>
      </c>
      <c r="D2156" s="19">
        <v>12</v>
      </c>
      <c r="E2156">
        <v>31</v>
      </c>
      <c r="F2156" t="s">
        <v>10</v>
      </c>
      <c r="G2156" t="s">
        <v>8</v>
      </c>
      <c r="H2156">
        <v>3</v>
      </c>
      <c r="I2156" t="s">
        <v>27</v>
      </c>
    </row>
    <row r="2157" spans="1:9" x14ac:dyDescent="0.2">
      <c r="A2157" t="str">
        <f t="shared" si="280"/>
        <v>37956Vaipahu1231PoritidaeDessous</v>
      </c>
      <c r="B2157" s="1">
        <v>37956</v>
      </c>
      <c r="C2157" t="s">
        <v>23</v>
      </c>
      <c r="D2157" s="19">
        <v>12</v>
      </c>
      <c r="E2157">
        <v>31</v>
      </c>
      <c r="F2157" t="s">
        <v>7</v>
      </c>
      <c r="G2157" t="s">
        <v>8</v>
      </c>
      <c r="H2157">
        <v>1</v>
      </c>
      <c r="I2157" t="s">
        <v>27</v>
      </c>
    </row>
    <row r="2158" spans="1:9" x14ac:dyDescent="0.2">
      <c r="A2158" t="str">
        <f t="shared" si="280"/>
        <v>37956Vaipahu1232Autres</v>
      </c>
      <c r="B2158" s="1">
        <v>37956</v>
      </c>
      <c r="C2158" t="s">
        <v>23</v>
      </c>
      <c r="D2158" s="19">
        <v>12</v>
      </c>
      <c r="E2158">
        <v>32</v>
      </c>
      <c r="F2158" t="s">
        <v>14</v>
      </c>
      <c r="H2158">
        <v>0</v>
      </c>
    </row>
    <row r="2159" spans="1:9" x14ac:dyDescent="0.2">
      <c r="A2159" t="str">
        <f t="shared" si="280"/>
        <v>37956Vaipahu1233PocilloporidaeBords</v>
      </c>
      <c r="B2159" s="1">
        <v>37956</v>
      </c>
      <c r="C2159" t="s">
        <v>23</v>
      </c>
      <c r="D2159" s="19">
        <v>12</v>
      </c>
      <c r="E2159">
        <v>33</v>
      </c>
      <c r="F2159" t="s">
        <v>10</v>
      </c>
      <c r="G2159" t="s">
        <v>13</v>
      </c>
      <c r="H2159">
        <v>1</v>
      </c>
      <c r="I2159" t="s">
        <v>27</v>
      </c>
    </row>
    <row r="2160" spans="1:9" x14ac:dyDescent="0.2">
      <c r="A2160" t="str">
        <f t="shared" si="280"/>
        <v>37956Vaipahu1233PocilloporidaeDessous</v>
      </c>
      <c r="B2160" s="1">
        <v>37956</v>
      </c>
      <c r="C2160" t="s">
        <v>23</v>
      </c>
      <c r="D2160" s="19">
        <v>12</v>
      </c>
      <c r="E2160">
        <v>33</v>
      </c>
      <c r="F2160" t="s">
        <v>10</v>
      </c>
      <c r="G2160" t="s">
        <v>8</v>
      </c>
      <c r="H2160">
        <v>4</v>
      </c>
      <c r="I2160" t="s">
        <v>27</v>
      </c>
    </row>
    <row r="2161" spans="1:9" x14ac:dyDescent="0.2">
      <c r="A2161" t="str">
        <f t="shared" si="280"/>
        <v>37956Vaipahu1233PocilloporidaeDessus</v>
      </c>
      <c r="B2161" s="1">
        <v>37956</v>
      </c>
      <c r="C2161" t="s">
        <v>23</v>
      </c>
      <c r="D2161" s="19">
        <v>12</v>
      </c>
      <c r="E2161">
        <v>33</v>
      </c>
      <c r="F2161" t="s">
        <v>10</v>
      </c>
      <c r="G2161" t="s">
        <v>11</v>
      </c>
      <c r="H2161">
        <v>2</v>
      </c>
      <c r="I2161" t="s">
        <v>27</v>
      </c>
    </row>
    <row r="2162" spans="1:9" x14ac:dyDescent="0.2">
      <c r="A2162" t="str">
        <f t="shared" si="280"/>
        <v>37956Vaipahu1234AcroporidaeDessus</v>
      </c>
      <c r="B2162" s="1">
        <v>37956</v>
      </c>
      <c r="C2162" t="s">
        <v>23</v>
      </c>
      <c r="D2162" s="19">
        <v>12</v>
      </c>
      <c r="E2162">
        <v>34</v>
      </c>
      <c r="F2162" t="s">
        <v>17</v>
      </c>
      <c r="G2162" t="s">
        <v>11</v>
      </c>
      <c r="H2162">
        <v>1</v>
      </c>
      <c r="I2162" t="s">
        <v>27</v>
      </c>
    </row>
    <row r="2163" spans="1:9" x14ac:dyDescent="0.2">
      <c r="A2163" t="str">
        <f t="shared" si="280"/>
        <v>37956Vaipahu1234CassésDessous</v>
      </c>
      <c r="B2163" s="1">
        <v>37956</v>
      </c>
      <c r="C2163" t="s">
        <v>23</v>
      </c>
      <c r="D2163" s="19">
        <v>12</v>
      </c>
      <c r="E2163">
        <v>34</v>
      </c>
      <c r="F2163" t="s">
        <v>12</v>
      </c>
      <c r="G2163" t="s">
        <v>8</v>
      </c>
      <c r="H2163">
        <v>1</v>
      </c>
      <c r="I2163" t="s">
        <v>27</v>
      </c>
    </row>
    <row r="2164" spans="1:9" x14ac:dyDescent="0.2">
      <c r="A2164" t="str">
        <f t="shared" si="280"/>
        <v>37956Vaipahu1234CassésDessus</v>
      </c>
      <c r="B2164" s="1">
        <v>37956</v>
      </c>
      <c r="C2164" t="s">
        <v>23</v>
      </c>
      <c r="D2164" s="19">
        <v>12</v>
      </c>
      <c r="E2164">
        <v>34</v>
      </c>
      <c r="F2164" t="s">
        <v>12</v>
      </c>
      <c r="G2164" t="s">
        <v>11</v>
      </c>
      <c r="H2164">
        <v>1</v>
      </c>
      <c r="I2164" t="s">
        <v>27</v>
      </c>
    </row>
    <row r="2165" spans="1:9" x14ac:dyDescent="0.2">
      <c r="A2165" t="str">
        <f t="shared" si="280"/>
        <v>37956Vaipahu1234PocilloporidaeBords</v>
      </c>
      <c r="B2165" s="1">
        <v>37956</v>
      </c>
      <c r="C2165" t="s">
        <v>23</v>
      </c>
      <c r="D2165" s="19">
        <v>12</v>
      </c>
      <c r="E2165">
        <v>34</v>
      </c>
      <c r="F2165" t="s">
        <v>10</v>
      </c>
      <c r="G2165" t="s">
        <v>13</v>
      </c>
      <c r="H2165">
        <v>2</v>
      </c>
      <c r="I2165" t="s">
        <v>27</v>
      </c>
    </row>
    <row r="2166" spans="1:9" x14ac:dyDescent="0.2">
      <c r="A2166" t="str">
        <f t="shared" si="280"/>
        <v>37956Vaipahu1234PocilloporidaeDessous</v>
      </c>
      <c r="B2166" s="1">
        <v>37956</v>
      </c>
      <c r="C2166" t="s">
        <v>23</v>
      </c>
      <c r="D2166" s="19">
        <v>12</v>
      </c>
      <c r="E2166">
        <v>34</v>
      </c>
      <c r="F2166" t="s">
        <v>10</v>
      </c>
      <c r="G2166" t="s">
        <v>8</v>
      </c>
      <c r="H2166">
        <v>3</v>
      </c>
      <c r="I2166" t="s">
        <v>27</v>
      </c>
    </row>
    <row r="2167" spans="1:9" x14ac:dyDescent="0.2">
      <c r="A2167" t="str">
        <f t="shared" si="280"/>
        <v>37956Vaipahu1234PocilloporidaeDessus</v>
      </c>
      <c r="B2167" s="1">
        <v>37956</v>
      </c>
      <c r="C2167" t="s">
        <v>23</v>
      </c>
      <c r="D2167" s="19">
        <v>12</v>
      </c>
      <c r="E2167">
        <v>34</v>
      </c>
      <c r="F2167" t="s">
        <v>10</v>
      </c>
      <c r="G2167" t="s">
        <v>11</v>
      </c>
      <c r="H2167">
        <v>4</v>
      </c>
      <c r="I2167" t="s">
        <v>27</v>
      </c>
    </row>
    <row r="2168" spans="1:9" x14ac:dyDescent="0.2">
      <c r="A2168" t="str">
        <f t="shared" si="280"/>
        <v>37956Vaipahu1235CassésDessus</v>
      </c>
      <c r="B2168" s="1">
        <v>37956</v>
      </c>
      <c r="C2168" t="s">
        <v>23</v>
      </c>
      <c r="D2168" s="19">
        <v>12</v>
      </c>
      <c r="E2168">
        <v>35</v>
      </c>
      <c r="F2168" t="s">
        <v>12</v>
      </c>
      <c r="G2168" t="s">
        <v>11</v>
      </c>
      <c r="H2168">
        <v>1</v>
      </c>
      <c r="I2168" t="s">
        <v>27</v>
      </c>
    </row>
    <row r="2169" spans="1:9" x14ac:dyDescent="0.2">
      <c r="A2169" t="str">
        <f t="shared" si="280"/>
        <v>37956Vaipahu1235PocilloporidaeBords</v>
      </c>
      <c r="B2169" s="1">
        <v>37956</v>
      </c>
      <c r="C2169" t="s">
        <v>23</v>
      </c>
      <c r="D2169" s="19">
        <v>12</v>
      </c>
      <c r="E2169">
        <v>35</v>
      </c>
      <c r="F2169" t="s">
        <v>10</v>
      </c>
      <c r="G2169" t="s">
        <v>13</v>
      </c>
      <c r="H2169">
        <v>1</v>
      </c>
      <c r="I2169" t="s">
        <v>27</v>
      </c>
    </row>
    <row r="2170" spans="1:9" x14ac:dyDescent="0.2">
      <c r="A2170" t="str">
        <f t="shared" si="280"/>
        <v>37956Vaipahu1235PocilloporidaeDessous</v>
      </c>
      <c r="B2170" s="1">
        <v>37956</v>
      </c>
      <c r="C2170" t="s">
        <v>23</v>
      </c>
      <c r="D2170" s="19">
        <v>12</v>
      </c>
      <c r="E2170">
        <v>35</v>
      </c>
      <c r="F2170" t="s">
        <v>10</v>
      </c>
      <c r="G2170" t="s">
        <v>8</v>
      </c>
      <c r="H2170">
        <v>2</v>
      </c>
      <c r="I2170" t="s">
        <v>27</v>
      </c>
    </row>
    <row r="2171" spans="1:9" x14ac:dyDescent="0.2">
      <c r="A2171" t="str">
        <f t="shared" si="280"/>
        <v>37956Vaipahu1235PoritidaeDessous</v>
      </c>
      <c r="B2171" s="1">
        <v>37956</v>
      </c>
      <c r="C2171" t="s">
        <v>23</v>
      </c>
      <c r="D2171" s="19">
        <v>12</v>
      </c>
      <c r="E2171">
        <v>35</v>
      </c>
      <c r="F2171" t="s">
        <v>7</v>
      </c>
      <c r="G2171" t="s">
        <v>8</v>
      </c>
      <c r="H2171">
        <v>1</v>
      </c>
      <c r="I2171" t="s">
        <v>27</v>
      </c>
    </row>
    <row r="2172" spans="1:9" x14ac:dyDescent="0.2">
      <c r="A2172" t="str">
        <f t="shared" si="280"/>
        <v>37956Vaipahu1236PocilloporidaeBords</v>
      </c>
      <c r="B2172" s="1">
        <v>37956</v>
      </c>
      <c r="C2172" t="s">
        <v>23</v>
      </c>
      <c r="D2172" s="19">
        <v>12</v>
      </c>
      <c r="E2172">
        <v>36</v>
      </c>
      <c r="F2172" t="s">
        <v>10</v>
      </c>
      <c r="G2172" t="s">
        <v>13</v>
      </c>
      <c r="H2172">
        <v>2</v>
      </c>
      <c r="I2172" t="s">
        <v>27</v>
      </c>
    </row>
    <row r="2173" spans="1:9" x14ac:dyDescent="0.2">
      <c r="A2173" t="str">
        <f t="shared" si="280"/>
        <v>37956Vaipahu1237Autres</v>
      </c>
      <c r="B2173" s="1">
        <v>37956</v>
      </c>
      <c r="C2173" t="s">
        <v>23</v>
      </c>
      <c r="D2173" s="19">
        <v>12</v>
      </c>
      <c r="E2173">
        <v>37</v>
      </c>
      <c r="F2173" t="s">
        <v>14</v>
      </c>
      <c r="H2173">
        <v>0</v>
      </c>
    </row>
    <row r="2174" spans="1:9" x14ac:dyDescent="0.2">
      <c r="A2174" t="str">
        <f t="shared" si="280"/>
        <v>37956Vaipahu1238PocilloporidaeBords</v>
      </c>
      <c r="B2174" s="1">
        <v>37956</v>
      </c>
      <c r="C2174" t="s">
        <v>23</v>
      </c>
      <c r="D2174" s="19">
        <v>12</v>
      </c>
      <c r="E2174">
        <v>38</v>
      </c>
      <c r="F2174" t="s">
        <v>10</v>
      </c>
      <c r="G2174" t="s">
        <v>13</v>
      </c>
      <c r="H2174">
        <v>1</v>
      </c>
      <c r="I2174" t="s">
        <v>27</v>
      </c>
    </row>
    <row r="2175" spans="1:9" x14ac:dyDescent="0.2">
      <c r="A2175" t="str">
        <f t="shared" ref="A2175:A2238" si="281">B2175 &amp; C2175&amp; D2175&amp; E2175 &amp; F2175 &amp;G2175</f>
        <v>37956Vaipahu1239AutresDessous</v>
      </c>
      <c r="B2175" s="1">
        <v>37956</v>
      </c>
      <c r="C2175" t="s">
        <v>23</v>
      </c>
      <c r="D2175" s="19">
        <v>12</v>
      </c>
      <c r="E2175">
        <v>39</v>
      </c>
      <c r="F2175" t="s">
        <v>14</v>
      </c>
      <c r="G2175" t="s">
        <v>8</v>
      </c>
      <c r="H2175">
        <v>1</v>
      </c>
      <c r="I2175" t="s">
        <v>27</v>
      </c>
    </row>
    <row r="2176" spans="1:9" x14ac:dyDescent="0.2">
      <c r="A2176" t="str">
        <f t="shared" si="281"/>
        <v>37956Vaipahu1240PocilloporidaeBords</v>
      </c>
      <c r="B2176" s="1">
        <v>37956</v>
      </c>
      <c r="C2176" t="s">
        <v>23</v>
      </c>
      <c r="D2176" s="19">
        <v>12</v>
      </c>
      <c r="E2176">
        <v>40</v>
      </c>
      <c r="F2176" t="s">
        <v>10</v>
      </c>
      <c r="G2176" t="s">
        <v>13</v>
      </c>
      <c r="H2176">
        <v>1</v>
      </c>
      <c r="I2176" t="s">
        <v>27</v>
      </c>
    </row>
    <row r="2177" spans="1:9" x14ac:dyDescent="0.2">
      <c r="A2177" t="str">
        <f t="shared" si="281"/>
        <v>37956Vaipahu1841PocilloporidaeDessous</v>
      </c>
      <c r="B2177" s="1">
        <v>37956</v>
      </c>
      <c r="C2177" t="s">
        <v>23</v>
      </c>
      <c r="D2177" s="19">
        <v>18</v>
      </c>
      <c r="E2177">
        <v>41</v>
      </c>
      <c r="F2177" t="s">
        <v>10</v>
      </c>
      <c r="G2177" t="s">
        <v>8</v>
      </c>
      <c r="H2177">
        <v>5</v>
      </c>
      <c r="I2177" t="s">
        <v>27</v>
      </c>
    </row>
    <row r="2178" spans="1:9" x14ac:dyDescent="0.2">
      <c r="A2178" t="str">
        <f t="shared" si="281"/>
        <v>37956Vaipahu1842PocilloporidaeBords</v>
      </c>
      <c r="B2178" s="1">
        <v>37956</v>
      </c>
      <c r="C2178" t="s">
        <v>23</v>
      </c>
      <c r="D2178" s="19">
        <v>18</v>
      </c>
      <c r="E2178">
        <v>42</v>
      </c>
      <c r="F2178" t="s">
        <v>10</v>
      </c>
      <c r="G2178" t="s">
        <v>13</v>
      </c>
      <c r="H2178">
        <v>2</v>
      </c>
      <c r="I2178" t="s">
        <v>27</v>
      </c>
    </row>
    <row r="2179" spans="1:9" x14ac:dyDescent="0.2">
      <c r="A2179" t="str">
        <f t="shared" si="281"/>
        <v>37956Vaipahu1842PocilloporidaeDessus</v>
      </c>
      <c r="B2179" s="1">
        <v>37956</v>
      </c>
      <c r="C2179" t="s">
        <v>23</v>
      </c>
      <c r="D2179" s="19">
        <v>18</v>
      </c>
      <c r="E2179">
        <v>42</v>
      </c>
      <c r="F2179" t="s">
        <v>10</v>
      </c>
      <c r="G2179" t="s">
        <v>11</v>
      </c>
      <c r="H2179">
        <v>1</v>
      </c>
      <c r="I2179" t="s">
        <v>27</v>
      </c>
    </row>
    <row r="2180" spans="1:9" x14ac:dyDescent="0.2">
      <c r="A2180" t="str">
        <f t="shared" si="281"/>
        <v>37956Vaipahu1843PocilloporidaeDessous</v>
      </c>
      <c r="B2180" s="1">
        <v>37956</v>
      </c>
      <c r="C2180" t="s">
        <v>23</v>
      </c>
      <c r="D2180" s="19">
        <v>18</v>
      </c>
      <c r="E2180">
        <v>43</v>
      </c>
      <c r="F2180" t="s">
        <v>10</v>
      </c>
      <c r="G2180" t="s">
        <v>8</v>
      </c>
      <c r="H2180">
        <v>1</v>
      </c>
      <c r="I2180" t="s">
        <v>27</v>
      </c>
    </row>
    <row r="2181" spans="1:9" x14ac:dyDescent="0.2">
      <c r="A2181" t="str">
        <f t="shared" si="281"/>
        <v>37956Vaipahu1843PoritidaeDessous</v>
      </c>
      <c r="B2181" s="1">
        <v>37956</v>
      </c>
      <c r="C2181" t="s">
        <v>23</v>
      </c>
      <c r="D2181" s="19">
        <v>18</v>
      </c>
      <c r="E2181">
        <v>43</v>
      </c>
      <c r="F2181" t="s">
        <v>7</v>
      </c>
      <c r="G2181" t="s">
        <v>8</v>
      </c>
      <c r="H2181">
        <v>1</v>
      </c>
      <c r="I2181" t="s">
        <v>27</v>
      </c>
    </row>
    <row r="2182" spans="1:9" x14ac:dyDescent="0.2">
      <c r="A2182" t="str">
        <f t="shared" si="281"/>
        <v>37956Vaipahu1844PocilloporidaeBords</v>
      </c>
      <c r="B2182" s="1">
        <v>37956</v>
      </c>
      <c r="C2182" t="s">
        <v>23</v>
      </c>
      <c r="D2182" s="19">
        <v>18</v>
      </c>
      <c r="E2182">
        <v>44</v>
      </c>
      <c r="F2182" t="s">
        <v>10</v>
      </c>
      <c r="G2182" t="s">
        <v>13</v>
      </c>
      <c r="H2182">
        <v>1</v>
      </c>
      <c r="I2182" t="s">
        <v>27</v>
      </c>
    </row>
    <row r="2183" spans="1:9" x14ac:dyDescent="0.2">
      <c r="A2183" t="str">
        <f t="shared" si="281"/>
        <v>37956Vaipahu1845PocilloporidaeBords</v>
      </c>
      <c r="B2183" s="1">
        <v>37956</v>
      </c>
      <c r="C2183" t="s">
        <v>23</v>
      </c>
      <c r="D2183" s="19">
        <v>18</v>
      </c>
      <c r="E2183">
        <v>45</v>
      </c>
      <c r="F2183" t="s">
        <v>10</v>
      </c>
      <c r="G2183" t="s">
        <v>13</v>
      </c>
      <c r="H2183">
        <v>1</v>
      </c>
      <c r="I2183" t="s">
        <v>27</v>
      </c>
    </row>
    <row r="2184" spans="1:9" x14ac:dyDescent="0.2">
      <c r="A2184" t="str">
        <f t="shared" si="281"/>
        <v>37956Vaipahu1845PocilloporidaeDessous</v>
      </c>
      <c r="B2184" s="1">
        <v>37956</v>
      </c>
      <c r="C2184" t="s">
        <v>23</v>
      </c>
      <c r="D2184" s="19">
        <v>18</v>
      </c>
      <c r="E2184">
        <v>45</v>
      </c>
      <c r="F2184" t="s">
        <v>10</v>
      </c>
      <c r="G2184" t="s">
        <v>8</v>
      </c>
      <c r="H2184">
        <v>1</v>
      </c>
      <c r="I2184" t="s">
        <v>27</v>
      </c>
    </row>
    <row r="2185" spans="1:9" x14ac:dyDescent="0.2">
      <c r="A2185" t="str">
        <f t="shared" si="281"/>
        <v>37956Vaipahu1846PocilloporidaeBords</v>
      </c>
      <c r="B2185" s="1">
        <v>37956</v>
      </c>
      <c r="C2185" t="s">
        <v>23</v>
      </c>
      <c r="D2185" s="19">
        <v>18</v>
      </c>
      <c r="E2185">
        <v>46</v>
      </c>
      <c r="F2185" t="s">
        <v>10</v>
      </c>
      <c r="G2185" t="s">
        <v>13</v>
      </c>
      <c r="H2185">
        <v>1</v>
      </c>
      <c r="I2185" t="s">
        <v>27</v>
      </c>
    </row>
    <row r="2186" spans="1:9" x14ac:dyDescent="0.2">
      <c r="A2186" t="str">
        <f t="shared" si="281"/>
        <v>37956Vaipahu1846PocilloporidaeDessous</v>
      </c>
      <c r="B2186" s="1">
        <v>37956</v>
      </c>
      <c r="C2186" t="s">
        <v>23</v>
      </c>
      <c r="D2186" s="19">
        <v>18</v>
      </c>
      <c r="E2186">
        <v>46</v>
      </c>
      <c r="F2186" t="s">
        <v>10</v>
      </c>
      <c r="G2186" t="s">
        <v>8</v>
      </c>
      <c r="H2186">
        <v>2</v>
      </c>
      <c r="I2186" t="s">
        <v>27</v>
      </c>
    </row>
    <row r="2187" spans="1:9" x14ac:dyDescent="0.2">
      <c r="A2187" t="str">
        <f t="shared" si="281"/>
        <v>37956Vaipahu1846PoritidaeBords</v>
      </c>
      <c r="B2187" s="1">
        <v>37956</v>
      </c>
      <c r="C2187" t="s">
        <v>23</v>
      </c>
      <c r="D2187" s="19">
        <v>18</v>
      </c>
      <c r="E2187">
        <v>46</v>
      </c>
      <c r="F2187" t="s">
        <v>7</v>
      </c>
      <c r="G2187" t="s">
        <v>13</v>
      </c>
      <c r="H2187">
        <v>1</v>
      </c>
      <c r="I2187" t="s">
        <v>27</v>
      </c>
    </row>
    <row r="2188" spans="1:9" x14ac:dyDescent="0.2">
      <c r="A2188" t="str">
        <f t="shared" si="281"/>
        <v>37956Vaipahu1846PoritidaeDessous</v>
      </c>
      <c r="B2188" s="1">
        <v>37956</v>
      </c>
      <c r="C2188" t="s">
        <v>23</v>
      </c>
      <c r="D2188" s="19">
        <v>18</v>
      </c>
      <c r="E2188">
        <v>46</v>
      </c>
      <c r="F2188" t="s">
        <v>7</v>
      </c>
      <c r="G2188" t="s">
        <v>8</v>
      </c>
      <c r="H2188">
        <v>1</v>
      </c>
      <c r="I2188" t="s">
        <v>27</v>
      </c>
    </row>
    <row r="2189" spans="1:9" x14ac:dyDescent="0.2">
      <c r="A2189" t="str">
        <f t="shared" si="281"/>
        <v>37956Vaipahu1847PocilloporidaeBords</v>
      </c>
      <c r="B2189" s="1">
        <v>37956</v>
      </c>
      <c r="C2189" t="s">
        <v>23</v>
      </c>
      <c r="D2189" s="19">
        <v>18</v>
      </c>
      <c r="E2189">
        <v>47</v>
      </c>
      <c r="F2189" t="s">
        <v>10</v>
      </c>
      <c r="G2189" t="s">
        <v>13</v>
      </c>
      <c r="H2189">
        <v>1</v>
      </c>
      <c r="I2189" t="s">
        <v>27</v>
      </c>
    </row>
    <row r="2190" spans="1:9" x14ac:dyDescent="0.2">
      <c r="A2190" t="str">
        <f t="shared" si="281"/>
        <v>37956Vaipahu1847PoritidaeDessous</v>
      </c>
      <c r="B2190" s="1">
        <v>37956</v>
      </c>
      <c r="C2190" t="s">
        <v>23</v>
      </c>
      <c r="D2190" s="19">
        <v>18</v>
      </c>
      <c r="E2190">
        <v>47</v>
      </c>
      <c r="F2190" t="s">
        <v>7</v>
      </c>
      <c r="G2190" t="s">
        <v>8</v>
      </c>
      <c r="H2190">
        <v>1</v>
      </c>
      <c r="I2190" t="s">
        <v>27</v>
      </c>
    </row>
    <row r="2191" spans="1:9" x14ac:dyDescent="0.2">
      <c r="A2191" t="str">
        <f t="shared" si="281"/>
        <v>37956Vaipahu1848PocilloporidaeDessous</v>
      </c>
      <c r="B2191" s="1">
        <v>37956</v>
      </c>
      <c r="C2191" t="s">
        <v>23</v>
      </c>
      <c r="D2191" s="19">
        <v>18</v>
      </c>
      <c r="E2191">
        <v>48</v>
      </c>
      <c r="F2191" t="s">
        <v>10</v>
      </c>
      <c r="G2191" t="s">
        <v>8</v>
      </c>
      <c r="H2191">
        <v>4</v>
      </c>
      <c r="I2191" t="s">
        <v>27</v>
      </c>
    </row>
    <row r="2192" spans="1:9" x14ac:dyDescent="0.2">
      <c r="A2192" t="str">
        <f t="shared" si="281"/>
        <v>37956Vaipahu1849Autres</v>
      </c>
      <c r="B2192" s="1">
        <v>37956</v>
      </c>
      <c r="C2192" t="s">
        <v>23</v>
      </c>
      <c r="D2192" s="19">
        <v>18</v>
      </c>
      <c r="E2192">
        <v>49</v>
      </c>
      <c r="F2192" t="s">
        <v>14</v>
      </c>
      <c r="H2192">
        <v>0</v>
      </c>
    </row>
    <row r="2193" spans="1:9" x14ac:dyDescent="0.2">
      <c r="A2193" t="str">
        <f t="shared" si="281"/>
        <v>37956Vaipahu1850PocilloporidaeBords</v>
      </c>
      <c r="B2193" s="1">
        <v>37956</v>
      </c>
      <c r="C2193" t="s">
        <v>23</v>
      </c>
      <c r="D2193" s="19">
        <v>18</v>
      </c>
      <c r="E2193">
        <v>50</v>
      </c>
      <c r="F2193" t="s">
        <v>10</v>
      </c>
      <c r="G2193" t="s">
        <v>13</v>
      </c>
      <c r="H2193">
        <v>2</v>
      </c>
      <c r="I2193" t="s">
        <v>27</v>
      </c>
    </row>
    <row r="2194" spans="1:9" x14ac:dyDescent="0.2">
      <c r="A2194" t="str">
        <f t="shared" si="281"/>
        <v>37956Vaipahu1851PocilloporidaeDessous</v>
      </c>
      <c r="B2194" s="1">
        <v>37956</v>
      </c>
      <c r="C2194" t="s">
        <v>23</v>
      </c>
      <c r="D2194" s="19">
        <v>18</v>
      </c>
      <c r="E2194">
        <v>51</v>
      </c>
      <c r="F2194" t="s">
        <v>10</v>
      </c>
      <c r="G2194" t="s">
        <v>8</v>
      </c>
      <c r="H2194">
        <v>3</v>
      </c>
      <c r="I2194" t="s">
        <v>27</v>
      </c>
    </row>
    <row r="2195" spans="1:9" x14ac:dyDescent="0.2">
      <c r="A2195" t="str">
        <f t="shared" si="281"/>
        <v>37956Vaipahu1852PocilloporidaeDessous</v>
      </c>
      <c r="B2195" s="1">
        <v>37956</v>
      </c>
      <c r="C2195" t="s">
        <v>23</v>
      </c>
      <c r="D2195" s="19">
        <v>18</v>
      </c>
      <c r="E2195">
        <v>52</v>
      </c>
      <c r="F2195" t="s">
        <v>10</v>
      </c>
      <c r="G2195" t="s">
        <v>8</v>
      </c>
      <c r="H2195">
        <v>3</v>
      </c>
      <c r="I2195" t="s">
        <v>27</v>
      </c>
    </row>
    <row r="2196" spans="1:9" x14ac:dyDescent="0.2">
      <c r="A2196" t="str">
        <f t="shared" si="281"/>
        <v>37956Vaipahu1853Autres</v>
      </c>
      <c r="B2196" s="1">
        <v>37956</v>
      </c>
      <c r="C2196" t="s">
        <v>23</v>
      </c>
      <c r="D2196" s="19">
        <v>18</v>
      </c>
      <c r="E2196">
        <v>53</v>
      </c>
      <c r="F2196" t="s">
        <v>14</v>
      </c>
      <c r="H2196">
        <v>0</v>
      </c>
    </row>
    <row r="2197" spans="1:9" x14ac:dyDescent="0.2">
      <c r="A2197" t="str">
        <f t="shared" si="281"/>
        <v>37956Vaipahu1854PocilloporidaeDessous</v>
      </c>
      <c r="B2197" s="1">
        <v>37956</v>
      </c>
      <c r="C2197" t="s">
        <v>23</v>
      </c>
      <c r="D2197" s="19">
        <v>18</v>
      </c>
      <c r="E2197">
        <v>54</v>
      </c>
      <c r="F2197" t="s">
        <v>10</v>
      </c>
      <c r="G2197" t="s">
        <v>8</v>
      </c>
      <c r="H2197">
        <v>3</v>
      </c>
      <c r="I2197" t="s">
        <v>27</v>
      </c>
    </row>
    <row r="2198" spans="1:9" x14ac:dyDescent="0.2">
      <c r="A2198" t="str">
        <f t="shared" si="281"/>
        <v>37956Vaipahu1855AcroporidaeBords</v>
      </c>
      <c r="B2198" s="1">
        <v>37956</v>
      </c>
      <c r="C2198" t="s">
        <v>23</v>
      </c>
      <c r="D2198" s="19">
        <v>18</v>
      </c>
      <c r="E2198">
        <v>55</v>
      </c>
      <c r="F2198" t="s">
        <v>17</v>
      </c>
      <c r="G2198" t="s">
        <v>13</v>
      </c>
      <c r="H2198">
        <v>1</v>
      </c>
      <c r="I2198" t="s">
        <v>27</v>
      </c>
    </row>
    <row r="2199" spans="1:9" x14ac:dyDescent="0.2">
      <c r="A2199" t="str">
        <f t="shared" si="281"/>
        <v>37956Vaipahu1855PocilloporidaeBords</v>
      </c>
      <c r="B2199" s="1">
        <v>37956</v>
      </c>
      <c r="C2199" t="s">
        <v>23</v>
      </c>
      <c r="D2199" s="19">
        <v>18</v>
      </c>
      <c r="E2199">
        <v>55</v>
      </c>
      <c r="F2199" t="s">
        <v>10</v>
      </c>
      <c r="G2199" t="s">
        <v>13</v>
      </c>
      <c r="H2199">
        <v>1</v>
      </c>
      <c r="I2199" t="s">
        <v>27</v>
      </c>
    </row>
    <row r="2200" spans="1:9" x14ac:dyDescent="0.2">
      <c r="A2200" t="str">
        <f t="shared" si="281"/>
        <v>37956Vaipahu1856PocilloporidaeDessous</v>
      </c>
      <c r="B2200" s="1">
        <v>37956</v>
      </c>
      <c r="C2200" t="s">
        <v>23</v>
      </c>
      <c r="D2200" s="19">
        <v>18</v>
      </c>
      <c r="E2200">
        <v>56</v>
      </c>
      <c r="F2200" t="s">
        <v>10</v>
      </c>
      <c r="G2200" t="s">
        <v>8</v>
      </c>
      <c r="H2200">
        <v>1</v>
      </c>
      <c r="I2200" t="s">
        <v>27</v>
      </c>
    </row>
    <row r="2201" spans="1:9" x14ac:dyDescent="0.2">
      <c r="A2201" t="str">
        <f t="shared" si="281"/>
        <v>37956Vaipahu1857PocilloporidaeBords</v>
      </c>
      <c r="B2201" s="1">
        <v>37956</v>
      </c>
      <c r="C2201" t="s">
        <v>23</v>
      </c>
      <c r="D2201" s="19">
        <v>18</v>
      </c>
      <c r="E2201">
        <v>57</v>
      </c>
      <c r="F2201" t="s">
        <v>10</v>
      </c>
      <c r="G2201" t="s">
        <v>13</v>
      </c>
      <c r="H2201">
        <v>1</v>
      </c>
      <c r="I2201" t="s">
        <v>27</v>
      </c>
    </row>
    <row r="2202" spans="1:9" x14ac:dyDescent="0.2">
      <c r="A2202" t="str">
        <f t="shared" si="281"/>
        <v>37956Vaipahu1857PocilloporidaeDessus</v>
      </c>
      <c r="B2202" s="1">
        <v>37956</v>
      </c>
      <c r="C2202" t="s">
        <v>23</v>
      </c>
      <c r="D2202" s="19">
        <v>18</v>
      </c>
      <c r="E2202">
        <v>57</v>
      </c>
      <c r="F2202" t="s">
        <v>10</v>
      </c>
      <c r="G2202" t="s">
        <v>11</v>
      </c>
      <c r="H2202">
        <v>1</v>
      </c>
      <c r="I2202" t="s">
        <v>27</v>
      </c>
    </row>
    <row r="2203" spans="1:9" x14ac:dyDescent="0.2">
      <c r="A2203" t="str">
        <f t="shared" si="281"/>
        <v>37956Vaipahu1858PocilloporidaeDessus</v>
      </c>
      <c r="B2203" s="1">
        <v>37956</v>
      </c>
      <c r="C2203" t="s">
        <v>23</v>
      </c>
      <c r="D2203" s="19">
        <v>18</v>
      </c>
      <c r="E2203">
        <v>58</v>
      </c>
      <c r="F2203" t="s">
        <v>10</v>
      </c>
      <c r="G2203" t="s">
        <v>11</v>
      </c>
      <c r="H2203">
        <v>1</v>
      </c>
      <c r="I2203" t="s">
        <v>27</v>
      </c>
    </row>
    <row r="2204" spans="1:9" x14ac:dyDescent="0.2">
      <c r="A2204" t="str">
        <f t="shared" si="281"/>
        <v>37956Vaipahu1859PocilloporidaeDessus</v>
      </c>
      <c r="B2204" s="1">
        <v>37956</v>
      </c>
      <c r="C2204" t="s">
        <v>23</v>
      </c>
      <c r="D2204" s="19">
        <v>18</v>
      </c>
      <c r="E2204">
        <v>59</v>
      </c>
      <c r="F2204" t="s">
        <v>10</v>
      </c>
      <c r="G2204" t="s">
        <v>11</v>
      </c>
      <c r="H2204">
        <v>1</v>
      </c>
      <c r="I2204" t="s">
        <v>27</v>
      </c>
    </row>
    <row r="2205" spans="1:9" x14ac:dyDescent="0.2">
      <c r="A2205" t="str">
        <f t="shared" si="281"/>
        <v>37956Vaipahu1860Autres</v>
      </c>
      <c r="B2205" s="1">
        <v>37956</v>
      </c>
      <c r="C2205" t="s">
        <v>23</v>
      </c>
      <c r="D2205" s="19">
        <v>18</v>
      </c>
      <c r="E2205">
        <v>60</v>
      </c>
      <c r="F2205" t="s">
        <v>14</v>
      </c>
      <c r="H2205">
        <v>0</v>
      </c>
    </row>
    <row r="2206" spans="1:9" x14ac:dyDescent="0.2">
      <c r="A2206" t="str">
        <f t="shared" si="281"/>
        <v>37956Tiahura661AutresDessous</v>
      </c>
      <c r="B2206" s="1">
        <v>37956</v>
      </c>
      <c r="C2206" t="s">
        <v>24</v>
      </c>
      <c r="D2206" s="19">
        <v>6</v>
      </c>
      <c r="E2206">
        <v>61</v>
      </c>
      <c r="F2206" t="s">
        <v>14</v>
      </c>
      <c r="G2206" t="s">
        <v>8</v>
      </c>
      <c r="H2206">
        <v>1</v>
      </c>
      <c r="I2206" t="s">
        <v>27</v>
      </c>
    </row>
    <row r="2207" spans="1:9" x14ac:dyDescent="0.2">
      <c r="A2207" t="str">
        <f t="shared" si="281"/>
        <v>37956Tiahura661PocilloporidaeDessous</v>
      </c>
      <c r="B2207" s="1">
        <v>37956</v>
      </c>
      <c r="C2207" t="s">
        <v>24</v>
      </c>
      <c r="D2207" s="19">
        <v>6</v>
      </c>
      <c r="E2207">
        <v>61</v>
      </c>
      <c r="F2207" t="s">
        <v>10</v>
      </c>
      <c r="G2207" t="s">
        <v>8</v>
      </c>
      <c r="H2207">
        <v>1</v>
      </c>
      <c r="I2207" t="s">
        <v>27</v>
      </c>
    </row>
    <row r="2208" spans="1:9" x14ac:dyDescent="0.2">
      <c r="A2208" t="str">
        <f t="shared" si="281"/>
        <v>37956Tiahura661PoritidaeDessous</v>
      </c>
      <c r="B2208" s="1">
        <v>37956</v>
      </c>
      <c r="C2208" t="s">
        <v>24</v>
      </c>
      <c r="D2208" s="19">
        <v>6</v>
      </c>
      <c r="E2208">
        <v>61</v>
      </c>
      <c r="F2208" t="s">
        <v>7</v>
      </c>
      <c r="G2208" t="s">
        <v>8</v>
      </c>
      <c r="H2208">
        <v>1</v>
      </c>
      <c r="I2208" t="s">
        <v>27</v>
      </c>
    </row>
    <row r="2209" spans="1:9" x14ac:dyDescent="0.2">
      <c r="A2209" t="str">
        <f t="shared" si="281"/>
        <v>37956Tiahura662PocilloporidaeBords</v>
      </c>
      <c r="B2209" s="1">
        <v>37956</v>
      </c>
      <c r="C2209" t="s">
        <v>24</v>
      </c>
      <c r="D2209" s="19">
        <v>6</v>
      </c>
      <c r="E2209">
        <v>62</v>
      </c>
      <c r="F2209" t="s">
        <v>10</v>
      </c>
      <c r="G2209" t="s">
        <v>13</v>
      </c>
      <c r="H2209">
        <v>2</v>
      </c>
      <c r="I2209" t="s">
        <v>27</v>
      </c>
    </row>
    <row r="2210" spans="1:9" x14ac:dyDescent="0.2">
      <c r="A2210" t="str">
        <f t="shared" si="281"/>
        <v>37956Tiahura662PocilloporidaeDessous</v>
      </c>
      <c r="B2210" s="1">
        <v>37956</v>
      </c>
      <c r="C2210" t="s">
        <v>24</v>
      </c>
      <c r="D2210" s="19">
        <v>6</v>
      </c>
      <c r="E2210">
        <v>62</v>
      </c>
      <c r="F2210" t="s">
        <v>10</v>
      </c>
      <c r="G2210" t="s">
        <v>8</v>
      </c>
      <c r="H2210">
        <v>1</v>
      </c>
      <c r="I2210" t="s">
        <v>27</v>
      </c>
    </row>
    <row r="2211" spans="1:9" x14ac:dyDescent="0.2">
      <c r="A2211" t="str">
        <f t="shared" si="281"/>
        <v>37956Tiahura663PocilloporidaeBords</v>
      </c>
      <c r="B2211" s="1">
        <v>37956</v>
      </c>
      <c r="C2211" t="s">
        <v>24</v>
      </c>
      <c r="D2211" s="19">
        <v>6</v>
      </c>
      <c r="E2211">
        <v>63</v>
      </c>
      <c r="F2211" t="s">
        <v>10</v>
      </c>
      <c r="G2211" t="s">
        <v>13</v>
      </c>
      <c r="H2211">
        <v>2</v>
      </c>
      <c r="I2211" t="s">
        <v>27</v>
      </c>
    </row>
    <row r="2212" spans="1:9" x14ac:dyDescent="0.2">
      <c r="A2212" t="str">
        <f t="shared" si="281"/>
        <v>37956Tiahura663PocilloporidaeDessus</v>
      </c>
      <c r="B2212" s="1">
        <v>37956</v>
      </c>
      <c r="C2212" t="s">
        <v>24</v>
      </c>
      <c r="D2212" s="19">
        <v>6</v>
      </c>
      <c r="E2212">
        <v>63</v>
      </c>
      <c r="F2212" t="s">
        <v>10</v>
      </c>
      <c r="G2212" t="s">
        <v>11</v>
      </c>
      <c r="H2212">
        <v>1</v>
      </c>
      <c r="I2212" t="s">
        <v>27</v>
      </c>
    </row>
    <row r="2213" spans="1:9" x14ac:dyDescent="0.2">
      <c r="A2213" t="str">
        <f t="shared" si="281"/>
        <v>37956Tiahura664AutresBords</v>
      </c>
      <c r="B2213" s="1">
        <v>37956</v>
      </c>
      <c r="C2213" t="s">
        <v>24</v>
      </c>
      <c r="D2213" s="19">
        <v>6</v>
      </c>
      <c r="E2213">
        <v>64</v>
      </c>
      <c r="F2213" t="s">
        <v>14</v>
      </c>
      <c r="G2213" t="s">
        <v>13</v>
      </c>
      <c r="H2213">
        <v>1</v>
      </c>
      <c r="I2213" t="s">
        <v>27</v>
      </c>
    </row>
    <row r="2214" spans="1:9" x14ac:dyDescent="0.2">
      <c r="A2214" t="str">
        <f t="shared" si="281"/>
        <v>37956Tiahura664PocilloporidaeDessus</v>
      </c>
      <c r="B2214" s="1">
        <v>37956</v>
      </c>
      <c r="C2214" t="s">
        <v>24</v>
      </c>
      <c r="D2214" s="19">
        <v>6</v>
      </c>
      <c r="E2214">
        <v>64</v>
      </c>
      <c r="F2214" t="s">
        <v>10</v>
      </c>
      <c r="G2214" t="s">
        <v>11</v>
      </c>
      <c r="H2214">
        <v>1</v>
      </c>
      <c r="I2214" t="s">
        <v>27</v>
      </c>
    </row>
    <row r="2215" spans="1:9" x14ac:dyDescent="0.2">
      <c r="A2215" t="str">
        <f t="shared" si="281"/>
        <v>37956Tiahura665PocilloporidaeBords</v>
      </c>
      <c r="B2215" s="1">
        <v>37956</v>
      </c>
      <c r="C2215" t="s">
        <v>24</v>
      </c>
      <c r="D2215" s="19">
        <v>6</v>
      </c>
      <c r="E2215">
        <v>65</v>
      </c>
      <c r="F2215" t="s">
        <v>10</v>
      </c>
      <c r="G2215" t="s">
        <v>13</v>
      </c>
      <c r="H2215">
        <v>1</v>
      </c>
      <c r="I2215" t="s">
        <v>27</v>
      </c>
    </row>
    <row r="2216" spans="1:9" x14ac:dyDescent="0.2">
      <c r="A2216" t="str">
        <f t="shared" si="281"/>
        <v>37956Tiahura665PocilloporidaeDessous</v>
      </c>
      <c r="B2216" s="1">
        <v>37956</v>
      </c>
      <c r="C2216" t="s">
        <v>24</v>
      </c>
      <c r="D2216" s="19">
        <v>6</v>
      </c>
      <c r="E2216">
        <v>65</v>
      </c>
      <c r="F2216" t="s">
        <v>10</v>
      </c>
      <c r="G2216" t="s">
        <v>8</v>
      </c>
      <c r="H2216">
        <v>1</v>
      </c>
      <c r="I2216" t="s">
        <v>27</v>
      </c>
    </row>
    <row r="2217" spans="1:9" x14ac:dyDescent="0.2">
      <c r="A2217" t="str">
        <f t="shared" si="281"/>
        <v>37956Tiahura666PocilloporidaeBords</v>
      </c>
      <c r="B2217" s="1">
        <v>37956</v>
      </c>
      <c r="C2217" t="s">
        <v>24</v>
      </c>
      <c r="D2217" s="19">
        <v>6</v>
      </c>
      <c r="E2217">
        <v>66</v>
      </c>
      <c r="F2217" t="s">
        <v>10</v>
      </c>
      <c r="G2217" t="s">
        <v>13</v>
      </c>
      <c r="H2217">
        <v>4</v>
      </c>
      <c r="I2217" t="s">
        <v>27</v>
      </c>
    </row>
    <row r="2218" spans="1:9" x14ac:dyDescent="0.2">
      <c r="A2218" t="str">
        <f t="shared" si="281"/>
        <v>37956Tiahura666PocilloporidaeDessous</v>
      </c>
      <c r="B2218" s="1">
        <v>37956</v>
      </c>
      <c r="C2218" t="s">
        <v>24</v>
      </c>
      <c r="D2218" s="19">
        <v>6</v>
      </c>
      <c r="E2218">
        <v>66</v>
      </c>
      <c r="F2218" t="s">
        <v>10</v>
      </c>
      <c r="G2218" t="s">
        <v>8</v>
      </c>
      <c r="H2218">
        <v>3</v>
      </c>
      <c r="I2218" t="s">
        <v>27</v>
      </c>
    </row>
    <row r="2219" spans="1:9" x14ac:dyDescent="0.2">
      <c r="A2219" t="str">
        <f t="shared" si="281"/>
        <v>37956Tiahura667PocilloporidaeBords</v>
      </c>
      <c r="B2219" s="1">
        <v>37956</v>
      </c>
      <c r="C2219" t="s">
        <v>24</v>
      </c>
      <c r="D2219" s="19">
        <v>6</v>
      </c>
      <c r="E2219">
        <v>67</v>
      </c>
      <c r="F2219" t="s">
        <v>10</v>
      </c>
      <c r="G2219" t="s">
        <v>13</v>
      </c>
      <c r="H2219">
        <v>7</v>
      </c>
      <c r="I2219" t="s">
        <v>27</v>
      </c>
    </row>
    <row r="2220" spans="1:9" x14ac:dyDescent="0.2">
      <c r="A2220" t="str">
        <f t="shared" si="281"/>
        <v>37956Tiahura667PocilloporidaeDessous</v>
      </c>
      <c r="B2220" s="1">
        <v>37956</v>
      </c>
      <c r="C2220" t="s">
        <v>24</v>
      </c>
      <c r="D2220" s="19">
        <v>6</v>
      </c>
      <c r="E2220">
        <v>67</v>
      </c>
      <c r="F2220" t="s">
        <v>10</v>
      </c>
      <c r="G2220" t="s">
        <v>8</v>
      </c>
      <c r="H2220">
        <v>3</v>
      </c>
      <c r="I2220" t="s">
        <v>27</v>
      </c>
    </row>
    <row r="2221" spans="1:9" x14ac:dyDescent="0.2">
      <c r="A2221" t="str">
        <f t="shared" si="281"/>
        <v>37956Tiahura668PocilloporidaeDessous</v>
      </c>
      <c r="B2221" s="1">
        <v>37956</v>
      </c>
      <c r="C2221" t="s">
        <v>24</v>
      </c>
      <c r="D2221" s="19">
        <v>6</v>
      </c>
      <c r="E2221">
        <v>68</v>
      </c>
      <c r="F2221" t="s">
        <v>10</v>
      </c>
      <c r="G2221" t="s">
        <v>8</v>
      </c>
      <c r="H2221">
        <v>2</v>
      </c>
      <c r="I2221" t="s">
        <v>27</v>
      </c>
    </row>
    <row r="2222" spans="1:9" x14ac:dyDescent="0.2">
      <c r="A2222" t="str">
        <f t="shared" si="281"/>
        <v>37956Tiahura669PocilloporidaeBords</v>
      </c>
      <c r="B2222" s="1">
        <v>37956</v>
      </c>
      <c r="C2222" t="s">
        <v>24</v>
      </c>
      <c r="D2222" s="19">
        <v>6</v>
      </c>
      <c r="E2222">
        <v>69</v>
      </c>
      <c r="F2222" t="s">
        <v>10</v>
      </c>
      <c r="G2222" t="s">
        <v>13</v>
      </c>
      <c r="H2222">
        <v>1</v>
      </c>
      <c r="I2222" t="s">
        <v>27</v>
      </c>
    </row>
    <row r="2223" spans="1:9" x14ac:dyDescent="0.2">
      <c r="A2223" t="str">
        <f t="shared" si="281"/>
        <v>37956Tiahura669PocilloporidaeDessous</v>
      </c>
      <c r="B2223" s="1">
        <v>37956</v>
      </c>
      <c r="C2223" t="s">
        <v>24</v>
      </c>
      <c r="D2223" s="19">
        <v>6</v>
      </c>
      <c r="E2223">
        <v>69</v>
      </c>
      <c r="F2223" t="s">
        <v>10</v>
      </c>
      <c r="G2223" t="s">
        <v>8</v>
      </c>
      <c r="H2223">
        <v>3</v>
      </c>
      <c r="I2223" t="s">
        <v>27</v>
      </c>
    </row>
    <row r="2224" spans="1:9" x14ac:dyDescent="0.2">
      <c r="A2224" t="str">
        <f t="shared" si="281"/>
        <v>37956Tiahura670AutresDessous</v>
      </c>
      <c r="B2224" s="1">
        <v>37956</v>
      </c>
      <c r="C2224" t="s">
        <v>24</v>
      </c>
      <c r="D2224" s="19">
        <v>6</v>
      </c>
      <c r="E2224">
        <v>70</v>
      </c>
      <c r="F2224" t="s">
        <v>14</v>
      </c>
      <c r="G2224" t="s">
        <v>8</v>
      </c>
      <c r="H2224">
        <v>1</v>
      </c>
      <c r="I2224" t="s">
        <v>27</v>
      </c>
    </row>
    <row r="2225" spans="1:9" x14ac:dyDescent="0.2">
      <c r="A2225" t="str">
        <f t="shared" si="281"/>
        <v>37956Tiahura670CassésDessous</v>
      </c>
      <c r="B2225" s="1">
        <v>37956</v>
      </c>
      <c r="C2225" t="s">
        <v>24</v>
      </c>
      <c r="D2225" s="19">
        <v>6</v>
      </c>
      <c r="E2225">
        <v>70</v>
      </c>
      <c r="F2225" t="s">
        <v>12</v>
      </c>
      <c r="G2225" t="s">
        <v>8</v>
      </c>
      <c r="H2225">
        <v>1</v>
      </c>
      <c r="I2225" t="s">
        <v>27</v>
      </c>
    </row>
    <row r="2226" spans="1:9" x14ac:dyDescent="0.2">
      <c r="A2226" t="str">
        <f t="shared" si="281"/>
        <v>37956Tiahura670PocilloporidaeBords</v>
      </c>
      <c r="B2226" s="1">
        <v>37956</v>
      </c>
      <c r="C2226" t="s">
        <v>24</v>
      </c>
      <c r="D2226" s="19">
        <v>6</v>
      </c>
      <c r="E2226">
        <v>70</v>
      </c>
      <c r="F2226" t="s">
        <v>10</v>
      </c>
      <c r="G2226" t="s">
        <v>13</v>
      </c>
      <c r="H2226">
        <v>3</v>
      </c>
      <c r="I2226" t="s">
        <v>27</v>
      </c>
    </row>
    <row r="2227" spans="1:9" x14ac:dyDescent="0.2">
      <c r="A2227" t="str">
        <f t="shared" si="281"/>
        <v>37956Tiahura670PocilloporidaeDessous</v>
      </c>
      <c r="B2227" s="1">
        <v>37956</v>
      </c>
      <c r="C2227" t="s">
        <v>24</v>
      </c>
      <c r="D2227" s="19">
        <v>6</v>
      </c>
      <c r="E2227">
        <v>70</v>
      </c>
      <c r="F2227" t="s">
        <v>10</v>
      </c>
      <c r="G2227" t="s">
        <v>8</v>
      </c>
      <c r="H2227">
        <v>7</v>
      </c>
      <c r="I2227" t="s">
        <v>27</v>
      </c>
    </row>
    <row r="2228" spans="1:9" x14ac:dyDescent="0.2">
      <c r="A2228" t="str">
        <f t="shared" si="281"/>
        <v>37956Tiahura671PocilloporidaeDessous</v>
      </c>
      <c r="B2228" s="1">
        <v>37956</v>
      </c>
      <c r="C2228" t="s">
        <v>24</v>
      </c>
      <c r="D2228" s="19">
        <v>6</v>
      </c>
      <c r="E2228">
        <v>71</v>
      </c>
      <c r="F2228" t="s">
        <v>10</v>
      </c>
      <c r="G2228" t="s">
        <v>8</v>
      </c>
      <c r="H2228">
        <v>7</v>
      </c>
      <c r="I2228" t="s">
        <v>27</v>
      </c>
    </row>
    <row r="2229" spans="1:9" x14ac:dyDescent="0.2">
      <c r="A2229" t="str">
        <f t="shared" si="281"/>
        <v>37956Tiahura672Autres</v>
      </c>
      <c r="B2229" s="1">
        <v>37956</v>
      </c>
      <c r="C2229" t="s">
        <v>24</v>
      </c>
      <c r="D2229" s="19">
        <v>6</v>
      </c>
      <c r="E2229">
        <v>72</v>
      </c>
      <c r="F2229" t="s">
        <v>14</v>
      </c>
      <c r="H2229">
        <v>0</v>
      </c>
    </row>
    <row r="2230" spans="1:9" x14ac:dyDescent="0.2">
      <c r="A2230" t="str">
        <f t="shared" si="281"/>
        <v>37956Tiahura673PocilloporidaeBords</v>
      </c>
      <c r="B2230" s="1">
        <v>37956</v>
      </c>
      <c r="C2230" t="s">
        <v>24</v>
      </c>
      <c r="D2230" s="19">
        <v>6</v>
      </c>
      <c r="E2230">
        <v>73</v>
      </c>
      <c r="F2230" t="s">
        <v>10</v>
      </c>
      <c r="G2230" t="s">
        <v>13</v>
      </c>
      <c r="H2230">
        <v>1</v>
      </c>
      <c r="I2230" t="s">
        <v>27</v>
      </c>
    </row>
    <row r="2231" spans="1:9" x14ac:dyDescent="0.2">
      <c r="A2231" t="str">
        <f t="shared" si="281"/>
        <v>37956Tiahura673PocilloporidaeDessous</v>
      </c>
      <c r="B2231" s="1">
        <v>37956</v>
      </c>
      <c r="C2231" t="s">
        <v>24</v>
      </c>
      <c r="D2231" s="19">
        <v>6</v>
      </c>
      <c r="E2231">
        <v>73</v>
      </c>
      <c r="F2231" t="s">
        <v>10</v>
      </c>
      <c r="G2231" t="s">
        <v>8</v>
      </c>
      <c r="H2231">
        <v>3</v>
      </c>
      <c r="I2231" t="s">
        <v>27</v>
      </c>
    </row>
    <row r="2232" spans="1:9" x14ac:dyDescent="0.2">
      <c r="A2232" t="str">
        <f t="shared" si="281"/>
        <v>37956Tiahura674PocilloporidaeDessous</v>
      </c>
      <c r="B2232" s="1">
        <v>37956</v>
      </c>
      <c r="C2232" t="s">
        <v>24</v>
      </c>
      <c r="D2232" s="19">
        <v>6</v>
      </c>
      <c r="E2232">
        <v>74</v>
      </c>
      <c r="F2232" t="s">
        <v>10</v>
      </c>
      <c r="G2232" t="s">
        <v>8</v>
      </c>
      <c r="H2232">
        <v>5</v>
      </c>
      <c r="I2232" t="s">
        <v>27</v>
      </c>
    </row>
    <row r="2233" spans="1:9" x14ac:dyDescent="0.2">
      <c r="A2233" t="str">
        <f t="shared" si="281"/>
        <v>37956Tiahura675PocilloporidaeBords</v>
      </c>
      <c r="B2233" s="1">
        <v>37956</v>
      </c>
      <c r="C2233" t="s">
        <v>24</v>
      </c>
      <c r="D2233" s="19">
        <v>6</v>
      </c>
      <c r="E2233">
        <v>75</v>
      </c>
      <c r="F2233" t="s">
        <v>10</v>
      </c>
      <c r="G2233" t="s">
        <v>13</v>
      </c>
      <c r="H2233">
        <v>1</v>
      </c>
      <c r="I2233" t="s">
        <v>27</v>
      </c>
    </row>
    <row r="2234" spans="1:9" x14ac:dyDescent="0.2">
      <c r="A2234" t="str">
        <f t="shared" si="281"/>
        <v>37956Tiahura676PocilloporidaeDessus</v>
      </c>
      <c r="B2234" s="1">
        <v>37956</v>
      </c>
      <c r="C2234" t="s">
        <v>24</v>
      </c>
      <c r="D2234" s="19">
        <v>6</v>
      </c>
      <c r="E2234">
        <v>76</v>
      </c>
      <c r="F2234" t="s">
        <v>10</v>
      </c>
      <c r="G2234" t="s">
        <v>11</v>
      </c>
      <c r="H2234">
        <v>1</v>
      </c>
      <c r="I2234" t="s">
        <v>27</v>
      </c>
    </row>
    <row r="2235" spans="1:9" x14ac:dyDescent="0.2">
      <c r="A2235" t="str">
        <f t="shared" si="281"/>
        <v>37956Tiahura677PocilloporidaeDessous</v>
      </c>
      <c r="B2235" s="1">
        <v>37956</v>
      </c>
      <c r="C2235" t="s">
        <v>24</v>
      </c>
      <c r="D2235" s="19">
        <v>6</v>
      </c>
      <c r="E2235">
        <v>77</v>
      </c>
      <c r="F2235" t="s">
        <v>10</v>
      </c>
      <c r="G2235" t="s">
        <v>8</v>
      </c>
      <c r="H2235">
        <v>3</v>
      </c>
      <c r="I2235" t="s">
        <v>27</v>
      </c>
    </row>
    <row r="2236" spans="1:9" x14ac:dyDescent="0.2">
      <c r="A2236" t="str">
        <f t="shared" si="281"/>
        <v>37956Tiahura678CassésDessous</v>
      </c>
      <c r="B2236" s="1">
        <v>37956</v>
      </c>
      <c r="C2236" t="s">
        <v>24</v>
      </c>
      <c r="D2236" s="19">
        <v>6</v>
      </c>
      <c r="E2236">
        <v>78</v>
      </c>
      <c r="F2236" t="s">
        <v>12</v>
      </c>
      <c r="G2236" t="s">
        <v>8</v>
      </c>
      <c r="H2236">
        <v>1</v>
      </c>
      <c r="I2236" t="s">
        <v>27</v>
      </c>
    </row>
    <row r="2237" spans="1:9" x14ac:dyDescent="0.2">
      <c r="A2237" t="str">
        <f t="shared" si="281"/>
        <v>37956Tiahura678PocilloporidaeDessous</v>
      </c>
      <c r="B2237" s="1">
        <v>37956</v>
      </c>
      <c r="C2237" t="s">
        <v>24</v>
      </c>
      <c r="D2237" s="19">
        <v>6</v>
      </c>
      <c r="E2237">
        <v>78</v>
      </c>
      <c r="F2237" t="s">
        <v>10</v>
      </c>
      <c r="G2237" t="s">
        <v>8</v>
      </c>
      <c r="H2237">
        <v>5</v>
      </c>
      <c r="I2237" t="s">
        <v>27</v>
      </c>
    </row>
    <row r="2238" spans="1:9" x14ac:dyDescent="0.2">
      <c r="A2238" t="str">
        <f t="shared" si="281"/>
        <v>37956Tiahura679PocilloporidaeBords</v>
      </c>
      <c r="B2238" s="1">
        <v>37956</v>
      </c>
      <c r="C2238" t="s">
        <v>24</v>
      </c>
      <c r="D2238" s="19">
        <v>6</v>
      </c>
      <c r="E2238">
        <v>79</v>
      </c>
      <c r="F2238" t="s">
        <v>10</v>
      </c>
      <c r="G2238" t="s">
        <v>13</v>
      </c>
      <c r="H2238">
        <v>1</v>
      </c>
      <c r="I2238" t="s">
        <v>27</v>
      </c>
    </row>
    <row r="2239" spans="1:9" x14ac:dyDescent="0.2">
      <c r="A2239" t="str">
        <f t="shared" ref="A2239:A2302" si="282">B2239 &amp; C2239&amp; D2239&amp; E2239 &amp; F2239 &amp;G2239</f>
        <v>37956Tiahura679PocilloporidaeDessous</v>
      </c>
      <c r="B2239" s="1">
        <v>37956</v>
      </c>
      <c r="C2239" t="s">
        <v>24</v>
      </c>
      <c r="D2239" s="19">
        <v>6</v>
      </c>
      <c r="E2239">
        <v>79</v>
      </c>
      <c r="F2239" t="s">
        <v>10</v>
      </c>
      <c r="G2239" t="s">
        <v>8</v>
      </c>
      <c r="H2239">
        <v>3</v>
      </c>
      <c r="I2239" t="s">
        <v>27</v>
      </c>
    </row>
    <row r="2240" spans="1:9" x14ac:dyDescent="0.2">
      <c r="A2240" t="str">
        <f t="shared" si="282"/>
        <v>37956Tiahura680PocilloporidaeDessous</v>
      </c>
      <c r="B2240" s="1">
        <v>37956</v>
      </c>
      <c r="C2240" t="s">
        <v>24</v>
      </c>
      <c r="D2240" s="19">
        <v>6</v>
      </c>
      <c r="E2240">
        <v>80</v>
      </c>
      <c r="F2240" t="s">
        <v>10</v>
      </c>
      <c r="G2240" t="s">
        <v>8</v>
      </c>
      <c r="H2240">
        <v>6</v>
      </c>
      <c r="I2240" t="s">
        <v>27</v>
      </c>
    </row>
    <row r="2241" spans="1:9" x14ac:dyDescent="0.2">
      <c r="A2241" t="str">
        <f t="shared" si="282"/>
        <v>37956Tiahura681Autres</v>
      </c>
      <c r="B2241" s="1">
        <v>37956</v>
      </c>
      <c r="C2241" t="s">
        <v>24</v>
      </c>
      <c r="D2241" s="19">
        <v>6</v>
      </c>
      <c r="E2241">
        <v>81</v>
      </c>
      <c r="F2241" t="s">
        <v>14</v>
      </c>
      <c r="H2241">
        <v>0</v>
      </c>
    </row>
    <row r="2242" spans="1:9" x14ac:dyDescent="0.2">
      <c r="A2242" t="str">
        <f t="shared" si="282"/>
        <v>37956Tiahura1282PocilloporidaeBords</v>
      </c>
      <c r="B2242" s="1">
        <v>37956</v>
      </c>
      <c r="C2242" t="s">
        <v>24</v>
      </c>
      <c r="D2242" s="19">
        <v>12</v>
      </c>
      <c r="E2242">
        <v>82</v>
      </c>
      <c r="F2242" t="s">
        <v>10</v>
      </c>
      <c r="G2242" t="s">
        <v>13</v>
      </c>
      <c r="H2242">
        <v>1</v>
      </c>
      <c r="I2242" t="s">
        <v>27</v>
      </c>
    </row>
    <row r="2243" spans="1:9" x14ac:dyDescent="0.2">
      <c r="A2243" t="str">
        <f t="shared" si="282"/>
        <v>37956Tiahura1283PocilloporidaeDessous</v>
      </c>
      <c r="B2243" s="1">
        <v>37956</v>
      </c>
      <c r="C2243" t="s">
        <v>24</v>
      </c>
      <c r="D2243" s="19">
        <v>12</v>
      </c>
      <c r="E2243">
        <v>83</v>
      </c>
      <c r="F2243" t="s">
        <v>10</v>
      </c>
      <c r="G2243" t="s">
        <v>8</v>
      </c>
      <c r="H2243">
        <v>5</v>
      </c>
      <c r="I2243" t="s">
        <v>27</v>
      </c>
    </row>
    <row r="2244" spans="1:9" x14ac:dyDescent="0.2">
      <c r="A2244" t="str">
        <f t="shared" si="282"/>
        <v>37956Tiahura1284PocilloporidaeDessous</v>
      </c>
      <c r="B2244" s="1">
        <v>37956</v>
      </c>
      <c r="C2244" t="s">
        <v>24</v>
      </c>
      <c r="D2244" s="19">
        <v>12</v>
      </c>
      <c r="E2244">
        <v>84</v>
      </c>
      <c r="F2244" t="s">
        <v>10</v>
      </c>
      <c r="G2244" t="s">
        <v>8</v>
      </c>
      <c r="H2244">
        <v>1</v>
      </c>
      <c r="I2244" t="s">
        <v>27</v>
      </c>
    </row>
    <row r="2245" spans="1:9" x14ac:dyDescent="0.2">
      <c r="A2245" t="str">
        <f t="shared" si="282"/>
        <v>37956Tiahura1285PocilloporidaeDessous</v>
      </c>
      <c r="B2245" s="1">
        <v>37956</v>
      </c>
      <c r="C2245" t="s">
        <v>24</v>
      </c>
      <c r="D2245" s="19">
        <v>12</v>
      </c>
      <c r="E2245">
        <v>85</v>
      </c>
      <c r="F2245" t="s">
        <v>10</v>
      </c>
      <c r="G2245" t="s">
        <v>8</v>
      </c>
      <c r="H2245">
        <v>1</v>
      </c>
      <c r="I2245" t="s">
        <v>27</v>
      </c>
    </row>
    <row r="2246" spans="1:9" x14ac:dyDescent="0.2">
      <c r="A2246" t="str">
        <f t="shared" si="282"/>
        <v>37956Tiahura1285PoritidaeDessous</v>
      </c>
      <c r="B2246" s="1">
        <v>37956</v>
      </c>
      <c r="C2246" t="s">
        <v>24</v>
      </c>
      <c r="D2246" s="19">
        <v>12</v>
      </c>
      <c r="E2246">
        <v>85</v>
      </c>
      <c r="F2246" t="s">
        <v>7</v>
      </c>
      <c r="G2246" t="s">
        <v>8</v>
      </c>
      <c r="H2246">
        <v>1</v>
      </c>
      <c r="I2246" t="s">
        <v>27</v>
      </c>
    </row>
    <row r="2247" spans="1:9" x14ac:dyDescent="0.2">
      <c r="A2247" t="str">
        <f t="shared" si="282"/>
        <v>37956Tiahura1286PocilloporidaeBords</v>
      </c>
      <c r="B2247" s="1">
        <v>37956</v>
      </c>
      <c r="C2247" t="s">
        <v>24</v>
      </c>
      <c r="D2247" s="19">
        <v>12</v>
      </c>
      <c r="E2247">
        <v>86</v>
      </c>
      <c r="F2247" t="s">
        <v>10</v>
      </c>
      <c r="G2247" t="s">
        <v>13</v>
      </c>
      <c r="H2247">
        <v>1</v>
      </c>
      <c r="I2247" t="s">
        <v>27</v>
      </c>
    </row>
    <row r="2248" spans="1:9" x14ac:dyDescent="0.2">
      <c r="A2248" t="str">
        <f t="shared" si="282"/>
        <v>37956Tiahura1286PoritidaeBords</v>
      </c>
      <c r="B2248" s="1">
        <v>37956</v>
      </c>
      <c r="C2248" t="s">
        <v>24</v>
      </c>
      <c r="D2248" s="19">
        <v>12</v>
      </c>
      <c r="E2248">
        <v>86</v>
      </c>
      <c r="F2248" t="s">
        <v>7</v>
      </c>
      <c r="G2248" t="s">
        <v>13</v>
      </c>
      <c r="H2248">
        <v>1</v>
      </c>
      <c r="I2248" t="s">
        <v>27</v>
      </c>
    </row>
    <row r="2249" spans="1:9" x14ac:dyDescent="0.2">
      <c r="A2249" t="str">
        <f t="shared" si="282"/>
        <v>37956Tiahura1287PoritidaeBords</v>
      </c>
      <c r="B2249" s="1">
        <v>37956</v>
      </c>
      <c r="C2249" t="s">
        <v>24</v>
      </c>
      <c r="D2249" s="19">
        <v>12</v>
      </c>
      <c r="E2249">
        <v>87</v>
      </c>
      <c r="F2249" t="s">
        <v>7</v>
      </c>
      <c r="G2249" t="s">
        <v>13</v>
      </c>
      <c r="H2249">
        <v>1</v>
      </c>
      <c r="I2249" t="s">
        <v>27</v>
      </c>
    </row>
    <row r="2250" spans="1:9" x14ac:dyDescent="0.2">
      <c r="A2250" t="str">
        <f t="shared" si="282"/>
        <v>37956Tiahura1287PoritidaeDessous</v>
      </c>
      <c r="B2250" s="1">
        <v>37956</v>
      </c>
      <c r="C2250" t="s">
        <v>24</v>
      </c>
      <c r="D2250" s="19">
        <v>12</v>
      </c>
      <c r="E2250">
        <v>87</v>
      </c>
      <c r="F2250" t="s">
        <v>7</v>
      </c>
      <c r="G2250" t="s">
        <v>8</v>
      </c>
      <c r="H2250">
        <v>1</v>
      </c>
      <c r="I2250" t="s">
        <v>27</v>
      </c>
    </row>
    <row r="2251" spans="1:9" x14ac:dyDescent="0.2">
      <c r="A2251" t="str">
        <f t="shared" si="282"/>
        <v>37956Tiahura1288CassésDessous</v>
      </c>
      <c r="B2251" s="1">
        <v>37956</v>
      </c>
      <c r="C2251" t="s">
        <v>24</v>
      </c>
      <c r="D2251" s="19">
        <v>12</v>
      </c>
      <c r="E2251">
        <v>88</v>
      </c>
      <c r="F2251" t="s">
        <v>12</v>
      </c>
      <c r="G2251" t="s">
        <v>8</v>
      </c>
      <c r="H2251">
        <v>1</v>
      </c>
      <c r="I2251" t="s">
        <v>27</v>
      </c>
    </row>
    <row r="2252" spans="1:9" x14ac:dyDescent="0.2">
      <c r="A2252" t="str">
        <f t="shared" si="282"/>
        <v>37956Tiahura1288PocilloporidaeDessous</v>
      </c>
      <c r="B2252" s="1">
        <v>37956</v>
      </c>
      <c r="C2252" t="s">
        <v>24</v>
      </c>
      <c r="D2252" s="19">
        <v>12</v>
      </c>
      <c r="E2252">
        <v>88</v>
      </c>
      <c r="F2252" t="s">
        <v>10</v>
      </c>
      <c r="G2252" t="s">
        <v>8</v>
      </c>
      <c r="H2252">
        <v>1</v>
      </c>
      <c r="I2252" t="s">
        <v>27</v>
      </c>
    </row>
    <row r="2253" spans="1:9" x14ac:dyDescent="0.2">
      <c r="A2253" t="str">
        <f t="shared" si="282"/>
        <v>37956Tiahura1288PoritidaeDessous</v>
      </c>
      <c r="B2253" s="1">
        <v>37956</v>
      </c>
      <c r="C2253" t="s">
        <v>24</v>
      </c>
      <c r="D2253" s="19">
        <v>12</v>
      </c>
      <c r="E2253">
        <v>88</v>
      </c>
      <c r="F2253" t="s">
        <v>7</v>
      </c>
      <c r="G2253" t="s">
        <v>8</v>
      </c>
      <c r="H2253">
        <v>1</v>
      </c>
      <c r="I2253" t="s">
        <v>27</v>
      </c>
    </row>
    <row r="2254" spans="1:9" x14ac:dyDescent="0.2">
      <c r="A2254" t="str">
        <f t="shared" si="282"/>
        <v>37956Tiahura1289Autres</v>
      </c>
      <c r="B2254" s="1">
        <v>37956</v>
      </c>
      <c r="C2254" t="s">
        <v>24</v>
      </c>
      <c r="D2254" s="19">
        <v>12</v>
      </c>
      <c r="E2254">
        <v>89</v>
      </c>
      <c r="F2254" t="s">
        <v>14</v>
      </c>
      <c r="H2254">
        <v>0</v>
      </c>
    </row>
    <row r="2255" spans="1:9" x14ac:dyDescent="0.2">
      <c r="A2255" t="str">
        <f t="shared" si="282"/>
        <v>37956Tiahura1290PocilloporidaeDessous</v>
      </c>
      <c r="B2255" s="1">
        <v>37956</v>
      </c>
      <c r="C2255" t="s">
        <v>24</v>
      </c>
      <c r="D2255" s="19">
        <v>12</v>
      </c>
      <c r="E2255">
        <v>90</v>
      </c>
      <c r="F2255" t="s">
        <v>10</v>
      </c>
      <c r="G2255" t="s">
        <v>8</v>
      </c>
      <c r="H2255">
        <v>2</v>
      </c>
      <c r="I2255" t="s">
        <v>27</v>
      </c>
    </row>
    <row r="2256" spans="1:9" x14ac:dyDescent="0.2">
      <c r="A2256" t="str">
        <f t="shared" si="282"/>
        <v>37956Tiahura1290PoritidaeDessous</v>
      </c>
      <c r="B2256" s="1">
        <v>37956</v>
      </c>
      <c r="C2256" t="s">
        <v>24</v>
      </c>
      <c r="D2256" s="19">
        <v>12</v>
      </c>
      <c r="E2256">
        <v>90</v>
      </c>
      <c r="F2256" t="s">
        <v>7</v>
      </c>
      <c r="G2256" t="s">
        <v>8</v>
      </c>
      <c r="H2256">
        <v>1</v>
      </c>
      <c r="I2256" t="s">
        <v>27</v>
      </c>
    </row>
    <row r="2257" spans="1:9" x14ac:dyDescent="0.2">
      <c r="A2257" t="str">
        <f t="shared" si="282"/>
        <v>37956Tiahura1291PocilloporidaeDessous</v>
      </c>
      <c r="B2257" s="1">
        <v>37956</v>
      </c>
      <c r="C2257" t="s">
        <v>24</v>
      </c>
      <c r="D2257" s="19">
        <v>12</v>
      </c>
      <c r="E2257">
        <v>91</v>
      </c>
      <c r="F2257" t="s">
        <v>10</v>
      </c>
      <c r="G2257" t="s">
        <v>8</v>
      </c>
      <c r="H2257">
        <v>1</v>
      </c>
      <c r="I2257" t="s">
        <v>27</v>
      </c>
    </row>
    <row r="2258" spans="1:9" x14ac:dyDescent="0.2">
      <c r="A2258" t="str">
        <f t="shared" si="282"/>
        <v>37956Tiahura1291PoritidaeDessous</v>
      </c>
      <c r="B2258" s="1">
        <v>37956</v>
      </c>
      <c r="C2258" t="s">
        <v>24</v>
      </c>
      <c r="D2258" s="19">
        <v>12</v>
      </c>
      <c r="E2258">
        <v>91</v>
      </c>
      <c r="F2258" t="s">
        <v>7</v>
      </c>
      <c r="G2258" t="s">
        <v>8</v>
      </c>
      <c r="H2258">
        <v>1</v>
      </c>
      <c r="I2258" t="s">
        <v>27</v>
      </c>
    </row>
    <row r="2259" spans="1:9" x14ac:dyDescent="0.2">
      <c r="A2259" t="str">
        <f t="shared" si="282"/>
        <v>37956Tiahura1292AcroporidaeDessous</v>
      </c>
      <c r="B2259" s="1">
        <v>37956</v>
      </c>
      <c r="C2259" t="s">
        <v>24</v>
      </c>
      <c r="D2259" s="19">
        <v>12</v>
      </c>
      <c r="E2259">
        <v>92</v>
      </c>
      <c r="F2259" t="s">
        <v>17</v>
      </c>
      <c r="G2259" t="s">
        <v>8</v>
      </c>
      <c r="H2259">
        <v>1</v>
      </c>
      <c r="I2259" t="s">
        <v>27</v>
      </c>
    </row>
    <row r="2260" spans="1:9" x14ac:dyDescent="0.2">
      <c r="A2260" t="str">
        <f t="shared" si="282"/>
        <v>37956Tiahura1292PoritidaeDessous</v>
      </c>
      <c r="B2260" s="1">
        <v>37956</v>
      </c>
      <c r="C2260" t="s">
        <v>24</v>
      </c>
      <c r="D2260" s="19">
        <v>12</v>
      </c>
      <c r="E2260">
        <v>92</v>
      </c>
      <c r="F2260" t="s">
        <v>7</v>
      </c>
      <c r="G2260" t="s">
        <v>8</v>
      </c>
      <c r="H2260">
        <v>1</v>
      </c>
      <c r="I2260" t="s">
        <v>27</v>
      </c>
    </row>
    <row r="2261" spans="1:9" x14ac:dyDescent="0.2">
      <c r="A2261" t="str">
        <f t="shared" si="282"/>
        <v>37956Tiahura1293PocilloporidaeDessous</v>
      </c>
      <c r="B2261" s="1">
        <v>37956</v>
      </c>
      <c r="C2261" t="s">
        <v>24</v>
      </c>
      <c r="D2261" s="19">
        <v>12</v>
      </c>
      <c r="E2261">
        <v>93</v>
      </c>
      <c r="F2261" t="s">
        <v>10</v>
      </c>
      <c r="G2261" t="s">
        <v>8</v>
      </c>
      <c r="H2261">
        <v>2</v>
      </c>
      <c r="I2261" t="s">
        <v>27</v>
      </c>
    </row>
    <row r="2262" spans="1:9" x14ac:dyDescent="0.2">
      <c r="A2262" t="str">
        <f t="shared" si="282"/>
        <v>37956Tiahura1293PoritidaeDessous</v>
      </c>
      <c r="B2262" s="1">
        <v>37956</v>
      </c>
      <c r="C2262" t="s">
        <v>24</v>
      </c>
      <c r="D2262" s="19">
        <v>12</v>
      </c>
      <c r="E2262">
        <v>93</v>
      </c>
      <c r="F2262" t="s">
        <v>7</v>
      </c>
      <c r="G2262" t="s">
        <v>8</v>
      </c>
      <c r="H2262">
        <v>1</v>
      </c>
      <c r="I2262" t="s">
        <v>27</v>
      </c>
    </row>
    <row r="2263" spans="1:9" x14ac:dyDescent="0.2">
      <c r="A2263" t="str">
        <f t="shared" si="282"/>
        <v>37956Tiahura1294PocilloporidaeDessous</v>
      </c>
      <c r="B2263" s="1">
        <v>37956</v>
      </c>
      <c r="C2263" t="s">
        <v>24</v>
      </c>
      <c r="D2263" s="19">
        <v>12</v>
      </c>
      <c r="E2263">
        <v>94</v>
      </c>
      <c r="F2263" t="s">
        <v>10</v>
      </c>
      <c r="G2263" t="s">
        <v>8</v>
      </c>
      <c r="H2263">
        <v>4</v>
      </c>
      <c r="I2263" t="s">
        <v>27</v>
      </c>
    </row>
    <row r="2264" spans="1:9" x14ac:dyDescent="0.2">
      <c r="A2264" t="str">
        <f t="shared" si="282"/>
        <v>37956Tiahura1294PocilloporidaeDessus</v>
      </c>
      <c r="B2264" s="1">
        <v>37956</v>
      </c>
      <c r="C2264" t="s">
        <v>24</v>
      </c>
      <c r="D2264" s="19">
        <v>12</v>
      </c>
      <c r="E2264">
        <v>94</v>
      </c>
      <c r="F2264" t="s">
        <v>10</v>
      </c>
      <c r="G2264" t="s">
        <v>11</v>
      </c>
      <c r="H2264">
        <v>1</v>
      </c>
      <c r="I2264" t="s">
        <v>27</v>
      </c>
    </row>
    <row r="2265" spans="1:9" x14ac:dyDescent="0.2">
      <c r="A2265" t="str">
        <f t="shared" si="282"/>
        <v>37956Tiahura1295AutresDessous</v>
      </c>
      <c r="B2265" s="1">
        <v>37956</v>
      </c>
      <c r="C2265" t="s">
        <v>24</v>
      </c>
      <c r="D2265" s="19">
        <v>12</v>
      </c>
      <c r="E2265">
        <v>95</v>
      </c>
      <c r="F2265" t="s">
        <v>14</v>
      </c>
      <c r="G2265" t="s">
        <v>8</v>
      </c>
      <c r="H2265">
        <v>1</v>
      </c>
      <c r="I2265" t="s">
        <v>27</v>
      </c>
    </row>
    <row r="2266" spans="1:9" x14ac:dyDescent="0.2">
      <c r="A2266" t="str">
        <f t="shared" si="282"/>
        <v>37956Tiahura1295CassésDessus</v>
      </c>
      <c r="B2266" s="1">
        <v>37956</v>
      </c>
      <c r="C2266" t="s">
        <v>24</v>
      </c>
      <c r="D2266" s="19">
        <v>12</v>
      </c>
      <c r="E2266">
        <v>95</v>
      </c>
      <c r="F2266" t="s">
        <v>12</v>
      </c>
      <c r="G2266" t="s">
        <v>11</v>
      </c>
      <c r="H2266">
        <v>1</v>
      </c>
      <c r="I2266" t="s">
        <v>27</v>
      </c>
    </row>
    <row r="2267" spans="1:9" x14ac:dyDescent="0.2">
      <c r="A2267" t="str">
        <f t="shared" si="282"/>
        <v>37956Tiahura1295PocilloporidaeDessous</v>
      </c>
      <c r="B2267" s="1">
        <v>37956</v>
      </c>
      <c r="C2267" t="s">
        <v>24</v>
      </c>
      <c r="D2267" s="19">
        <v>12</v>
      </c>
      <c r="E2267">
        <v>95</v>
      </c>
      <c r="F2267" t="s">
        <v>10</v>
      </c>
      <c r="G2267" t="s">
        <v>8</v>
      </c>
      <c r="H2267">
        <v>1</v>
      </c>
      <c r="I2267" t="s">
        <v>27</v>
      </c>
    </row>
    <row r="2268" spans="1:9" x14ac:dyDescent="0.2">
      <c r="A2268" t="str">
        <f t="shared" si="282"/>
        <v>37956Tiahura1296AcroporidaeDessous</v>
      </c>
      <c r="B2268" s="1">
        <v>37956</v>
      </c>
      <c r="C2268" t="s">
        <v>24</v>
      </c>
      <c r="D2268" s="19">
        <v>12</v>
      </c>
      <c r="E2268">
        <v>96</v>
      </c>
      <c r="F2268" t="s">
        <v>17</v>
      </c>
      <c r="G2268" t="s">
        <v>8</v>
      </c>
      <c r="H2268">
        <v>1</v>
      </c>
      <c r="I2268" t="s">
        <v>27</v>
      </c>
    </row>
    <row r="2269" spans="1:9" x14ac:dyDescent="0.2">
      <c r="A2269" t="str">
        <f t="shared" si="282"/>
        <v>37956Tiahura1296PocilloporidaeDessous</v>
      </c>
      <c r="B2269" s="1">
        <v>37956</v>
      </c>
      <c r="C2269" t="s">
        <v>24</v>
      </c>
      <c r="D2269" s="19">
        <v>12</v>
      </c>
      <c r="E2269">
        <v>96</v>
      </c>
      <c r="F2269" t="s">
        <v>10</v>
      </c>
      <c r="G2269" t="s">
        <v>8</v>
      </c>
      <c r="H2269">
        <v>2</v>
      </c>
      <c r="I2269" t="s">
        <v>27</v>
      </c>
    </row>
    <row r="2270" spans="1:9" x14ac:dyDescent="0.2">
      <c r="A2270" t="str">
        <f t="shared" si="282"/>
        <v>37956Tiahura1297PocilloporidaeBords</v>
      </c>
      <c r="B2270" s="1">
        <v>37956</v>
      </c>
      <c r="C2270" t="s">
        <v>24</v>
      </c>
      <c r="D2270" s="19">
        <v>12</v>
      </c>
      <c r="E2270">
        <v>97</v>
      </c>
      <c r="F2270" t="s">
        <v>10</v>
      </c>
      <c r="G2270" t="s">
        <v>13</v>
      </c>
      <c r="H2270">
        <v>3</v>
      </c>
      <c r="I2270" t="s">
        <v>27</v>
      </c>
    </row>
    <row r="2271" spans="1:9" x14ac:dyDescent="0.2">
      <c r="A2271" t="str">
        <f t="shared" si="282"/>
        <v>37956Tiahura1297PocilloporidaeDessous</v>
      </c>
      <c r="B2271" s="1">
        <v>37956</v>
      </c>
      <c r="C2271" t="s">
        <v>24</v>
      </c>
      <c r="D2271" s="19">
        <v>12</v>
      </c>
      <c r="E2271">
        <v>97</v>
      </c>
      <c r="F2271" t="s">
        <v>10</v>
      </c>
      <c r="G2271" t="s">
        <v>8</v>
      </c>
      <c r="H2271">
        <v>2</v>
      </c>
      <c r="I2271" t="s">
        <v>27</v>
      </c>
    </row>
    <row r="2272" spans="1:9" x14ac:dyDescent="0.2">
      <c r="A2272" t="str">
        <f t="shared" si="282"/>
        <v>37956Tiahura1297PoritidaeDessous</v>
      </c>
      <c r="B2272" s="1">
        <v>37956</v>
      </c>
      <c r="C2272" t="s">
        <v>24</v>
      </c>
      <c r="D2272" s="19">
        <v>12</v>
      </c>
      <c r="E2272">
        <v>97</v>
      </c>
      <c r="F2272" t="s">
        <v>7</v>
      </c>
      <c r="G2272" t="s">
        <v>8</v>
      </c>
      <c r="H2272">
        <v>1</v>
      </c>
      <c r="I2272" t="s">
        <v>27</v>
      </c>
    </row>
    <row r="2273" spans="1:9" x14ac:dyDescent="0.2">
      <c r="A2273" t="str">
        <f t="shared" si="282"/>
        <v>37956Tiahura1298PocilloporidaeBords</v>
      </c>
      <c r="B2273" s="1">
        <v>37956</v>
      </c>
      <c r="C2273" t="s">
        <v>24</v>
      </c>
      <c r="D2273" s="19">
        <v>12</v>
      </c>
      <c r="E2273">
        <v>98</v>
      </c>
      <c r="F2273" t="s">
        <v>10</v>
      </c>
      <c r="G2273" t="s">
        <v>13</v>
      </c>
      <c r="H2273">
        <v>2</v>
      </c>
      <c r="I2273" t="s">
        <v>27</v>
      </c>
    </row>
    <row r="2274" spans="1:9" x14ac:dyDescent="0.2">
      <c r="A2274" t="str">
        <f t="shared" si="282"/>
        <v>37956Tiahura1299PocilloporidaeDessous</v>
      </c>
      <c r="B2274" s="1">
        <v>37956</v>
      </c>
      <c r="C2274" t="s">
        <v>24</v>
      </c>
      <c r="D2274" s="19">
        <v>12</v>
      </c>
      <c r="E2274">
        <v>99</v>
      </c>
      <c r="F2274" t="s">
        <v>10</v>
      </c>
      <c r="G2274" t="s">
        <v>8</v>
      </c>
      <c r="H2274">
        <v>10</v>
      </c>
      <c r="I2274" t="s">
        <v>27</v>
      </c>
    </row>
    <row r="2275" spans="1:9" x14ac:dyDescent="0.2">
      <c r="A2275" t="str">
        <f t="shared" si="282"/>
        <v>37956Tiahura1299PoritidaeDessous</v>
      </c>
      <c r="B2275" s="1">
        <v>37956</v>
      </c>
      <c r="C2275" t="s">
        <v>24</v>
      </c>
      <c r="D2275" s="19">
        <v>12</v>
      </c>
      <c r="E2275">
        <v>99</v>
      </c>
      <c r="F2275" t="s">
        <v>7</v>
      </c>
      <c r="G2275" t="s">
        <v>8</v>
      </c>
      <c r="H2275">
        <v>1</v>
      </c>
      <c r="I2275" t="s">
        <v>27</v>
      </c>
    </row>
    <row r="2276" spans="1:9" x14ac:dyDescent="0.2">
      <c r="A2276" t="str">
        <f t="shared" si="282"/>
        <v>37956Tiahura12100PocilloporidaeDessous</v>
      </c>
      <c r="B2276" s="1">
        <v>37956</v>
      </c>
      <c r="C2276" t="s">
        <v>24</v>
      </c>
      <c r="D2276" s="19">
        <v>12</v>
      </c>
      <c r="E2276">
        <v>100</v>
      </c>
      <c r="F2276" t="s">
        <v>10</v>
      </c>
      <c r="G2276" t="s">
        <v>8</v>
      </c>
      <c r="H2276">
        <v>1</v>
      </c>
      <c r="I2276" t="s">
        <v>27</v>
      </c>
    </row>
    <row r="2277" spans="1:9" x14ac:dyDescent="0.2">
      <c r="A2277" t="str">
        <f t="shared" si="282"/>
        <v>37956Tiahura12100PoritidaeDessous</v>
      </c>
      <c r="B2277" s="1">
        <v>37956</v>
      </c>
      <c r="C2277" t="s">
        <v>24</v>
      </c>
      <c r="D2277" s="19">
        <v>12</v>
      </c>
      <c r="E2277">
        <v>100</v>
      </c>
      <c r="F2277" t="s">
        <v>7</v>
      </c>
      <c r="G2277" t="s">
        <v>8</v>
      </c>
      <c r="H2277">
        <v>3</v>
      </c>
      <c r="I2277" t="s">
        <v>27</v>
      </c>
    </row>
    <row r="2278" spans="1:9" x14ac:dyDescent="0.2">
      <c r="A2278" t="str">
        <f t="shared" si="282"/>
        <v>37956Tiahura18101Autres</v>
      </c>
      <c r="B2278" s="1">
        <v>37956</v>
      </c>
      <c r="C2278" t="s">
        <v>24</v>
      </c>
      <c r="D2278" s="19">
        <v>18</v>
      </c>
      <c r="E2278">
        <v>101</v>
      </c>
      <c r="F2278" t="s">
        <v>14</v>
      </c>
      <c r="H2278">
        <v>0</v>
      </c>
    </row>
    <row r="2279" spans="1:9" x14ac:dyDescent="0.2">
      <c r="A2279" t="str">
        <f t="shared" si="282"/>
        <v>37956Tiahura18102PocilloporidaeDessous</v>
      </c>
      <c r="B2279" s="1">
        <v>37956</v>
      </c>
      <c r="C2279" t="s">
        <v>24</v>
      </c>
      <c r="D2279" s="19">
        <v>18</v>
      </c>
      <c r="E2279">
        <v>102</v>
      </c>
      <c r="F2279" t="s">
        <v>10</v>
      </c>
      <c r="G2279" t="s">
        <v>8</v>
      </c>
      <c r="H2279">
        <v>3</v>
      </c>
      <c r="I2279" t="s">
        <v>27</v>
      </c>
    </row>
    <row r="2280" spans="1:9" x14ac:dyDescent="0.2">
      <c r="A2280" t="str">
        <f t="shared" si="282"/>
        <v>37956Tiahura18103PocilloporidaeBords</v>
      </c>
      <c r="B2280" s="1">
        <v>37956</v>
      </c>
      <c r="C2280" t="s">
        <v>24</v>
      </c>
      <c r="D2280" s="19">
        <v>18</v>
      </c>
      <c r="E2280">
        <v>103</v>
      </c>
      <c r="F2280" t="s">
        <v>10</v>
      </c>
      <c r="G2280" t="s">
        <v>13</v>
      </c>
      <c r="H2280">
        <v>2</v>
      </c>
      <c r="I2280" t="s">
        <v>27</v>
      </c>
    </row>
    <row r="2281" spans="1:9" x14ac:dyDescent="0.2">
      <c r="A2281" t="str">
        <f t="shared" si="282"/>
        <v>37956Tiahura18104Autres</v>
      </c>
      <c r="B2281" s="1">
        <v>37956</v>
      </c>
      <c r="C2281" t="s">
        <v>24</v>
      </c>
      <c r="D2281" s="19">
        <v>18</v>
      </c>
      <c r="E2281">
        <v>104</v>
      </c>
      <c r="F2281" t="s">
        <v>14</v>
      </c>
      <c r="H2281">
        <v>0</v>
      </c>
    </row>
    <row r="2282" spans="1:9" x14ac:dyDescent="0.2">
      <c r="A2282" t="str">
        <f t="shared" si="282"/>
        <v>37956Tiahura18105PocilloporidaeBords</v>
      </c>
      <c r="B2282" s="1">
        <v>37956</v>
      </c>
      <c r="C2282" t="s">
        <v>24</v>
      </c>
      <c r="D2282" s="19">
        <v>18</v>
      </c>
      <c r="E2282">
        <v>105</v>
      </c>
      <c r="F2282" t="s">
        <v>10</v>
      </c>
      <c r="G2282" t="s">
        <v>13</v>
      </c>
      <c r="H2282">
        <v>1</v>
      </c>
      <c r="I2282" t="s">
        <v>27</v>
      </c>
    </row>
    <row r="2283" spans="1:9" x14ac:dyDescent="0.2">
      <c r="A2283" t="str">
        <f t="shared" si="282"/>
        <v>37956Tiahura18106PocilloporidaeBords</v>
      </c>
      <c r="B2283" s="1">
        <v>37956</v>
      </c>
      <c r="C2283" t="s">
        <v>24</v>
      </c>
      <c r="D2283" s="19">
        <v>18</v>
      </c>
      <c r="E2283">
        <v>106</v>
      </c>
      <c r="F2283" t="s">
        <v>10</v>
      </c>
      <c r="G2283" t="s">
        <v>13</v>
      </c>
      <c r="H2283">
        <v>1</v>
      </c>
      <c r="I2283" t="s">
        <v>27</v>
      </c>
    </row>
    <row r="2284" spans="1:9" x14ac:dyDescent="0.2">
      <c r="A2284" t="str">
        <f t="shared" si="282"/>
        <v>37956Tiahura18106PoritidaeDessous</v>
      </c>
      <c r="B2284" s="1">
        <v>37956</v>
      </c>
      <c r="C2284" t="s">
        <v>24</v>
      </c>
      <c r="D2284" s="19">
        <v>18</v>
      </c>
      <c r="E2284">
        <v>106</v>
      </c>
      <c r="F2284" t="s">
        <v>7</v>
      </c>
      <c r="G2284" t="s">
        <v>8</v>
      </c>
      <c r="H2284">
        <v>1</v>
      </c>
      <c r="I2284" t="s">
        <v>27</v>
      </c>
    </row>
    <row r="2285" spans="1:9" x14ac:dyDescent="0.2">
      <c r="A2285" t="str">
        <f t="shared" si="282"/>
        <v>37956Tiahura18107Autres</v>
      </c>
      <c r="B2285" s="1">
        <v>37956</v>
      </c>
      <c r="C2285" t="s">
        <v>24</v>
      </c>
      <c r="D2285" s="19">
        <v>18</v>
      </c>
      <c r="E2285">
        <v>107</v>
      </c>
      <c r="F2285" t="s">
        <v>14</v>
      </c>
      <c r="H2285">
        <v>0</v>
      </c>
    </row>
    <row r="2286" spans="1:9" x14ac:dyDescent="0.2">
      <c r="A2286" t="str">
        <f t="shared" si="282"/>
        <v>37956Tiahura18108AcroporidaeDessous</v>
      </c>
      <c r="B2286" s="1">
        <v>37956</v>
      </c>
      <c r="C2286" t="s">
        <v>24</v>
      </c>
      <c r="D2286" s="19">
        <v>18</v>
      </c>
      <c r="E2286">
        <v>108</v>
      </c>
      <c r="F2286" t="s">
        <v>17</v>
      </c>
      <c r="G2286" t="s">
        <v>8</v>
      </c>
      <c r="H2286">
        <v>1</v>
      </c>
      <c r="I2286" t="s">
        <v>27</v>
      </c>
    </row>
    <row r="2287" spans="1:9" x14ac:dyDescent="0.2">
      <c r="A2287" t="str">
        <f t="shared" si="282"/>
        <v>37956Tiahura18108PocilloporidaeBords</v>
      </c>
      <c r="B2287" s="1">
        <v>37956</v>
      </c>
      <c r="C2287" t="s">
        <v>24</v>
      </c>
      <c r="D2287" s="19">
        <v>18</v>
      </c>
      <c r="E2287">
        <v>108</v>
      </c>
      <c r="F2287" t="s">
        <v>10</v>
      </c>
      <c r="G2287" t="s">
        <v>13</v>
      </c>
      <c r="H2287">
        <v>1</v>
      </c>
      <c r="I2287" t="s">
        <v>27</v>
      </c>
    </row>
    <row r="2288" spans="1:9" x14ac:dyDescent="0.2">
      <c r="A2288" t="str">
        <f t="shared" si="282"/>
        <v>37956Tiahura18108PocilloporidaeDessous</v>
      </c>
      <c r="B2288" s="1">
        <v>37956</v>
      </c>
      <c r="C2288" t="s">
        <v>24</v>
      </c>
      <c r="D2288" s="19">
        <v>18</v>
      </c>
      <c r="E2288">
        <v>108</v>
      </c>
      <c r="F2288" t="s">
        <v>10</v>
      </c>
      <c r="G2288" t="s">
        <v>8</v>
      </c>
      <c r="H2288">
        <v>1</v>
      </c>
      <c r="I2288" t="s">
        <v>27</v>
      </c>
    </row>
    <row r="2289" spans="1:9" x14ac:dyDescent="0.2">
      <c r="A2289" t="str">
        <f t="shared" si="282"/>
        <v>37956Tiahura18109PocilloporidaeDessous</v>
      </c>
      <c r="B2289" s="1">
        <v>37956</v>
      </c>
      <c r="C2289" t="s">
        <v>24</v>
      </c>
      <c r="D2289" s="19">
        <v>18</v>
      </c>
      <c r="E2289">
        <v>109</v>
      </c>
      <c r="F2289" t="s">
        <v>10</v>
      </c>
      <c r="G2289" t="s">
        <v>8</v>
      </c>
      <c r="H2289">
        <v>1</v>
      </c>
      <c r="I2289" t="s">
        <v>27</v>
      </c>
    </row>
    <row r="2290" spans="1:9" x14ac:dyDescent="0.2">
      <c r="A2290" t="str">
        <f t="shared" si="282"/>
        <v>37956Tiahura18109PoritidaeDessous</v>
      </c>
      <c r="B2290" s="1">
        <v>37956</v>
      </c>
      <c r="C2290" t="s">
        <v>24</v>
      </c>
      <c r="D2290" s="19">
        <v>18</v>
      </c>
      <c r="E2290">
        <v>109</v>
      </c>
      <c r="F2290" t="s">
        <v>7</v>
      </c>
      <c r="G2290" t="s">
        <v>8</v>
      </c>
      <c r="H2290">
        <v>2</v>
      </c>
      <c r="I2290" t="s">
        <v>27</v>
      </c>
    </row>
    <row r="2291" spans="1:9" x14ac:dyDescent="0.2">
      <c r="A2291" t="str">
        <f t="shared" si="282"/>
        <v>37956Tiahura18110PocilloporidaeBords</v>
      </c>
      <c r="B2291" s="1">
        <v>37956</v>
      </c>
      <c r="C2291" t="s">
        <v>24</v>
      </c>
      <c r="D2291" s="19">
        <v>18</v>
      </c>
      <c r="E2291">
        <v>110</v>
      </c>
      <c r="F2291" t="s">
        <v>10</v>
      </c>
      <c r="G2291" t="s">
        <v>13</v>
      </c>
      <c r="H2291">
        <v>3</v>
      </c>
      <c r="I2291" t="s">
        <v>27</v>
      </c>
    </row>
    <row r="2292" spans="1:9" x14ac:dyDescent="0.2">
      <c r="A2292" t="str">
        <f t="shared" si="282"/>
        <v>37956Tiahura18110PocilloporidaeDessus</v>
      </c>
      <c r="B2292" s="1">
        <v>37956</v>
      </c>
      <c r="C2292" t="s">
        <v>24</v>
      </c>
      <c r="D2292" s="19">
        <v>18</v>
      </c>
      <c r="E2292">
        <v>110</v>
      </c>
      <c r="F2292" t="s">
        <v>10</v>
      </c>
      <c r="G2292" t="s">
        <v>11</v>
      </c>
      <c r="H2292">
        <v>4</v>
      </c>
      <c r="I2292" t="s">
        <v>27</v>
      </c>
    </row>
    <row r="2293" spans="1:9" x14ac:dyDescent="0.2">
      <c r="A2293" t="str">
        <f t="shared" si="282"/>
        <v>37956Tiahura18110PoritidaeBords</v>
      </c>
      <c r="B2293" s="1">
        <v>37956</v>
      </c>
      <c r="C2293" t="s">
        <v>24</v>
      </c>
      <c r="D2293" s="19">
        <v>18</v>
      </c>
      <c r="E2293">
        <v>110</v>
      </c>
      <c r="F2293" t="s">
        <v>7</v>
      </c>
      <c r="G2293" t="s">
        <v>13</v>
      </c>
      <c r="H2293">
        <v>1</v>
      </c>
      <c r="I2293" t="s">
        <v>27</v>
      </c>
    </row>
    <row r="2294" spans="1:9" x14ac:dyDescent="0.2">
      <c r="A2294" t="str">
        <f t="shared" si="282"/>
        <v>37956Tiahura18111PocilloporidaeBords</v>
      </c>
      <c r="B2294" s="1">
        <v>37956</v>
      </c>
      <c r="C2294" t="s">
        <v>24</v>
      </c>
      <c r="D2294" s="19">
        <v>18</v>
      </c>
      <c r="E2294">
        <v>111</v>
      </c>
      <c r="F2294" t="s">
        <v>10</v>
      </c>
      <c r="G2294" t="s">
        <v>13</v>
      </c>
      <c r="H2294">
        <v>1</v>
      </c>
      <c r="I2294" t="s">
        <v>27</v>
      </c>
    </row>
    <row r="2295" spans="1:9" x14ac:dyDescent="0.2">
      <c r="A2295" t="str">
        <f t="shared" si="282"/>
        <v>37956Tiahura18112PocilloporidaeBords</v>
      </c>
      <c r="B2295" s="1">
        <v>37956</v>
      </c>
      <c r="C2295" t="s">
        <v>24</v>
      </c>
      <c r="D2295" s="19">
        <v>18</v>
      </c>
      <c r="E2295">
        <v>112</v>
      </c>
      <c r="F2295" t="s">
        <v>10</v>
      </c>
      <c r="G2295" t="s">
        <v>13</v>
      </c>
      <c r="H2295">
        <v>2</v>
      </c>
      <c r="I2295" t="s">
        <v>27</v>
      </c>
    </row>
    <row r="2296" spans="1:9" x14ac:dyDescent="0.2">
      <c r="A2296" t="str">
        <f t="shared" si="282"/>
        <v>37956Tiahura18113AutresDessus</v>
      </c>
      <c r="B2296" s="1">
        <v>37956</v>
      </c>
      <c r="C2296" t="s">
        <v>24</v>
      </c>
      <c r="D2296" s="19">
        <v>18</v>
      </c>
      <c r="E2296">
        <v>113</v>
      </c>
      <c r="F2296" t="s">
        <v>14</v>
      </c>
      <c r="G2296" t="s">
        <v>11</v>
      </c>
      <c r="H2296">
        <v>1</v>
      </c>
      <c r="I2296" t="s">
        <v>27</v>
      </c>
    </row>
    <row r="2297" spans="1:9" x14ac:dyDescent="0.2">
      <c r="A2297" t="str">
        <f t="shared" si="282"/>
        <v>37956Tiahura18113PocilloporidaeDessous</v>
      </c>
      <c r="B2297" s="1">
        <v>37956</v>
      </c>
      <c r="C2297" t="s">
        <v>24</v>
      </c>
      <c r="D2297" s="19">
        <v>18</v>
      </c>
      <c r="E2297">
        <v>113</v>
      </c>
      <c r="F2297" t="s">
        <v>10</v>
      </c>
      <c r="G2297" t="s">
        <v>8</v>
      </c>
      <c r="H2297">
        <v>3</v>
      </c>
      <c r="I2297" t="s">
        <v>27</v>
      </c>
    </row>
    <row r="2298" spans="1:9" x14ac:dyDescent="0.2">
      <c r="A2298" t="str">
        <f t="shared" si="282"/>
        <v>37956Tiahura18113PocilloporidaeDessus</v>
      </c>
      <c r="B2298" s="1">
        <v>37956</v>
      </c>
      <c r="C2298" t="s">
        <v>24</v>
      </c>
      <c r="D2298" s="19">
        <v>18</v>
      </c>
      <c r="E2298">
        <v>113</v>
      </c>
      <c r="F2298" t="s">
        <v>10</v>
      </c>
      <c r="G2298" t="s">
        <v>11</v>
      </c>
      <c r="H2298">
        <v>1</v>
      </c>
      <c r="I2298" t="s">
        <v>27</v>
      </c>
    </row>
    <row r="2299" spans="1:9" x14ac:dyDescent="0.2">
      <c r="A2299" t="str">
        <f t="shared" si="282"/>
        <v>37956Tiahura18114Autres</v>
      </c>
      <c r="B2299" s="1">
        <v>37956</v>
      </c>
      <c r="C2299" t="s">
        <v>24</v>
      </c>
      <c r="D2299" s="19">
        <v>18</v>
      </c>
      <c r="E2299">
        <v>114</v>
      </c>
      <c r="F2299" t="s">
        <v>14</v>
      </c>
      <c r="H2299">
        <v>0</v>
      </c>
    </row>
    <row r="2300" spans="1:9" x14ac:dyDescent="0.2">
      <c r="A2300" t="str">
        <f t="shared" si="282"/>
        <v>37956Tiahura18115Autres</v>
      </c>
      <c r="B2300" s="1">
        <v>37956</v>
      </c>
      <c r="C2300" t="s">
        <v>24</v>
      </c>
      <c r="D2300" s="19">
        <v>18</v>
      </c>
      <c r="E2300">
        <v>115</v>
      </c>
      <c r="F2300" t="s">
        <v>14</v>
      </c>
      <c r="H2300">
        <v>0</v>
      </c>
    </row>
    <row r="2301" spans="1:9" x14ac:dyDescent="0.2">
      <c r="A2301" t="str">
        <f t="shared" si="282"/>
        <v>37956Tiahura18116Autres</v>
      </c>
      <c r="B2301" s="1">
        <v>37956</v>
      </c>
      <c r="C2301" t="s">
        <v>24</v>
      </c>
      <c r="D2301" s="19">
        <v>18</v>
      </c>
      <c r="E2301">
        <v>116</v>
      </c>
      <c r="F2301" t="s">
        <v>14</v>
      </c>
      <c r="H2301">
        <v>0</v>
      </c>
    </row>
    <row r="2302" spans="1:9" x14ac:dyDescent="0.2">
      <c r="A2302" t="str">
        <f t="shared" si="282"/>
        <v>37956Tiahura18117PocilloporidaeBords</v>
      </c>
      <c r="B2302" s="1">
        <v>37956</v>
      </c>
      <c r="C2302" t="s">
        <v>24</v>
      </c>
      <c r="D2302" s="19">
        <v>18</v>
      </c>
      <c r="E2302">
        <v>117</v>
      </c>
      <c r="F2302" t="s">
        <v>10</v>
      </c>
      <c r="G2302" t="s">
        <v>13</v>
      </c>
      <c r="H2302">
        <v>1</v>
      </c>
      <c r="I2302" t="s">
        <v>27</v>
      </c>
    </row>
    <row r="2303" spans="1:9" x14ac:dyDescent="0.2">
      <c r="A2303" t="str">
        <f t="shared" ref="A2303:A2366" si="283">B2303 &amp; C2303&amp; D2303&amp; E2303 &amp; F2303 &amp;G2303</f>
        <v>37956Tiahura18117PocilloporidaeDessus</v>
      </c>
      <c r="B2303" s="1">
        <v>37956</v>
      </c>
      <c r="C2303" t="s">
        <v>24</v>
      </c>
      <c r="D2303" s="19">
        <v>18</v>
      </c>
      <c r="E2303">
        <v>117</v>
      </c>
      <c r="F2303" t="s">
        <v>10</v>
      </c>
      <c r="G2303" t="s">
        <v>11</v>
      </c>
      <c r="H2303">
        <v>3</v>
      </c>
      <c r="I2303" t="s">
        <v>27</v>
      </c>
    </row>
    <row r="2304" spans="1:9" x14ac:dyDescent="0.2">
      <c r="A2304" t="str">
        <f t="shared" si="283"/>
        <v>37956Tiahura18118PocilloporidaeBords</v>
      </c>
      <c r="B2304" s="1">
        <v>37956</v>
      </c>
      <c r="C2304" t="s">
        <v>24</v>
      </c>
      <c r="D2304" s="19">
        <v>18</v>
      </c>
      <c r="E2304">
        <v>118</v>
      </c>
      <c r="F2304" t="s">
        <v>10</v>
      </c>
      <c r="G2304" t="s">
        <v>13</v>
      </c>
      <c r="H2304">
        <v>1</v>
      </c>
      <c r="I2304" t="s">
        <v>27</v>
      </c>
    </row>
    <row r="2305" spans="1:9" x14ac:dyDescent="0.2">
      <c r="A2305" t="str">
        <f t="shared" si="283"/>
        <v>37956Tiahura18118PocilloporidaeDessous</v>
      </c>
      <c r="B2305" s="1">
        <v>37956</v>
      </c>
      <c r="C2305" t="s">
        <v>24</v>
      </c>
      <c r="D2305" s="19">
        <v>18</v>
      </c>
      <c r="E2305">
        <v>118</v>
      </c>
      <c r="F2305" t="s">
        <v>10</v>
      </c>
      <c r="G2305" t="s">
        <v>8</v>
      </c>
      <c r="H2305">
        <v>1</v>
      </c>
      <c r="I2305" t="s">
        <v>27</v>
      </c>
    </row>
    <row r="2306" spans="1:9" x14ac:dyDescent="0.2">
      <c r="A2306" t="str">
        <f t="shared" si="283"/>
        <v>37956Tiahura18119PocilloporidaeBords</v>
      </c>
      <c r="B2306" s="1">
        <v>37956</v>
      </c>
      <c r="C2306" t="s">
        <v>24</v>
      </c>
      <c r="D2306" s="19">
        <v>18</v>
      </c>
      <c r="E2306">
        <v>119</v>
      </c>
      <c r="F2306" t="s">
        <v>10</v>
      </c>
      <c r="G2306" t="s">
        <v>13</v>
      </c>
      <c r="H2306">
        <v>1</v>
      </c>
      <c r="I2306" t="s">
        <v>27</v>
      </c>
    </row>
    <row r="2307" spans="1:9" x14ac:dyDescent="0.2">
      <c r="A2307" t="str">
        <f t="shared" si="283"/>
        <v>37956Tiahura18119PocilloporidaeDessous</v>
      </c>
      <c r="B2307" s="1">
        <v>37956</v>
      </c>
      <c r="C2307" t="s">
        <v>24</v>
      </c>
      <c r="D2307" s="19">
        <v>18</v>
      </c>
      <c r="E2307">
        <v>119</v>
      </c>
      <c r="F2307" t="s">
        <v>10</v>
      </c>
      <c r="G2307" t="s">
        <v>8</v>
      </c>
      <c r="H2307">
        <v>2</v>
      </c>
      <c r="I2307" t="s">
        <v>27</v>
      </c>
    </row>
    <row r="2308" spans="1:9" x14ac:dyDescent="0.2">
      <c r="A2308" t="str">
        <f t="shared" si="283"/>
        <v>37956Tiahura18119PoritidaeDessous</v>
      </c>
      <c r="B2308" s="1">
        <v>37956</v>
      </c>
      <c r="C2308" t="s">
        <v>24</v>
      </c>
      <c r="D2308" s="19">
        <v>18</v>
      </c>
      <c r="E2308">
        <v>119</v>
      </c>
      <c r="F2308" t="s">
        <v>7</v>
      </c>
      <c r="G2308" t="s">
        <v>8</v>
      </c>
      <c r="H2308">
        <v>1</v>
      </c>
      <c r="I2308" t="s">
        <v>27</v>
      </c>
    </row>
    <row r="2309" spans="1:9" x14ac:dyDescent="0.2">
      <c r="A2309" t="str">
        <f t="shared" si="283"/>
        <v>37956Tiahura18120PocilloporidaeBords</v>
      </c>
      <c r="B2309" s="1">
        <v>37956</v>
      </c>
      <c r="C2309" t="s">
        <v>24</v>
      </c>
      <c r="D2309" s="19">
        <v>18</v>
      </c>
      <c r="E2309">
        <v>120</v>
      </c>
      <c r="F2309" t="s">
        <v>10</v>
      </c>
      <c r="G2309" t="s">
        <v>13</v>
      </c>
      <c r="H2309">
        <v>4</v>
      </c>
      <c r="I2309" t="s">
        <v>27</v>
      </c>
    </row>
    <row r="2310" spans="1:9" x14ac:dyDescent="0.2">
      <c r="A2310" t="str">
        <f t="shared" si="283"/>
        <v>37956Tiahura18120PoritidaeBords</v>
      </c>
      <c r="B2310" s="1">
        <v>37956</v>
      </c>
      <c r="C2310" t="s">
        <v>24</v>
      </c>
      <c r="D2310" s="19">
        <v>18</v>
      </c>
      <c r="E2310">
        <v>120</v>
      </c>
      <c r="F2310" t="s">
        <v>7</v>
      </c>
      <c r="G2310" t="s">
        <v>13</v>
      </c>
      <c r="H2310">
        <v>1</v>
      </c>
      <c r="I2310" t="s">
        <v>27</v>
      </c>
    </row>
    <row r="2311" spans="1:9" x14ac:dyDescent="0.2">
      <c r="A2311" t="str">
        <f t="shared" si="283"/>
        <v>37956Haapiti6121Autres</v>
      </c>
      <c r="B2311" s="1">
        <v>37956</v>
      </c>
      <c r="C2311" t="s">
        <v>25</v>
      </c>
      <c r="D2311" s="19">
        <v>6</v>
      </c>
      <c r="E2311">
        <v>121</v>
      </c>
      <c r="F2311" t="s">
        <v>14</v>
      </c>
      <c r="H2311">
        <v>0</v>
      </c>
    </row>
    <row r="2312" spans="1:9" x14ac:dyDescent="0.2">
      <c r="A2312" t="str">
        <f t="shared" si="283"/>
        <v>37956Haapiti6122Autres</v>
      </c>
      <c r="B2312" s="1">
        <v>37956</v>
      </c>
      <c r="C2312" t="s">
        <v>25</v>
      </c>
      <c r="D2312" s="19">
        <v>6</v>
      </c>
      <c r="E2312">
        <v>122</v>
      </c>
      <c r="F2312" t="s">
        <v>14</v>
      </c>
      <c r="H2312">
        <v>0</v>
      </c>
    </row>
    <row r="2313" spans="1:9" x14ac:dyDescent="0.2">
      <c r="A2313" t="str">
        <f t="shared" si="283"/>
        <v>37956Haapiti6123Autres</v>
      </c>
      <c r="B2313" s="1">
        <v>37956</v>
      </c>
      <c r="C2313" t="s">
        <v>25</v>
      </c>
      <c r="D2313" s="19">
        <v>6</v>
      </c>
      <c r="E2313">
        <v>123</v>
      </c>
      <c r="F2313" t="s">
        <v>14</v>
      </c>
      <c r="H2313">
        <v>0</v>
      </c>
    </row>
    <row r="2314" spans="1:9" x14ac:dyDescent="0.2">
      <c r="A2314" t="str">
        <f t="shared" si="283"/>
        <v>37956Haapiti6124Autres</v>
      </c>
      <c r="B2314" s="1">
        <v>37956</v>
      </c>
      <c r="C2314" t="s">
        <v>25</v>
      </c>
      <c r="D2314" s="19">
        <v>6</v>
      </c>
      <c r="E2314">
        <v>124</v>
      </c>
      <c r="F2314" t="s">
        <v>14</v>
      </c>
      <c r="H2314">
        <v>0</v>
      </c>
    </row>
    <row r="2315" spans="1:9" x14ac:dyDescent="0.2">
      <c r="A2315" t="str">
        <f t="shared" si="283"/>
        <v>37956Haapiti6125Autres</v>
      </c>
      <c r="B2315" s="1">
        <v>37956</v>
      </c>
      <c r="C2315" t="s">
        <v>25</v>
      </c>
      <c r="D2315" s="19">
        <v>6</v>
      </c>
      <c r="E2315">
        <v>125</v>
      </c>
      <c r="F2315" t="s">
        <v>14</v>
      </c>
      <c r="H2315">
        <v>0</v>
      </c>
    </row>
    <row r="2316" spans="1:9" x14ac:dyDescent="0.2">
      <c r="A2316" t="str">
        <f t="shared" si="283"/>
        <v>37956Haapiti6126Autres</v>
      </c>
      <c r="B2316" s="1">
        <v>37956</v>
      </c>
      <c r="C2316" t="s">
        <v>25</v>
      </c>
      <c r="D2316" s="19">
        <v>6</v>
      </c>
      <c r="E2316">
        <v>126</v>
      </c>
      <c r="F2316" t="s">
        <v>14</v>
      </c>
      <c r="H2316">
        <v>0</v>
      </c>
    </row>
    <row r="2317" spans="1:9" x14ac:dyDescent="0.2">
      <c r="A2317" t="str">
        <f t="shared" si="283"/>
        <v>37956Haapiti6127Autres</v>
      </c>
      <c r="B2317" s="1">
        <v>37956</v>
      </c>
      <c r="C2317" t="s">
        <v>25</v>
      </c>
      <c r="D2317" s="19">
        <v>6</v>
      </c>
      <c r="E2317">
        <v>127</v>
      </c>
      <c r="F2317" t="s">
        <v>14</v>
      </c>
      <c r="H2317">
        <v>0</v>
      </c>
    </row>
    <row r="2318" spans="1:9" x14ac:dyDescent="0.2">
      <c r="A2318" t="str">
        <f t="shared" si="283"/>
        <v>37956Haapiti6128PocilloporidaeDessous</v>
      </c>
      <c r="B2318" s="1">
        <v>37956</v>
      </c>
      <c r="C2318" t="s">
        <v>25</v>
      </c>
      <c r="D2318" s="19">
        <v>6</v>
      </c>
      <c r="E2318">
        <v>128</v>
      </c>
      <c r="F2318" t="s">
        <v>10</v>
      </c>
      <c r="G2318" t="s">
        <v>8</v>
      </c>
      <c r="H2318">
        <v>1</v>
      </c>
      <c r="I2318" t="s">
        <v>27</v>
      </c>
    </row>
    <row r="2319" spans="1:9" x14ac:dyDescent="0.2">
      <c r="A2319" t="str">
        <f t="shared" si="283"/>
        <v>37956Haapiti6129Autres</v>
      </c>
      <c r="B2319" s="1">
        <v>37956</v>
      </c>
      <c r="C2319" t="s">
        <v>25</v>
      </c>
      <c r="D2319" s="19">
        <v>6</v>
      </c>
      <c r="E2319">
        <v>129</v>
      </c>
      <c r="F2319" t="s">
        <v>14</v>
      </c>
      <c r="H2319">
        <v>0</v>
      </c>
    </row>
    <row r="2320" spans="1:9" x14ac:dyDescent="0.2">
      <c r="A2320" t="str">
        <f t="shared" si="283"/>
        <v>37956Haapiti6130Autres</v>
      </c>
      <c r="B2320" s="1">
        <v>37956</v>
      </c>
      <c r="C2320" t="s">
        <v>25</v>
      </c>
      <c r="D2320" s="19">
        <v>6</v>
      </c>
      <c r="E2320">
        <v>130</v>
      </c>
      <c r="F2320" t="s">
        <v>14</v>
      </c>
      <c r="H2320">
        <v>0</v>
      </c>
    </row>
    <row r="2321" spans="1:9" x14ac:dyDescent="0.2">
      <c r="A2321" t="str">
        <f t="shared" si="283"/>
        <v>37956Haapiti6131PocilloporidaeBords</v>
      </c>
      <c r="B2321" s="1">
        <v>37956</v>
      </c>
      <c r="C2321" t="s">
        <v>25</v>
      </c>
      <c r="D2321" s="19">
        <v>6</v>
      </c>
      <c r="E2321">
        <v>131</v>
      </c>
      <c r="F2321" t="s">
        <v>10</v>
      </c>
      <c r="G2321" t="s">
        <v>13</v>
      </c>
      <c r="H2321">
        <v>1</v>
      </c>
      <c r="I2321" t="s">
        <v>27</v>
      </c>
    </row>
    <row r="2322" spans="1:9" x14ac:dyDescent="0.2">
      <c r="A2322" t="str">
        <f t="shared" si="283"/>
        <v>37956Haapiti6131PocilloporidaeDessous</v>
      </c>
      <c r="B2322" s="1">
        <v>37956</v>
      </c>
      <c r="C2322" t="s">
        <v>25</v>
      </c>
      <c r="D2322" s="19">
        <v>6</v>
      </c>
      <c r="E2322">
        <v>131</v>
      </c>
      <c r="F2322" t="s">
        <v>10</v>
      </c>
      <c r="G2322" t="s">
        <v>8</v>
      </c>
      <c r="H2322">
        <v>1</v>
      </c>
      <c r="I2322" t="s">
        <v>27</v>
      </c>
    </row>
    <row r="2323" spans="1:9" x14ac:dyDescent="0.2">
      <c r="A2323" t="str">
        <f t="shared" si="283"/>
        <v>37956Haapiti6132Autres</v>
      </c>
      <c r="B2323" s="1">
        <v>37956</v>
      </c>
      <c r="C2323" t="s">
        <v>25</v>
      </c>
      <c r="D2323" s="19">
        <v>6</v>
      </c>
      <c r="E2323">
        <v>132</v>
      </c>
      <c r="F2323" t="s">
        <v>14</v>
      </c>
      <c r="H2323">
        <v>0</v>
      </c>
    </row>
    <row r="2324" spans="1:9" x14ac:dyDescent="0.2">
      <c r="A2324" t="str">
        <f t="shared" si="283"/>
        <v>37956Haapiti6133PocilloporidaeDessous</v>
      </c>
      <c r="B2324" s="1">
        <v>37956</v>
      </c>
      <c r="C2324" t="s">
        <v>25</v>
      </c>
      <c r="D2324" s="19">
        <v>6</v>
      </c>
      <c r="E2324">
        <v>133</v>
      </c>
      <c r="F2324" t="s">
        <v>10</v>
      </c>
      <c r="G2324" t="s">
        <v>8</v>
      </c>
      <c r="H2324">
        <v>1</v>
      </c>
      <c r="I2324" t="s">
        <v>27</v>
      </c>
    </row>
    <row r="2325" spans="1:9" x14ac:dyDescent="0.2">
      <c r="A2325" t="str">
        <f t="shared" si="283"/>
        <v>37956Haapiti6134PocilloporidaeBords</v>
      </c>
      <c r="B2325" s="1">
        <v>37956</v>
      </c>
      <c r="C2325" t="s">
        <v>25</v>
      </c>
      <c r="D2325" s="19">
        <v>6</v>
      </c>
      <c r="E2325">
        <v>134</v>
      </c>
      <c r="F2325" t="s">
        <v>10</v>
      </c>
      <c r="G2325" t="s">
        <v>13</v>
      </c>
      <c r="H2325">
        <v>1</v>
      </c>
      <c r="I2325" t="s">
        <v>27</v>
      </c>
    </row>
    <row r="2326" spans="1:9" x14ac:dyDescent="0.2">
      <c r="A2326" t="str">
        <f t="shared" si="283"/>
        <v>37956Haapiti6135Autres</v>
      </c>
      <c r="B2326" s="1">
        <v>37956</v>
      </c>
      <c r="C2326" t="s">
        <v>25</v>
      </c>
      <c r="D2326" s="19">
        <v>6</v>
      </c>
      <c r="E2326">
        <v>135</v>
      </c>
      <c r="F2326" t="s">
        <v>14</v>
      </c>
      <c r="H2326">
        <v>0</v>
      </c>
    </row>
    <row r="2327" spans="1:9" x14ac:dyDescent="0.2">
      <c r="A2327" t="str">
        <f t="shared" si="283"/>
        <v>37956Haapiti6136Autres</v>
      </c>
      <c r="B2327" s="1">
        <v>37956</v>
      </c>
      <c r="C2327" t="s">
        <v>25</v>
      </c>
      <c r="D2327" s="19">
        <v>6</v>
      </c>
      <c r="E2327">
        <v>136</v>
      </c>
      <c r="F2327" t="s">
        <v>14</v>
      </c>
      <c r="H2327">
        <v>0</v>
      </c>
    </row>
    <row r="2328" spans="1:9" x14ac:dyDescent="0.2">
      <c r="A2328" t="str">
        <f t="shared" si="283"/>
        <v>37956Haapiti6137PocilloporidaeBords</v>
      </c>
      <c r="B2328" s="1">
        <v>37956</v>
      </c>
      <c r="C2328" t="s">
        <v>25</v>
      </c>
      <c r="D2328" s="19">
        <v>6</v>
      </c>
      <c r="E2328">
        <v>137</v>
      </c>
      <c r="F2328" t="s">
        <v>10</v>
      </c>
      <c r="G2328" t="s">
        <v>13</v>
      </c>
      <c r="H2328">
        <v>1</v>
      </c>
      <c r="I2328" t="s">
        <v>27</v>
      </c>
    </row>
    <row r="2329" spans="1:9" x14ac:dyDescent="0.2">
      <c r="A2329" t="str">
        <f t="shared" si="283"/>
        <v>37956Haapiti6138PocilloporidaeBords</v>
      </c>
      <c r="B2329" s="1">
        <v>37956</v>
      </c>
      <c r="C2329" t="s">
        <v>25</v>
      </c>
      <c r="D2329" s="19">
        <v>6</v>
      </c>
      <c r="E2329">
        <v>138</v>
      </c>
      <c r="F2329" t="s">
        <v>10</v>
      </c>
      <c r="G2329" t="s">
        <v>13</v>
      </c>
      <c r="H2329">
        <v>1</v>
      </c>
      <c r="I2329" t="s">
        <v>27</v>
      </c>
    </row>
    <row r="2330" spans="1:9" x14ac:dyDescent="0.2">
      <c r="A2330" t="str">
        <f t="shared" si="283"/>
        <v>37956Haapiti6139Autres</v>
      </c>
      <c r="B2330" s="1">
        <v>37956</v>
      </c>
      <c r="C2330" t="s">
        <v>25</v>
      </c>
      <c r="D2330" s="19">
        <v>6</v>
      </c>
      <c r="E2330">
        <v>139</v>
      </c>
      <c r="F2330" t="s">
        <v>14</v>
      </c>
      <c r="H2330">
        <v>0</v>
      </c>
    </row>
    <row r="2331" spans="1:9" x14ac:dyDescent="0.2">
      <c r="A2331" t="str">
        <f t="shared" si="283"/>
        <v>37956Haapiti6140PocilloporidaeDessus</v>
      </c>
      <c r="B2331" s="1">
        <v>37956</v>
      </c>
      <c r="C2331" t="s">
        <v>25</v>
      </c>
      <c r="D2331" s="19">
        <v>6</v>
      </c>
      <c r="E2331">
        <v>140</v>
      </c>
      <c r="F2331" t="s">
        <v>10</v>
      </c>
      <c r="G2331" t="s">
        <v>11</v>
      </c>
      <c r="H2331">
        <v>1</v>
      </c>
      <c r="I2331" t="s">
        <v>27</v>
      </c>
    </row>
    <row r="2332" spans="1:9" x14ac:dyDescent="0.2">
      <c r="A2332" t="str">
        <f t="shared" si="283"/>
        <v>37956Haapiti12141Autres</v>
      </c>
      <c r="B2332" s="1">
        <v>37956</v>
      </c>
      <c r="C2332" t="s">
        <v>25</v>
      </c>
      <c r="D2332" s="19">
        <v>12</v>
      </c>
      <c r="E2332">
        <v>141</v>
      </c>
      <c r="F2332" t="s">
        <v>14</v>
      </c>
      <c r="H2332">
        <v>0</v>
      </c>
    </row>
    <row r="2333" spans="1:9" x14ac:dyDescent="0.2">
      <c r="A2333" t="str">
        <f t="shared" si="283"/>
        <v>37956Haapiti12142PocilloporidaeDessous</v>
      </c>
      <c r="B2333" s="1">
        <v>37956</v>
      </c>
      <c r="C2333" t="s">
        <v>25</v>
      </c>
      <c r="D2333" s="19">
        <v>12</v>
      </c>
      <c r="E2333">
        <v>142</v>
      </c>
      <c r="F2333" t="s">
        <v>10</v>
      </c>
      <c r="G2333" t="s">
        <v>8</v>
      </c>
      <c r="H2333">
        <v>2</v>
      </c>
      <c r="I2333" t="s">
        <v>27</v>
      </c>
    </row>
    <row r="2334" spans="1:9" x14ac:dyDescent="0.2">
      <c r="A2334" t="str">
        <f t="shared" si="283"/>
        <v>37956Haapiti12143PocilloporidaeDessous</v>
      </c>
      <c r="B2334" s="1">
        <v>37956</v>
      </c>
      <c r="C2334" t="s">
        <v>25</v>
      </c>
      <c r="D2334" s="19">
        <v>12</v>
      </c>
      <c r="E2334">
        <v>143</v>
      </c>
      <c r="F2334" t="s">
        <v>10</v>
      </c>
      <c r="G2334" t="s">
        <v>8</v>
      </c>
      <c r="H2334">
        <v>3</v>
      </c>
      <c r="I2334" t="s">
        <v>27</v>
      </c>
    </row>
    <row r="2335" spans="1:9" x14ac:dyDescent="0.2">
      <c r="A2335" t="str">
        <f t="shared" si="283"/>
        <v>37956Haapiti12144Autres</v>
      </c>
      <c r="B2335" s="1">
        <v>37956</v>
      </c>
      <c r="C2335" t="s">
        <v>25</v>
      </c>
      <c r="D2335" s="19">
        <v>12</v>
      </c>
      <c r="E2335">
        <v>144</v>
      </c>
      <c r="F2335" t="s">
        <v>14</v>
      </c>
      <c r="H2335">
        <v>0</v>
      </c>
    </row>
    <row r="2336" spans="1:9" x14ac:dyDescent="0.2">
      <c r="A2336" t="str">
        <f t="shared" si="283"/>
        <v>37956Haapiti12145PocilloporidaeBords</v>
      </c>
      <c r="B2336" s="1">
        <v>37956</v>
      </c>
      <c r="C2336" t="s">
        <v>25</v>
      </c>
      <c r="D2336" s="19">
        <v>12</v>
      </c>
      <c r="E2336">
        <v>145</v>
      </c>
      <c r="F2336" t="s">
        <v>10</v>
      </c>
      <c r="G2336" t="s">
        <v>13</v>
      </c>
      <c r="H2336">
        <v>2</v>
      </c>
      <c r="I2336" t="s">
        <v>27</v>
      </c>
    </row>
    <row r="2337" spans="1:9" x14ac:dyDescent="0.2">
      <c r="A2337" t="str">
        <f t="shared" si="283"/>
        <v>37956Haapiti12146CassésDessous</v>
      </c>
      <c r="B2337" s="1">
        <v>37956</v>
      </c>
      <c r="C2337" t="s">
        <v>25</v>
      </c>
      <c r="D2337" s="19">
        <v>12</v>
      </c>
      <c r="E2337">
        <v>146</v>
      </c>
      <c r="F2337" t="s">
        <v>12</v>
      </c>
      <c r="G2337" t="s">
        <v>8</v>
      </c>
      <c r="H2337">
        <v>1</v>
      </c>
      <c r="I2337" t="s">
        <v>27</v>
      </c>
    </row>
    <row r="2338" spans="1:9" x14ac:dyDescent="0.2">
      <c r="A2338" t="str">
        <f t="shared" si="283"/>
        <v>37956Haapiti12147AutresDessous</v>
      </c>
      <c r="B2338" s="1">
        <v>37956</v>
      </c>
      <c r="C2338" t="s">
        <v>25</v>
      </c>
      <c r="D2338" s="19">
        <v>12</v>
      </c>
      <c r="E2338">
        <v>147</v>
      </c>
      <c r="F2338" t="s">
        <v>14</v>
      </c>
      <c r="G2338" t="s">
        <v>8</v>
      </c>
      <c r="H2338">
        <v>1</v>
      </c>
      <c r="I2338" t="s">
        <v>27</v>
      </c>
    </row>
    <row r="2339" spans="1:9" x14ac:dyDescent="0.2">
      <c r="A2339" t="str">
        <f t="shared" si="283"/>
        <v>37956Haapiti12147PocilloporidaeDessous</v>
      </c>
      <c r="B2339" s="1">
        <v>37956</v>
      </c>
      <c r="C2339" t="s">
        <v>25</v>
      </c>
      <c r="D2339" s="19">
        <v>12</v>
      </c>
      <c r="E2339">
        <v>147</v>
      </c>
      <c r="F2339" t="s">
        <v>10</v>
      </c>
      <c r="G2339" t="s">
        <v>8</v>
      </c>
      <c r="H2339">
        <v>1</v>
      </c>
      <c r="I2339" t="s">
        <v>27</v>
      </c>
    </row>
    <row r="2340" spans="1:9" x14ac:dyDescent="0.2">
      <c r="A2340" t="str">
        <f t="shared" si="283"/>
        <v>37956Haapiti12148AcroporidaeBords</v>
      </c>
      <c r="B2340" s="1">
        <v>37956</v>
      </c>
      <c r="C2340" t="s">
        <v>25</v>
      </c>
      <c r="D2340" s="19">
        <v>12</v>
      </c>
      <c r="E2340">
        <v>148</v>
      </c>
      <c r="F2340" t="s">
        <v>17</v>
      </c>
      <c r="G2340" t="s">
        <v>13</v>
      </c>
      <c r="H2340">
        <v>1</v>
      </c>
      <c r="I2340" t="s">
        <v>27</v>
      </c>
    </row>
    <row r="2341" spans="1:9" x14ac:dyDescent="0.2">
      <c r="A2341" t="str">
        <f t="shared" si="283"/>
        <v>37956Haapiti12148CassésDessous</v>
      </c>
      <c r="B2341" s="1">
        <v>37956</v>
      </c>
      <c r="C2341" t="s">
        <v>25</v>
      </c>
      <c r="D2341" s="19">
        <v>12</v>
      </c>
      <c r="E2341">
        <v>148</v>
      </c>
      <c r="F2341" t="s">
        <v>12</v>
      </c>
      <c r="G2341" t="s">
        <v>8</v>
      </c>
      <c r="H2341">
        <v>1</v>
      </c>
      <c r="I2341" t="s">
        <v>27</v>
      </c>
    </row>
    <row r="2342" spans="1:9" x14ac:dyDescent="0.2">
      <c r="A2342" t="str">
        <f t="shared" si="283"/>
        <v>37956Haapiti12148PocilloporidaeDessus</v>
      </c>
      <c r="B2342" s="1">
        <v>37956</v>
      </c>
      <c r="C2342" t="s">
        <v>25</v>
      </c>
      <c r="D2342" s="19">
        <v>12</v>
      </c>
      <c r="E2342">
        <v>148</v>
      </c>
      <c r="F2342" t="s">
        <v>10</v>
      </c>
      <c r="G2342" t="s">
        <v>11</v>
      </c>
      <c r="H2342">
        <v>1</v>
      </c>
      <c r="I2342" t="s">
        <v>27</v>
      </c>
    </row>
    <row r="2343" spans="1:9" x14ac:dyDescent="0.2">
      <c r="A2343" t="str">
        <f t="shared" si="283"/>
        <v>37956Haapiti12149PoritidaeDessous</v>
      </c>
      <c r="B2343" s="1">
        <v>37956</v>
      </c>
      <c r="C2343" t="s">
        <v>25</v>
      </c>
      <c r="D2343" s="19">
        <v>12</v>
      </c>
      <c r="E2343">
        <v>149</v>
      </c>
      <c r="F2343" t="s">
        <v>7</v>
      </c>
      <c r="G2343" t="s">
        <v>8</v>
      </c>
      <c r="H2343">
        <v>1</v>
      </c>
      <c r="I2343" t="s">
        <v>27</v>
      </c>
    </row>
    <row r="2344" spans="1:9" x14ac:dyDescent="0.2">
      <c r="A2344" t="str">
        <f t="shared" si="283"/>
        <v>37956Haapiti12150PocilloporidaeBords</v>
      </c>
      <c r="B2344" s="1">
        <v>37956</v>
      </c>
      <c r="C2344" t="s">
        <v>25</v>
      </c>
      <c r="D2344" s="19">
        <v>12</v>
      </c>
      <c r="E2344">
        <v>150</v>
      </c>
      <c r="F2344" t="s">
        <v>10</v>
      </c>
      <c r="G2344" t="s">
        <v>13</v>
      </c>
      <c r="H2344">
        <v>1</v>
      </c>
      <c r="I2344" t="s">
        <v>27</v>
      </c>
    </row>
    <row r="2345" spans="1:9" x14ac:dyDescent="0.2">
      <c r="A2345" t="str">
        <f t="shared" si="283"/>
        <v>37956Haapiti12150PocilloporidaeDessous</v>
      </c>
      <c r="B2345" s="1">
        <v>37956</v>
      </c>
      <c r="C2345" t="s">
        <v>25</v>
      </c>
      <c r="D2345" s="19">
        <v>12</v>
      </c>
      <c r="E2345">
        <v>150</v>
      </c>
      <c r="F2345" t="s">
        <v>10</v>
      </c>
      <c r="G2345" t="s">
        <v>8</v>
      </c>
      <c r="H2345">
        <v>1</v>
      </c>
      <c r="I2345" t="s">
        <v>27</v>
      </c>
    </row>
    <row r="2346" spans="1:9" x14ac:dyDescent="0.2">
      <c r="A2346" t="str">
        <f t="shared" si="283"/>
        <v>37956Haapiti12151Autres</v>
      </c>
      <c r="B2346" s="1">
        <v>37956</v>
      </c>
      <c r="C2346" t="s">
        <v>25</v>
      </c>
      <c r="D2346" s="19">
        <v>12</v>
      </c>
      <c r="E2346">
        <v>151</v>
      </c>
      <c r="F2346" t="s">
        <v>14</v>
      </c>
      <c r="H2346">
        <v>0</v>
      </c>
    </row>
    <row r="2347" spans="1:9" x14ac:dyDescent="0.2">
      <c r="A2347" t="str">
        <f t="shared" si="283"/>
        <v>37956Haapiti12152Autres</v>
      </c>
      <c r="B2347" s="1">
        <v>37956</v>
      </c>
      <c r="C2347" t="s">
        <v>25</v>
      </c>
      <c r="D2347" s="19">
        <v>12</v>
      </c>
      <c r="E2347">
        <v>152</v>
      </c>
      <c r="F2347" t="s">
        <v>14</v>
      </c>
      <c r="H2347">
        <v>0</v>
      </c>
    </row>
    <row r="2348" spans="1:9" x14ac:dyDescent="0.2">
      <c r="A2348" t="str">
        <f t="shared" si="283"/>
        <v>37956Haapiti12153Autres</v>
      </c>
      <c r="B2348" s="1">
        <v>37956</v>
      </c>
      <c r="C2348" t="s">
        <v>25</v>
      </c>
      <c r="D2348" s="19">
        <v>12</v>
      </c>
      <c r="E2348">
        <v>153</v>
      </c>
      <c r="F2348" t="s">
        <v>14</v>
      </c>
      <c r="H2348">
        <v>0</v>
      </c>
    </row>
    <row r="2349" spans="1:9" x14ac:dyDescent="0.2">
      <c r="A2349" t="str">
        <f t="shared" si="283"/>
        <v>37956Haapiti12154PocilloporidaeBords</v>
      </c>
      <c r="B2349" s="1">
        <v>37956</v>
      </c>
      <c r="C2349" t="s">
        <v>25</v>
      </c>
      <c r="D2349" s="19">
        <v>12</v>
      </c>
      <c r="E2349">
        <v>154</v>
      </c>
      <c r="F2349" t="s">
        <v>10</v>
      </c>
      <c r="G2349" t="s">
        <v>13</v>
      </c>
      <c r="H2349">
        <v>2</v>
      </c>
      <c r="I2349" t="s">
        <v>27</v>
      </c>
    </row>
    <row r="2350" spans="1:9" x14ac:dyDescent="0.2">
      <c r="A2350" t="str">
        <f t="shared" si="283"/>
        <v>37956Haapiti12155PocilloporidaeDessous</v>
      </c>
      <c r="B2350" s="1">
        <v>37956</v>
      </c>
      <c r="C2350" t="s">
        <v>25</v>
      </c>
      <c r="D2350" s="19">
        <v>12</v>
      </c>
      <c r="E2350">
        <v>155</v>
      </c>
      <c r="F2350" t="s">
        <v>10</v>
      </c>
      <c r="G2350" t="s">
        <v>8</v>
      </c>
      <c r="H2350">
        <v>3</v>
      </c>
      <c r="I2350" t="s">
        <v>27</v>
      </c>
    </row>
    <row r="2351" spans="1:9" x14ac:dyDescent="0.2">
      <c r="A2351" t="str">
        <f t="shared" si="283"/>
        <v>37956Haapiti12156PocilloporidaeDessus</v>
      </c>
      <c r="B2351" s="1">
        <v>37956</v>
      </c>
      <c r="C2351" t="s">
        <v>25</v>
      </c>
      <c r="D2351" s="19">
        <v>12</v>
      </c>
      <c r="E2351">
        <v>156</v>
      </c>
      <c r="F2351" t="s">
        <v>10</v>
      </c>
      <c r="G2351" t="s">
        <v>11</v>
      </c>
      <c r="H2351">
        <v>3</v>
      </c>
      <c r="I2351" t="s">
        <v>27</v>
      </c>
    </row>
    <row r="2352" spans="1:9" x14ac:dyDescent="0.2">
      <c r="A2352" t="str">
        <f t="shared" si="283"/>
        <v>37956Haapiti12157PocilloporidaeBords</v>
      </c>
      <c r="B2352" s="1">
        <v>37956</v>
      </c>
      <c r="C2352" t="s">
        <v>25</v>
      </c>
      <c r="D2352" s="19">
        <v>12</v>
      </c>
      <c r="E2352">
        <v>157</v>
      </c>
      <c r="F2352" t="s">
        <v>10</v>
      </c>
      <c r="G2352" t="s">
        <v>13</v>
      </c>
      <c r="H2352">
        <v>1</v>
      </c>
      <c r="I2352" t="s">
        <v>27</v>
      </c>
    </row>
    <row r="2353" spans="1:9" x14ac:dyDescent="0.2">
      <c r="A2353" t="str">
        <f t="shared" si="283"/>
        <v>37956Haapiti12157PocilloporidaeDessous</v>
      </c>
      <c r="B2353" s="1">
        <v>37956</v>
      </c>
      <c r="C2353" t="s">
        <v>25</v>
      </c>
      <c r="D2353" s="19">
        <v>12</v>
      </c>
      <c r="E2353">
        <v>157</v>
      </c>
      <c r="F2353" t="s">
        <v>10</v>
      </c>
      <c r="G2353" t="s">
        <v>8</v>
      </c>
      <c r="H2353">
        <v>1</v>
      </c>
      <c r="I2353" t="s">
        <v>27</v>
      </c>
    </row>
    <row r="2354" spans="1:9" x14ac:dyDescent="0.2">
      <c r="A2354" t="str">
        <f t="shared" si="283"/>
        <v>37956Haapiti12157PoritidaeDessous</v>
      </c>
      <c r="B2354" s="1">
        <v>37956</v>
      </c>
      <c r="C2354" t="s">
        <v>25</v>
      </c>
      <c r="D2354" s="19">
        <v>12</v>
      </c>
      <c r="E2354">
        <v>157</v>
      </c>
      <c r="F2354" t="s">
        <v>7</v>
      </c>
      <c r="G2354" t="s">
        <v>8</v>
      </c>
      <c r="H2354">
        <v>1</v>
      </c>
      <c r="I2354" t="s">
        <v>27</v>
      </c>
    </row>
    <row r="2355" spans="1:9" x14ac:dyDescent="0.2">
      <c r="A2355" t="str">
        <f t="shared" si="283"/>
        <v>37956Haapiti12158CassésDessous</v>
      </c>
      <c r="B2355" s="1">
        <v>37956</v>
      </c>
      <c r="C2355" t="s">
        <v>25</v>
      </c>
      <c r="D2355" s="19">
        <v>12</v>
      </c>
      <c r="E2355">
        <v>158</v>
      </c>
      <c r="F2355" t="s">
        <v>12</v>
      </c>
      <c r="G2355" t="s">
        <v>8</v>
      </c>
      <c r="H2355">
        <v>1</v>
      </c>
      <c r="I2355" t="s">
        <v>27</v>
      </c>
    </row>
    <row r="2356" spans="1:9" x14ac:dyDescent="0.2">
      <c r="A2356" t="str">
        <f t="shared" si="283"/>
        <v>37956Haapiti12158PoritidaeDessous</v>
      </c>
      <c r="B2356" s="1">
        <v>37956</v>
      </c>
      <c r="C2356" t="s">
        <v>25</v>
      </c>
      <c r="D2356" s="19">
        <v>12</v>
      </c>
      <c r="E2356">
        <v>158</v>
      </c>
      <c r="F2356" t="s">
        <v>7</v>
      </c>
      <c r="G2356" t="s">
        <v>8</v>
      </c>
      <c r="H2356">
        <v>1</v>
      </c>
      <c r="I2356" t="s">
        <v>27</v>
      </c>
    </row>
    <row r="2357" spans="1:9" x14ac:dyDescent="0.2">
      <c r="A2357" t="str">
        <f t="shared" si="283"/>
        <v>37956Haapiti12159Autres</v>
      </c>
      <c r="B2357" s="1">
        <v>37956</v>
      </c>
      <c r="C2357" t="s">
        <v>25</v>
      </c>
      <c r="D2357" s="19">
        <v>12</v>
      </c>
      <c r="E2357">
        <v>159</v>
      </c>
      <c r="F2357" t="s">
        <v>14</v>
      </c>
      <c r="H2357">
        <v>0</v>
      </c>
    </row>
    <row r="2358" spans="1:9" x14ac:dyDescent="0.2">
      <c r="A2358" t="str">
        <f t="shared" si="283"/>
        <v>37956Haapiti12160CassésBords</v>
      </c>
      <c r="B2358" s="1">
        <v>37956</v>
      </c>
      <c r="C2358" t="s">
        <v>25</v>
      </c>
      <c r="D2358" s="19">
        <v>12</v>
      </c>
      <c r="E2358">
        <v>160</v>
      </c>
      <c r="F2358" t="s">
        <v>12</v>
      </c>
      <c r="G2358" t="s">
        <v>13</v>
      </c>
      <c r="H2358">
        <v>1</v>
      </c>
      <c r="I2358" t="s">
        <v>27</v>
      </c>
    </row>
    <row r="2359" spans="1:9" x14ac:dyDescent="0.2">
      <c r="A2359" t="str">
        <f t="shared" si="283"/>
        <v>37956Haapiti12160CassésDessous</v>
      </c>
      <c r="B2359" s="1">
        <v>37956</v>
      </c>
      <c r="C2359" t="s">
        <v>25</v>
      </c>
      <c r="D2359" s="19">
        <v>12</v>
      </c>
      <c r="E2359">
        <v>160</v>
      </c>
      <c r="F2359" t="s">
        <v>12</v>
      </c>
      <c r="G2359" t="s">
        <v>8</v>
      </c>
      <c r="H2359">
        <v>1</v>
      </c>
      <c r="I2359" t="s">
        <v>27</v>
      </c>
    </row>
    <row r="2360" spans="1:9" x14ac:dyDescent="0.2">
      <c r="A2360" t="str">
        <f t="shared" si="283"/>
        <v>37956Haapiti12161Autres</v>
      </c>
      <c r="B2360" s="1">
        <v>37956</v>
      </c>
      <c r="C2360" t="s">
        <v>25</v>
      </c>
      <c r="D2360" s="19">
        <v>12</v>
      </c>
      <c r="E2360">
        <v>161</v>
      </c>
      <c r="F2360" t="s">
        <v>14</v>
      </c>
      <c r="H2360">
        <v>0</v>
      </c>
    </row>
    <row r="2361" spans="1:9" x14ac:dyDescent="0.2">
      <c r="A2361" t="str">
        <f t="shared" si="283"/>
        <v>37956Haapiti18162PocilloporidaeDessous</v>
      </c>
      <c r="B2361" s="1">
        <v>37956</v>
      </c>
      <c r="C2361" t="s">
        <v>25</v>
      </c>
      <c r="D2361" s="19">
        <v>18</v>
      </c>
      <c r="E2361">
        <v>162</v>
      </c>
      <c r="F2361" t="s">
        <v>10</v>
      </c>
      <c r="G2361" t="s">
        <v>8</v>
      </c>
      <c r="H2361">
        <v>1</v>
      </c>
      <c r="I2361" t="s">
        <v>27</v>
      </c>
    </row>
    <row r="2362" spans="1:9" x14ac:dyDescent="0.2">
      <c r="A2362" t="str">
        <f t="shared" si="283"/>
        <v>37956Haapiti18163PocilloporidaeBords</v>
      </c>
      <c r="B2362" s="1">
        <v>37956</v>
      </c>
      <c r="C2362" t="s">
        <v>25</v>
      </c>
      <c r="D2362" s="19">
        <v>18</v>
      </c>
      <c r="E2362">
        <v>163</v>
      </c>
      <c r="F2362" t="s">
        <v>10</v>
      </c>
      <c r="G2362" t="s">
        <v>13</v>
      </c>
      <c r="H2362">
        <v>2</v>
      </c>
      <c r="I2362" t="s">
        <v>27</v>
      </c>
    </row>
    <row r="2363" spans="1:9" x14ac:dyDescent="0.2">
      <c r="A2363" t="str">
        <f t="shared" si="283"/>
        <v>37956Haapiti18163PocilloporidaeDessus</v>
      </c>
      <c r="B2363" s="1">
        <v>37956</v>
      </c>
      <c r="C2363" t="s">
        <v>25</v>
      </c>
      <c r="D2363" s="19">
        <v>18</v>
      </c>
      <c r="E2363">
        <v>163</v>
      </c>
      <c r="F2363" t="s">
        <v>10</v>
      </c>
      <c r="G2363" t="s">
        <v>11</v>
      </c>
      <c r="H2363">
        <v>1</v>
      </c>
      <c r="I2363" t="s">
        <v>27</v>
      </c>
    </row>
    <row r="2364" spans="1:9" x14ac:dyDescent="0.2">
      <c r="A2364" t="str">
        <f t="shared" si="283"/>
        <v>37956Haapiti18164AcroporidaeBords</v>
      </c>
      <c r="B2364" s="1">
        <v>37956</v>
      </c>
      <c r="C2364" t="s">
        <v>25</v>
      </c>
      <c r="D2364" s="19">
        <v>18</v>
      </c>
      <c r="E2364">
        <v>164</v>
      </c>
      <c r="F2364" t="s">
        <v>17</v>
      </c>
      <c r="G2364" t="s">
        <v>13</v>
      </c>
      <c r="H2364">
        <v>1</v>
      </c>
      <c r="I2364" t="s">
        <v>27</v>
      </c>
    </row>
    <row r="2365" spans="1:9" x14ac:dyDescent="0.2">
      <c r="A2365" t="str">
        <f t="shared" si="283"/>
        <v>37956Haapiti18164PocilloporidaeBords</v>
      </c>
      <c r="B2365" s="1">
        <v>37956</v>
      </c>
      <c r="C2365" t="s">
        <v>25</v>
      </c>
      <c r="D2365" s="19">
        <v>18</v>
      </c>
      <c r="E2365">
        <v>164</v>
      </c>
      <c r="F2365" t="s">
        <v>10</v>
      </c>
      <c r="G2365" t="s">
        <v>13</v>
      </c>
      <c r="H2365">
        <v>1</v>
      </c>
      <c r="I2365" t="s">
        <v>27</v>
      </c>
    </row>
    <row r="2366" spans="1:9" x14ac:dyDescent="0.2">
      <c r="A2366" t="str">
        <f t="shared" si="283"/>
        <v>37956Haapiti18165CassésBords</v>
      </c>
      <c r="B2366" s="1">
        <v>37956</v>
      </c>
      <c r="C2366" t="s">
        <v>25</v>
      </c>
      <c r="D2366" s="19">
        <v>18</v>
      </c>
      <c r="E2366">
        <v>165</v>
      </c>
      <c r="F2366" t="s">
        <v>12</v>
      </c>
      <c r="G2366" t="s">
        <v>13</v>
      </c>
      <c r="H2366">
        <v>1</v>
      </c>
      <c r="I2366" t="s">
        <v>27</v>
      </c>
    </row>
    <row r="2367" spans="1:9" x14ac:dyDescent="0.2">
      <c r="A2367" t="str">
        <f t="shared" ref="A2367:A2430" si="284">B2367 &amp; C2367&amp; D2367&amp; E2367 &amp; F2367 &amp;G2367</f>
        <v>37956Haapiti18165PocilloporidaeBords</v>
      </c>
      <c r="B2367" s="1">
        <v>37956</v>
      </c>
      <c r="C2367" t="s">
        <v>25</v>
      </c>
      <c r="D2367" s="19">
        <v>18</v>
      </c>
      <c r="E2367">
        <v>165</v>
      </c>
      <c r="F2367" t="s">
        <v>10</v>
      </c>
      <c r="G2367" t="s">
        <v>13</v>
      </c>
      <c r="H2367">
        <v>6</v>
      </c>
      <c r="I2367" t="s">
        <v>27</v>
      </c>
    </row>
    <row r="2368" spans="1:9" x14ac:dyDescent="0.2">
      <c r="A2368" t="str">
        <f t="shared" si="284"/>
        <v>37956Haapiti18166Autres</v>
      </c>
      <c r="B2368" s="1">
        <v>37956</v>
      </c>
      <c r="C2368" t="s">
        <v>25</v>
      </c>
      <c r="D2368" s="19">
        <v>18</v>
      </c>
      <c r="E2368">
        <v>166</v>
      </c>
      <c r="F2368" t="s">
        <v>14</v>
      </c>
      <c r="H2368">
        <v>0</v>
      </c>
    </row>
    <row r="2369" spans="1:9" x14ac:dyDescent="0.2">
      <c r="A2369" t="str">
        <f t="shared" si="284"/>
        <v>37956Haapiti18167PocilloporidaeDessous</v>
      </c>
      <c r="B2369" s="1">
        <v>37956</v>
      </c>
      <c r="C2369" t="s">
        <v>25</v>
      </c>
      <c r="D2369" s="19">
        <v>18</v>
      </c>
      <c r="E2369">
        <v>167</v>
      </c>
      <c r="F2369" t="s">
        <v>10</v>
      </c>
      <c r="G2369" t="s">
        <v>8</v>
      </c>
      <c r="H2369">
        <v>1</v>
      </c>
      <c r="I2369" t="s">
        <v>27</v>
      </c>
    </row>
    <row r="2370" spans="1:9" x14ac:dyDescent="0.2">
      <c r="A2370" t="str">
        <f t="shared" si="284"/>
        <v>37956Haapiti18167PocilloporidaeDessus</v>
      </c>
      <c r="B2370" s="1">
        <v>37956</v>
      </c>
      <c r="C2370" t="s">
        <v>25</v>
      </c>
      <c r="D2370" s="19">
        <v>18</v>
      </c>
      <c r="E2370">
        <v>167</v>
      </c>
      <c r="F2370" t="s">
        <v>10</v>
      </c>
      <c r="G2370" t="s">
        <v>11</v>
      </c>
      <c r="H2370">
        <v>1</v>
      </c>
      <c r="I2370" t="s">
        <v>27</v>
      </c>
    </row>
    <row r="2371" spans="1:9" x14ac:dyDescent="0.2">
      <c r="A2371" t="str">
        <f t="shared" si="284"/>
        <v>37956Haapiti18168AutresDessous</v>
      </c>
      <c r="B2371" s="1">
        <v>37956</v>
      </c>
      <c r="C2371" t="s">
        <v>25</v>
      </c>
      <c r="D2371" s="19">
        <v>18</v>
      </c>
      <c r="E2371">
        <v>168</v>
      </c>
      <c r="F2371" t="s">
        <v>14</v>
      </c>
      <c r="G2371" t="s">
        <v>8</v>
      </c>
      <c r="H2371">
        <v>1</v>
      </c>
      <c r="I2371" t="s">
        <v>27</v>
      </c>
    </row>
    <row r="2372" spans="1:9" x14ac:dyDescent="0.2">
      <c r="A2372" t="str">
        <f t="shared" si="284"/>
        <v>37956Haapiti18168PocilloporidaeDessous</v>
      </c>
      <c r="B2372" s="1">
        <v>37956</v>
      </c>
      <c r="C2372" t="s">
        <v>25</v>
      </c>
      <c r="D2372" s="19">
        <v>18</v>
      </c>
      <c r="E2372">
        <v>168</v>
      </c>
      <c r="F2372" t="s">
        <v>10</v>
      </c>
      <c r="G2372" t="s">
        <v>8</v>
      </c>
      <c r="H2372">
        <v>1</v>
      </c>
      <c r="I2372" t="s">
        <v>27</v>
      </c>
    </row>
    <row r="2373" spans="1:9" x14ac:dyDescent="0.2">
      <c r="A2373" t="str">
        <f t="shared" si="284"/>
        <v>37956Haapiti18169Autres</v>
      </c>
      <c r="B2373" s="1">
        <v>37956</v>
      </c>
      <c r="C2373" t="s">
        <v>25</v>
      </c>
      <c r="D2373" s="19">
        <v>18</v>
      </c>
      <c r="E2373">
        <v>169</v>
      </c>
      <c r="F2373" t="s">
        <v>14</v>
      </c>
      <c r="H2373">
        <v>0</v>
      </c>
    </row>
    <row r="2374" spans="1:9" x14ac:dyDescent="0.2">
      <c r="A2374" t="str">
        <f t="shared" si="284"/>
        <v>37956Haapiti18170PocilloporidaeDessus</v>
      </c>
      <c r="B2374" s="1">
        <v>37956</v>
      </c>
      <c r="C2374" t="s">
        <v>25</v>
      </c>
      <c r="D2374" s="19">
        <v>18</v>
      </c>
      <c r="E2374">
        <v>170</v>
      </c>
      <c r="F2374" t="s">
        <v>10</v>
      </c>
      <c r="G2374" t="s">
        <v>11</v>
      </c>
      <c r="H2374">
        <v>1</v>
      </c>
      <c r="I2374" t="s">
        <v>27</v>
      </c>
    </row>
    <row r="2375" spans="1:9" x14ac:dyDescent="0.2">
      <c r="A2375" t="str">
        <f t="shared" si="284"/>
        <v>37956Haapiti18171PocilloporidaeBords</v>
      </c>
      <c r="B2375" s="1">
        <v>37956</v>
      </c>
      <c r="C2375" t="s">
        <v>25</v>
      </c>
      <c r="D2375" s="19">
        <v>18</v>
      </c>
      <c r="E2375">
        <v>171</v>
      </c>
      <c r="F2375" t="s">
        <v>10</v>
      </c>
      <c r="G2375" t="s">
        <v>13</v>
      </c>
      <c r="H2375">
        <v>1</v>
      </c>
      <c r="I2375" t="s">
        <v>27</v>
      </c>
    </row>
    <row r="2376" spans="1:9" x14ac:dyDescent="0.2">
      <c r="A2376" t="str">
        <f t="shared" si="284"/>
        <v>37956Haapiti18172PocilloporidaeDessous</v>
      </c>
      <c r="B2376" s="1">
        <v>37956</v>
      </c>
      <c r="C2376" t="s">
        <v>25</v>
      </c>
      <c r="D2376" s="19">
        <v>18</v>
      </c>
      <c r="E2376">
        <v>172</v>
      </c>
      <c r="F2376" t="s">
        <v>10</v>
      </c>
      <c r="G2376" t="s">
        <v>8</v>
      </c>
      <c r="H2376">
        <v>1</v>
      </c>
      <c r="I2376" t="s">
        <v>27</v>
      </c>
    </row>
    <row r="2377" spans="1:9" x14ac:dyDescent="0.2">
      <c r="A2377" t="str">
        <f t="shared" si="284"/>
        <v>37956Haapiti18173PocilloporidaeBords</v>
      </c>
      <c r="B2377" s="1">
        <v>37956</v>
      </c>
      <c r="C2377" t="s">
        <v>25</v>
      </c>
      <c r="D2377" s="19">
        <v>18</v>
      </c>
      <c r="E2377">
        <v>173</v>
      </c>
      <c r="F2377" t="s">
        <v>10</v>
      </c>
      <c r="G2377" t="s">
        <v>13</v>
      </c>
      <c r="H2377">
        <v>1</v>
      </c>
      <c r="I2377" t="s">
        <v>27</v>
      </c>
    </row>
    <row r="2378" spans="1:9" x14ac:dyDescent="0.2">
      <c r="A2378" t="str">
        <f t="shared" si="284"/>
        <v>37956Haapiti18173PocilloporidaeDessous</v>
      </c>
      <c r="B2378" s="1">
        <v>37956</v>
      </c>
      <c r="C2378" t="s">
        <v>25</v>
      </c>
      <c r="D2378" s="19">
        <v>18</v>
      </c>
      <c r="E2378">
        <v>173</v>
      </c>
      <c r="F2378" t="s">
        <v>10</v>
      </c>
      <c r="G2378" t="s">
        <v>8</v>
      </c>
      <c r="H2378">
        <v>1</v>
      </c>
      <c r="I2378" t="s">
        <v>27</v>
      </c>
    </row>
    <row r="2379" spans="1:9" x14ac:dyDescent="0.2">
      <c r="A2379" t="str">
        <f t="shared" si="284"/>
        <v>37956Haapiti18174CassésBords</v>
      </c>
      <c r="B2379" s="1">
        <v>37956</v>
      </c>
      <c r="C2379" t="s">
        <v>25</v>
      </c>
      <c r="D2379" s="19">
        <v>18</v>
      </c>
      <c r="E2379">
        <v>174</v>
      </c>
      <c r="F2379" t="s">
        <v>12</v>
      </c>
      <c r="G2379" t="s">
        <v>13</v>
      </c>
      <c r="H2379">
        <v>1</v>
      </c>
      <c r="I2379" t="s">
        <v>27</v>
      </c>
    </row>
    <row r="2380" spans="1:9" x14ac:dyDescent="0.2">
      <c r="A2380" t="str">
        <f t="shared" si="284"/>
        <v>37956Haapiti18174PocilloporidaeBords</v>
      </c>
      <c r="B2380" s="1">
        <v>37956</v>
      </c>
      <c r="C2380" t="s">
        <v>25</v>
      </c>
      <c r="D2380" s="19">
        <v>18</v>
      </c>
      <c r="E2380">
        <v>174</v>
      </c>
      <c r="F2380" t="s">
        <v>10</v>
      </c>
      <c r="G2380" t="s">
        <v>13</v>
      </c>
      <c r="H2380">
        <v>1</v>
      </c>
      <c r="I2380" t="s">
        <v>27</v>
      </c>
    </row>
    <row r="2381" spans="1:9" x14ac:dyDescent="0.2">
      <c r="A2381" t="str">
        <f t="shared" si="284"/>
        <v>37956Haapiti18174PocilloporidaeDessous</v>
      </c>
      <c r="B2381" s="1">
        <v>37956</v>
      </c>
      <c r="C2381" t="s">
        <v>25</v>
      </c>
      <c r="D2381" s="19">
        <v>18</v>
      </c>
      <c r="E2381">
        <v>174</v>
      </c>
      <c r="F2381" t="s">
        <v>10</v>
      </c>
      <c r="G2381" t="s">
        <v>8</v>
      </c>
      <c r="H2381">
        <v>5</v>
      </c>
      <c r="I2381" t="s">
        <v>27</v>
      </c>
    </row>
    <row r="2382" spans="1:9" x14ac:dyDescent="0.2">
      <c r="A2382" t="str">
        <f t="shared" si="284"/>
        <v>37956Haapiti18175PocilloporidaeDessous</v>
      </c>
      <c r="B2382" s="1">
        <v>37956</v>
      </c>
      <c r="C2382" t="s">
        <v>25</v>
      </c>
      <c r="D2382" s="19">
        <v>18</v>
      </c>
      <c r="E2382">
        <v>175</v>
      </c>
      <c r="F2382" t="s">
        <v>10</v>
      </c>
      <c r="G2382" t="s">
        <v>8</v>
      </c>
      <c r="H2382">
        <v>4</v>
      </c>
      <c r="I2382" t="s">
        <v>27</v>
      </c>
    </row>
    <row r="2383" spans="1:9" x14ac:dyDescent="0.2">
      <c r="A2383" t="str">
        <f t="shared" si="284"/>
        <v>37956Haapiti18176Autres</v>
      </c>
      <c r="B2383" s="1">
        <v>37956</v>
      </c>
      <c r="C2383" t="s">
        <v>25</v>
      </c>
      <c r="D2383" s="19">
        <v>18</v>
      </c>
      <c r="E2383">
        <v>176</v>
      </c>
      <c r="F2383" t="s">
        <v>14</v>
      </c>
      <c r="H2383">
        <v>0</v>
      </c>
    </row>
    <row r="2384" spans="1:9" x14ac:dyDescent="0.2">
      <c r="A2384" t="str">
        <f t="shared" si="284"/>
        <v>37956Haapiti18177AcroporidaeDessous</v>
      </c>
      <c r="B2384" s="1">
        <v>37956</v>
      </c>
      <c r="C2384" t="s">
        <v>25</v>
      </c>
      <c r="D2384" s="19">
        <v>18</v>
      </c>
      <c r="E2384">
        <v>177</v>
      </c>
      <c r="F2384" t="s">
        <v>17</v>
      </c>
      <c r="G2384" t="s">
        <v>8</v>
      </c>
      <c r="H2384">
        <v>1</v>
      </c>
      <c r="I2384" t="s">
        <v>27</v>
      </c>
    </row>
    <row r="2385" spans="1:9" x14ac:dyDescent="0.2">
      <c r="A2385" t="str">
        <f t="shared" si="284"/>
        <v>37956Haapiti18177PocilloporidaeBords</v>
      </c>
      <c r="B2385" s="1">
        <v>37956</v>
      </c>
      <c r="C2385" t="s">
        <v>25</v>
      </c>
      <c r="D2385" s="19">
        <v>18</v>
      </c>
      <c r="E2385">
        <v>177</v>
      </c>
      <c r="F2385" t="s">
        <v>10</v>
      </c>
      <c r="G2385" t="s">
        <v>13</v>
      </c>
      <c r="H2385">
        <v>1</v>
      </c>
      <c r="I2385" t="s">
        <v>27</v>
      </c>
    </row>
    <row r="2386" spans="1:9" x14ac:dyDescent="0.2">
      <c r="A2386" t="str">
        <f t="shared" si="284"/>
        <v>37956Haapiti18177PocilloporidaeDessous</v>
      </c>
      <c r="B2386" s="1">
        <v>37956</v>
      </c>
      <c r="C2386" t="s">
        <v>25</v>
      </c>
      <c r="D2386" s="19">
        <v>18</v>
      </c>
      <c r="E2386">
        <v>177</v>
      </c>
      <c r="F2386" t="s">
        <v>10</v>
      </c>
      <c r="G2386" t="s">
        <v>8</v>
      </c>
      <c r="H2386">
        <v>1</v>
      </c>
      <c r="I2386" t="s">
        <v>27</v>
      </c>
    </row>
    <row r="2387" spans="1:9" x14ac:dyDescent="0.2">
      <c r="A2387" t="str">
        <f t="shared" si="284"/>
        <v>37956Haapiti18178Autres</v>
      </c>
      <c r="B2387" s="1">
        <v>37956</v>
      </c>
      <c r="C2387" t="s">
        <v>25</v>
      </c>
      <c r="D2387" s="19">
        <v>18</v>
      </c>
      <c r="E2387">
        <v>178</v>
      </c>
      <c r="F2387" t="s">
        <v>14</v>
      </c>
      <c r="H2387">
        <v>0</v>
      </c>
    </row>
    <row r="2388" spans="1:9" x14ac:dyDescent="0.2">
      <c r="A2388" t="str">
        <f t="shared" si="284"/>
        <v>37956Haapiti18179PocilloporidaeDessous</v>
      </c>
      <c r="B2388" s="1">
        <v>37956</v>
      </c>
      <c r="C2388" t="s">
        <v>25</v>
      </c>
      <c r="D2388" s="19">
        <v>18</v>
      </c>
      <c r="E2388">
        <v>179</v>
      </c>
      <c r="F2388" t="s">
        <v>10</v>
      </c>
      <c r="G2388" t="s">
        <v>8</v>
      </c>
      <c r="H2388">
        <v>9</v>
      </c>
      <c r="I2388" t="s">
        <v>27</v>
      </c>
    </row>
    <row r="2389" spans="1:9" x14ac:dyDescent="0.2">
      <c r="A2389" t="str">
        <f t="shared" si="284"/>
        <v>37956Haapiti18180PocilloporidaeDessous</v>
      </c>
      <c r="B2389" s="1">
        <v>37956</v>
      </c>
      <c r="C2389" t="s">
        <v>25</v>
      </c>
      <c r="D2389" s="19">
        <v>18</v>
      </c>
      <c r="E2389">
        <v>180</v>
      </c>
      <c r="F2389" t="s">
        <v>10</v>
      </c>
      <c r="G2389" t="s">
        <v>8</v>
      </c>
      <c r="H2389">
        <v>2</v>
      </c>
      <c r="I2389" t="s">
        <v>27</v>
      </c>
    </row>
    <row r="2390" spans="1:9" x14ac:dyDescent="0.2">
      <c r="A2390" t="str">
        <f t="shared" si="284"/>
        <v>37956Haapiti18180PoritidaeDessous</v>
      </c>
      <c r="B2390" s="1">
        <v>37956</v>
      </c>
      <c r="C2390" t="s">
        <v>25</v>
      </c>
      <c r="D2390" s="19">
        <v>18</v>
      </c>
      <c r="E2390">
        <v>180</v>
      </c>
      <c r="F2390" t="s">
        <v>7</v>
      </c>
      <c r="G2390" t="s">
        <v>8</v>
      </c>
      <c r="H2390">
        <v>1</v>
      </c>
      <c r="I2390" t="s">
        <v>27</v>
      </c>
    </row>
    <row r="2391" spans="1:9" x14ac:dyDescent="0.2">
      <c r="A2391" t="str">
        <f t="shared" si="284"/>
        <v>38231Vaipahu61AutresDessous</v>
      </c>
      <c r="B2391" s="1">
        <v>38231</v>
      </c>
      <c r="C2391" t="s">
        <v>23</v>
      </c>
      <c r="D2391" s="19">
        <v>6</v>
      </c>
      <c r="E2391">
        <v>1</v>
      </c>
      <c r="F2391" t="s">
        <v>14</v>
      </c>
      <c r="G2391" t="s">
        <v>8</v>
      </c>
      <c r="H2391">
        <v>1</v>
      </c>
      <c r="I2391" t="s">
        <v>27</v>
      </c>
    </row>
    <row r="2392" spans="1:9" x14ac:dyDescent="0.2">
      <c r="A2392" t="str">
        <f t="shared" si="284"/>
        <v>38231Vaipahu62Autres</v>
      </c>
      <c r="B2392" s="1">
        <v>38231</v>
      </c>
      <c r="C2392" t="s">
        <v>23</v>
      </c>
      <c r="D2392" s="19">
        <v>6</v>
      </c>
      <c r="E2392">
        <v>2</v>
      </c>
      <c r="F2392" t="s">
        <v>14</v>
      </c>
      <c r="H2392">
        <v>0</v>
      </c>
    </row>
    <row r="2393" spans="1:9" x14ac:dyDescent="0.2">
      <c r="A2393" t="str">
        <f t="shared" si="284"/>
        <v>38231Vaipahu63Autres</v>
      </c>
      <c r="B2393" s="1">
        <v>38231</v>
      </c>
      <c r="C2393" t="s">
        <v>23</v>
      </c>
      <c r="D2393" s="19">
        <v>6</v>
      </c>
      <c r="E2393">
        <v>3</v>
      </c>
      <c r="F2393" t="s">
        <v>14</v>
      </c>
      <c r="H2393">
        <v>0</v>
      </c>
    </row>
    <row r="2394" spans="1:9" x14ac:dyDescent="0.2">
      <c r="A2394" t="str">
        <f t="shared" si="284"/>
        <v>38231Vaipahu64PocilloporidaeBords</v>
      </c>
      <c r="B2394" s="1">
        <v>38231</v>
      </c>
      <c r="C2394" t="s">
        <v>23</v>
      </c>
      <c r="D2394" s="19">
        <v>6</v>
      </c>
      <c r="E2394">
        <v>4</v>
      </c>
      <c r="F2394" t="s">
        <v>10</v>
      </c>
      <c r="G2394" t="s">
        <v>13</v>
      </c>
      <c r="H2394">
        <v>1</v>
      </c>
      <c r="I2394" t="s">
        <v>27</v>
      </c>
    </row>
    <row r="2395" spans="1:9" x14ac:dyDescent="0.2">
      <c r="A2395" t="str">
        <f t="shared" si="284"/>
        <v>38231Vaipahu65Autres</v>
      </c>
      <c r="B2395" s="1">
        <v>38231</v>
      </c>
      <c r="C2395" t="s">
        <v>23</v>
      </c>
      <c r="D2395" s="19">
        <v>6</v>
      </c>
      <c r="E2395">
        <v>5</v>
      </c>
      <c r="F2395" t="s">
        <v>14</v>
      </c>
      <c r="H2395">
        <v>0</v>
      </c>
    </row>
    <row r="2396" spans="1:9" x14ac:dyDescent="0.2">
      <c r="A2396" t="str">
        <f t="shared" si="284"/>
        <v>38231Vaipahu66Autres</v>
      </c>
      <c r="B2396" s="1">
        <v>38231</v>
      </c>
      <c r="C2396" t="s">
        <v>23</v>
      </c>
      <c r="D2396" s="19">
        <v>6</v>
      </c>
      <c r="E2396">
        <v>6</v>
      </c>
      <c r="F2396" t="s">
        <v>14</v>
      </c>
      <c r="H2396">
        <v>0</v>
      </c>
    </row>
    <row r="2397" spans="1:9" x14ac:dyDescent="0.2">
      <c r="A2397" t="str">
        <f t="shared" si="284"/>
        <v>38231Vaipahu67Autres</v>
      </c>
      <c r="B2397" s="1">
        <v>38231</v>
      </c>
      <c r="C2397" t="s">
        <v>23</v>
      </c>
      <c r="D2397" s="19">
        <v>6</v>
      </c>
      <c r="E2397">
        <v>7</v>
      </c>
      <c r="F2397" t="s">
        <v>14</v>
      </c>
      <c r="H2397">
        <v>0</v>
      </c>
    </row>
    <row r="2398" spans="1:9" x14ac:dyDescent="0.2">
      <c r="A2398" t="str">
        <f t="shared" si="284"/>
        <v>38231Vaipahu68AcroporidaeDessus</v>
      </c>
      <c r="B2398" s="1">
        <v>38231</v>
      </c>
      <c r="C2398" t="s">
        <v>23</v>
      </c>
      <c r="D2398" s="19">
        <v>6</v>
      </c>
      <c r="E2398">
        <v>8</v>
      </c>
      <c r="F2398" t="s">
        <v>17</v>
      </c>
      <c r="G2398" t="s">
        <v>11</v>
      </c>
      <c r="H2398">
        <v>1</v>
      </c>
      <c r="I2398" t="s">
        <v>27</v>
      </c>
    </row>
    <row r="2399" spans="1:9" x14ac:dyDescent="0.2">
      <c r="A2399" t="str">
        <f t="shared" si="284"/>
        <v>38231Vaipahu69</v>
      </c>
      <c r="B2399" s="1">
        <v>38231</v>
      </c>
      <c r="C2399" t="s">
        <v>23</v>
      </c>
      <c r="D2399" s="19">
        <v>6</v>
      </c>
      <c r="E2399">
        <v>9</v>
      </c>
      <c r="F2399" t="s">
        <v>27</v>
      </c>
      <c r="G2399" t="s">
        <v>27</v>
      </c>
      <c r="H2399" t="s">
        <v>27</v>
      </c>
      <c r="I2399" t="s">
        <v>31</v>
      </c>
    </row>
    <row r="2400" spans="1:9" x14ac:dyDescent="0.2">
      <c r="A2400" t="str">
        <f t="shared" si="284"/>
        <v>38231Vaipahu610</v>
      </c>
      <c r="B2400" s="1">
        <v>38231</v>
      </c>
      <c r="C2400" t="s">
        <v>23</v>
      </c>
      <c r="D2400" s="19">
        <v>6</v>
      </c>
      <c r="E2400">
        <v>10</v>
      </c>
      <c r="F2400" t="s">
        <v>27</v>
      </c>
      <c r="G2400" t="s">
        <v>27</v>
      </c>
      <c r="H2400" t="s">
        <v>27</v>
      </c>
      <c r="I2400" t="s">
        <v>31</v>
      </c>
    </row>
    <row r="2401" spans="1:9" x14ac:dyDescent="0.2">
      <c r="A2401" t="str">
        <f t="shared" si="284"/>
        <v>38231Vaipahu611Autres</v>
      </c>
      <c r="B2401" s="1">
        <v>38231</v>
      </c>
      <c r="C2401" t="s">
        <v>23</v>
      </c>
      <c r="D2401" s="19">
        <v>6</v>
      </c>
      <c r="E2401">
        <v>11</v>
      </c>
      <c r="F2401" t="s">
        <v>14</v>
      </c>
      <c r="H2401">
        <v>0</v>
      </c>
    </row>
    <row r="2402" spans="1:9" x14ac:dyDescent="0.2">
      <c r="A2402" t="str">
        <f t="shared" si="284"/>
        <v>38231Vaipahu612Autres</v>
      </c>
      <c r="B2402" s="1">
        <v>38231</v>
      </c>
      <c r="C2402" t="s">
        <v>23</v>
      </c>
      <c r="D2402" s="19">
        <v>6</v>
      </c>
      <c r="E2402">
        <v>12</v>
      </c>
      <c r="F2402" t="s">
        <v>14</v>
      </c>
      <c r="H2402">
        <v>0</v>
      </c>
    </row>
    <row r="2403" spans="1:9" x14ac:dyDescent="0.2">
      <c r="A2403" t="str">
        <f t="shared" si="284"/>
        <v>38231Vaipahu613Autres</v>
      </c>
      <c r="B2403" s="1">
        <v>38231</v>
      </c>
      <c r="C2403" t="s">
        <v>23</v>
      </c>
      <c r="D2403" s="19">
        <v>6</v>
      </c>
      <c r="E2403">
        <v>13</v>
      </c>
      <c r="F2403" t="s">
        <v>14</v>
      </c>
      <c r="H2403">
        <v>0</v>
      </c>
    </row>
    <row r="2404" spans="1:9" x14ac:dyDescent="0.2">
      <c r="A2404" t="str">
        <f t="shared" si="284"/>
        <v>38231Vaipahu614AcroporidaeDessus</v>
      </c>
      <c r="B2404" s="1">
        <v>38231</v>
      </c>
      <c r="C2404" t="s">
        <v>23</v>
      </c>
      <c r="D2404" s="19">
        <v>6</v>
      </c>
      <c r="E2404">
        <v>14</v>
      </c>
      <c r="F2404" t="s">
        <v>17</v>
      </c>
      <c r="G2404" t="s">
        <v>11</v>
      </c>
      <c r="H2404">
        <v>1</v>
      </c>
      <c r="I2404" t="s">
        <v>27</v>
      </c>
    </row>
    <row r="2405" spans="1:9" x14ac:dyDescent="0.2">
      <c r="A2405" t="str">
        <f t="shared" si="284"/>
        <v>38231Vaipahu615</v>
      </c>
      <c r="B2405" s="1">
        <v>38231</v>
      </c>
      <c r="C2405" t="s">
        <v>23</v>
      </c>
      <c r="D2405" s="19">
        <v>6</v>
      </c>
      <c r="E2405">
        <v>15</v>
      </c>
      <c r="F2405" t="s">
        <v>27</v>
      </c>
      <c r="G2405" t="s">
        <v>27</v>
      </c>
      <c r="H2405" t="s">
        <v>27</v>
      </c>
      <c r="I2405" t="s">
        <v>31</v>
      </c>
    </row>
    <row r="2406" spans="1:9" x14ac:dyDescent="0.2">
      <c r="A2406" t="str">
        <f t="shared" si="284"/>
        <v>38231Vaipahu616</v>
      </c>
      <c r="B2406" s="1">
        <v>38231</v>
      </c>
      <c r="C2406" t="s">
        <v>23</v>
      </c>
      <c r="D2406" s="19">
        <v>6</v>
      </c>
      <c r="E2406">
        <v>16</v>
      </c>
      <c r="F2406" t="s">
        <v>27</v>
      </c>
      <c r="G2406" t="s">
        <v>27</v>
      </c>
      <c r="H2406" t="s">
        <v>27</v>
      </c>
      <c r="I2406" t="s">
        <v>31</v>
      </c>
    </row>
    <row r="2407" spans="1:9" x14ac:dyDescent="0.2">
      <c r="A2407" t="str">
        <f t="shared" si="284"/>
        <v>38231Vaipahu617AcroporidaeBords</v>
      </c>
      <c r="B2407" s="1">
        <v>38231</v>
      </c>
      <c r="C2407" t="s">
        <v>23</v>
      </c>
      <c r="D2407" s="19">
        <v>6</v>
      </c>
      <c r="E2407">
        <v>17</v>
      </c>
      <c r="F2407" t="s">
        <v>17</v>
      </c>
      <c r="G2407" t="s">
        <v>13</v>
      </c>
      <c r="H2407">
        <v>1</v>
      </c>
      <c r="I2407" t="s">
        <v>27</v>
      </c>
    </row>
    <row r="2408" spans="1:9" x14ac:dyDescent="0.2">
      <c r="A2408" t="str">
        <f t="shared" si="284"/>
        <v>38231Vaipahu617PoritidaeDessous</v>
      </c>
      <c r="B2408" s="1">
        <v>38231</v>
      </c>
      <c r="C2408" t="s">
        <v>23</v>
      </c>
      <c r="D2408" s="19">
        <v>6</v>
      </c>
      <c r="E2408">
        <v>17</v>
      </c>
      <c r="F2408" t="s">
        <v>7</v>
      </c>
      <c r="G2408" t="s">
        <v>8</v>
      </c>
      <c r="H2408">
        <v>1</v>
      </c>
      <c r="I2408" t="s">
        <v>27</v>
      </c>
    </row>
    <row r="2409" spans="1:9" x14ac:dyDescent="0.2">
      <c r="A2409" t="str">
        <f t="shared" si="284"/>
        <v>38231Vaipahu618Autres</v>
      </c>
      <c r="B2409" s="1">
        <v>38231</v>
      </c>
      <c r="C2409" t="s">
        <v>23</v>
      </c>
      <c r="D2409" s="19">
        <v>6</v>
      </c>
      <c r="E2409">
        <v>18</v>
      </c>
      <c r="F2409" t="s">
        <v>14</v>
      </c>
      <c r="H2409">
        <v>0</v>
      </c>
    </row>
    <row r="2410" spans="1:9" x14ac:dyDescent="0.2">
      <c r="A2410" t="str">
        <f t="shared" si="284"/>
        <v>38231Vaipahu619Autres</v>
      </c>
      <c r="B2410" s="1">
        <v>38231</v>
      </c>
      <c r="C2410" t="s">
        <v>23</v>
      </c>
      <c r="D2410" s="19">
        <v>6</v>
      </c>
      <c r="E2410">
        <v>19</v>
      </c>
      <c r="F2410" t="s">
        <v>14</v>
      </c>
      <c r="H2410">
        <v>0</v>
      </c>
    </row>
    <row r="2411" spans="1:9" x14ac:dyDescent="0.2">
      <c r="A2411" t="str">
        <f t="shared" si="284"/>
        <v>38231Vaipahu620Autres</v>
      </c>
      <c r="B2411" s="1">
        <v>38231</v>
      </c>
      <c r="C2411" t="s">
        <v>23</v>
      </c>
      <c r="D2411" s="19">
        <v>6</v>
      </c>
      <c r="E2411">
        <v>20</v>
      </c>
      <c r="F2411" t="s">
        <v>14</v>
      </c>
      <c r="H2411">
        <v>0</v>
      </c>
    </row>
    <row r="2412" spans="1:9" x14ac:dyDescent="0.2">
      <c r="A2412" t="str">
        <f t="shared" si="284"/>
        <v>38231Vaipahu1221Autres</v>
      </c>
      <c r="B2412" s="1">
        <v>38231</v>
      </c>
      <c r="C2412" t="s">
        <v>23</v>
      </c>
      <c r="D2412" s="19">
        <v>12</v>
      </c>
      <c r="E2412">
        <v>21</v>
      </c>
      <c r="F2412" t="s">
        <v>14</v>
      </c>
      <c r="H2412">
        <v>0</v>
      </c>
    </row>
    <row r="2413" spans="1:9" x14ac:dyDescent="0.2">
      <c r="A2413" t="str">
        <f t="shared" si="284"/>
        <v>38231Vaipahu1222Autres</v>
      </c>
      <c r="B2413" s="1">
        <v>38231</v>
      </c>
      <c r="C2413" t="s">
        <v>23</v>
      </c>
      <c r="D2413" s="19">
        <v>12</v>
      </c>
      <c r="E2413">
        <v>22</v>
      </c>
      <c r="F2413" t="s">
        <v>14</v>
      </c>
      <c r="H2413">
        <v>0</v>
      </c>
    </row>
    <row r="2414" spans="1:9" x14ac:dyDescent="0.2">
      <c r="A2414" t="str">
        <f t="shared" si="284"/>
        <v>38231Vaipahu1223PoritidaeBords</v>
      </c>
      <c r="B2414" s="1">
        <v>38231</v>
      </c>
      <c r="C2414" t="s">
        <v>23</v>
      </c>
      <c r="D2414" s="19">
        <v>12</v>
      </c>
      <c r="E2414">
        <v>23</v>
      </c>
      <c r="F2414" t="s">
        <v>7</v>
      </c>
      <c r="G2414" t="s">
        <v>13</v>
      </c>
      <c r="H2414">
        <v>1</v>
      </c>
      <c r="I2414" t="s">
        <v>27</v>
      </c>
    </row>
    <row r="2415" spans="1:9" x14ac:dyDescent="0.2">
      <c r="A2415" t="str">
        <f t="shared" si="284"/>
        <v>38231Vaipahu1224Autres</v>
      </c>
      <c r="B2415" s="1">
        <v>38231</v>
      </c>
      <c r="C2415" t="s">
        <v>23</v>
      </c>
      <c r="D2415" s="19">
        <v>12</v>
      </c>
      <c r="E2415">
        <v>24</v>
      </c>
      <c r="F2415" t="s">
        <v>14</v>
      </c>
      <c r="H2415">
        <v>0</v>
      </c>
    </row>
    <row r="2416" spans="1:9" x14ac:dyDescent="0.2">
      <c r="A2416" t="str">
        <f t="shared" si="284"/>
        <v>38231Vaipahu1225</v>
      </c>
      <c r="B2416" s="1">
        <v>38231</v>
      </c>
      <c r="C2416" t="s">
        <v>23</v>
      </c>
      <c r="D2416" s="19">
        <v>12</v>
      </c>
      <c r="E2416">
        <v>25</v>
      </c>
      <c r="F2416" t="s">
        <v>27</v>
      </c>
      <c r="G2416" t="s">
        <v>27</v>
      </c>
      <c r="H2416" t="s">
        <v>27</v>
      </c>
      <c r="I2416" t="s">
        <v>31</v>
      </c>
    </row>
    <row r="2417" spans="1:9" x14ac:dyDescent="0.2">
      <c r="A2417" t="str">
        <f t="shared" si="284"/>
        <v>38231Vaipahu1226</v>
      </c>
      <c r="B2417" s="1">
        <v>38231</v>
      </c>
      <c r="C2417" t="s">
        <v>23</v>
      </c>
      <c r="D2417" s="19">
        <v>12</v>
      </c>
      <c r="E2417">
        <v>26</v>
      </c>
      <c r="F2417" t="s">
        <v>27</v>
      </c>
      <c r="G2417" t="s">
        <v>27</v>
      </c>
      <c r="H2417" t="s">
        <v>27</v>
      </c>
      <c r="I2417" t="s">
        <v>31</v>
      </c>
    </row>
    <row r="2418" spans="1:9" x14ac:dyDescent="0.2">
      <c r="A2418" t="str">
        <f t="shared" si="284"/>
        <v>38231Vaipahu1227AcroporidaeDessous</v>
      </c>
      <c r="B2418" s="1">
        <v>38231</v>
      </c>
      <c r="C2418" t="s">
        <v>23</v>
      </c>
      <c r="D2418" s="19">
        <v>12</v>
      </c>
      <c r="E2418">
        <v>27</v>
      </c>
      <c r="F2418" t="s">
        <v>17</v>
      </c>
      <c r="G2418" t="s">
        <v>8</v>
      </c>
      <c r="H2418">
        <v>1</v>
      </c>
      <c r="I2418" t="s">
        <v>27</v>
      </c>
    </row>
    <row r="2419" spans="1:9" x14ac:dyDescent="0.2">
      <c r="A2419" t="str">
        <f t="shared" si="284"/>
        <v>38231Vaipahu1228AcroporidaeDessous</v>
      </c>
      <c r="B2419" s="1">
        <v>38231</v>
      </c>
      <c r="C2419" t="s">
        <v>23</v>
      </c>
      <c r="D2419" s="19">
        <v>12</v>
      </c>
      <c r="E2419">
        <v>28</v>
      </c>
      <c r="F2419" t="s">
        <v>17</v>
      </c>
      <c r="G2419" t="s">
        <v>8</v>
      </c>
      <c r="H2419">
        <v>1</v>
      </c>
      <c r="I2419" t="s">
        <v>27</v>
      </c>
    </row>
    <row r="2420" spans="1:9" x14ac:dyDescent="0.2">
      <c r="A2420" t="str">
        <f t="shared" si="284"/>
        <v>38231Vaipahu1228PoritidaeDessous</v>
      </c>
      <c r="B2420" s="1">
        <v>38231</v>
      </c>
      <c r="C2420" t="s">
        <v>23</v>
      </c>
      <c r="D2420" s="19">
        <v>12</v>
      </c>
      <c r="E2420">
        <v>28</v>
      </c>
      <c r="F2420" t="s">
        <v>7</v>
      </c>
      <c r="G2420" t="s">
        <v>8</v>
      </c>
      <c r="H2420">
        <v>1</v>
      </c>
      <c r="I2420" t="s">
        <v>27</v>
      </c>
    </row>
    <row r="2421" spans="1:9" x14ac:dyDescent="0.2">
      <c r="A2421" t="str">
        <f t="shared" si="284"/>
        <v>38231Vaipahu1229Autres</v>
      </c>
      <c r="B2421" s="1">
        <v>38231</v>
      </c>
      <c r="C2421" t="s">
        <v>23</v>
      </c>
      <c r="D2421" s="19">
        <v>12</v>
      </c>
      <c r="E2421">
        <v>29</v>
      </c>
      <c r="F2421" t="s">
        <v>14</v>
      </c>
      <c r="H2421">
        <v>0</v>
      </c>
    </row>
    <row r="2422" spans="1:9" x14ac:dyDescent="0.2">
      <c r="A2422" t="str">
        <f t="shared" si="284"/>
        <v>38231Vaipahu1230Autres</v>
      </c>
      <c r="B2422" s="1">
        <v>38231</v>
      </c>
      <c r="C2422" t="s">
        <v>23</v>
      </c>
      <c r="D2422" s="19">
        <v>12</v>
      </c>
      <c r="E2422">
        <v>30</v>
      </c>
      <c r="F2422" t="s">
        <v>14</v>
      </c>
      <c r="H2422">
        <v>0</v>
      </c>
    </row>
    <row r="2423" spans="1:9" x14ac:dyDescent="0.2">
      <c r="A2423" t="str">
        <f t="shared" si="284"/>
        <v>38231Vaipahu1231Autres</v>
      </c>
      <c r="B2423" s="1">
        <v>38231</v>
      </c>
      <c r="C2423" t="s">
        <v>23</v>
      </c>
      <c r="D2423" s="19">
        <v>12</v>
      </c>
      <c r="E2423">
        <v>31</v>
      </c>
      <c r="F2423" t="s">
        <v>14</v>
      </c>
      <c r="H2423">
        <v>0</v>
      </c>
    </row>
    <row r="2424" spans="1:9" x14ac:dyDescent="0.2">
      <c r="A2424" t="str">
        <f t="shared" si="284"/>
        <v>38231Vaipahu1232Autres</v>
      </c>
      <c r="B2424" s="1">
        <v>38231</v>
      </c>
      <c r="C2424" t="s">
        <v>23</v>
      </c>
      <c r="D2424" s="19">
        <v>12</v>
      </c>
      <c r="E2424">
        <v>32</v>
      </c>
      <c r="F2424" t="s">
        <v>14</v>
      </c>
      <c r="H2424">
        <v>0</v>
      </c>
    </row>
    <row r="2425" spans="1:9" x14ac:dyDescent="0.2">
      <c r="A2425" t="str">
        <f t="shared" si="284"/>
        <v>38231Vaipahu1233PoritidaeDessous</v>
      </c>
      <c r="B2425" s="1">
        <v>38231</v>
      </c>
      <c r="C2425" t="s">
        <v>23</v>
      </c>
      <c r="D2425" s="19">
        <v>12</v>
      </c>
      <c r="E2425">
        <v>33</v>
      </c>
      <c r="F2425" t="s">
        <v>7</v>
      </c>
      <c r="G2425" t="s">
        <v>8</v>
      </c>
      <c r="H2425">
        <v>2</v>
      </c>
      <c r="I2425" t="s">
        <v>27</v>
      </c>
    </row>
    <row r="2426" spans="1:9" x14ac:dyDescent="0.2">
      <c r="A2426" t="str">
        <f t="shared" si="284"/>
        <v>38231Vaipahu1234Autres</v>
      </c>
      <c r="B2426" s="1">
        <v>38231</v>
      </c>
      <c r="C2426" t="s">
        <v>23</v>
      </c>
      <c r="D2426" s="19">
        <v>12</v>
      </c>
      <c r="E2426">
        <v>34</v>
      </c>
      <c r="F2426" t="s">
        <v>14</v>
      </c>
      <c r="H2426">
        <v>0</v>
      </c>
    </row>
    <row r="2427" spans="1:9" x14ac:dyDescent="0.2">
      <c r="A2427" t="str">
        <f t="shared" si="284"/>
        <v>38231Vaipahu1235</v>
      </c>
      <c r="B2427" s="1">
        <v>38231</v>
      </c>
      <c r="C2427" t="s">
        <v>23</v>
      </c>
      <c r="D2427" s="19">
        <v>12</v>
      </c>
      <c r="E2427">
        <v>35</v>
      </c>
      <c r="F2427" t="s">
        <v>27</v>
      </c>
      <c r="G2427" t="s">
        <v>27</v>
      </c>
      <c r="H2427" t="s">
        <v>27</v>
      </c>
      <c r="I2427" t="s">
        <v>31</v>
      </c>
    </row>
    <row r="2428" spans="1:9" x14ac:dyDescent="0.2">
      <c r="A2428" t="str">
        <f t="shared" si="284"/>
        <v>38231Vaipahu1236</v>
      </c>
      <c r="B2428" s="1">
        <v>38231</v>
      </c>
      <c r="C2428" t="s">
        <v>23</v>
      </c>
      <c r="D2428" s="19">
        <v>12</v>
      </c>
      <c r="E2428">
        <v>36</v>
      </c>
      <c r="F2428" t="s">
        <v>27</v>
      </c>
      <c r="G2428" t="s">
        <v>27</v>
      </c>
      <c r="H2428" t="s">
        <v>27</v>
      </c>
      <c r="I2428" t="s">
        <v>31</v>
      </c>
    </row>
    <row r="2429" spans="1:9" x14ac:dyDescent="0.2">
      <c r="A2429" t="str">
        <f t="shared" si="284"/>
        <v>38231Vaipahu1237Autres</v>
      </c>
      <c r="B2429" s="1">
        <v>38231</v>
      </c>
      <c r="C2429" t="s">
        <v>23</v>
      </c>
      <c r="D2429" s="19">
        <v>12</v>
      </c>
      <c r="E2429">
        <v>37</v>
      </c>
      <c r="F2429" t="s">
        <v>14</v>
      </c>
      <c r="H2429">
        <v>0</v>
      </c>
    </row>
    <row r="2430" spans="1:9" x14ac:dyDescent="0.2">
      <c r="A2430" t="str">
        <f t="shared" si="284"/>
        <v>38231Vaipahu1238Autres</v>
      </c>
      <c r="B2430" s="1">
        <v>38231</v>
      </c>
      <c r="C2430" t="s">
        <v>23</v>
      </c>
      <c r="D2430" s="19">
        <v>12</v>
      </c>
      <c r="E2430">
        <v>38</v>
      </c>
      <c r="F2430" t="s">
        <v>14</v>
      </c>
      <c r="H2430">
        <v>0</v>
      </c>
    </row>
    <row r="2431" spans="1:9" x14ac:dyDescent="0.2">
      <c r="A2431" t="str">
        <f t="shared" ref="A2431:A2494" si="285">B2431 &amp; C2431&amp; D2431&amp; E2431 &amp; F2431 &amp;G2431</f>
        <v>38231Vaipahu1239Autres</v>
      </c>
      <c r="B2431" s="1">
        <v>38231</v>
      </c>
      <c r="C2431" t="s">
        <v>23</v>
      </c>
      <c r="D2431" s="19">
        <v>12</v>
      </c>
      <c r="E2431">
        <v>39</v>
      </c>
      <c r="F2431" t="s">
        <v>14</v>
      </c>
      <c r="H2431">
        <v>0</v>
      </c>
    </row>
    <row r="2432" spans="1:9" x14ac:dyDescent="0.2">
      <c r="A2432" t="str">
        <f t="shared" si="285"/>
        <v>38231Vaipahu1240Autres</v>
      </c>
      <c r="B2432" s="1">
        <v>38231</v>
      </c>
      <c r="C2432" t="s">
        <v>23</v>
      </c>
      <c r="D2432" s="19">
        <v>12</v>
      </c>
      <c r="E2432">
        <v>40</v>
      </c>
      <c r="F2432" t="s">
        <v>14</v>
      </c>
      <c r="H2432">
        <v>0</v>
      </c>
    </row>
    <row r="2433" spans="1:9" x14ac:dyDescent="0.2">
      <c r="A2433" t="str">
        <f t="shared" si="285"/>
        <v>38231Vaipahu1841Autres</v>
      </c>
      <c r="B2433" s="1">
        <v>38231</v>
      </c>
      <c r="C2433" t="s">
        <v>23</v>
      </c>
      <c r="D2433" s="19">
        <v>18</v>
      </c>
      <c r="E2433">
        <v>41</v>
      </c>
      <c r="F2433" t="s">
        <v>14</v>
      </c>
      <c r="H2433">
        <v>0</v>
      </c>
    </row>
    <row r="2434" spans="1:9" x14ac:dyDescent="0.2">
      <c r="A2434" t="str">
        <f t="shared" si="285"/>
        <v>38231Vaipahu1842Autres</v>
      </c>
      <c r="B2434" s="1">
        <v>38231</v>
      </c>
      <c r="C2434" t="s">
        <v>23</v>
      </c>
      <c r="D2434" s="19">
        <v>18</v>
      </c>
      <c r="E2434">
        <v>42</v>
      </c>
      <c r="F2434" t="s">
        <v>14</v>
      </c>
      <c r="H2434">
        <v>0</v>
      </c>
    </row>
    <row r="2435" spans="1:9" x14ac:dyDescent="0.2">
      <c r="A2435" t="str">
        <f t="shared" si="285"/>
        <v>38231Vaipahu1843Autres</v>
      </c>
      <c r="B2435" s="1">
        <v>38231</v>
      </c>
      <c r="C2435" t="s">
        <v>23</v>
      </c>
      <c r="D2435" s="19">
        <v>18</v>
      </c>
      <c r="E2435">
        <v>43</v>
      </c>
      <c r="F2435" t="s">
        <v>14</v>
      </c>
      <c r="H2435">
        <v>0</v>
      </c>
    </row>
    <row r="2436" spans="1:9" x14ac:dyDescent="0.2">
      <c r="A2436" t="str">
        <f t="shared" si="285"/>
        <v>38231Vaipahu1844Autres</v>
      </c>
      <c r="B2436" s="1">
        <v>38231</v>
      </c>
      <c r="C2436" t="s">
        <v>23</v>
      </c>
      <c r="D2436" s="19">
        <v>18</v>
      </c>
      <c r="E2436">
        <v>44</v>
      </c>
      <c r="F2436" t="s">
        <v>14</v>
      </c>
      <c r="H2436">
        <v>0</v>
      </c>
    </row>
    <row r="2437" spans="1:9" x14ac:dyDescent="0.2">
      <c r="A2437" t="str">
        <f t="shared" si="285"/>
        <v>38231Vaipahu1845</v>
      </c>
      <c r="B2437" s="1">
        <v>38231</v>
      </c>
      <c r="C2437" t="s">
        <v>23</v>
      </c>
      <c r="D2437" s="19">
        <v>18</v>
      </c>
      <c r="E2437">
        <v>45</v>
      </c>
      <c r="F2437" t="s">
        <v>27</v>
      </c>
      <c r="G2437" t="s">
        <v>27</v>
      </c>
      <c r="H2437" t="s">
        <v>27</v>
      </c>
      <c r="I2437" t="s">
        <v>31</v>
      </c>
    </row>
    <row r="2438" spans="1:9" x14ac:dyDescent="0.2">
      <c r="A2438" t="str">
        <f t="shared" si="285"/>
        <v>38231Vaipahu1846</v>
      </c>
      <c r="B2438" s="1">
        <v>38231</v>
      </c>
      <c r="C2438" t="s">
        <v>23</v>
      </c>
      <c r="D2438" s="19">
        <v>18</v>
      </c>
      <c r="E2438">
        <v>46</v>
      </c>
      <c r="F2438" t="s">
        <v>27</v>
      </c>
      <c r="G2438" t="s">
        <v>27</v>
      </c>
      <c r="H2438" t="s">
        <v>27</v>
      </c>
      <c r="I2438" t="s">
        <v>31</v>
      </c>
    </row>
    <row r="2439" spans="1:9" x14ac:dyDescent="0.2">
      <c r="A2439" t="str">
        <f t="shared" si="285"/>
        <v>38231Vaipahu1847Autres</v>
      </c>
      <c r="B2439" s="1">
        <v>38231</v>
      </c>
      <c r="C2439" t="s">
        <v>23</v>
      </c>
      <c r="D2439" s="19">
        <v>18</v>
      </c>
      <c r="E2439">
        <v>47</v>
      </c>
      <c r="F2439" t="s">
        <v>14</v>
      </c>
      <c r="H2439">
        <v>0</v>
      </c>
    </row>
    <row r="2440" spans="1:9" x14ac:dyDescent="0.2">
      <c r="A2440" t="str">
        <f t="shared" si="285"/>
        <v>38231Vaipahu1848PoritidaeDessous</v>
      </c>
      <c r="B2440" s="1">
        <v>38231</v>
      </c>
      <c r="C2440" t="s">
        <v>23</v>
      </c>
      <c r="D2440" s="19">
        <v>18</v>
      </c>
      <c r="E2440">
        <v>48</v>
      </c>
      <c r="F2440" t="s">
        <v>7</v>
      </c>
      <c r="G2440" t="s">
        <v>8</v>
      </c>
      <c r="H2440">
        <v>1</v>
      </c>
      <c r="I2440" t="s">
        <v>27</v>
      </c>
    </row>
    <row r="2441" spans="1:9" x14ac:dyDescent="0.2">
      <c r="A2441" t="str">
        <f t="shared" si="285"/>
        <v>38231Vaipahu1849Autres</v>
      </c>
      <c r="B2441" s="1">
        <v>38231</v>
      </c>
      <c r="C2441" t="s">
        <v>23</v>
      </c>
      <c r="D2441" s="19">
        <v>18</v>
      </c>
      <c r="E2441">
        <v>49</v>
      </c>
      <c r="F2441" t="s">
        <v>14</v>
      </c>
      <c r="H2441">
        <v>0</v>
      </c>
    </row>
    <row r="2442" spans="1:9" x14ac:dyDescent="0.2">
      <c r="A2442" t="str">
        <f t="shared" si="285"/>
        <v>38231Vaipahu1850Autres</v>
      </c>
      <c r="B2442" s="1">
        <v>38231</v>
      </c>
      <c r="C2442" t="s">
        <v>23</v>
      </c>
      <c r="D2442" s="19">
        <v>18</v>
      </c>
      <c r="E2442">
        <v>50</v>
      </c>
      <c r="F2442" t="s">
        <v>14</v>
      </c>
      <c r="H2442">
        <v>0</v>
      </c>
    </row>
    <row r="2443" spans="1:9" x14ac:dyDescent="0.2">
      <c r="A2443" t="str">
        <f t="shared" si="285"/>
        <v>38231Vaipahu1851Autres</v>
      </c>
      <c r="B2443" s="1">
        <v>38231</v>
      </c>
      <c r="C2443" t="s">
        <v>23</v>
      </c>
      <c r="D2443" s="19">
        <v>18</v>
      </c>
      <c r="E2443">
        <v>51</v>
      </c>
      <c r="F2443" t="s">
        <v>14</v>
      </c>
      <c r="H2443">
        <v>0</v>
      </c>
    </row>
    <row r="2444" spans="1:9" x14ac:dyDescent="0.2">
      <c r="A2444" t="str">
        <f t="shared" si="285"/>
        <v>38231Vaipahu1852Autres</v>
      </c>
      <c r="B2444" s="1">
        <v>38231</v>
      </c>
      <c r="C2444" t="s">
        <v>23</v>
      </c>
      <c r="D2444" s="19">
        <v>18</v>
      </c>
      <c r="E2444">
        <v>52</v>
      </c>
      <c r="F2444" t="s">
        <v>14</v>
      </c>
      <c r="H2444">
        <v>0</v>
      </c>
    </row>
    <row r="2445" spans="1:9" x14ac:dyDescent="0.2">
      <c r="A2445" t="str">
        <f t="shared" si="285"/>
        <v>38231Vaipahu1853Autres</v>
      </c>
      <c r="B2445" s="1">
        <v>38231</v>
      </c>
      <c r="C2445" t="s">
        <v>23</v>
      </c>
      <c r="D2445" s="19">
        <v>18</v>
      </c>
      <c r="E2445">
        <v>53</v>
      </c>
      <c r="F2445" t="s">
        <v>14</v>
      </c>
      <c r="H2445">
        <v>0</v>
      </c>
    </row>
    <row r="2446" spans="1:9" x14ac:dyDescent="0.2">
      <c r="A2446" t="str">
        <f t="shared" si="285"/>
        <v>38231Vaipahu1854Autres</v>
      </c>
      <c r="B2446" s="1">
        <v>38231</v>
      </c>
      <c r="C2446" t="s">
        <v>23</v>
      </c>
      <c r="D2446" s="19">
        <v>18</v>
      </c>
      <c r="E2446">
        <v>54</v>
      </c>
      <c r="F2446" t="s">
        <v>14</v>
      </c>
      <c r="H2446">
        <v>0</v>
      </c>
    </row>
    <row r="2447" spans="1:9" x14ac:dyDescent="0.2">
      <c r="A2447" t="str">
        <f t="shared" si="285"/>
        <v>38231Vaipahu1855</v>
      </c>
      <c r="B2447" s="1">
        <v>38231</v>
      </c>
      <c r="C2447" t="s">
        <v>23</v>
      </c>
      <c r="D2447" s="19">
        <v>18</v>
      </c>
      <c r="E2447">
        <v>55</v>
      </c>
      <c r="F2447" t="s">
        <v>27</v>
      </c>
      <c r="G2447" t="s">
        <v>27</v>
      </c>
      <c r="H2447" t="s">
        <v>27</v>
      </c>
      <c r="I2447" t="s">
        <v>31</v>
      </c>
    </row>
    <row r="2448" spans="1:9" x14ac:dyDescent="0.2">
      <c r="A2448" t="str">
        <f t="shared" si="285"/>
        <v>38231Vaipahu1856</v>
      </c>
      <c r="B2448" s="1">
        <v>38231</v>
      </c>
      <c r="C2448" t="s">
        <v>23</v>
      </c>
      <c r="D2448" s="19">
        <v>18</v>
      </c>
      <c r="E2448">
        <v>56</v>
      </c>
      <c r="F2448" t="s">
        <v>27</v>
      </c>
      <c r="G2448" t="s">
        <v>27</v>
      </c>
      <c r="H2448" t="s">
        <v>27</v>
      </c>
      <c r="I2448" t="s">
        <v>31</v>
      </c>
    </row>
    <row r="2449" spans="1:9" x14ac:dyDescent="0.2">
      <c r="A2449" t="str">
        <f t="shared" si="285"/>
        <v>38231Vaipahu1857Autres</v>
      </c>
      <c r="B2449" s="1">
        <v>38231</v>
      </c>
      <c r="C2449" t="s">
        <v>23</v>
      </c>
      <c r="D2449" s="19">
        <v>18</v>
      </c>
      <c r="E2449">
        <v>57</v>
      </c>
      <c r="F2449" t="s">
        <v>14</v>
      </c>
      <c r="H2449">
        <v>0</v>
      </c>
    </row>
    <row r="2450" spans="1:9" x14ac:dyDescent="0.2">
      <c r="A2450" t="str">
        <f t="shared" si="285"/>
        <v>38231Vaipahu1858Autres</v>
      </c>
      <c r="B2450" s="1">
        <v>38231</v>
      </c>
      <c r="C2450" t="s">
        <v>23</v>
      </c>
      <c r="D2450" s="19">
        <v>18</v>
      </c>
      <c r="E2450">
        <v>58</v>
      </c>
      <c r="F2450" t="s">
        <v>14</v>
      </c>
      <c r="H2450">
        <v>0</v>
      </c>
    </row>
    <row r="2451" spans="1:9" x14ac:dyDescent="0.2">
      <c r="A2451" t="str">
        <f t="shared" si="285"/>
        <v>38231Vaipahu1859Autres</v>
      </c>
      <c r="B2451" s="1">
        <v>38231</v>
      </c>
      <c r="C2451" t="s">
        <v>23</v>
      </c>
      <c r="D2451" s="19">
        <v>18</v>
      </c>
      <c r="E2451">
        <v>59</v>
      </c>
      <c r="F2451" t="s">
        <v>14</v>
      </c>
      <c r="H2451">
        <v>0</v>
      </c>
    </row>
    <row r="2452" spans="1:9" x14ac:dyDescent="0.2">
      <c r="A2452" t="str">
        <f t="shared" si="285"/>
        <v>38231Vaipahu1860Autres</v>
      </c>
      <c r="B2452" s="1">
        <v>38231</v>
      </c>
      <c r="C2452" t="s">
        <v>23</v>
      </c>
      <c r="D2452" s="19">
        <v>18</v>
      </c>
      <c r="E2452">
        <v>60</v>
      </c>
      <c r="F2452" t="s">
        <v>14</v>
      </c>
      <c r="H2452">
        <v>0</v>
      </c>
    </row>
    <row r="2453" spans="1:9" x14ac:dyDescent="0.2">
      <c r="A2453" t="str">
        <f t="shared" si="285"/>
        <v>38231Tiahura661Autres</v>
      </c>
      <c r="B2453" s="1">
        <v>38231</v>
      </c>
      <c r="C2453" t="s">
        <v>24</v>
      </c>
      <c r="D2453" s="19">
        <v>6</v>
      </c>
      <c r="E2453">
        <v>61</v>
      </c>
      <c r="F2453" t="s">
        <v>14</v>
      </c>
      <c r="H2453">
        <v>0</v>
      </c>
    </row>
    <row r="2454" spans="1:9" x14ac:dyDescent="0.2">
      <c r="A2454" t="str">
        <f t="shared" si="285"/>
        <v>38231Tiahura662Autres</v>
      </c>
      <c r="B2454" s="1">
        <v>38231</v>
      </c>
      <c r="C2454" t="s">
        <v>24</v>
      </c>
      <c r="D2454" s="19">
        <v>6</v>
      </c>
      <c r="E2454">
        <v>62</v>
      </c>
      <c r="F2454" t="s">
        <v>14</v>
      </c>
      <c r="H2454">
        <v>0</v>
      </c>
    </row>
    <row r="2455" spans="1:9" x14ac:dyDescent="0.2">
      <c r="A2455" t="str">
        <f t="shared" si="285"/>
        <v>38231Tiahura663Autres</v>
      </c>
      <c r="B2455" s="1">
        <v>38231</v>
      </c>
      <c r="C2455" t="s">
        <v>24</v>
      </c>
      <c r="D2455" s="19">
        <v>6</v>
      </c>
      <c r="E2455">
        <v>63</v>
      </c>
      <c r="F2455" t="s">
        <v>14</v>
      </c>
      <c r="H2455">
        <v>0</v>
      </c>
    </row>
    <row r="2456" spans="1:9" x14ac:dyDescent="0.2">
      <c r="A2456" t="str">
        <f t="shared" si="285"/>
        <v>38231Tiahura664Autres</v>
      </c>
      <c r="B2456" s="1">
        <v>38231</v>
      </c>
      <c r="C2456" t="s">
        <v>24</v>
      </c>
      <c r="D2456" s="19">
        <v>6</v>
      </c>
      <c r="E2456">
        <v>64</v>
      </c>
      <c r="F2456" t="s">
        <v>14</v>
      </c>
      <c r="H2456">
        <v>0</v>
      </c>
    </row>
    <row r="2457" spans="1:9" x14ac:dyDescent="0.2">
      <c r="A2457" t="str">
        <f t="shared" si="285"/>
        <v>38231Tiahura665</v>
      </c>
      <c r="B2457" s="1">
        <v>38231</v>
      </c>
      <c r="C2457" t="s">
        <v>24</v>
      </c>
      <c r="D2457" s="19">
        <v>6</v>
      </c>
      <c r="E2457">
        <v>65</v>
      </c>
      <c r="F2457" t="s">
        <v>27</v>
      </c>
      <c r="G2457" t="s">
        <v>27</v>
      </c>
      <c r="H2457" t="s">
        <v>27</v>
      </c>
      <c r="I2457" t="s">
        <v>31</v>
      </c>
    </row>
    <row r="2458" spans="1:9" x14ac:dyDescent="0.2">
      <c r="A2458" t="str">
        <f t="shared" si="285"/>
        <v>38231Tiahura666</v>
      </c>
      <c r="B2458" s="1">
        <v>38231</v>
      </c>
      <c r="C2458" t="s">
        <v>24</v>
      </c>
      <c r="D2458" s="19">
        <v>6</v>
      </c>
      <c r="E2458">
        <v>66</v>
      </c>
      <c r="F2458" t="s">
        <v>27</v>
      </c>
      <c r="G2458" t="s">
        <v>27</v>
      </c>
      <c r="H2458" t="s">
        <v>27</v>
      </c>
      <c r="I2458" t="s">
        <v>31</v>
      </c>
    </row>
    <row r="2459" spans="1:9" x14ac:dyDescent="0.2">
      <c r="A2459" t="str">
        <f t="shared" si="285"/>
        <v>38231Tiahura667AcroporidaeDessous</v>
      </c>
      <c r="B2459" s="1">
        <v>38231</v>
      </c>
      <c r="C2459" t="s">
        <v>24</v>
      </c>
      <c r="D2459" s="19">
        <v>6</v>
      </c>
      <c r="E2459">
        <v>67</v>
      </c>
      <c r="F2459" t="s">
        <v>17</v>
      </c>
      <c r="G2459" t="s">
        <v>8</v>
      </c>
      <c r="H2459">
        <v>1</v>
      </c>
      <c r="I2459" t="s">
        <v>27</v>
      </c>
    </row>
    <row r="2460" spans="1:9" x14ac:dyDescent="0.2">
      <c r="A2460" t="str">
        <f t="shared" si="285"/>
        <v>38231Tiahura668PocilloporidaeBords</v>
      </c>
      <c r="B2460" s="1">
        <v>38231</v>
      </c>
      <c r="C2460" t="s">
        <v>24</v>
      </c>
      <c r="D2460" s="19">
        <v>6</v>
      </c>
      <c r="E2460">
        <v>68</v>
      </c>
      <c r="F2460" t="s">
        <v>10</v>
      </c>
      <c r="G2460" t="s">
        <v>13</v>
      </c>
      <c r="H2460">
        <v>1</v>
      </c>
      <c r="I2460" t="s">
        <v>27</v>
      </c>
    </row>
    <row r="2461" spans="1:9" x14ac:dyDescent="0.2">
      <c r="A2461" t="str">
        <f t="shared" si="285"/>
        <v>38231Tiahura669Autres</v>
      </c>
      <c r="B2461" s="1">
        <v>38231</v>
      </c>
      <c r="C2461" t="s">
        <v>24</v>
      </c>
      <c r="D2461" s="19">
        <v>6</v>
      </c>
      <c r="E2461">
        <v>69</v>
      </c>
      <c r="F2461" t="s">
        <v>14</v>
      </c>
      <c r="H2461">
        <v>0</v>
      </c>
    </row>
    <row r="2462" spans="1:9" x14ac:dyDescent="0.2">
      <c r="A2462" t="str">
        <f t="shared" si="285"/>
        <v>38231Tiahura670Autres</v>
      </c>
      <c r="B2462" s="1">
        <v>38231</v>
      </c>
      <c r="C2462" t="s">
        <v>24</v>
      </c>
      <c r="D2462" s="19">
        <v>6</v>
      </c>
      <c r="E2462">
        <v>70</v>
      </c>
      <c r="F2462" t="s">
        <v>14</v>
      </c>
      <c r="H2462">
        <v>0</v>
      </c>
    </row>
    <row r="2463" spans="1:9" x14ac:dyDescent="0.2">
      <c r="A2463" t="str">
        <f t="shared" si="285"/>
        <v>38231Tiahura671Autres</v>
      </c>
      <c r="B2463" s="1">
        <v>38231</v>
      </c>
      <c r="C2463" t="s">
        <v>24</v>
      </c>
      <c r="D2463" s="19">
        <v>6</v>
      </c>
      <c r="E2463">
        <v>71</v>
      </c>
      <c r="F2463" t="s">
        <v>14</v>
      </c>
      <c r="H2463">
        <v>0</v>
      </c>
    </row>
    <row r="2464" spans="1:9" x14ac:dyDescent="0.2">
      <c r="A2464" t="str">
        <f t="shared" si="285"/>
        <v>38231Tiahura672Autres</v>
      </c>
      <c r="B2464" s="1">
        <v>38231</v>
      </c>
      <c r="C2464" t="s">
        <v>24</v>
      </c>
      <c r="D2464" s="19">
        <v>6</v>
      </c>
      <c r="E2464">
        <v>72</v>
      </c>
      <c r="F2464" t="s">
        <v>14</v>
      </c>
      <c r="H2464">
        <v>0</v>
      </c>
    </row>
    <row r="2465" spans="1:9" x14ac:dyDescent="0.2">
      <c r="A2465" t="str">
        <f t="shared" si="285"/>
        <v>38231Tiahura673Autres</v>
      </c>
      <c r="B2465" s="1">
        <v>38231</v>
      </c>
      <c r="C2465" t="s">
        <v>24</v>
      </c>
      <c r="D2465" s="19">
        <v>6</v>
      </c>
      <c r="E2465">
        <v>73</v>
      </c>
      <c r="F2465" t="s">
        <v>14</v>
      </c>
      <c r="H2465">
        <v>0</v>
      </c>
    </row>
    <row r="2466" spans="1:9" x14ac:dyDescent="0.2">
      <c r="A2466" t="str">
        <f t="shared" si="285"/>
        <v>38231Tiahura674PocilloporidaeDessus</v>
      </c>
      <c r="B2466" s="1">
        <v>38231</v>
      </c>
      <c r="C2466" t="s">
        <v>24</v>
      </c>
      <c r="D2466" s="19">
        <v>6</v>
      </c>
      <c r="E2466">
        <v>74</v>
      </c>
      <c r="F2466" t="s">
        <v>10</v>
      </c>
      <c r="G2466" t="s">
        <v>11</v>
      </c>
      <c r="H2466">
        <v>1</v>
      </c>
      <c r="I2466" t="s">
        <v>27</v>
      </c>
    </row>
    <row r="2467" spans="1:9" x14ac:dyDescent="0.2">
      <c r="A2467" t="str">
        <f t="shared" si="285"/>
        <v>38231Tiahura675</v>
      </c>
      <c r="B2467" s="1">
        <v>38231</v>
      </c>
      <c r="C2467" t="s">
        <v>24</v>
      </c>
      <c r="D2467" s="19">
        <v>6</v>
      </c>
      <c r="E2467">
        <v>75</v>
      </c>
      <c r="F2467" t="s">
        <v>27</v>
      </c>
      <c r="G2467" t="s">
        <v>27</v>
      </c>
      <c r="H2467" t="s">
        <v>27</v>
      </c>
      <c r="I2467" t="s">
        <v>31</v>
      </c>
    </row>
    <row r="2468" spans="1:9" x14ac:dyDescent="0.2">
      <c r="A2468" t="str">
        <f t="shared" si="285"/>
        <v>38231Tiahura676</v>
      </c>
      <c r="B2468" s="1">
        <v>38231</v>
      </c>
      <c r="C2468" t="s">
        <v>24</v>
      </c>
      <c r="D2468" s="19">
        <v>6</v>
      </c>
      <c r="E2468">
        <v>76</v>
      </c>
      <c r="F2468" t="s">
        <v>27</v>
      </c>
      <c r="G2468" t="s">
        <v>27</v>
      </c>
      <c r="H2468" t="s">
        <v>27</v>
      </c>
      <c r="I2468" t="s">
        <v>31</v>
      </c>
    </row>
    <row r="2469" spans="1:9" x14ac:dyDescent="0.2">
      <c r="A2469" t="str">
        <f t="shared" si="285"/>
        <v>38231Tiahura677PocilloporidaeDessous</v>
      </c>
      <c r="B2469" s="1">
        <v>38231</v>
      </c>
      <c r="C2469" t="s">
        <v>24</v>
      </c>
      <c r="D2469" s="19">
        <v>6</v>
      </c>
      <c r="E2469">
        <v>77</v>
      </c>
      <c r="F2469" t="s">
        <v>10</v>
      </c>
      <c r="G2469" t="s">
        <v>8</v>
      </c>
      <c r="H2469">
        <v>1</v>
      </c>
      <c r="I2469" t="s">
        <v>27</v>
      </c>
    </row>
    <row r="2470" spans="1:9" x14ac:dyDescent="0.2">
      <c r="A2470" t="str">
        <f t="shared" si="285"/>
        <v>38231Tiahura678AcroporidaeDessous</v>
      </c>
      <c r="B2470" s="1">
        <v>38231</v>
      </c>
      <c r="C2470" t="s">
        <v>24</v>
      </c>
      <c r="D2470" s="19">
        <v>6</v>
      </c>
      <c r="E2470">
        <v>78</v>
      </c>
      <c r="F2470" t="s">
        <v>17</v>
      </c>
      <c r="G2470" t="s">
        <v>8</v>
      </c>
      <c r="H2470">
        <v>1</v>
      </c>
      <c r="I2470" t="s">
        <v>27</v>
      </c>
    </row>
    <row r="2471" spans="1:9" x14ac:dyDescent="0.2">
      <c r="A2471" t="str">
        <f t="shared" si="285"/>
        <v>38231Tiahura679Autres</v>
      </c>
      <c r="B2471" s="1">
        <v>38231</v>
      </c>
      <c r="C2471" t="s">
        <v>24</v>
      </c>
      <c r="D2471" s="19">
        <v>6</v>
      </c>
      <c r="E2471">
        <v>79</v>
      </c>
      <c r="F2471" t="s">
        <v>14</v>
      </c>
      <c r="H2471">
        <v>0</v>
      </c>
    </row>
    <row r="2472" spans="1:9" x14ac:dyDescent="0.2">
      <c r="A2472" t="str">
        <f t="shared" si="285"/>
        <v>38231Tiahura680Autres</v>
      </c>
      <c r="B2472" s="1">
        <v>38231</v>
      </c>
      <c r="C2472" t="s">
        <v>24</v>
      </c>
      <c r="D2472" s="19">
        <v>6</v>
      </c>
      <c r="E2472">
        <v>80</v>
      </c>
      <c r="F2472" t="s">
        <v>14</v>
      </c>
      <c r="H2472">
        <v>0</v>
      </c>
    </row>
    <row r="2473" spans="1:9" x14ac:dyDescent="0.2">
      <c r="A2473" t="str">
        <f t="shared" si="285"/>
        <v>38231Tiahura1281Autres</v>
      </c>
      <c r="B2473" s="1">
        <v>38231</v>
      </c>
      <c r="C2473" t="s">
        <v>24</v>
      </c>
      <c r="D2473" s="19">
        <v>12</v>
      </c>
      <c r="E2473">
        <v>81</v>
      </c>
      <c r="F2473" t="s">
        <v>14</v>
      </c>
      <c r="H2473">
        <v>0</v>
      </c>
    </row>
    <row r="2474" spans="1:9" x14ac:dyDescent="0.2">
      <c r="A2474" t="str">
        <f t="shared" si="285"/>
        <v>38231Tiahura1282AcroporidaeBords</v>
      </c>
      <c r="B2474" s="1">
        <v>38231</v>
      </c>
      <c r="C2474" t="s">
        <v>24</v>
      </c>
      <c r="D2474" s="19">
        <v>12</v>
      </c>
      <c r="E2474">
        <v>82</v>
      </c>
      <c r="F2474" t="s">
        <v>17</v>
      </c>
      <c r="G2474" t="s">
        <v>13</v>
      </c>
      <c r="H2474">
        <v>1</v>
      </c>
      <c r="I2474" t="s">
        <v>27</v>
      </c>
    </row>
    <row r="2475" spans="1:9" x14ac:dyDescent="0.2">
      <c r="A2475" t="str">
        <f t="shared" si="285"/>
        <v>38231Tiahura1283PoritidaeDessous</v>
      </c>
      <c r="B2475" s="1">
        <v>38231</v>
      </c>
      <c r="C2475" t="s">
        <v>24</v>
      </c>
      <c r="D2475" s="19">
        <v>12</v>
      </c>
      <c r="E2475">
        <v>83</v>
      </c>
      <c r="F2475" t="s">
        <v>7</v>
      </c>
      <c r="G2475" t="s">
        <v>8</v>
      </c>
      <c r="H2475">
        <v>2</v>
      </c>
      <c r="I2475" t="s">
        <v>27</v>
      </c>
    </row>
    <row r="2476" spans="1:9" x14ac:dyDescent="0.2">
      <c r="A2476" t="str">
        <f t="shared" si="285"/>
        <v>38231Tiahura1284Autres</v>
      </c>
      <c r="B2476" s="1">
        <v>38231</v>
      </c>
      <c r="C2476" t="s">
        <v>24</v>
      </c>
      <c r="D2476" s="19">
        <v>12</v>
      </c>
      <c r="E2476">
        <v>84</v>
      </c>
      <c r="F2476" t="s">
        <v>14</v>
      </c>
      <c r="H2476">
        <v>0</v>
      </c>
    </row>
    <row r="2477" spans="1:9" x14ac:dyDescent="0.2">
      <c r="A2477" t="str">
        <f t="shared" si="285"/>
        <v>38231Tiahura1285</v>
      </c>
      <c r="B2477" s="1">
        <v>38231</v>
      </c>
      <c r="C2477" t="s">
        <v>24</v>
      </c>
      <c r="D2477" s="19">
        <v>12</v>
      </c>
      <c r="E2477">
        <v>85</v>
      </c>
      <c r="F2477" t="s">
        <v>27</v>
      </c>
      <c r="G2477" t="s">
        <v>27</v>
      </c>
      <c r="H2477" t="s">
        <v>27</v>
      </c>
      <c r="I2477" t="s">
        <v>31</v>
      </c>
    </row>
    <row r="2478" spans="1:9" x14ac:dyDescent="0.2">
      <c r="A2478" t="str">
        <f t="shared" si="285"/>
        <v>38231Tiahura1286</v>
      </c>
      <c r="B2478" s="1">
        <v>38231</v>
      </c>
      <c r="C2478" t="s">
        <v>24</v>
      </c>
      <c r="D2478" s="19">
        <v>12</v>
      </c>
      <c r="E2478">
        <v>86</v>
      </c>
      <c r="F2478" t="s">
        <v>27</v>
      </c>
      <c r="G2478" t="s">
        <v>27</v>
      </c>
      <c r="H2478" t="s">
        <v>27</v>
      </c>
      <c r="I2478" t="s">
        <v>31</v>
      </c>
    </row>
    <row r="2479" spans="1:9" x14ac:dyDescent="0.2">
      <c r="A2479" t="str">
        <f t="shared" si="285"/>
        <v>38231Tiahura1287Autres</v>
      </c>
      <c r="B2479" s="1">
        <v>38231</v>
      </c>
      <c r="C2479" t="s">
        <v>24</v>
      </c>
      <c r="D2479" s="19">
        <v>12</v>
      </c>
      <c r="E2479">
        <v>87</v>
      </c>
      <c r="F2479" t="s">
        <v>14</v>
      </c>
      <c r="H2479">
        <v>0</v>
      </c>
    </row>
    <row r="2480" spans="1:9" x14ac:dyDescent="0.2">
      <c r="A2480" t="str">
        <f t="shared" si="285"/>
        <v>38231Tiahura1288Autres</v>
      </c>
      <c r="B2480" s="1">
        <v>38231</v>
      </c>
      <c r="C2480" t="s">
        <v>24</v>
      </c>
      <c r="D2480" s="19">
        <v>12</v>
      </c>
      <c r="E2480">
        <v>88</v>
      </c>
      <c r="F2480" t="s">
        <v>14</v>
      </c>
      <c r="H2480">
        <v>0</v>
      </c>
    </row>
    <row r="2481" spans="1:9" x14ac:dyDescent="0.2">
      <c r="A2481" t="str">
        <f t="shared" si="285"/>
        <v>38231Tiahura1289Autres</v>
      </c>
      <c r="B2481" s="1">
        <v>38231</v>
      </c>
      <c r="C2481" t="s">
        <v>24</v>
      </c>
      <c r="D2481" s="19">
        <v>12</v>
      </c>
      <c r="E2481">
        <v>89</v>
      </c>
      <c r="F2481" t="s">
        <v>14</v>
      </c>
      <c r="H2481">
        <v>0</v>
      </c>
    </row>
    <row r="2482" spans="1:9" x14ac:dyDescent="0.2">
      <c r="A2482" t="str">
        <f t="shared" si="285"/>
        <v>38231Tiahura1290Autres</v>
      </c>
      <c r="B2482" s="1">
        <v>38231</v>
      </c>
      <c r="C2482" t="s">
        <v>24</v>
      </c>
      <c r="D2482" s="19">
        <v>12</v>
      </c>
      <c r="E2482">
        <v>90</v>
      </c>
      <c r="F2482" t="s">
        <v>14</v>
      </c>
      <c r="H2482">
        <v>0</v>
      </c>
    </row>
    <row r="2483" spans="1:9" x14ac:dyDescent="0.2">
      <c r="A2483" t="str">
        <f t="shared" si="285"/>
        <v>38231Tiahura1291Autres</v>
      </c>
      <c r="B2483" s="1">
        <v>38231</v>
      </c>
      <c r="C2483" t="s">
        <v>24</v>
      </c>
      <c r="D2483" s="19">
        <v>12</v>
      </c>
      <c r="E2483">
        <v>91</v>
      </c>
      <c r="F2483" t="s">
        <v>14</v>
      </c>
      <c r="H2483">
        <v>0</v>
      </c>
    </row>
    <row r="2484" spans="1:9" x14ac:dyDescent="0.2">
      <c r="A2484" t="str">
        <f t="shared" si="285"/>
        <v>38231Tiahura1292PoritidaeDessous</v>
      </c>
      <c r="B2484" s="1">
        <v>38231</v>
      </c>
      <c r="C2484" t="s">
        <v>24</v>
      </c>
      <c r="D2484" s="19">
        <v>12</v>
      </c>
      <c r="E2484">
        <v>92</v>
      </c>
      <c r="F2484" t="s">
        <v>7</v>
      </c>
      <c r="G2484" t="s">
        <v>8</v>
      </c>
      <c r="H2484">
        <v>1</v>
      </c>
      <c r="I2484" t="s">
        <v>27</v>
      </c>
    </row>
    <row r="2485" spans="1:9" x14ac:dyDescent="0.2">
      <c r="A2485" t="str">
        <f t="shared" si="285"/>
        <v>38231Tiahura1293PoritidaeBords</v>
      </c>
      <c r="B2485" s="1">
        <v>38231</v>
      </c>
      <c r="C2485" t="s">
        <v>24</v>
      </c>
      <c r="D2485" s="19">
        <v>12</v>
      </c>
      <c r="E2485">
        <v>93</v>
      </c>
      <c r="F2485" t="s">
        <v>7</v>
      </c>
      <c r="G2485" t="s">
        <v>13</v>
      </c>
      <c r="H2485">
        <v>1</v>
      </c>
      <c r="I2485" t="s">
        <v>27</v>
      </c>
    </row>
    <row r="2486" spans="1:9" x14ac:dyDescent="0.2">
      <c r="A2486" t="str">
        <f t="shared" si="285"/>
        <v>38231Tiahura1294Autres</v>
      </c>
      <c r="B2486" s="1">
        <v>38231</v>
      </c>
      <c r="C2486" t="s">
        <v>24</v>
      </c>
      <c r="D2486" s="19">
        <v>12</v>
      </c>
      <c r="E2486">
        <v>94</v>
      </c>
      <c r="F2486" t="s">
        <v>14</v>
      </c>
      <c r="H2486">
        <v>0</v>
      </c>
    </row>
    <row r="2487" spans="1:9" x14ac:dyDescent="0.2">
      <c r="A2487" t="str">
        <f t="shared" si="285"/>
        <v>38231Tiahura1295</v>
      </c>
      <c r="B2487" s="1">
        <v>38231</v>
      </c>
      <c r="C2487" t="s">
        <v>24</v>
      </c>
      <c r="D2487" s="19">
        <v>12</v>
      </c>
      <c r="E2487">
        <v>95</v>
      </c>
      <c r="F2487" t="s">
        <v>27</v>
      </c>
      <c r="G2487" t="s">
        <v>27</v>
      </c>
      <c r="H2487" t="s">
        <v>27</v>
      </c>
      <c r="I2487" t="s">
        <v>31</v>
      </c>
    </row>
    <row r="2488" spans="1:9" x14ac:dyDescent="0.2">
      <c r="A2488" t="str">
        <f t="shared" si="285"/>
        <v>38231Tiahura1296</v>
      </c>
      <c r="B2488" s="1">
        <v>38231</v>
      </c>
      <c r="C2488" t="s">
        <v>24</v>
      </c>
      <c r="D2488" s="19">
        <v>12</v>
      </c>
      <c r="E2488">
        <v>96</v>
      </c>
      <c r="F2488" t="s">
        <v>27</v>
      </c>
      <c r="G2488" t="s">
        <v>27</v>
      </c>
      <c r="H2488" t="s">
        <v>27</v>
      </c>
      <c r="I2488" t="s">
        <v>31</v>
      </c>
    </row>
    <row r="2489" spans="1:9" x14ac:dyDescent="0.2">
      <c r="A2489" t="str">
        <f t="shared" si="285"/>
        <v>38231Tiahura1297Autres</v>
      </c>
      <c r="B2489" s="1">
        <v>38231</v>
      </c>
      <c r="C2489" t="s">
        <v>24</v>
      </c>
      <c r="D2489" s="19">
        <v>12</v>
      </c>
      <c r="E2489">
        <v>97</v>
      </c>
      <c r="F2489" t="s">
        <v>14</v>
      </c>
      <c r="H2489">
        <v>0</v>
      </c>
    </row>
    <row r="2490" spans="1:9" x14ac:dyDescent="0.2">
      <c r="A2490" t="str">
        <f t="shared" si="285"/>
        <v>38231Tiahura1298Autres</v>
      </c>
      <c r="B2490" s="1">
        <v>38231</v>
      </c>
      <c r="C2490" t="s">
        <v>24</v>
      </c>
      <c r="D2490" s="19">
        <v>12</v>
      </c>
      <c r="E2490">
        <v>98</v>
      </c>
      <c r="F2490" t="s">
        <v>14</v>
      </c>
      <c r="H2490">
        <v>0</v>
      </c>
    </row>
    <row r="2491" spans="1:9" x14ac:dyDescent="0.2">
      <c r="A2491" t="str">
        <f t="shared" si="285"/>
        <v>38231Tiahura1299Autres</v>
      </c>
      <c r="B2491" s="1">
        <v>38231</v>
      </c>
      <c r="C2491" t="s">
        <v>24</v>
      </c>
      <c r="D2491" s="19">
        <v>12</v>
      </c>
      <c r="E2491">
        <v>99</v>
      </c>
      <c r="F2491" t="s">
        <v>14</v>
      </c>
      <c r="H2491">
        <v>0</v>
      </c>
    </row>
    <row r="2492" spans="1:9" x14ac:dyDescent="0.2">
      <c r="A2492" t="str">
        <f t="shared" si="285"/>
        <v>38231Tiahura12100Autres</v>
      </c>
      <c r="B2492" s="1">
        <v>38231</v>
      </c>
      <c r="C2492" t="s">
        <v>24</v>
      </c>
      <c r="D2492" s="19">
        <v>12</v>
      </c>
      <c r="E2492">
        <v>100</v>
      </c>
      <c r="F2492" t="s">
        <v>14</v>
      </c>
      <c r="H2492">
        <v>0</v>
      </c>
    </row>
    <row r="2493" spans="1:9" x14ac:dyDescent="0.2">
      <c r="A2493" t="str">
        <f t="shared" si="285"/>
        <v>38231Tiahura18101Autres</v>
      </c>
      <c r="B2493" s="1">
        <v>38231</v>
      </c>
      <c r="C2493" t="s">
        <v>24</v>
      </c>
      <c r="D2493" s="19">
        <v>18</v>
      </c>
      <c r="E2493">
        <v>101</v>
      </c>
      <c r="F2493" t="s">
        <v>14</v>
      </c>
      <c r="H2493">
        <v>0</v>
      </c>
    </row>
    <row r="2494" spans="1:9" x14ac:dyDescent="0.2">
      <c r="A2494" t="str">
        <f t="shared" si="285"/>
        <v>38231Tiahura18102Autres</v>
      </c>
      <c r="B2494" s="1">
        <v>38231</v>
      </c>
      <c r="C2494" t="s">
        <v>24</v>
      </c>
      <c r="D2494" s="19">
        <v>18</v>
      </c>
      <c r="E2494">
        <v>102</v>
      </c>
      <c r="F2494" t="s">
        <v>14</v>
      </c>
      <c r="H2494">
        <v>0</v>
      </c>
    </row>
    <row r="2495" spans="1:9" x14ac:dyDescent="0.2">
      <c r="A2495" t="str">
        <f t="shared" ref="A2495:A2558" si="286">B2495 &amp; C2495&amp; D2495&amp; E2495 &amp; F2495 &amp;G2495</f>
        <v>38231Tiahura18103Autres</v>
      </c>
      <c r="B2495" s="1">
        <v>38231</v>
      </c>
      <c r="C2495" t="s">
        <v>24</v>
      </c>
      <c r="D2495" s="19">
        <v>18</v>
      </c>
      <c r="E2495">
        <v>103</v>
      </c>
      <c r="F2495" t="s">
        <v>14</v>
      </c>
      <c r="H2495">
        <v>0</v>
      </c>
    </row>
    <row r="2496" spans="1:9" x14ac:dyDescent="0.2">
      <c r="A2496" t="str">
        <f t="shared" si="286"/>
        <v>38231Tiahura18104Autres</v>
      </c>
      <c r="B2496" s="1">
        <v>38231</v>
      </c>
      <c r="C2496" t="s">
        <v>24</v>
      </c>
      <c r="D2496" s="19">
        <v>18</v>
      </c>
      <c r="E2496">
        <v>104</v>
      </c>
      <c r="F2496" t="s">
        <v>14</v>
      </c>
      <c r="H2496">
        <v>0</v>
      </c>
    </row>
    <row r="2497" spans="1:9" x14ac:dyDescent="0.2">
      <c r="A2497" t="str">
        <f t="shared" si="286"/>
        <v>38231Tiahura18105</v>
      </c>
      <c r="B2497" s="1">
        <v>38231</v>
      </c>
      <c r="C2497" t="s">
        <v>24</v>
      </c>
      <c r="D2497" s="19">
        <v>18</v>
      </c>
      <c r="E2497">
        <v>105</v>
      </c>
      <c r="F2497" t="s">
        <v>27</v>
      </c>
      <c r="G2497" t="s">
        <v>27</v>
      </c>
      <c r="H2497" t="s">
        <v>27</v>
      </c>
      <c r="I2497" t="s">
        <v>31</v>
      </c>
    </row>
    <row r="2498" spans="1:9" x14ac:dyDescent="0.2">
      <c r="A2498" t="str">
        <f t="shared" si="286"/>
        <v>38231Tiahura18106</v>
      </c>
      <c r="B2498" s="1">
        <v>38231</v>
      </c>
      <c r="C2498" t="s">
        <v>24</v>
      </c>
      <c r="D2498" s="19">
        <v>18</v>
      </c>
      <c r="E2498">
        <v>106</v>
      </c>
      <c r="F2498" t="s">
        <v>27</v>
      </c>
      <c r="G2498" t="s">
        <v>27</v>
      </c>
      <c r="H2498" t="s">
        <v>27</v>
      </c>
      <c r="I2498" t="s">
        <v>31</v>
      </c>
    </row>
    <row r="2499" spans="1:9" x14ac:dyDescent="0.2">
      <c r="A2499" t="str">
        <f t="shared" si="286"/>
        <v>38231Tiahura18107Autres</v>
      </c>
      <c r="B2499" s="1">
        <v>38231</v>
      </c>
      <c r="C2499" t="s">
        <v>24</v>
      </c>
      <c r="D2499" s="19">
        <v>18</v>
      </c>
      <c r="E2499">
        <v>107</v>
      </c>
      <c r="F2499" t="s">
        <v>14</v>
      </c>
      <c r="H2499">
        <v>0</v>
      </c>
    </row>
    <row r="2500" spans="1:9" x14ac:dyDescent="0.2">
      <c r="A2500" t="str">
        <f t="shared" si="286"/>
        <v>38231Tiahura18108Autres</v>
      </c>
      <c r="B2500" s="1">
        <v>38231</v>
      </c>
      <c r="C2500" t="s">
        <v>24</v>
      </c>
      <c r="D2500" s="19">
        <v>18</v>
      </c>
      <c r="E2500">
        <v>108</v>
      </c>
      <c r="F2500" t="s">
        <v>14</v>
      </c>
      <c r="H2500">
        <v>0</v>
      </c>
    </row>
    <row r="2501" spans="1:9" x14ac:dyDescent="0.2">
      <c r="A2501" t="str">
        <f t="shared" si="286"/>
        <v>38231Tiahura18109Autres</v>
      </c>
      <c r="B2501" s="1">
        <v>38231</v>
      </c>
      <c r="C2501" t="s">
        <v>24</v>
      </c>
      <c r="D2501" s="19">
        <v>18</v>
      </c>
      <c r="E2501">
        <v>109</v>
      </c>
      <c r="F2501" t="s">
        <v>14</v>
      </c>
      <c r="H2501">
        <v>0</v>
      </c>
    </row>
    <row r="2502" spans="1:9" x14ac:dyDescent="0.2">
      <c r="A2502" t="str">
        <f t="shared" si="286"/>
        <v>38231Tiahura18110Autres</v>
      </c>
      <c r="B2502" s="1">
        <v>38231</v>
      </c>
      <c r="C2502" t="s">
        <v>24</v>
      </c>
      <c r="D2502" s="19">
        <v>18</v>
      </c>
      <c r="E2502">
        <v>110</v>
      </c>
      <c r="F2502" t="s">
        <v>14</v>
      </c>
      <c r="H2502">
        <v>0</v>
      </c>
    </row>
    <row r="2503" spans="1:9" x14ac:dyDescent="0.2">
      <c r="A2503" t="str">
        <f t="shared" si="286"/>
        <v>38231Tiahura18111Autres</v>
      </c>
      <c r="B2503" s="1">
        <v>38231</v>
      </c>
      <c r="C2503" t="s">
        <v>24</v>
      </c>
      <c r="D2503" s="19">
        <v>18</v>
      </c>
      <c r="E2503">
        <v>111</v>
      </c>
      <c r="F2503" t="s">
        <v>14</v>
      </c>
      <c r="H2503">
        <v>0</v>
      </c>
    </row>
    <row r="2504" spans="1:9" x14ac:dyDescent="0.2">
      <c r="A2504" t="str">
        <f t="shared" si="286"/>
        <v>38231Tiahura18112Autres</v>
      </c>
      <c r="B2504" s="1">
        <v>38231</v>
      </c>
      <c r="C2504" t="s">
        <v>24</v>
      </c>
      <c r="D2504" s="19">
        <v>18</v>
      </c>
      <c r="E2504">
        <v>112</v>
      </c>
      <c r="F2504" t="s">
        <v>14</v>
      </c>
      <c r="H2504">
        <v>0</v>
      </c>
    </row>
    <row r="2505" spans="1:9" x14ac:dyDescent="0.2">
      <c r="A2505" t="str">
        <f t="shared" si="286"/>
        <v>38231Tiahura18113Autres</v>
      </c>
      <c r="B2505" s="1">
        <v>38231</v>
      </c>
      <c r="C2505" t="s">
        <v>24</v>
      </c>
      <c r="D2505" s="19">
        <v>18</v>
      </c>
      <c r="E2505">
        <v>113</v>
      </c>
      <c r="F2505" t="s">
        <v>14</v>
      </c>
      <c r="H2505">
        <v>0</v>
      </c>
    </row>
    <row r="2506" spans="1:9" x14ac:dyDescent="0.2">
      <c r="A2506" t="str">
        <f t="shared" si="286"/>
        <v>38231Tiahura18114PoritidaeBords</v>
      </c>
      <c r="B2506" s="1">
        <v>38231</v>
      </c>
      <c r="C2506" t="s">
        <v>24</v>
      </c>
      <c r="D2506" s="19">
        <v>18</v>
      </c>
      <c r="E2506">
        <v>114</v>
      </c>
      <c r="F2506" t="s">
        <v>7</v>
      </c>
      <c r="G2506" t="s">
        <v>13</v>
      </c>
      <c r="H2506">
        <v>1</v>
      </c>
      <c r="I2506" t="s">
        <v>27</v>
      </c>
    </row>
    <row r="2507" spans="1:9" x14ac:dyDescent="0.2">
      <c r="A2507" t="str">
        <f t="shared" si="286"/>
        <v>38231Tiahura18115</v>
      </c>
      <c r="B2507" s="1">
        <v>38231</v>
      </c>
      <c r="C2507" t="s">
        <v>24</v>
      </c>
      <c r="D2507" s="19">
        <v>18</v>
      </c>
      <c r="E2507">
        <v>115</v>
      </c>
      <c r="F2507" t="s">
        <v>27</v>
      </c>
      <c r="G2507" t="s">
        <v>27</v>
      </c>
      <c r="H2507" t="s">
        <v>27</v>
      </c>
      <c r="I2507" t="s">
        <v>31</v>
      </c>
    </row>
    <row r="2508" spans="1:9" x14ac:dyDescent="0.2">
      <c r="A2508" t="str">
        <f t="shared" si="286"/>
        <v>38231Tiahura18116</v>
      </c>
      <c r="B2508" s="1">
        <v>38231</v>
      </c>
      <c r="C2508" t="s">
        <v>24</v>
      </c>
      <c r="D2508" s="19">
        <v>18</v>
      </c>
      <c r="E2508">
        <v>116</v>
      </c>
      <c r="F2508" t="s">
        <v>27</v>
      </c>
      <c r="G2508" t="s">
        <v>27</v>
      </c>
      <c r="H2508" t="s">
        <v>27</v>
      </c>
      <c r="I2508" t="s">
        <v>31</v>
      </c>
    </row>
    <row r="2509" spans="1:9" x14ac:dyDescent="0.2">
      <c r="A2509" t="str">
        <f t="shared" si="286"/>
        <v>38231Tiahura18117Autres</v>
      </c>
      <c r="B2509" s="1">
        <v>38231</v>
      </c>
      <c r="C2509" t="s">
        <v>24</v>
      </c>
      <c r="D2509" s="19">
        <v>18</v>
      </c>
      <c r="E2509">
        <v>117</v>
      </c>
      <c r="F2509" t="s">
        <v>14</v>
      </c>
      <c r="H2509">
        <v>0</v>
      </c>
    </row>
    <row r="2510" spans="1:9" x14ac:dyDescent="0.2">
      <c r="A2510" t="str">
        <f t="shared" si="286"/>
        <v>38231Tiahura18118Autres</v>
      </c>
      <c r="B2510" s="1">
        <v>38231</v>
      </c>
      <c r="C2510" t="s">
        <v>24</v>
      </c>
      <c r="D2510" s="19">
        <v>18</v>
      </c>
      <c r="E2510">
        <v>118</v>
      </c>
      <c r="F2510" t="s">
        <v>14</v>
      </c>
      <c r="H2510">
        <v>0</v>
      </c>
    </row>
    <row r="2511" spans="1:9" x14ac:dyDescent="0.2">
      <c r="A2511" t="str">
        <f t="shared" si="286"/>
        <v>38231Tiahura18119Autres</v>
      </c>
      <c r="B2511" s="1">
        <v>38231</v>
      </c>
      <c r="C2511" t="s">
        <v>24</v>
      </c>
      <c r="D2511" s="19">
        <v>18</v>
      </c>
      <c r="E2511">
        <v>119</v>
      </c>
      <c r="F2511" t="s">
        <v>14</v>
      </c>
      <c r="H2511">
        <v>0</v>
      </c>
    </row>
    <row r="2512" spans="1:9" x14ac:dyDescent="0.2">
      <c r="A2512" t="str">
        <f t="shared" si="286"/>
        <v>38231Tiahura18120Autres</v>
      </c>
      <c r="B2512" s="1">
        <v>38231</v>
      </c>
      <c r="C2512" t="s">
        <v>24</v>
      </c>
      <c r="D2512" s="19">
        <v>18</v>
      </c>
      <c r="E2512">
        <v>120</v>
      </c>
      <c r="F2512" t="s">
        <v>14</v>
      </c>
      <c r="H2512">
        <v>0</v>
      </c>
    </row>
    <row r="2513" spans="1:9" x14ac:dyDescent="0.2">
      <c r="A2513" t="str">
        <f t="shared" si="286"/>
        <v>38231Haapiti6121Autres</v>
      </c>
      <c r="B2513" s="1">
        <v>38231</v>
      </c>
      <c r="C2513" t="s">
        <v>25</v>
      </c>
      <c r="D2513" s="19">
        <v>6</v>
      </c>
      <c r="E2513">
        <v>121</v>
      </c>
      <c r="F2513" t="s">
        <v>14</v>
      </c>
      <c r="H2513">
        <v>0</v>
      </c>
    </row>
    <row r="2514" spans="1:9" x14ac:dyDescent="0.2">
      <c r="A2514" t="str">
        <f t="shared" si="286"/>
        <v>38231Haapiti6122Autres</v>
      </c>
      <c r="B2514" s="1">
        <v>38231</v>
      </c>
      <c r="C2514" t="s">
        <v>25</v>
      </c>
      <c r="D2514" s="19">
        <v>6</v>
      </c>
      <c r="E2514">
        <v>122</v>
      </c>
      <c r="F2514" t="s">
        <v>14</v>
      </c>
      <c r="H2514">
        <v>0</v>
      </c>
    </row>
    <row r="2515" spans="1:9" x14ac:dyDescent="0.2">
      <c r="A2515" t="str">
        <f t="shared" si="286"/>
        <v>38231Haapiti6123Autres</v>
      </c>
      <c r="B2515" s="1">
        <v>38231</v>
      </c>
      <c r="C2515" t="s">
        <v>25</v>
      </c>
      <c r="D2515" s="19">
        <v>6</v>
      </c>
      <c r="E2515">
        <v>123</v>
      </c>
      <c r="F2515" t="s">
        <v>14</v>
      </c>
      <c r="H2515">
        <v>0</v>
      </c>
    </row>
    <row r="2516" spans="1:9" x14ac:dyDescent="0.2">
      <c r="A2516" t="str">
        <f t="shared" si="286"/>
        <v>38231Haapiti6124Autres</v>
      </c>
      <c r="B2516" s="1">
        <v>38231</v>
      </c>
      <c r="C2516" t="s">
        <v>25</v>
      </c>
      <c r="D2516" s="19">
        <v>6</v>
      </c>
      <c r="E2516">
        <v>124</v>
      </c>
      <c r="F2516" t="s">
        <v>14</v>
      </c>
      <c r="H2516">
        <v>0</v>
      </c>
    </row>
    <row r="2517" spans="1:9" x14ac:dyDescent="0.2">
      <c r="A2517" t="str">
        <f t="shared" si="286"/>
        <v>38231Haapiti6125</v>
      </c>
      <c r="B2517" s="1">
        <v>38231</v>
      </c>
      <c r="C2517" t="s">
        <v>25</v>
      </c>
      <c r="D2517" s="19">
        <v>6</v>
      </c>
      <c r="E2517">
        <v>125</v>
      </c>
      <c r="G2517" t="s">
        <v>27</v>
      </c>
      <c r="H2517" t="s">
        <v>27</v>
      </c>
      <c r="I2517" t="s">
        <v>31</v>
      </c>
    </row>
    <row r="2518" spans="1:9" x14ac:dyDescent="0.2">
      <c r="A2518" t="str">
        <f t="shared" si="286"/>
        <v>38231Haapiti6126</v>
      </c>
      <c r="B2518" s="1">
        <v>38231</v>
      </c>
      <c r="C2518" t="s">
        <v>25</v>
      </c>
      <c r="D2518" s="19">
        <v>6</v>
      </c>
      <c r="E2518">
        <v>126</v>
      </c>
      <c r="G2518" t="s">
        <v>27</v>
      </c>
      <c r="H2518" t="s">
        <v>27</v>
      </c>
      <c r="I2518" t="s">
        <v>31</v>
      </c>
    </row>
    <row r="2519" spans="1:9" x14ac:dyDescent="0.2">
      <c r="A2519" t="str">
        <f t="shared" si="286"/>
        <v>38231Haapiti6127Autres</v>
      </c>
      <c r="B2519" s="1">
        <v>38231</v>
      </c>
      <c r="C2519" t="s">
        <v>25</v>
      </c>
      <c r="D2519" s="19">
        <v>6</v>
      </c>
      <c r="E2519">
        <v>127</v>
      </c>
      <c r="F2519" t="s">
        <v>14</v>
      </c>
      <c r="H2519">
        <v>0</v>
      </c>
    </row>
    <row r="2520" spans="1:9" x14ac:dyDescent="0.2">
      <c r="A2520" t="str">
        <f t="shared" si="286"/>
        <v>38231Haapiti6128Autres</v>
      </c>
      <c r="B2520" s="1">
        <v>38231</v>
      </c>
      <c r="C2520" t="s">
        <v>25</v>
      </c>
      <c r="D2520" s="19">
        <v>6</v>
      </c>
      <c r="E2520">
        <v>128</v>
      </c>
      <c r="F2520" t="s">
        <v>14</v>
      </c>
      <c r="H2520">
        <v>0</v>
      </c>
    </row>
    <row r="2521" spans="1:9" x14ac:dyDescent="0.2">
      <c r="A2521" t="str">
        <f t="shared" si="286"/>
        <v>38231Haapiti6129Autres</v>
      </c>
      <c r="B2521" s="1">
        <v>38231</v>
      </c>
      <c r="C2521" t="s">
        <v>25</v>
      </c>
      <c r="D2521" s="19">
        <v>6</v>
      </c>
      <c r="E2521">
        <v>129</v>
      </c>
      <c r="F2521" t="s">
        <v>14</v>
      </c>
      <c r="H2521">
        <v>0</v>
      </c>
    </row>
    <row r="2522" spans="1:9" x14ac:dyDescent="0.2">
      <c r="A2522" t="str">
        <f t="shared" si="286"/>
        <v>38231Haapiti6130Autres</v>
      </c>
      <c r="B2522" s="1">
        <v>38231</v>
      </c>
      <c r="C2522" t="s">
        <v>25</v>
      </c>
      <c r="D2522" s="19">
        <v>6</v>
      </c>
      <c r="E2522">
        <v>130</v>
      </c>
      <c r="F2522" t="s">
        <v>14</v>
      </c>
      <c r="H2522">
        <v>0</v>
      </c>
    </row>
    <row r="2523" spans="1:9" x14ac:dyDescent="0.2">
      <c r="A2523" t="str">
        <f t="shared" si="286"/>
        <v>38231Haapiti6131Autres</v>
      </c>
      <c r="B2523" s="1">
        <v>38231</v>
      </c>
      <c r="C2523" t="s">
        <v>25</v>
      </c>
      <c r="D2523" s="19">
        <v>6</v>
      </c>
      <c r="E2523">
        <v>131</v>
      </c>
      <c r="F2523" t="s">
        <v>14</v>
      </c>
      <c r="H2523">
        <v>0</v>
      </c>
    </row>
    <row r="2524" spans="1:9" x14ac:dyDescent="0.2">
      <c r="A2524" t="str">
        <f t="shared" si="286"/>
        <v>38231Haapiti6132PocilloporidaeDessus</v>
      </c>
      <c r="B2524" s="1">
        <v>38231</v>
      </c>
      <c r="C2524" t="s">
        <v>25</v>
      </c>
      <c r="D2524" s="19">
        <v>6</v>
      </c>
      <c r="E2524">
        <v>132</v>
      </c>
      <c r="F2524" t="s">
        <v>10</v>
      </c>
      <c r="G2524" t="s">
        <v>11</v>
      </c>
      <c r="H2524">
        <v>1</v>
      </c>
      <c r="I2524" t="s">
        <v>27</v>
      </c>
    </row>
    <row r="2525" spans="1:9" x14ac:dyDescent="0.2">
      <c r="A2525" t="str">
        <f t="shared" si="286"/>
        <v>38231Haapiti6133Autres</v>
      </c>
      <c r="B2525" s="1">
        <v>38231</v>
      </c>
      <c r="C2525" t="s">
        <v>25</v>
      </c>
      <c r="D2525" s="19">
        <v>6</v>
      </c>
      <c r="E2525">
        <v>133</v>
      </c>
      <c r="F2525" t="s">
        <v>14</v>
      </c>
      <c r="H2525">
        <v>0</v>
      </c>
    </row>
    <row r="2526" spans="1:9" x14ac:dyDescent="0.2">
      <c r="A2526" t="str">
        <f t="shared" si="286"/>
        <v>38231Haapiti6134Autres</v>
      </c>
      <c r="B2526" s="1">
        <v>38231</v>
      </c>
      <c r="C2526" t="s">
        <v>25</v>
      </c>
      <c r="D2526" s="19">
        <v>6</v>
      </c>
      <c r="E2526">
        <v>134</v>
      </c>
      <c r="F2526" t="s">
        <v>14</v>
      </c>
      <c r="H2526">
        <v>0</v>
      </c>
    </row>
    <row r="2527" spans="1:9" x14ac:dyDescent="0.2">
      <c r="A2527" t="str">
        <f t="shared" si="286"/>
        <v>38231Haapiti6135</v>
      </c>
      <c r="B2527" s="1">
        <v>38231</v>
      </c>
      <c r="C2527" t="s">
        <v>25</v>
      </c>
      <c r="D2527" s="19">
        <v>6</v>
      </c>
      <c r="E2527">
        <v>135</v>
      </c>
      <c r="F2527" t="s">
        <v>27</v>
      </c>
      <c r="G2527" t="s">
        <v>27</v>
      </c>
      <c r="H2527" t="s">
        <v>27</v>
      </c>
      <c r="I2527" t="s">
        <v>31</v>
      </c>
    </row>
    <row r="2528" spans="1:9" x14ac:dyDescent="0.2">
      <c r="A2528" t="str">
        <f t="shared" si="286"/>
        <v>38231Haapiti6136</v>
      </c>
      <c r="B2528" s="1">
        <v>38231</v>
      </c>
      <c r="C2528" t="s">
        <v>25</v>
      </c>
      <c r="D2528" s="19">
        <v>6</v>
      </c>
      <c r="E2528">
        <v>136</v>
      </c>
      <c r="F2528" t="s">
        <v>27</v>
      </c>
      <c r="G2528" t="s">
        <v>27</v>
      </c>
      <c r="H2528" t="s">
        <v>27</v>
      </c>
      <c r="I2528" t="s">
        <v>31</v>
      </c>
    </row>
    <row r="2529" spans="1:9" x14ac:dyDescent="0.2">
      <c r="A2529" t="str">
        <f t="shared" si="286"/>
        <v>38231Haapiti6137Autres</v>
      </c>
      <c r="B2529" s="1">
        <v>38231</v>
      </c>
      <c r="C2529" t="s">
        <v>25</v>
      </c>
      <c r="D2529" s="19">
        <v>6</v>
      </c>
      <c r="E2529">
        <v>137</v>
      </c>
      <c r="F2529" t="s">
        <v>14</v>
      </c>
      <c r="H2529">
        <v>0</v>
      </c>
    </row>
    <row r="2530" spans="1:9" x14ac:dyDescent="0.2">
      <c r="A2530" t="str">
        <f t="shared" si="286"/>
        <v>38231Haapiti6138Autres</v>
      </c>
      <c r="B2530" s="1">
        <v>38231</v>
      </c>
      <c r="C2530" t="s">
        <v>25</v>
      </c>
      <c r="D2530" s="19">
        <v>6</v>
      </c>
      <c r="E2530">
        <v>138</v>
      </c>
      <c r="F2530" t="s">
        <v>14</v>
      </c>
      <c r="H2530">
        <v>0</v>
      </c>
    </row>
    <row r="2531" spans="1:9" x14ac:dyDescent="0.2">
      <c r="A2531" t="str">
        <f t="shared" si="286"/>
        <v>38231Haapiti6139Autres</v>
      </c>
      <c r="B2531" s="1">
        <v>38231</v>
      </c>
      <c r="C2531" t="s">
        <v>25</v>
      </c>
      <c r="D2531" s="19">
        <v>6</v>
      </c>
      <c r="E2531">
        <v>139</v>
      </c>
      <c r="F2531" t="s">
        <v>14</v>
      </c>
      <c r="H2531">
        <v>0</v>
      </c>
    </row>
    <row r="2532" spans="1:9" x14ac:dyDescent="0.2">
      <c r="A2532" t="str">
        <f t="shared" si="286"/>
        <v>38231Haapiti6140Autres</v>
      </c>
      <c r="B2532" s="1">
        <v>38231</v>
      </c>
      <c r="C2532" t="s">
        <v>25</v>
      </c>
      <c r="D2532" s="19">
        <v>6</v>
      </c>
      <c r="E2532">
        <v>140</v>
      </c>
      <c r="F2532" t="s">
        <v>14</v>
      </c>
      <c r="H2532">
        <v>0</v>
      </c>
    </row>
    <row r="2533" spans="1:9" x14ac:dyDescent="0.2">
      <c r="A2533" t="str">
        <f t="shared" si="286"/>
        <v>38231Haapiti12141Autres</v>
      </c>
      <c r="B2533" s="1">
        <v>38231</v>
      </c>
      <c r="C2533" t="s">
        <v>25</v>
      </c>
      <c r="D2533" s="19">
        <v>12</v>
      </c>
      <c r="E2533">
        <v>141</v>
      </c>
      <c r="F2533" t="s">
        <v>14</v>
      </c>
      <c r="H2533">
        <v>0</v>
      </c>
    </row>
    <row r="2534" spans="1:9" x14ac:dyDescent="0.2">
      <c r="A2534" t="str">
        <f t="shared" si="286"/>
        <v>38231Haapiti12142Autres</v>
      </c>
      <c r="B2534" s="1">
        <v>38231</v>
      </c>
      <c r="C2534" t="s">
        <v>25</v>
      </c>
      <c r="D2534" s="19">
        <v>12</v>
      </c>
      <c r="E2534">
        <v>142</v>
      </c>
      <c r="F2534" t="s">
        <v>14</v>
      </c>
      <c r="H2534">
        <v>0</v>
      </c>
    </row>
    <row r="2535" spans="1:9" x14ac:dyDescent="0.2">
      <c r="A2535" t="str">
        <f t="shared" si="286"/>
        <v>38231Haapiti12143Autres</v>
      </c>
      <c r="B2535" s="1">
        <v>38231</v>
      </c>
      <c r="C2535" t="s">
        <v>25</v>
      </c>
      <c r="D2535" s="19">
        <v>12</v>
      </c>
      <c r="E2535">
        <v>143</v>
      </c>
      <c r="F2535" t="s">
        <v>14</v>
      </c>
      <c r="H2535">
        <v>0</v>
      </c>
    </row>
    <row r="2536" spans="1:9" x14ac:dyDescent="0.2">
      <c r="A2536" t="str">
        <f t="shared" si="286"/>
        <v>38231Haapiti12144Autres</v>
      </c>
      <c r="B2536" s="1">
        <v>38231</v>
      </c>
      <c r="C2536" t="s">
        <v>25</v>
      </c>
      <c r="D2536" s="19">
        <v>12</v>
      </c>
      <c r="E2536">
        <v>144</v>
      </c>
      <c r="F2536" t="s">
        <v>14</v>
      </c>
      <c r="H2536">
        <v>0</v>
      </c>
    </row>
    <row r="2537" spans="1:9" x14ac:dyDescent="0.2">
      <c r="A2537" t="str">
        <f t="shared" si="286"/>
        <v>38231Haapiti12145</v>
      </c>
      <c r="B2537" s="1">
        <v>38231</v>
      </c>
      <c r="C2537" t="s">
        <v>25</v>
      </c>
      <c r="D2537" s="19">
        <v>12</v>
      </c>
      <c r="E2537">
        <v>145</v>
      </c>
      <c r="F2537" t="s">
        <v>27</v>
      </c>
      <c r="G2537" t="s">
        <v>27</v>
      </c>
      <c r="H2537" t="s">
        <v>27</v>
      </c>
      <c r="I2537" t="s">
        <v>31</v>
      </c>
    </row>
    <row r="2538" spans="1:9" x14ac:dyDescent="0.2">
      <c r="A2538" t="str">
        <f t="shared" si="286"/>
        <v>38231Haapiti12146</v>
      </c>
      <c r="B2538" s="1">
        <v>38231</v>
      </c>
      <c r="C2538" t="s">
        <v>25</v>
      </c>
      <c r="D2538" s="19">
        <v>12</v>
      </c>
      <c r="E2538">
        <v>146</v>
      </c>
      <c r="F2538" t="s">
        <v>27</v>
      </c>
      <c r="G2538" t="s">
        <v>27</v>
      </c>
      <c r="H2538" t="s">
        <v>27</v>
      </c>
      <c r="I2538" t="s">
        <v>31</v>
      </c>
    </row>
    <row r="2539" spans="1:9" x14ac:dyDescent="0.2">
      <c r="A2539" t="str">
        <f t="shared" si="286"/>
        <v>38231Haapiti12147CassésDessus</v>
      </c>
      <c r="B2539" s="1">
        <v>38231</v>
      </c>
      <c r="C2539" t="s">
        <v>25</v>
      </c>
      <c r="D2539" s="19">
        <v>12</v>
      </c>
      <c r="E2539">
        <v>147</v>
      </c>
      <c r="F2539" t="s">
        <v>12</v>
      </c>
      <c r="G2539" t="s">
        <v>11</v>
      </c>
      <c r="H2539">
        <v>1</v>
      </c>
      <c r="I2539" t="s">
        <v>27</v>
      </c>
    </row>
    <row r="2540" spans="1:9" x14ac:dyDescent="0.2">
      <c r="A2540" t="str">
        <f t="shared" si="286"/>
        <v>38231Haapiti12148Autres</v>
      </c>
      <c r="B2540" s="1">
        <v>38231</v>
      </c>
      <c r="C2540" t="s">
        <v>25</v>
      </c>
      <c r="D2540" s="19">
        <v>12</v>
      </c>
      <c r="E2540">
        <v>148</v>
      </c>
      <c r="F2540" t="s">
        <v>14</v>
      </c>
      <c r="H2540">
        <v>0</v>
      </c>
    </row>
    <row r="2541" spans="1:9" x14ac:dyDescent="0.2">
      <c r="A2541" t="str">
        <f t="shared" si="286"/>
        <v>38231Haapiti12149Autres</v>
      </c>
      <c r="B2541" s="1">
        <v>38231</v>
      </c>
      <c r="C2541" t="s">
        <v>25</v>
      </c>
      <c r="D2541" s="19">
        <v>12</v>
      </c>
      <c r="E2541">
        <v>149</v>
      </c>
      <c r="F2541" t="s">
        <v>14</v>
      </c>
      <c r="H2541">
        <v>0</v>
      </c>
    </row>
    <row r="2542" spans="1:9" x14ac:dyDescent="0.2">
      <c r="A2542" t="str">
        <f t="shared" si="286"/>
        <v>38231Haapiti12150Autres</v>
      </c>
      <c r="B2542" s="1">
        <v>38231</v>
      </c>
      <c r="C2542" t="s">
        <v>25</v>
      </c>
      <c r="D2542" s="19">
        <v>12</v>
      </c>
      <c r="E2542">
        <v>150</v>
      </c>
      <c r="F2542" t="s">
        <v>14</v>
      </c>
      <c r="H2542">
        <v>0</v>
      </c>
    </row>
    <row r="2543" spans="1:9" x14ac:dyDescent="0.2">
      <c r="A2543" t="str">
        <f t="shared" si="286"/>
        <v>38231Haapiti12151Autres</v>
      </c>
      <c r="B2543" s="1">
        <v>38231</v>
      </c>
      <c r="C2543" t="s">
        <v>25</v>
      </c>
      <c r="D2543" s="19">
        <v>12</v>
      </c>
      <c r="E2543">
        <v>151</v>
      </c>
      <c r="F2543" t="s">
        <v>14</v>
      </c>
      <c r="H2543">
        <v>0</v>
      </c>
    </row>
    <row r="2544" spans="1:9" x14ac:dyDescent="0.2">
      <c r="A2544" t="str">
        <f t="shared" si="286"/>
        <v>38231Haapiti12152PoritidaeDessous</v>
      </c>
      <c r="B2544" s="1">
        <v>38231</v>
      </c>
      <c r="C2544" t="s">
        <v>25</v>
      </c>
      <c r="D2544" s="19">
        <v>12</v>
      </c>
      <c r="E2544">
        <v>152</v>
      </c>
      <c r="F2544" t="s">
        <v>7</v>
      </c>
      <c r="G2544" t="s">
        <v>8</v>
      </c>
      <c r="H2544">
        <v>1</v>
      </c>
      <c r="I2544" t="s">
        <v>27</v>
      </c>
    </row>
    <row r="2545" spans="1:9" x14ac:dyDescent="0.2">
      <c r="A2545" t="str">
        <f t="shared" si="286"/>
        <v>38231Haapiti12153Autres</v>
      </c>
      <c r="B2545" s="1">
        <v>38231</v>
      </c>
      <c r="C2545" t="s">
        <v>25</v>
      </c>
      <c r="D2545" s="19">
        <v>12</v>
      </c>
      <c r="E2545">
        <v>153</v>
      </c>
      <c r="F2545" t="s">
        <v>14</v>
      </c>
      <c r="H2545">
        <v>0</v>
      </c>
    </row>
    <row r="2546" spans="1:9" x14ac:dyDescent="0.2">
      <c r="A2546" t="str">
        <f t="shared" si="286"/>
        <v>38231Haapiti12154Autres</v>
      </c>
      <c r="B2546" s="1">
        <v>38231</v>
      </c>
      <c r="C2546" t="s">
        <v>25</v>
      </c>
      <c r="D2546" s="19">
        <v>12</v>
      </c>
      <c r="E2546">
        <v>154</v>
      </c>
      <c r="F2546" t="s">
        <v>14</v>
      </c>
      <c r="H2546">
        <v>0</v>
      </c>
    </row>
    <row r="2547" spans="1:9" x14ac:dyDescent="0.2">
      <c r="A2547" t="str">
        <f t="shared" si="286"/>
        <v>38231Haapiti12155</v>
      </c>
      <c r="B2547" s="1">
        <v>38231</v>
      </c>
      <c r="C2547" t="s">
        <v>25</v>
      </c>
      <c r="D2547" s="19">
        <v>12</v>
      </c>
      <c r="E2547">
        <v>155</v>
      </c>
      <c r="F2547" t="s">
        <v>27</v>
      </c>
      <c r="G2547" t="s">
        <v>27</v>
      </c>
      <c r="H2547" t="s">
        <v>27</v>
      </c>
      <c r="I2547" t="s">
        <v>31</v>
      </c>
    </row>
    <row r="2548" spans="1:9" x14ac:dyDescent="0.2">
      <c r="A2548" t="str">
        <f t="shared" si="286"/>
        <v>38231Haapiti12156</v>
      </c>
      <c r="B2548" s="1">
        <v>38231</v>
      </c>
      <c r="C2548" t="s">
        <v>25</v>
      </c>
      <c r="D2548" s="19">
        <v>12</v>
      </c>
      <c r="E2548">
        <v>156</v>
      </c>
      <c r="F2548" t="s">
        <v>27</v>
      </c>
      <c r="G2548" t="s">
        <v>27</v>
      </c>
      <c r="H2548" t="s">
        <v>27</v>
      </c>
      <c r="I2548" t="s">
        <v>31</v>
      </c>
    </row>
    <row r="2549" spans="1:9" x14ac:dyDescent="0.2">
      <c r="A2549" t="str">
        <f t="shared" si="286"/>
        <v>38231Haapiti12157PoritidaeDessous</v>
      </c>
      <c r="B2549" s="1">
        <v>38231</v>
      </c>
      <c r="C2549" t="s">
        <v>25</v>
      </c>
      <c r="D2549" s="19">
        <v>12</v>
      </c>
      <c r="E2549">
        <v>157</v>
      </c>
      <c r="F2549" t="s">
        <v>7</v>
      </c>
      <c r="G2549" t="s">
        <v>8</v>
      </c>
      <c r="H2549">
        <v>1</v>
      </c>
      <c r="I2549" t="s">
        <v>27</v>
      </c>
    </row>
    <row r="2550" spans="1:9" x14ac:dyDescent="0.2">
      <c r="A2550" t="str">
        <f t="shared" si="286"/>
        <v>38231Haapiti12158Autres</v>
      </c>
      <c r="B2550" s="1">
        <v>38231</v>
      </c>
      <c r="C2550" t="s">
        <v>25</v>
      </c>
      <c r="D2550" s="19">
        <v>12</v>
      </c>
      <c r="E2550">
        <v>158</v>
      </c>
      <c r="F2550" t="s">
        <v>14</v>
      </c>
      <c r="H2550">
        <v>0</v>
      </c>
    </row>
    <row r="2551" spans="1:9" x14ac:dyDescent="0.2">
      <c r="A2551" t="str">
        <f t="shared" si="286"/>
        <v>38231Haapiti12159Autres</v>
      </c>
      <c r="B2551" s="1">
        <v>38231</v>
      </c>
      <c r="C2551" t="s">
        <v>25</v>
      </c>
      <c r="D2551" s="19">
        <v>12</v>
      </c>
      <c r="E2551">
        <v>159</v>
      </c>
      <c r="F2551" t="s">
        <v>14</v>
      </c>
      <c r="H2551">
        <v>0</v>
      </c>
    </row>
    <row r="2552" spans="1:9" x14ac:dyDescent="0.2">
      <c r="A2552" t="str">
        <f t="shared" si="286"/>
        <v>38231Haapiti12160Autres</v>
      </c>
      <c r="B2552" s="1">
        <v>38231</v>
      </c>
      <c r="C2552" t="s">
        <v>25</v>
      </c>
      <c r="D2552" s="19">
        <v>12</v>
      </c>
      <c r="E2552">
        <v>160</v>
      </c>
      <c r="F2552" t="s">
        <v>14</v>
      </c>
      <c r="H2552">
        <v>0</v>
      </c>
    </row>
    <row r="2553" spans="1:9" x14ac:dyDescent="0.2">
      <c r="A2553" t="str">
        <f t="shared" si="286"/>
        <v>38231Haapiti18161Autres</v>
      </c>
      <c r="B2553" s="1">
        <v>38231</v>
      </c>
      <c r="C2553" t="s">
        <v>25</v>
      </c>
      <c r="D2553" s="19">
        <v>18</v>
      </c>
      <c r="E2553">
        <v>161</v>
      </c>
      <c r="F2553" t="s">
        <v>14</v>
      </c>
      <c r="H2553">
        <v>0</v>
      </c>
    </row>
    <row r="2554" spans="1:9" x14ac:dyDescent="0.2">
      <c r="A2554" t="str">
        <f t="shared" si="286"/>
        <v>38231Haapiti18162Autres</v>
      </c>
      <c r="B2554" s="1">
        <v>38231</v>
      </c>
      <c r="C2554" t="s">
        <v>25</v>
      </c>
      <c r="D2554" s="19">
        <v>18</v>
      </c>
      <c r="E2554">
        <v>162</v>
      </c>
      <c r="F2554" t="s">
        <v>14</v>
      </c>
      <c r="H2554">
        <v>0</v>
      </c>
    </row>
    <row r="2555" spans="1:9" x14ac:dyDescent="0.2">
      <c r="A2555" s="58" t="str">
        <f t="shared" si="286"/>
        <v>38231Haapiti18163</v>
      </c>
      <c r="B2555" s="59">
        <v>38231</v>
      </c>
      <c r="C2555" s="58" t="s">
        <v>25</v>
      </c>
      <c r="D2555" s="60">
        <v>18</v>
      </c>
      <c r="E2555">
        <v>163</v>
      </c>
      <c r="F2555" s="58" t="s">
        <v>27</v>
      </c>
      <c r="G2555" s="58" t="s">
        <v>27</v>
      </c>
      <c r="H2555" s="58" t="s">
        <v>27</v>
      </c>
      <c r="I2555" s="58" t="s">
        <v>31</v>
      </c>
    </row>
    <row r="2556" spans="1:9" x14ac:dyDescent="0.2">
      <c r="A2556" t="str">
        <f t="shared" si="286"/>
        <v>38231Haapiti18164</v>
      </c>
      <c r="B2556" s="1">
        <v>38231</v>
      </c>
      <c r="C2556" t="s">
        <v>25</v>
      </c>
      <c r="D2556" s="19">
        <v>18</v>
      </c>
      <c r="E2556">
        <v>164</v>
      </c>
      <c r="F2556" t="s">
        <v>27</v>
      </c>
      <c r="G2556" t="s">
        <v>27</v>
      </c>
      <c r="H2556" t="s">
        <v>27</v>
      </c>
      <c r="I2556" t="s">
        <v>31</v>
      </c>
    </row>
    <row r="2557" spans="1:9" x14ac:dyDescent="0.2">
      <c r="A2557" t="str">
        <f t="shared" si="286"/>
        <v>38231Haapiti18165Autres</v>
      </c>
      <c r="B2557" s="1">
        <v>38231</v>
      </c>
      <c r="C2557" t="s">
        <v>25</v>
      </c>
      <c r="D2557" s="19">
        <v>18</v>
      </c>
      <c r="E2557">
        <v>165</v>
      </c>
      <c r="F2557" t="s">
        <v>14</v>
      </c>
      <c r="H2557">
        <v>0</v>
      </c>
    </row>
    <row r="2558" spans="1:9" x14ac:dyDescent="0.2">
      <c r="A2558" t="str">
        <f t="shared" si="286"/>
        <v>38231Haapiti18166Autres</v>
      </c>
      <c r="B2558" s="1">
        <v>38231</v>
      </c>
      <c r="C2558" t="s">
        <v>25</v>
      </c>
      <c r="D2558" s="19">
        <v>18</v>
      </c>
      <c r="E2558">
        <v>166</v>
      </c>
      <c r="F2558" t="s">
        <v>14</v>
      </c>
      <c r="H2558">
        <v>0</v>
      </c>
    </row>
    <row r="2559" spans="1:9" x14ac:dyDescent="0.2">
      <c r="A2559" t="str">
        <f t="shared" ref="A2559:A2622" si="287">B2559 &amp; C2559&amp; D2559&amp; E2559 &amp; F2559 &amp;G2559</f>
        <v>38231Haapiti18167Autres</v>
      </c>
      <c r="B2559" s="1">
        <v>38231</v>
      </c>
      <c r="C2559" t="s">
        <v>25</v>
      </c>
      <c r="D2559" s="19">
        <v>18</v>
      </c>
      <c r="E2559">
        <v>167</v>
      </c>
      <c r="F2559" t="s">
        <v>14</v>
      </c>
      <c r="H2559">
        <v>0</v>
      </c>
    </row>
    <row r="2560" spans="1:9" x14ac:dyDescent="0.2">
      <c r="A2560" t="str">
        <f t="shared" si="287"/>
        <v>38231Haapiti18168Autres</v>
      </c>
      <c r="B2560" s="1">
        <v>38231</v>
      </c>
      <c r="C2560" t="s">
        <v>25</v>
      </c>
      <c r="D2560" s="19">
        <v>18</v>
      </c>
      <c r="E2560">
        <v>168</v>
      </c>
      <c r="F2560" t="s">
        <v>14</v>
      </c>
      <c r="H2560">
        <v>0</v>
      </c>
    </row>
    <row r="2561" spans="1:9" x14ac:dyDescent="0.2">
      <c r="A2561" t="str">
        <f t="shared" si="287"/>
        <v>38231Haapiti18169Autres</v>
      </c>
      <c r="B2561" s="1">
        <v>38231</v>
      </c>
      <c r="C2561" t="s">
        <v>25</v>
      </c>
      <c r="D2561" s="19">
        <v>18</v>
      </c>
      <c r="E2561">
        <v>169</v>
      </c>
      <c r="F2561" t="s">
        <v>14</v>
      </c>
      <c r="H2561">
        <v>0</v>
      </c>
    </row>
    <row r="2562" spans="1:9" x14ac:dyDescent="0.2">
      <c r="A2562" t="str">
        <f t="shared" si="287"/>
        <v>38231Haapiti18170Autres</v>
      </c>
      <c r="B2562" s="1">
        <v>38231</v>
      </c>
      <c r="C2562" t="s">
        <v>25</v>
      </c>
      <c r="D2562" s="19">
        <v>18</v>
      </c>
      <c r="E2562">
        <v>170</v>
      </c>
      <c r="F2562" t="s">
        <v>14</v>
      </c>
      <c r="H2562">
        <v>0</v>
      </c>
    </row>
    <row r="2563" spans="1:9" x14ac:dyDescent="0.2">
      <c r="A2563" t="str">
        <f t="shared" si="287"/>
        <v>38231Haapiti18171AcroporidaeBords</v>
      </c>
      <c r="B2563" s="1">
        <v>38231</v>
      </c>
      <c r="C2563" t="s">
        <v>25</v>
      </c>
      <c r="D2563" s="19">
        <v>18</v>
      </c>
      <c r="E2563">
        <v>171</v>
      </c>
      <c r="F2563" t="s">
        <v>17</v>
      </c>
      <c r="G2563" t="s">
        <v>13</v>
      </c>
      <c r="H2563">
        <v>1</v>
      </c>
      <c r="I2563" t="s">
        <v>27</v>
      </c>
    </row>
    <row r="2564" spans="1:9" x14ac:dyDescent="0.2">
      <c r="A2564" t="str">
        <f t="shared" si="287"/>
        <v>38231Haapiti18172PocilloporidaeBords</v>
      </c>
      <c r="B2564" s="1">
        <v>38231</v>
      </c>
      <c r="C2564" t="s">
        <v>25</v>
      </c>
      <c r="D2564" s="19">
        <v>18</v>
      </c>
      <c r="E2564">
        <v>172</v>
      </c>
      <c r="F2564" t="s">
        <v>10</v>
      </c>
      <c r="G2564" t="s">
        <v>13</v>
      </c>
      <c r="H2564">
        <v>1</v>
      </c>
      <c r="I2564" t="s">
        <v>27</v>
      </c>
    </row>
    <row r="2565" spans="1:9" x14ac:dyDescent="0.2">
      <c r="A2565" t="str">
        <f t="shared" si="287"/>
        <v>38231Haapiti18173Autres</v>
      </c>
      <c r="B2565" s="1">
        <v>38231</v>
      </c>
      <c r="C2565" t="s">
        <v>25</v>
      </c>
      <c r="D2565" s="19">
        <v>18</v>
      </c>
      <c r="E2565">
        <v>173</v>
      </c>
      <c r="F2565" t="s">
        <v>14</v>
      </c>
      <c r="H2565">
        <v>0</v>
      </c>
    </row>
    <row r="2566" spans="1:9" x14ac:dyDescent="0.2">
      <c r="A2566" t="str">
        <f t="shared" si="287"/>
        <v>38231Haapiti18174Autres</v>
      </c>
      <c r="B2566" s="1">
        <v>38231</v>
      </c>
      <c r="C2566" t="s">
        <v>25</v>
      </c>
      <c r="D2566" s="19">
        <v>18</v>
      </c>
      <c r="E2566">
        <v>174</v>
      </c>
      <c r="F2566" t="s">
        <v>14</v>
      </c>
      <c r="H2566">
        <v>0</v>
      </c>
    </row>
    <row r="2567" spans="1:9" x14ac:dyDescent="0.2">
      <c r="A2567" t="str">
        <f t="shared" si="287"/>
        <v>38231Haapiti18175</v>
      </c>
      <c r="B2567" s="1">
        <v>38231</v>
      </c>
      <c r="C2567" t="s">
        <v>25</v>
      </c>
      <c r="D2567" s="19">
        <v>18</v>
      </c>
      <c r="E2567">
        <v>175</v>
      </c>
      <c r="F2567" t="s">
        <v>27</v>
      </c>
      <c r="G2567" t="s">
        <v>27</v>
      </c>
      <c r="H2567" t="s">
        <v>27</v>
      </c>
      <c r="I2567" t="s">
        <v>31</v>
      </c>
    </row>
    <row r="2568" spans="1:9" x14ac:dyDescent="0.2">
      <c r="A2568" t="str">
        <f t="shared" si="287"/>
        <v>38231Haapiti18176</v>
      </c>
      <c r="B2568" s="1">
        <v>38231</v>
      </c>
      <c r="C2568" t="s">
        <v>25</v>
      </c>
      <c r="D2568" s="19">
        <v>18</v>
      </c>
      <c r="E2568">
        <v>176</v>
      </c>
      <c r="F2568" t="s">
        <v>27</v>
      </c>
      <c r="G2568" t="s">
        <v>27</v>
      </c>
      <c r="H2568" t="s">
        <v>27</v>
      </c>
      <c r="I2568" t="s">
        <v>31</v>
      </c>
    </row>
    <row r="2569" spans="1:9" x14ac:dyDescent="0.2">
      <c r="A2569" t="str">
        <f t="shared" si="287"/>
        <v>38231Haapiti18177Autres</v>
      </c>
      <c r="B2569" s="1">
        <v>38231</v>
      </c>
      <c r="C2569" t="s">
        <v>25</v>
      </c>
      <c r="D2569" s="19">
        <v>18</v>
      </c>
      <c r="E2569">
        <v>177</v>
      </c>
      <c r="F2569" t="s">
        <v>14</v>
      </c>
      <c r="H2569">
        <v>0</v>
      </c>
    </row>
    <row r="2570" spans="1:9" x14ac:dyDescent="0.2">
      <c r="A2570" t="str">
        <f t="shared" si="287"/>
        <v>38231Haapiti18178Autres</v>
      </c>
      <c r="B2570" s="1">
        <v>38231</v>
      </c>
      <c r="C2570" t="s">
        <v>25</v>
      </c>
      <c r="D2570" s="19">
        <v>18</v>
      </c>
      <c r="E2570">
        <v>178</v>
      </c>
      <c r="F2570" t="s">
        <v>14</v>
      </c>
      <c r="H2570">
        <v>0</v>
      </c>
    </row>
    <row r="2571" spans="1:9" x14ac:dyDescent="0.2">
      <c r="A2571" t="str">
        <f t="shared" si="287"/>
        <v>38231Haapiti18179AcroporidaeDessus</v>
      </c>
      <c r="B2571" s="1">
        <v>38231</v>
      </c>
      <c r="C2571" t="s">
        <v>25</v>
      </c>
      <c r="D2571" s="19">
        <v>18</v>
      </c>
      <c r="E2571">
        <v>179</v>
      </c>
      <c r="F2571" t="s">
        <v>17</v>
      </c>
      <c r="G2571" t="s">
        <v>11</v>
      </c>
      <c r="H2571">
        <v>1</v>
      </c>
      <c r="I2571" t="s">
        <v>27</v>
      </c>
    </row>
    <row r="2572" spans="1:9" x14ac:dyDescent="0.2">
      <c r="A2572" t="str">
        <f t="shared" si="287"/>
        <v>38231Haapiti18180Autres</v>
      </c>
      <c r="B2572" s="1">
        <v>38231</v>
      </c>
      <c r="C2572" t="s">
        <v>25</v>
      </c>
      <c r="D2572" s="19">
        <v>18</v>
      </c>
      <c r="E2572">
        <v>180</v>
      </c>
      <c r="F2572" t="s">
        <v>14</v>
      </c>
      <c r="H2572">
        <v>0</v>
      </c>
    </row>
    <row r="2573" spans="1:9" x14ac:dyDescent="0.2">
      <c r="A2573" t="str">
        <f t="shared" si="287"/>
        <v>38322Vaipahu61PoritidaeDessous</v>
      </c>
      <c r="B2573" s="1">
        <v>38322</v>
      </c>
      <c r="C2573" t="s">
        <v>23</v>
      </c>
      <c r="D2573" s="19">
        <v>6</v>
      </c>
      <c r="E2573">
        <v>1</v>
      </c>
      <c r="F2573" t="s">
        <v>7</v>
      </c>
      <c r="G2573" t="s">
        <v>8</v>
      </c>
      <c r="H2573">
        <v>1</v>
      </c>
      <c r="I2573" t="s">
        <v>27</v>
      </c>
    </row>
    <row r="2574" spans="1:9" x14ac:dyDescent="0.2">
      <c r="A2574" t="str">
        <f t="shared" si="287"/>
        <v>38322Vaipahu62AcroporidaeDessous</v>
      </c>
      <c r="B2574" s="1">
        <v>38322</v>
      </c>
      <c r="C2574" t="s">
        <v>23</v>
      </c>
      <c r="D2574" s="19">
        <v>6</v>
      </c>
      <c r="E2574">
        <v>2</v>
      </c>
      <c r="F2574" t="s">
        <v>17</v>
      </c>
      <c r="G2574" t="s">
        <v>8</v>
      </c>
      <c r="H2574">
        <v>1</v>
      </c>
      <c r="I2574" t="s">
        <v>27</v>
      </c>
    </row>
    <row r="2575" spans="1:9" x14ac:dyDescent="0.2">
      <c r="A2575" t="str">
        <f t="shared" si="287"/>
        <v>38322Vaipahu62PocilloporidaeDessous</v>
      </c>
      <c r="B2575" s="1">
        <v>38322</v>
      </c>
      <c r="C2575" t="s">
        <v>23</v>
      </c>
      <c r="D2575" s="19">
        <v>6</v>
      </c>
      <c r="E2575">
        <v>2</v>
      </c>
      <c r="F2575" t="s">
        <v>10</v>
      </c>
      <c r="G2575" t="s">
        <v>8</v>
      </c>
      <c r="H2575">
        <v>2</v>
      </c>
      <c r="I2575" t="s">
        <v>27</v>
      </c>
    </row>
    <row r="2576" spans="1:9" x14ac:dyDescent="0.2">
      <c r="A2576" t="str">
        <f t="shared" si="287"/>
        <v>38322Vaipahu63PocilloporidaeBords</v>
      </c>
      <c r="B2576" s="1">
        <v>38322</v>
      </c>
      <c r="C2576" t="s">
        <v>23</v>
      </c>
      <c r="D2576" s="19">
        <v>6</v>
      </c>
      <c r="E2576">
        <v>3</v>
      </c>
      <c r="F2576" t="s">
        <v>10</v>
      </c>
      <c r="G2576" t="s">
        <v>13</v>
      </c>
      <c r="H2576">
        <v>1</v>
      </c>
      <c r="I2576" t="s">
        <v>27</v>
      </c>
    </row>
    <row r="2577" spans="1:9" x14ac:dyDescent="0.2">
      <c r="A2577" t="str">
        <f t="shared" si="287"/>
        <v>38322Vaipahu63PocilloporidaeDessus</v>
      </c>
      <c r="B2577" s="1">
        <v>38322</v>
      </c>
      <c r="C2577" t="s">
        <v>23</v>
      </c>
      <c r="D2577" s="19">
        <v>6</v>
      </c>
      <c r="E2577">
        <v>3</v>
      </c>
      <c r="F2577" t="s">
        <v>10</v>
      </c>
      <c r="G2577" t="s">
        <v>11</v>
      </c>
      <c r="H2577">
        <v>1</v>
      </c>
      <c r="I2577" t="s">
        <v>27</v>
      </c>
    </row>
    <row r="2578" spans="1:9" x14ac:dyDescent="0.2">
      <c r="A2578" t="str">
        <f t="shared" si="287"/>
        <v>38322Vaipahu64PocilloporidaeBords</v>
      </c>
      <c r="B2578" s="1">
        <v>38322</v>
      </c>
      <c r="C2578" t="s">
        <v>23</v>
      </c>
      <c r="D2578" s="19">
        <v>6</v>
      </c>
      <c r="E2578">
        <v>4</v>
      </c>
      <c r="F2578" t="s">
        <v>10</v>
      </c>
      <c r="G2578" t="s">
        <v>13</v>
      </c>
      <c r="H2578">
        <v>1</v>
      </c>
      <c r="I2578" t="s">
        <v>27</v>
      </c>
    </row>
    <row r="2579" spans="1:9" x14ac:dyDescent="0.2">
      <c r="A2579" t="str">
        <f t="shared" si="287"/>
        <v>38322Vaipahu65PocilloporidaeDessous</v>
      </c>
      <c r="B2579" s="1">
        <v>38322</v>
      </c>
      <c r="C2579" t="s">
        <v>23</v>
      </c>
      <c r="D2579" s="19">
        <v>6</v>
      </c>
      <c r="E2579">
        <v>5</v>
      </c>
      <c r="F2579" t="s">
        <v>10</v>
      </c>
      <c r="G2579" t="s">
        <v>8</v>
      </c>
      <c r="H2579">
        <v>2</v>
      </c>
      <c r="I2579" t="s">
        <v>27</v>
      </c>
    </row>
    <row r="2580" spans="1:9" x14ac:dyDescent="0.2">
      <c r="A2580" t="str">
        <f t="shared" si="287"/>
        <v>38322Vaipahu65PoritidaeDessous</v>
      </c>
      <c r="B2580" s="1">
        <v>38322</v>
      </c>
      <c r="C2580" t="s">
        <v>23</v>
      </c>
      <c r="D2580" s="19">
        <v>6</v>
      </c>
      <c r="E2580">
        <v>5</v>
      </c>
      <c r="F2580" t="s">
        <v>7</v>
      </c>
      <c r="G2580" t="s">
        <v>8</v>
      </c>
      <c r="H2580">
        <v>1</v>
      </c>
      <c r="I2580" t="s">
        <v>27</v>
      </c>
    </row>
    <row r="2581" spans="1:9" x14ac:dyDescent="0.2">
      <c r="A2581" t="str">
        <f t="shared" si="287"/>
        <v>38322Vaipahu66PocilloporidaeBords</v>
      </c>
      <c r="B2581" s="1">
        <v>38322</v>
      </c>
      <c r="C2581" t="s">
        <v>23</v>
      </c>
      <c r="D2581" s="19">
        <v>6</v>
      </c>
      <c r="E2581">
        <v>6</v>
      </c>
      <c r="F2581" t="s">
        <v>10</v>
      </c>
      <c r="G2581" t="s">
        <v>13</v>
      </c>
      <c r="H2581">
        <v>1</v>
      </c>
      <c r="I2581" t="s">
        <v>27</v>
      </c>
    </row>
    <row r="2582" spans="1:9" x14ac:dyDescent="0.2">
      <c r="A2582" t="str">
        <f t="shared" si="287"/>
        <v>38322Vaipahu66PocilloporidaeDessous</v>
      </c>
      <c r="B2582" s="1">
        <v>38322</v>
      </c>
      <c r="C2582" t="s">
        <v>23</v>
      </c>
      <c r="D2582" s="19">
        <v>6</v>
      </c>
      <c r="E2582">
        <v>6</v>
      </c>
      <c r="F2582" t="s">
        <v>10</v>
      </c>
      <c r="G2582" t="s">
        <v>8</v>
      </c>
      <c r="H2582">
        <v>1</v>
      </c>
      <c r="I2582" t="s">
        <v>27</v>
      </c>
    </row>
    <row r="2583" spans="1:9" x14ac:dyDescent="0.2">
      <c r="A2583" t="str">
        <f t="shared" si="287"/>
        <v>38322Vaipahu67</v>
      </c>
      <c r="B2583" s="1">
        <v>38322</v>
      </c>
      <c r="C2583" t="s">
        <v>23</v>
      </c>
      <c r="D2583" s="19">
        <v>6</v>
      </c>
      <c r="E2583">
        <v>7</v>
      </c>
      <c r="F2583" t="s">
        <v>27</v>
      </c>
      <c r="G2583" t="s">
        <v>27</v>
      </c>
      <c r="H2583" t="s">
        <v>27</v>
      </c>
      <c r="I2583" t="s">
        <v>31</v>
      </c>
    </row>
    <row r="2584" spans="1:9" x14ac:dyDescent="0.2">
      <c r="A2584" t="str">
        <f t="shared" si="287"/>
        <v>38322Vaipahu68</v>
      </c>
      <c r="B2584" s="1">
        <v>38322</v>
      </c>
      <c r="C2584" t="s">
        <v>23</v>
      </c>
      <c r="D2584" s="19">
        <v>6</v>
      </c>
      <c r="E2584">
        <v>8</v>
      </c>
      <c r="F2584" t="s">
        <v>27</v>
      </c>
      <c r="G2584" t="s">
        <v>27</v>
      </c>
      <c r="H2584" t="s">
        <v>27</v>
      </c>
      <c r="I2584" t="s">
        <v>31</v>
      </c>
    </row>
    <row r="2585" spans="1:9" x14ac:dyDescent="0.2">
      <c r="A2585" t="str">
        <f t="shared" si="287"/>
        <v>38322Vaipahu69</v>
      </c>
      <c r="B2585" s="1">
        <v>38322</v>
      </c>
      <c r="C2585" t="s">
        <v>23</v>
      </c>
      <c r="D2585" s="19">
        <v>6</v>
      </c>
      <c r="E2585">
        <v>9</v>
      </c>
      <c r="F2585" t="s">
        <v>27</v>
      </c>
      <c r="G2585" t="s">
        <v>27</v>
      </c>
      <c r="H2585" t="s">
        <v>27</v>
      </c>
      <c r="I2585" t="s">
        <v>31</v>
      </c>
    </row>
    <row r="2586" spans="1:9" x14ac:dyDescent="0.2">
      <c r="A2586" t="str">
        <f t="shared" si="287"/>
        <v>38322Vaipahu610</v>
      </c>
      <c r="B2586" s="1">
        <v>38322</v>
      </c>
      <c r="C2586" t="s">
        <v>23</v>
      </c>
      <c r="D2586" s="19">
        <v>6</v>
      </c>
      <c r="E2586">
        <v>10</v>
      </c>
      <c r="F2586" t="s">
        <v>27</v>
      </c>
      <c r="G2586" t="s">
        <v>27</v>
      </c>
      <c r="H2586" t="s">
        <v>27</v>
      </c>
      <c r="I2586" t="s">
        <v>31</v>
      </c>
    </row>
    <row r="2587" spans="1:9" x14ac:dyDescent="0.2">
      <c r="A2587" t="str">
        <f t="shared" si="287"/>
        <v>38322Vaipahu611</v>
      </c>
      <c r="B2587" s="1">
        <v>38322</v>
      </c>
      <c r="C2587" t="s">
        <v>23</v>
      </c>
      <c r="D2587" s="19">
        <v>6</v>
      </c>
      <c r="E2587">
        <v>11</v>
      </c>
      <c r="F2587" t="s">
        <v>27</v>
      </c>
      <c r="G2587" t="s">
        <v>27</v>
      </c>
      <c r="H2587" t="s">
        <v>27</v>
      </c>
      <c r="I2587" t="s">
        <v>31</v>
      </c>
    </row>
    <row r="2588" spans="1:9" x14ac:dyDescent="0.2">
      <c r="A2588" t="str">
        <f t="shared" si="287"/>
        <v>38322Vaipahu612</v>
      </c>
      <c r="B2588" s="1">
        <v>38322</v>
      </c>
      <c r="C2588" t="s">
        <v>23</v>
      </c>
      <c r="D2588" s="19">
        <v>6</v>
      </c>
      <c r="E2588">
        <v>12</v>
      </c>
      <c r="F2588" t="s">
        <v>27</v>
      </c>
      <c r="G2588" t="s">
        <v>27</v>
      </c>
      <c r="H2588" t="s">
        <v>27</v>
      </c>
      <c r="I2588" t="s">
        <v>31</v>
      </c>
    </row>
    <row r="2589" spans="1:9" x14ac:dyDescent="0.2">
      <c r="A2589" t="str">
        <f t="shared" si="287"/>
        <v>38322Vaipahu613</v>
      </c>
      <c r="B2589" s="1">
        <v>38322</v>
      </c>
      <c r="C2589" t="s">
        <v>23</v>
      </c>
      <c r="D2589" s="19">
        <v>6</v>
      </c>
      <c r="E2589">
        <v>13</v>
      </c>
      <c r="F2589" t="s">
        <v>27</v>
      </c>
      <c r="G2589" t="s">
        <v>27</v>
      </c>
      <c r="H2589" t="s">
        <v>27</v>
      </c>
      <c r="I2589" t="s">
        <v>31</v>
      </c>
    </row>
    <row r="2590" spans="1:9" x14ac:dyDescent="0.2">
      <c r="A2590" t="str">
        <f t="shared" si="287"/>
        <v>38322Vaipahu614</v>
      </c>
      <c r="B2590" s="1">
        <v>38322</v>
      </c>
      <c r="C2590" t="s">
        <v>23</v>
      </c>
      <c r="D2590" s="19">
        <v>6</v>
      </c>
      <c r="E2590">
        <v>14</v>
      </c>
      <c r="F2590" t="s">
        <v>27</v>
      </c>
      <c r="G2590" t="s">
        <v>27</v>
      </c>
      <c r="H2590" t="s">
        <v>27</v>
      </c>
      <c r="I2590" t="s">
        <v>31</v>
      </c>
    </row>
    <row r="2591" spans="1:9" x14ac:dyDescent="0.2">
      <c r="A2591" t="str">
        <f t="shared" si="287"/>
        <v>38322Vaipahu615</v>
      </c>
      <c r="B2591" s="1">
        <v>38322</v>
      </c>
      <c r="C2591" t="s">
        <v>23</v>
      </c>
      <c r="D2591" s="19">
        <v>6</v>
      </c>
      <c r="E2591">
        <v>15</v>
      </c>
      <c r="F2591" t="s">
        <v>27</v>
      </c>
      <c r="G2591" t="s">
        <v>27</v>
      </c>
      <c r="H2591" t="s">
        <v>27</v>
      </c>
      <c r="I2591" t="s">
        <v>31</v>
      </c>
    </row>
    <row r="2592" spans="1:9" x14ac:dyDescent="0.2">
      <c r="A2592" t="str">
        <f t="shared" si="287"/>
        <v>38322Vaipahu616</v>
      </c>
      <c r="B2592" s="1">
        <v>38322</v>
      </c>
      <c r="C2592" t="s">
        <v>23</v>
      </c>
      <c r="D2592" s="19">
        <v>6</v>
      </c>
      <c r="E2592">
        <v>16</v>
      </c>
      <c r="F2592" t="s">
        <v>27</v>
      </c>
      <c r="G2592" t="s">
        <v>27</v>
      </c>
      <c r="H2592" t="s">
        <v>27</v>
      </c>
      <c r="I2592" t="s">
        <v>31</v>
      </c>
    </row>
    <row r="2593" spans="1:9" x14ac:dyDescent="0.2">
      <c r="A2593" t="str">
        <f t="shared" si="287"/>
        <v>38322Vaipahu617AcroporidaeBords</v>
      </c>
      <c r="B2593" s="1">
        <v>38322</v>
      </c>
      <c r="C2593" t="s">
        <v>23</v>
      </c>
      <c r="D2593" s="19">
        <v>6</v>
      </c>
      <c r="E2593">
        <v>17</v>
      </c>
      <c r="F2593" t="s">
        <v>17</v>
      </c>
      <c r="G2593" t="s">
        <v>13</v>
      </c>
      <c r="H2593">
        <v>4</v>
      </c>
      <c r="I2593" t="s">
        <v>27</v>
      </c>
    </row>
    <row r="2594" spans="1:9" x14ac:dyDescent="0.2">
      <c r="A2594" t="str">
        <f t="shared" si="287"/>
        <v>38322Vaipahu617CassésDessus</v>
      </c>
      <c r="B2594" s="1">
        <v>38322</v>
      </c>
      <c r="C2594" t="s">
        <v>23</v>
      </c>
      <c r="D2594" s="19">
        <v>6</v>
      </c>
      <c r="E2594">
        <v>17</v>
      </c>
      <c r="F2594" t="s">
        <v>12</v>
      </c>
      <c r="G2594" t="s">
        <v>11</v>
      </c>
      <c r="H2594">
        <v>1</v>
      </c>
      <c r="I2594" t="s">
        <v>27</v>
      </c>
    </row>
    <row r="2595" spans="1:9" x14ac:dyDescent="0.2">
      <c r="A2595" t="str">
        <f t="shared" si="287"/>
        <v>38322Vaipahu617PocilloporidaeBords</v>
      </c>
      <c r="B2595" s="1">
        <v>38322</v>
      </c>
      <c r="C2595" t="s">
        <v>23</v>
      </c>
      <c r="D2595" s="19">
        <v>6</v>
      </c>
      <c r="E2595">
        <v>17</v>
      </c>
      <c r="F2595" t="s">
        <v>10</v>
      </c>
      <c r="G2595" t="s">
        <v>13</v>
      </c>
      <c r="H2595">
        <v>4</v>
      </c>
      <c r="I2595" t="s">
        <v>27</v>
      </c>
    </row>
    <row r="2596" spans="1:9" x14ac:dyDescent="0.2">
      <c r="A2596" t="str">
        <f t="shared" si="287"/>
        <v>38322Vaipahu617PocilloporidaeDessus</v>
      </c>
      <c r="B2596" s="1">
        <v>38322</v>
      </c>
      <c r="C2596" t="s">
        <v>23</v>
      </c>
      <c r="D2596" s="19">
        <v>6</v>
      </c>
      <c r="E2596">
        <v>17</v>
      </c>
      <c r="F2596" t="s">
        <v>10</v>
      </c>
      <c r="G2596" t="s">
        <v>11</v>
      </c>
      <c r="H2596">
        <v>1</v>
      </c>
      <c r="I2596" t="s">
        <v>27</v>
      </c>
    </row>
    <row r="2597" spans="1:9" x14ac:dyDescent="0.2">
      <c r="A2597" t="str">
        <f t="shared" si="287"/>
        <v>38322Vaipahu618AcroporidaeDessous</v>
      </c>
      <c r="B2597" s="1">
        <v>38322</v>
      </c>
      <c r="C2597" t="s">
        <v>23</v>
      </c>
      <c r="D2597" s="19">
        <v>6</v>
      </c>
      <c r="E2597">
        <v>18</v>
      </c>
      <c r="F2597" t="s">
        <v>17</v>
      </c>
      <c r="G2597" t="s">
        <v>8</v>
      </c>
      <c r="H2597">
        <v>1</v>
      </c>
      <c r="I2597" t="s">
        <v>27</v>
      </c>
    </row>
    <row r="2598" spans="1:9" x14ac:dyDescent="0.2">
      <c r="A2598" t="str">
        <f t="shared" si="287"/>
        <v>38322Vaipahu618PocilloporidaeBords</v>
      </c>
      <c r="B2598" s="1">
        <v>38322</v>
      </c>
      <c r="C2598" t="s">
        <v>23</v>
      </c>
      <c r="D2598" s="19">
        <v>6</v>
      </c>
      <c r="E2598">
        <v>18</v>
      </c>
      <c r="F2598" t="s">
        <v>10</v>
      </c>
      <c r="G2598" t="s">
        <v>13</v>
      </c>
      <c r="H2598">
        <v>1</v>
      </c>
      <c r="I2598" t="s">
        <v>27</v>
      </c>
    </row>
    <row r="2599" spans="1:9" x14ac:dyDescent="0.2">
      <c r="A2599" t="str">
        <f t="shared" si="287"/>
        <v>38322Vaipahu619PocilloporidaeDessous</v>
      </c>
      <c r="B2599" s="1">
        <v>38322</v>
      </c>
      <c r="C2599" t="s">
        <v>23</v>
      </c>
      <c r="D2599" s="19">
        <v>6</v>
      </c>
      <c r="E2599">
        <v>19</v>
      </c>
      <c r="F2599" t="s">
        <v>10</v>
      </c>
      <c r="G2599" t="s">
        <v>8</v>
      </c>
      <c r="H2599">
        <v>1</v>
      </c>
      <c r="I2599" t="s">
        <v>27</v>
      </c>
    </row>
    <row r="2600" spans="1:9" x14ac:dyDescent="0.2">
      <c r="A2600" t="str">
        <f t="shared" si="287"/>
        <v>38322Vaipahu620PocilloporidaeDessous</v>
      </c>
      <c r="B2600" s="1">
        <v>38322</v>
      </c>
      <c r="C2600" t="s">
        <v>23</v>
      </c>
      <c r="D2600" s="19">
        <v>6</v>
      </c>
      <c r="E2600">
        <v>20</v>
      </c>
      <c r="F2600" t="s">
        <v>10</v>
      </c>
      <c r="G2600" t="s">
        <v>8</v>
      </c>
      <c r="H2600">
        <v>3</v>
      </c>
      <c r="I2600" t="s">
        <v>27</v>
      </c>
    </row>
    <row r="2601" spans="1:9" x14ac:dyDescent="0.2">
      <c r="A2601" t="str">
        <f t="shared" si="287"/>
        <v>38322Vaipahu620PocilloporidaeDessus</v>
      </c>
      <c r="B2601" s="1">
        <v>38322</v>
      </c>
      <c r="C2601" t="s">
        <v>23</v>
      </c>
      <c r="D2601" s="19">
        <v>6</v>
      </c>
      <c r="E2601">
        <v>20</v>
      </c>
      <c r="F2601" t="s">
        <v>10</v>
      </c>
      <c r="G2601" t="s">
        <v>11</v>
      </c>
      <c r="H2601">
        <v>2</v>
      </c>
      <c r="I2601" t="s">
        <v>27</v>
      </c>
    </row>
    <row r="2602" spans="1:9" x14ac:dyDescent="0.2">
      <c r="A2602" t="str">
        <f t="shared" si="287"/>
        <v>38322Vaipahu1221</v>
      </c>
      <c r="B2602" s="1">
        <v>38322</v>
      </c>
      <c r="C2602" t="s">
        <v>23</v>
      </c>
      <c r="D2602" s="19">
        <v>12</v>
      </c>
      <c r="E2602">
        <v>21</v>
      </c>
      <c r="F2602" t="s">
        <v>27</v>
      </c>
      <c r="G2602" t="s">
        <v>27</v>
      </c>
      <c r="H2602" t="s">
        <v>27</v>
      </c>
      <c r="I2602" t="s">
        <v>31</v>
      </c>
    </row>
    <row r="2603" spans="1:9" x14ac:dyDescent="0.2">
      <c r="A2603" t="str">
        <f t="shared" si="287"/>
        <v>38322Vaipahu1222</v>
      </c>
      <c r="B2603" s="1">
        <v>38322</v>
      </c>
      <c r="C2603" t="s">
        <v>23</v>
      </c>
      <c r="D2603" s="19">
        <v>12</v>
      </c>
      <c r="E2603">
        <v>22</v>
      </c>
      <c r="F2603" t="s">
        <v>27</v>
      </c>
      <c r="G2603" t="s">
        <v>27</v>
      </c>
      <c r="H2603" t="s">
        <v>27</v>
      </c>
      <c r="I2603" t="s">
        <v>31</v>
      </c>
    </row>
    <row r="2604" spans="1:9" x14ac:dyDescent="0.2">
      <c r="A2604" t="str">
        <f t="shared" si="287"/>
        <v>38322Vaipahu1223</v>
      </c>
      <c r="B2604" s="1">
        <v>38322</v>
      </c>
      <c r="C2604" t="s">
        <v>23</v>
      </c>
      <c r="D2604" s="19">
        <v>12</v>
      </c>
      <c r="E2604">
        <v>23</v>
      </c>
      <c r="F2604" t="s">
        <v>27</v>
      </c>
      <c r="G2604" t="s">
        <v>27</v>
      </c>
      <c r="H2604" t="s">
        <v>27</v>
      </c>
      <c r="I2604" t="s">
        <v>31</v>
      </c>
    </row>
    <row r="2605" spans="1:9" x14ac:dyDescent="0.2">
      <c r="A2605" t="str">
        <f t="shared" si="287"/>
        <v>38322Vaipahu1224</v>
      </c>
      <c r="B2605" s="1">
        <v>38322</v>
      </c>
      <c r="C2605" t="s">
        <v>23</v>
      </c>
      <c r="D2605" s="19">
        <v>12</v>
      </c>
      <c r="E2605">
        <v>24</v>
      </c>
      <c r="F2605" t="s">
        <v>27</v>
      </c>
      <c r="G2605" t="s">
        <v>27</v>
      </c>
      <c r="H2605" t="s">
        <v>27</v>
      </c>
      <c r="I2605" t="s">
        <v>31</v>
      </c>
    </row>
    <row r="2606" spans="1:9" x14ac:dyDescent="0.2">
      <c r="A2606" t="str">
        <f t="shared" si="287"/>
        <v>38322Vaipahu1225PoritidaeBords</v>
      </c>
      <c r="B2606" s="1">
        <v>38322</v>
      </c>
      <c r="C2606" t="s">
        <v>23</v>
      </c>
      <c r="D2606" s="19">
        <v>12</v>
      </c>
      <c r="E2606">
        <v>25</v>
      </c>
      <c r="F2606" t="s">
        <v>7</v>
      </c>
      <c r="G2606" t="s">
        <v>13</v>
      </c>
      <c r="H2606">
        <v>1</v>
      </c>
      <c r="I2606" t="s">
        <v>27</v>
      </c>
    </row>
    <row r="2607" spans="1:9" x14ac:dyDescent="0.2">
      <c r="A2607" t="str">
        <f t="shared" si="287"/>
        <v>38322Vaipahu1226PocilloporidaeBords</v>
      </c>
      <c r="B2607" s="1">
        <v>38322</v>
      </c>
      <c r="C2607" t="s">
        <v>23</v>
      </c>
      <c r="D2607" s="19">
        <v>12</v>
      </c>
      <c r="E2607">
        <v>26</v>
      </c>
      <c r="F2607" t="s">
        <v>10</v>
      </c>
      <c r="G2607" t="s">
        <v>13</v>
      </c>
      <c r="H2607">
        <v>1</v>
      </c>
      <c r="I2607" t="s">
        <v>27</v>
      </c>
    </row>
    <row r="2608" spans="1:9" x14ac:dyDescent="0.2">
      <c r="A2608" t="str">
        <f t="shared" si="287"/>
        <v>38322Vaipahu1226PocilloporidaeDessous</v>
      </c>
      <c r="B2608" s="1">
        <v>38322</v>
      </c>
      <c r="C2608" t="s">
        <v>23</v>
      </c>
      <c r="D2608" s="19">
        <v>12</v>
      </c>
      <c r="E2608">
        <v>26</v>
      </c>
      <c r="F2608" t="s">
        <v>10</v>
      </c>
      <c r="G2608" t="s">
        <v>8</v>
      </c>
      <c r="H2608">
        <v>2</v>
      </c>
      <c r="I2608" t="s">
        <v>27</v>
      </c>
    </row>
    <row r="2609" spans="1:9" x14ac:dyDescent="0.2">
      <c r="A2609" t="str">
        <f t="shared" si="287"/>
        <v>38322Vaipahu1226PocilloporidaeDessus</v>
      </c>
      <c r="B2609" s="1">
        <v>38322</v>
      </c>
      <c r="C2609" t="s">
        <v>23</v>
      </c>
      <c r="D2609" s="19">
        <v>12</v>
      </c>
      <c r="E2609">
        <v>26</v>
      </c>
      <c r="F2609" t="s">
        <v>10</v>
      </c>
      <c r="G2609" t="s">
        <v>11</v>
      </c>
      <c r="H2609">
        <v>1</v>
      </c>
      <c r="I2609" t="s">
        <v>27</v>
      </c>
    </row>
    <row r="2610" spans="1:9" x14ac:dyDescent="0.2">
      <c r="A2610" t="str">
        <f t="shared" si="287"/>
        <v>38322Vaipahu1227PocilloporidaeBords</v>
      </c>
      <c r="B2610" s="1">
        <v>38322</v>
      </c>
      <c r="C2610" t="s">
        <v>23</v>
      </c>
      <c r="D2610" s="19">
        <v>12</v>
      </c>
      <c r="E2610">
        <v>27</v>
      </c>
      <c r="F2610" t="s">
        <v>10</v>
      </c>
      <c r="G2610" t="s">
        <v>13</v>
      </c>
      <c r="H2610">
        <v>1</v>
      </c>
      <c r="I2610" t="s">
        <v>27</v>
      </c>
    </row>
    <row r="2611" spans="1:9" x14ac:dyDescent="0.2">
      <c r="A2611" t="str">
        <f t="shared" si="287"/>
        <v>38322Vaipahu1228PocilloporidaeBords</v>
      </c>
      <c r="B2611" s="1">
        <v>38322</v>
      </c>
      <c r="C2611" t="s">
        <v>23</v>
      </c>
      <c r="D2611" s="19">
        <v>12</v>
      </c>
      <c r="E2611">
        <v>28</v>
      </c>
      <c r="F2611" t="s">
        <v>10</v>
      </c>
      <c r="G2611" t="s">
        <v>13</v>
      </c>
      <c r="H2611">
        <v>1</v>
      </c>
      <c r="I2611" t="s">
        <v>27</v>
      </c>
    </row>
    <row r="2612" spans="1:9" x14ac:dyDescent="0.2">
      <c r="A2612" t="str">
        <f t="shared" si="287"/>
        <v>38322Vaipahu1228PoritidaeDessous</v>
      </c>
      <c r="B2612" s="1">
        <v>38322</v>
      </c>
      <c r="C2612" t="s">
        <v>23</v>
      </c>
      <c r="D2612" s="19">
        <v>12</v>
      </c>
      <c r="E2612">
        <v>28</v>
      </c>
      <c r="F2612" t="s">
        <v>7</v>
      </c>
      <c r="G2612" t="s">
        <v>8</v>
      </c>
      <c r="H2612">
        <v>2</v>
      </c>
      <c r="I2612" t="s">
        <v>27</v>
      </c>
    </row>
    <row r="2613" spans="1:9" x14ac:dyDescent="0.2">
      <c r="A2613" t="str">
        <f t="shared" si="287"/>
        <v>38322Vaipahu1229AcroporidaeDessus</v>
      </c>
      <c r="B2613" s="1">
        <v>38322</v>
      </c>
      <c r="C2613" t="s">
        <v>23</v>
      </c>
      <c r="D2613" s="19">
        <v>12</v>
      </c>
      <c r="E2613">
        <v>29</v>
      </c>
      <c r="F2613" t="s">
        <v>17</v>
      </c>
      <c r="G2613" t="s">
        <v>11</v>
      </c>
      <c r="H2613">
        <v>1</v>
      </c>
      <c r="I2613" t="s">
        <v>27</v>
      </c>
    </row>
    <row r="2614" spans="1:9" x14ac:dyDescent="0.2">
      <c r="A2614" t="str">
        <f t="shared" si="287"/>
        <v>38322Vaipahu1229PocilloporidaeDessous</v>
      </c>
      <c r="B2614" s="1">
        <v>38322</v>
      </c>
      <c r="C2614" t="s">
        <v>23</v>
      </c>
      <c r="D2614" s="19">
        <v>12</v>
      </c>
      <c r="E2614">
        <v>29</v>
      </c>
      <c r="F2614" t="s">
        <v>10</v>
      </c>
      <c r="G2614" t="s">
        <v>8</v>
      </c>
      <c r="H2614">
        <v>2</v>
      </c>
      <c r="I2614" t="s">
        <v>27</v>
      </c>
    </row>
    <row r="2615" spans="1:9" x14ac:dyDescent="0.2">
      <c r="A2615" t="str">
        <f t="shared" si="287"/>
        <v>38322Vaipahu1229PocilloporidaeDessus</v>
      </c>
      <c r="B2615" s="1">
        <v>38322</v>
      </c>
      <c r="C2615" t="s">
        <v>23</v>
      </c>
      <c r="D2615" s="19">
        <v>12</v>
      </c>
      <c r="E2615">
        <v>29</v>
      </c>
      <c r="F2615" t="s">
        <v>10</v>
      </c>
      <c r="G2615" t="s">
        <v>11</v>
      </c>
      <c r="H2615">
        <v>1</v>
      </c>
      <c r="I2615" t="s">
        <v>27</v>
      </c>
    </row>
    <row r="2616" spans="1:9" x14ac:dyDescent="0.2">
      <c r="A2616" t="str">
        <f t="shared" si="287"/>
        <v>38322Vaipahu1230AcroporidaeDessus</v>
      </c>
      <c r="B2616" s="1">
        <v>38322</v>
      </c>
      <c r="C2616" t="s">
        <v>23</v>
      </c>
      <c r="D2616" s="19">
        <v>12</v>
      </c>
      <c r="E2616">
        <v>30</v>
      </c>
      <c r="F2616" t="s">
        <v>17</v>
      </c>
      <c r="G2616" t="s">
        <v>11</v>
      </c>
      <c r="H2616">
        <v>1</v>
      </c>
      <c r="I2616" t="s">
        <v>27</v>
      </c>
    </row>
    <row r="2617" spans="1:9" x14ac:dyDescent="0.2">
      <c r="A2617" t="str">
        <f t="shared" si="287"/>
        <v>38322Vaipahu1230PocilloporidaeDessous</v>
      </c>
      <c r="B2617" s="1">
        <v>38322</v>
      </c>
      <c r="C2617" t="s">
        <v>23</v>
      </c>
      <c r="D2617" s="19">
        <v>12</v>
      </c>
      <c r="E2617">
        <v>30</v>
      </c>
      <c r="F2617" t="s">
        <v>10</v>
      </c>
      <c r="G2617" t="s">
        <v>8</v>
      </c>
      <c r="H2617">
        <v>1</v>
      </c>
      <c r="I2617" t="s">
        <v>27</v>
      </c>
    </row>
    <row r="2618" spans="1:9" x14ac:dyDescent="0.2">
      <c r="A2618" t="str">
        <f t="shared" si="287"/>
        <v>38322Vaipahu1231PocilloporidaeDessous</v>
      </c>
      <c r="B2618" s="1">
        <v>38322</v>
      </c>
      <c r="C2618" t="s">
        <v>23</v>
      </c>
      <c r="D2618" s="19">
        <v>12</v>
      </c>
      <c r="E2618">
        <v>31</v>
      </c>
      <c r="F2618" t="s">
        <v>10</v>
      </c>
      <c r="G2618" t="s">
        <v>8</v>
      </c>
      <c r="H2618">
        <v>3</v>
      </c>
      <c r="I2618" t="s">
        <v>27</v>
      </c>
    </row>
    <row r="2619" spans="1:9" x14ac:dyDescent="0.2">
      <c r="A2619" t="str">
        <f t="shared" si="287"/>
        <v>38322Vaipahu1231PoritidaeDessous</v>
      </c>
      <c r="B2619" s="1">
        <v>38322</v>
      </c>
      <c r="C2619" t="s">
        <v>23</v>
      </c>
      <c r="D2619" s="19">
        <v>12</v>
      </c>
      <c r="E2619">
        <v>31</v>
      </c>
      <c r="F2619" t="s">
        <v>7</v>
      </c>
      <c r="G2619" t="s">
        <v>8</v>
      </c>
      <c r="H2619">
        <v>2</v>
      </c>
      <c r="I2619" t="s">
        <v>27</v>
      </c>
    </row>
    <row r="2620" spans="1:9" x14ac:dyDescent="0.2">
      <c r="A2620" t="str">
        <f t="shared" si="287"/>
        <v>38322Vaipahu1232Autres</v>
      </c>
      <c r="B2620" s="1">
        <v>38322</v>
      </c>
      <c r="C2620" t="s">
        <v>23</v>
      </c>
      <c r="D2620" s="19">
        <v>12</v>
      </c>
      <c r="E2620">
        <v>32</v>
      </c>
      <c r="F2620" t="s">
        <v>14</v>
      </c>
      <c r="H2620">
        <v>0</v>
      </c>
    </row>
    <row r="2621" spans="1:9" x14ac:dyDescent="0.2">
      <c r="A2621" t="str">
        <f t="shared" si="287"/>
        <v>38322Vaipahu1233PocilloporidaeDessous</v>
      </c>
      <c r="B2621" s="1">
        <v>38322</v>
      </c>
      <c r="C2621" t="s">
        <v>23</v>
      </c>
      <c r="D2621" s="19">
        <v>12</v>
      </c>
      <c r="E2621">
        <v>33</v>
      </c>
      <c r="F2621" t="s">
        <v>10</v>
      </c>
      <c r="G2621" t="s">
        <v>8</v>
      </c>
      <c r="H2621">
        <v>3</v>
      </c>
      <c r="I2621" t="s">
        <v>27</v>
      </c>
    </row>
    <row r="2622" spans="1:9" x14ac:dyDescent="0.2">
      <c r="A2622" t="str">
        <f t="shared" si="287"/>
        <v>38322Vaipahu1233PoritidaeDessous</v>
      </c>
      <c r="B2622" s="1">
        <v>38322</v>
      </c>
      <c r="C2622" t="s">
        <v>23</v>
      </c>
      <c r="D2622" s="19">
        <v>12</v>
      </c>
      <c r="E2622">
        <v>33</v>
      </c>
      <c r="F2622" t="s">
        <v>7</v>
      </c>
      <c r="G2622" t="s">
        <v>8</v>
      </c>
      <c r="H2622">
        <v>10</v>
      </c>
      <c r="I2622" t="s">
        <v>27</v>
      </c>
    </row>
    <row r="2623" spans="1:9" x14ac:dyDescent="0.2">
      <c r="A2623" t="str">
        <f t="shared" ref="A2623:A2686" si="288">B2623 &amp; C2623&amp; D2623&amp; E2623 &amp; F2623 &amp;G2623</f>
        <v>38322Vaipahu1234Autres</v>
      </c>
      <c r="B2623" s="1">
        <v>38322</v>
      </c>
      <c r="C2623" t="s">
        <v>23</v>
      </c>
      <c r="D2623" s="19">
        <v>12</v>
      </c>
      <c r="E2623">
        <v>34</v>
      </c>
      <c r="F2623" t="s">
        <v>14</v>
      </c>
      <c r="H2623">
        <v>0</v>
      </c>
    </row>
    <row r="2624" spans="1:9" x14ac:dyDescent="0.2">
      <c r="A2624" t="str">
        <f t="shared" si="288"/>
        <v>38322Vaipahu1235</v>
      </c>
      <c r="B2624" s="1">
        <v>38322</v>
      </c>
      <c r="C2624" t="s">
        <v>23</v>
      </c>
      <c r="D2624" s="19">
        <v>12</v>
      </c>
      <c r="E2624">
        <v>35</v>
      </c>
      <c r="F2624" t="s">
        <v>27</v>
      </c>
      <c r="G2624" t="s">
        <v>27</v>
      </c>
      <c r="H2624" t="s">
        <v>27</v>
      </c>
      <c r="I2624" t="s">
        <v>31</v>
      </c>
    </row>
    <row r="2625" spans="1:9" x14ac:dyDescent="0.2">
      <c r="A2625" t="str">
        <f t="shared" si="288"/>
        <v>38322Vaipahu1236</v>
      </c>
      <c r="B2625" s="1">
        <v>38322</v>
      </c>
      <c r="C2625" t="s">
        <v>23</v>
      </c>
      <c r="D2625" s="19">
        <v>12</v>
      </c>
      <c r="E2625">
        <v>36</v>
      </c>
      <c r="F2625" t="s">
        <v>27</v>
      </c>
      <c r="G2625" t="s">
        <v>27</v>
      </c>
      <c r="H2625" t="s">
        <v>27</v>
      </c>
      <c r="I2625" t="s">
        <v>31</v>
      </c>
    </row>
    <row r="2626" spans="1:9" x14ac:dyDescent="0.2">
      <c r="A2626" t="str">
        <f t="shared" si="288"/>
        <v>38322Vaipahu1237</v>
      </c>
      <c r="B2626" s="1">
        <v>38322</v>
      </c>
      <c r="C2626" t="s">
        <v>23</v>
      </c>
      <c r="D2626" s="19">
        <v>12</v>
      </c>
      <c r="E2626">
        <v>37</v>
      </c>
      <c r="F2626" t="s">
        <v>27</v>
      </c>
      <c r="G2626" t="s">
        <v>27</v>
      </c>
      <c r="H2626" t="s">
        <v>27</v>
      </c>
      <c r="I2626" t="s">
        <v>31</v>
      </c>
    </row>
    <row r="2627" spans="1:9" x14ac:dyDescent="0.2">
      <c r="A2627" t="str">
        <f t="shared" si="288"/>
        <v>38322Vaipahu1238</v>
      </c>
      <c r="B2627" s="1">
        <v>38322</v>
      </c>
      <c r="C2627" t="s">
        <v>23</v>
      </c>
      <c r="D2627" s="19">
        <v>12</v>
      </c>
      <c r="E2627">
        <v>38</v>
      </c>
      <c r="F2627" t="s">
        <v>27</v>
      </c>
      <c r="G2627" t="s">
        <v>27</v>
      </c>
      <c r="H2627" t="s">
        <v>27</v>
      </c>
      <c r="I2627" t="s">
        <v>31</v>
      </c>
    </row>
    <row r="2628" spans="1:9" x14ac:dyDescent="0.2">
      <c r="A2628" t="str">
        <f t="shared" si="288"/>
        <v>38322Vaipahu1239</v>
      </c>
      <c r="B2628" s="1">
        <v>38322</v>
      </c>
      <c r="C2628" t="s">
        <v>23</v>
      </c>
      <c r="D2628" s="19">
        <v>12</v>
      </c>
      <c r="E2628">
        <v>39</v>
      </c>
      <c r="F2628" t="s">
        <v>27</v>
      </c>
      <c r="G2628" t="s">
        <v>27</v>
      </c>
      <c r="H2628" t="s">
        <v>27</v>
      </c>
      <c r="I2628" t="s">
        <v>31</v>
      </c>
    </row>
    <row r="2629" spans="1:9" x14ac:dyDescent="0.2">
      <c r="A2629" t="str">
        <f t="shared" si="288"/>
        <v>38322Vaipahu1240</v>
      </c>
      <c r="B2629" s="1">
        <v>38322</v>
      </c>
      <c r="C2629" t="s">
        <v>23</v>
      </c>
      <c r="D2629" s="19">
        <v>12</v>
      </c>
      <c r="E2629">
        <v>40</v>
      </c>
      <c r="F2629" t="s">
        <v>27</v>
      </c>
      <c r="G2629" t="s">
        <v>27</v>
      </c>
      <c r="H2629" t="s">
        <v>27</v>
      </c>
      <c r="I2629" t="s">
        <v>31</v>
      </c>
    </row>
    <row r="2630" spans="1:9" x14ac:dyDescent="0.2">
      <c r="A2630" t="str">
        <f t="shared" si="288"/>
        <v>38322Vaipahu1841PocilloporidaeDessous</v>
      </c>
      <c r="B2630" s="1">
        <v>38322</v>
      </c>
      <c r="C2630" t="s">
        <v>23</v>
      </c>
      <c r="D2630" s="19">
        <v>18</v>
      </c>
      <c r="E2630">
        <v>41</v>
      </c>
      <c r="F2630" t="s">
        <v>10</v>
      </c>
      <c r="G2630" t="s">
        <v>8</v>
      </c>
      <c r="H2630">
        <v>5</v>
      </c>
      <c r="I2630" t="s">
        <v>27</v>
      </c>
    </row>
    <row r="2631" spans="1:9" x14ac:dyDescent="0.2">
      <c r="A2631" t="str">
        <f t="shared" si="288"/>
        <v>38322Vaipahu1842PoritidaeDessous</v>
      </c>
      <c r="B2631" s="1">
        <v>38322</v>
      </c>
      <c r="C2631" t="s">
        <v>23</v>
      </c>
      <c r="D2631" s="19">
        <v>18</v>
      </c>
      <c r="E2631">
        <v>42</v>
      </c>
      <c r="F2631" t="s">
        <v>7</v>
      </c>
      <c r="G2631" t="s">
        <v>8</v>
      </c>
      <c r="H2631">
        <v>1</v>
      </c>
      <c r="I2631" t="s">
        <v>27</v>
      </c>
    </row>
    <row r="2632" spans="1:9" x14ac:dyDescent="0.2">
      <c r="A2632" t="str">
        <f t="shared" si="288"/>
        <v>38322Vaipahu1843Autres</v>
      </c>
      <c r="B2632" s="1">
        <v>38322</v>
      </c>
      <c r="C2632" t="s">
        <v>23</v>
      </c>
      <c r="D2632" s="19">
        <v>18</v>
      </c>
      <c r="E2632">
        <v>43</v>
      </c>
      <c r="F2632" t="s">
        <v>14</v>
      </c>
      <c r="H2632">
        <v>0</v>
      </c>
    </row>
    <row r="2633" spans="1:9" x14ac:dyDescent="0.2">
      <c r="A2633" t="str">
        <f t="shared" si="288"/>
        <v>38322Vaipahu1844PocilloporidaeDessous</v>
      </c>
      <c r="B2633" s="1">
        <v>38322</v>
      </c>
      <c r="C2633" t="s">
        <v>23</v>
      </c>
      <c r="D2633" s="19">
        <v>18</v>
      </c>
      <c r="E2633">
        <v>44</v>
      </c>
      <c r="F2633" t="s">
        <v>10</v>
      </c>
      <c r="G2633" t="s">
        <v>8</v>
      </c>
      <c r="H2633">
        <v>1</v>
      </c>
      <c r="I2633" t="s">
        <v>27</v>
      </c>
    </row>
    <row r="2634" spans="1:9" x14ac:dyDescent="0.2">
      <c r="A2634" t="str">
        <f t="shared" si="288"/>
        <v>38322Vaipahu1845PocilloporidaeDessous</v>
      </c>
      <c r="B2634" s="1">
        <v>38322</v>
      </c>
      <c r="C2634" t="s">
        <v>23</v>
      </c>
      <c r="D2634" s="19">
        <v>18</v>
      </c>
      <c r="E2634">
        <v>45</v>
      </c>
      <c r="F2634" t="s">
        <v>10</v>
      </c>
      <c r="G2634" t="s">
        <v>8</v>
      </c>
      <c r="H2634">
        <v>1</v>
      </c>
      <c r="I2634" t="s">
        <v>27</v>
      </c>
    </row>
    <row r="2635" spans="1:9" x14ac:dyDescent="0.2">
      <c r="A2635" t="str">
        <f t="shared" si="288"/>
        <v>38322Vaipahu1845PoritidaeDessous</v>
      </c>
      <c r="B2635" s="1">
        <v>38322</v>
      </c>
      <c r="C2635" t="s">
        <v>23</v>
      </c>
      <c r="D2635" s="19">
        <v>18</v>
      </c>
      <c r="E2635">
        <v>45</v>
      </c>
      <c r="F2635" t="s">
        <v>7</v>
      </c>
      <c r="G2635" t="s">
        <v>8</v>
      </c>
      <c r="H2635">
        <v>1</v>
      </c>
      <c r="I2635" t="s">
        <v>27</v>
      </c>
    </row>
    <row r="2636" spans="1:9" x14ac:dyDescent="0.2">
      <c r="A2636" t="str">
        <f t="shared" si="288"/>
        <v>38322Vaipahu1846PocilloporidaeBords</v>
      </c>
      <c r="B2636" s="1">
        <v>38322</v>
      </c>
      <c r="C2636" t="s">
        <v>23</v>
      </c>
      <c r="D2636" s="19">
        <v>18</v>
      </c>
      <c r="E2636">
        <v>46</v>
      </c>
      <c r="F2636" t="s">
        <v>10</v>
      </c>
      <c r="G2636" t="s">
        <v>13</v>
      </c>
      <c r="H2636">
        <v>1</v>
      </c>
      <c r="I2636" t="s">
        <v>27</v>
      </c>
    </row>
    <row r="2637" spans="1:9" x14ac:dyDescent="0.2">
      <c r="A2637" t="str">
        <f t="shared" si="288"/>
        <v>38322Vaipahu1847PocilloporidaeDessous</v>
      </c>
      <c r="B2637" s="1">
        <v>38322</v>
      </c>
      <c r="C2637" t="s">
        <v>23</v>
      </c>
      <c r="D2637" s="19">
        <v>18</v>
      </c>
      <c r="E2637">
        <v>47</v>
      </c>
      <c r="F2637" t="s">
        <v>10</v>
      </c>
      <c r="G2637" t="s">
        <v>8</v>
      </c>
      <c r="H2637">
        <v>1</v>
      </c>
      <c r="I2637" t="s">
        <v>27</v>
      </c>
    </row>
    <row r="2638" spans="1:9" x14ac:dyDescent="0.2">
      <c r="A2638" t="str">
        <f t="shared" si="288"/>
        <v>38322Vaipahu1847PoritidaeDessous</v>
      </c>
      <c r="B2638" s="1">
        <v>38322</v>
      </c>
      <c r="C2638" t="s">
        <v>23</v>
      </c>
      <c r="D2638" s="19">
        <v>18</v>
      </c>
      <c r="E2638">
        <v>47</v>
      </c>
      <c r="F2638" t="s">
        <v>7</v>
      </c>
      <c r="G2638" t="s">
        <v>8</v>
      </c>
      <c r="H2638">
        <v>1</v>
      </c>
      <c r="I2638" t="s">
        <v>27</v>
      </c>
    </row>
    <row r="2639" spans="1:9" x14ac:dyDescent="0.2">
      <c r="A2639" t="str">
        <f t="shared" si="288"/>
        <v>38322Vaipahu1848PocilloporidaeDessous</v>
      </c>
      <c r="B2639" s="1">
        <v>38322</v>
      </c>
      <c r="C2639" t="s">
        <v>23</v>
      </c>
      <c r="D2639" s="19">
        <v>18</v>
      </c>
      <c r="E2639">
        <v>48</v>
      </c>
      <c r="F2639" t="s">
        <v>10</v>
      </c>
      <c r="G2639" t="s">
        <v>8</v>
      </c>
      <c r="H2639">
        <v>1</v>
      </c>
      <c r="I2639" t="s">
        <v>27</v>
      </c>
    </row>
    <row r="2640" spans="1:9" x14ac:dyDescent="0.2">
      <c r="A2640" t="str">
        <f t="shared" si="288"/>
        <v>38322Vaipahu1848PoritidaeDessous</v>
      </c>
      <c r="B2640" s="1">
        <v>38322</v>
      </c>
      <c r="C2640" t="s">
        <v>23</v>
      </c>
      <c r="D2640" s="19">
        <v>18</v>
      </c>
      <c r="E2640">
        <v>48</v>
      </c>
      <c r="F2640" t="s">
        <v>7</v>
      </c>
      <c r="G2640" t="s">
        <v>8</v>
      </c>
      <c r="H2640">
        <v>1</v>
      </c>
      <c r="I2640" t="s">
        <v>27</v>
      </c>
    </row>
    <row r="2641" spans="1:9" x14ac:dyDescent="0.2">
      <c r="A2641" t="str">
        <f t="shared" si="288"/>
        <v>38322Vaipahu1849PocilloporidaeBords</v>
      </c>
      <c r="B2641" s="1">
        <v>38322</v>
      </c>
      <c r="C2641" t="s">
        <v>23</v>
      </c>
      <c r="D2641" s="19">
        <v>18</v>
      </c>
      <c r="E2641">
        <v>49</v>
      </c>
      <c r="F2641" t="s">
        <v>10</v>
      </c>
      <c r="G2641" t="s">
        <v>13</v>
      </c>
      <c r="H2641">
        <v>1</v>
      </c>
      <c r="I2641" t="s">
        <v>27</v>
      </c>
    </row>
    <row r="2642" spans="1:9" x14ac:dyDescent="0.2">
      <c r="A2642" t="str">
        <f t="shared" si="288"/>
        <v>38322Vaipahu1850PoritidaeDessus</v>
      </c>
      <c r="B2642" s="1">
        <v>38322</v>
      </c>
      <c r="C2642" t="s">
        <v>23</v>
      </c>
      <c r="D2642" s="19">
        <v>18</v>
      </c>
      <c r="E2642">
        <v>50</v>
      </c>
      <c r="F2642" t="s">
        <v>7</v>
      </c>
      <c r="G2642" t="s">
        <v>11</v>
      </c>
      <c r="H2642">
        <v>1</v>
      </c>
      <c r="I2642" t="s">
        <v>27</v>
      </c>
    </row>
    <row r="2643" spans="1:9" x14ac:dyDescent="0.2">
      <c r="A2643" t="str">
        <f t="shared" si="288"/>
        <v>38322Vaipahu1851PocilloporidaeBords</v>
      </c>
      <c r="B2643" s="1">
        <v>38322</v>
      </c>
      <c r="C2643" t="s">
        <v>23</v>
      </c>
      <c r="D2643" s="19">
        <v>18</v>
      </c>
      <c r="E2643">
        <v>51</v>
      </c>
      <c r="F2643" t="s">
        <v>10</v>
      </c>
      <c r="G2643" t="s">
        <v>13</v>
      </c>
      <c r="H2643">
        <v>1</v>
      </c>
      <c r="I2643" t="s">
        <v>27</v>
      </c>
    </row>
    <row r="2644" spans="1:9" x14ac:dyDescent="0.2">
      <c r="A2644" t="str">
        <f t="shared" si="288"/>
        <v>38322Vaipahu1851PoritidaeBords</v>
      </c>
      <c r="B2644" s="1">
        <v>38322</v>
      </c>
      <c r="C2644" t="s">
        <v>23</v>
      </c>
      <c r="D2644" s="19">
        <v>18</v>
      </c>
      <c r="E2644">
        <v>51</v>
      </c>
      <c r="F2644" t="s">
        <v>7</v>
      </c>
      <c r="G2644" t="s">
        <v>13</v>
      </c>
      <c r="H2644">
        <v>1</v>
      </c>
      <c r="I2644" t="s">
        <v>27</v>
      </c>
    </row>
    <row r="2645" spans="1:9" x14ac:dyDescent="0.2">
      <c r="A2645" t="str">
        <f t="shared" si="288"/>
        <v>38322Vaipahu1852PocilloporidaeDessus</v>
      </c>
      <c r="B2645" s="1">
        <v>38322</v>
      </c>
      <c r="C2645" t="s">
        <v>23</v>
      </c>
      <c r="D2645" s="19">
        <v>18</v>
      </c>
      <c r="E2645">
        <v>52</v>
      </c>
      <c r="F2645" t="s">
        <v>10</v>
      </c>
      <c r="G2645" t="s">
        <v>11</v>
      </c>
      <c r="H2645">
        <v>1</v>
      </c>
      <c r="I2645" t="s">
        <v>27</v>
      </c>
    </row>
    <row r="2646" spans="1:9" x14ac:dyDescent="0.2">
      <c r="A2646" t="str">
        <f t="shared" si="288"/>
        <v>38322Vaipahu1853Autres</v>
      </c>
      <c r="B2646" s="1">
        <v>38322</v>
      </c>
      <c r="C2646" t="s">
        <v>23</v>
      </c>
      <c r="D2646" s="19">
        <v>18</v>
      </c>
      <c r="E2646">
        <v>53</v>
      </c>
      <c r="F2646" t="s">
        <v>14</v>
      </c>
      <c r="H2646">
        <v>0</v>
      </c>
    </row>
    <row r="2647" spans="1:9" x14ac:dyDescent="0.2">
      <c r="A2647" t="str">
        <f t="shared" si="288"/>
        <v>38322Vaipahu1854Autres</v>
      </c>
      <c r="B2647" s="1">
        <v>38322</v>
      </c>
      <c r="C2647" t="s">
        <v>23</v>
      </c>
      <c r="D2647" s="19">
        <v>18</v>
      </c>
      <c r="E2647">
        <v>54</v>
      </c>
      <c r="F2647" t="s">
        <v>14</v>
      </c>
      <c r="H2647">
        <v>0</v>
      </c>
    </row>
    <row r="2648" spans="1:9" x14ac:dyDescent="0.2">
      <c r="A2648" t="str">
        <f t="shared" si="288"/>
        <v>38322Vaipahu1855PocilloporidaeDessous</v>
      </c>
      <c r="B2648" s="1">
        <v>38322</v>
      </c>
      <c r="C2648" t="s">
        <v>23</v>
      </c>
      <c r="D2648" s="19">
        <v>18</v>
      </c>
      <c r="E2648">
        <v>55</v>
      </c>
      <c r="F2648" t="s">
        <v>10</v>
      </c>
      <c r="G2648" t="s">
        <v>8</v>
      </c>
      <c r="H2648">
        <v>1</v>
      </c>
      <c r="I2648" t="s">
        <v>27</v>
      </c>
    </row>
    <row r="2649" spans="1:9" x14ac:dyDescent="0.2">
      <c r="A2649" t="str">
        <f t="shared" si="288"/>
        <v>38322Vaipahu1856Autres</v>
      </c>
      <c r="B2649" s="1">
        <v>38322</v>
      </c>
      <c r="C2649" t="s">
        <v>23</v>
      </c>
      <c r="D2649" s="19">
        <v>18</v>
      </c>
      <c r="E2649">
        <v>56</v>
      </c>
      <c r="F2649" t="s">
        <v>14</v>
      </c>
      <c r="H2649">
        <v>0</v>
      </c>
    </row>
    <row r="2650" spans="1:9" x14ac:dyDescent="0.2">
      <c r="A2650" t="str">
        <f t="shared" si="288"/>
        <v>38322Vaipahu1857Autres</v>
      </c>
      <c r="B2650" s="1">
        <v>38322</v>
      </c>
      <c r="C2650" t="s">
        <v>23</v>
      </c>
      <c r="D2650" s="19">
        <v>18</v>
      </c>
      <c r="E2650">
        <v>57</v>
      </c>
      <c r="F2650" t="s">
        <v>14</v>
      </c>
      <c r="H2650">
        <v>0</v>
      </c>
    </row>
    <row r="2651" spans="1:9" x14ac:dyDescent="0.2">
      <c r="A2651" t="str">
        <f t="shared" si="288"/>
        <v>38322Vaipahu1858PocilloporidaeBords</v>
      </c>
      <c r="B2651" s="1">
        <v>38322</v>
      </c>
      <c r="C2651" t="s">
        <v>23</v>
      </c>
      <c r="D2651" s="19">
        <v>18</v>
      </c>
      <c r="E2651">
        <v>58</v>
      </c>
      <c r="F2651" t="s">
        <v>10</v>
      </c>
      <c r="G2651" t="s">
        <v>13</v>
      </c>
      <c r="H2651">
        <v>1</v>
      </c>
      <c r="I2651" t="s">
        <v>27</v>
      </c>
    </row>
    <row r="2652" spans="1:9" x14ac:dyDescent="0.2">
      <c r="A2652" t="str">
        <f t="shared" si="288"/>
        <v>38322Vaipahu1859Autres</v>
      </c>
      <c r="B2652" s="1">
        <v>38322</v>
      </c>
      <c r="C2652" t="s">
        <v>23</v>
      </c>
      <c r="D2652" s="19">
        <v>18</v>
      </c>
      <c r="E2652">
        <v>59</v>
      </c>
      <c r="F2652" t="s">
        <v>14</v>
      </c>
      <c r="H2652">
        <v>0</v>
      </c>
    </row>
    <row r="2653" spans="1:9" x14ac:dyDescent="0.2">
      <c r="A2653" t="str">
        <f t="shared" si="288"/>
        <v>38322Vaipahu1860Autres</v>
      </c>
      <c r="B2653" s="1">
        <v>38322</v>
      </c>
      <c r="C2653" t="s">
        <v>23</v>
      </c>
      <c r="D2653" s="19">
        <v>18</v>
      </c>
      <c r="E2653">
        <v>60</v>
      </c>
      <c r="F2653" t="s">
        <v>14</v>
      </c>
      <c r="H2653">
        <v>0</v>
      </c>
    </row>
    <row r="2654" spans="1:9" x14ac:dyDescent="0.2">
      <c r="A2654" t="str">
        <f t="shared" si="288"/>
        <v>38322Tiahura661PocilloporidaeDessous</v>
      </c>
      <c r="B2654" s="1">
        <v>38322</v>
      </c>
      <c r="C2654" t="s">
        <v>24</v>
      </c>
      <c r="D2654" s="19">
        <v>6</v>
      </c>
      <c r="E2654">
        <v>61</v>
      </c>
      <c r="F2654" t="s">
        <v>10</v>
      </c>
      <c r="G2654" t="s">
        <v>8</v>
      </c>
      <c r="H2654">
        <v>2</v>
      </c>
      <c r="I2654" t="s">
        <v>27</v>
      </c>
    </row>
    <row r="2655" spans="1:9" x14ac:dyDescent="0.2">
      <c r="A2655" t="str">
        <f t="shared" si="288"/>
        <v>38322Tiahura662Autres</v>
      </c>
      <c r="B2655" s="1">
        <v>38322</v>
      </c>
      <c r="C2655" t="s">
        <v>24</v>
      </c>
      <c r="D2655" s="19">
        <v>6</v>
      </c>
      <c r="E2655">
        <v>62</v>
      </c>
      <c r="F2655" t="s">
        <v>14</v>
      </c>
      <c r="H2655">
        <v>0</v>
      </c>
    </row>
    <row r="2656" spans="1:9" x14ac:dyDescent="0.2">
      <c r="A2656" t="str">
        <f t="shared" si="288"/>
        <v>38322Tiahura663PocilloporidaeBords</v>
      </c>
      <c r="B2656" s="1">
        <v>38322</v>
      </c>
      <c r="C2656" t="s">
        <v>24</v>
      </c>
      <c r="D2656" s="19">
        <v>6</v>
      </c>
      <c r="E2656">
        <v>63</v>
      </c>
      <c r="F2656" t="s">
        <v>10</v>
      </c>
      <c r="G2656" t="s">
        <v>13</v>
      </c>
      <c r="H2656">
        <v>1</v>
      </c>
      <c r="I2656" t="s">
        <v>27</v>
      </c>
    </row>
    <row r="2657" spans="1:9" x14ac:dyDescent="0.2">
      <c r="A2657" t="str">
        <f t="shared" si="288"/>
        <v>38322Tiahura663PocilloporidaeDessous</v>
      </c>
      <c r="B2657" s="1">
        <v>38322</v>
      </c>
      <c r="C2657" t="s">
        <v>24</v>
      </c>
      <c r="D2657" s="19">
        <v>6</v>
      </c>
      <c r="E2657">
        <v>63</v>
      </c>
      <c r="F2657" t="s">
        <v>10</v>
      </c>
      <c r="G2657" t="s">
        <v>8</v>
      </c>
      <c r="H2657">
        <v>1</v>
      </c>
      <c r="I2657" t="s">
        <v>27</v>
      </c>
    </row>
    <row r="2658" spans="1:9" x14ac:dyDescent="0.2">
      <c r="A2658" t="str">
        <f t="shared" si="288"/>
        <v>38322Tiahura663PoritidaeBords</v>
      </c>
      <c r="B2658" s="1">
        <v>38322</v>
      </c>
      <c r="C2658" t="s">
        <v>24</v>
      </c>
      <c r="D2658" s="19">
        <v>6</v>
      </c>
      <c r="E2658">
        <v>63</v>
      </c>
      <c r="F2658" t="s">
        <v>7</v>
      </c>
      <c r="G2658" t="s">
        <v>13</v>
      </c>
      <c r="H2658">
        <v>1</v>
      </c>
      <c r="I2658" t="s">
        <v>27</v>
      </c>
    </row>
    <row r="2659" spans="1:9" x14ac:dyDescent="0.2">
      <c r="A2659" t="str">
        <f t="shared" si="288"/>
        <v>38322Tiahura664Autres</v>
      </c>
      <c r="B2659" s="1">
        <v>38322</v>
      </c>
      <c r="C2659" t="s">
        <v>24</v>
      </c>
      <c r="D2659" s="19">
        <v>6</v>
      </c>
      <c r="E2659">
        <v>64</v>
      </c>
      <c r="F2659" t="s">
        <v>14</v>
      </c>
      <c r="H2659">
        <v>0</v>
      </c>
    </row>
    <row r="2660" spans="1:9" x14ac:dyDescent="0.2">
      <c r="A2660" t="str">
        <f t="shared" si="288"/>
        <v>38322Tiahura665PocilloporidaeDessus</v>
      </c>
      <c r="B2660" s="1">
        <v>38322</v>
      </c>
      <c r="C2660" t="s">
        <v>24</v>
      </c>
      <c r="D2660" s="19">
        <v>6</v>
      </c>
      <c r="E2660">
        <v>65</v>
      </c>
      <c r="F2660" t="s">
        <v>10</v>
      </c>
      <c r="G2660" t="s">
        <v>11</v>
      </c>
      <c r="H2660">
        <v>1</v>
      </c>
      <c r="I2660" t="s">
        <v>27</v>
      </c>
    </row>
    <row r="2661" spans="1:9" x14ac:dyDescent="0.2">
      <c r="A2661" t="str">
        <f t="shared" si="288"/>
        <v>38322Tiahura666PocilloporidaeDessous</v>
      </c>
      <c r="B2661" s="1">
        <v>38322</v>
      </c>
      <c r="C2661" t="s">
        <v>24</v>
      </c>
      <c r="D2661" s="19">
        <v>6</v>
      </c>
      <c r="E2661">
        <v>66</v>
      </c>
      <c r="F2661" t="s">
        <v>10</v>
      </c>
      <c r="G2661" t="s">
        <v>8</v>
      </c>
      <c r="H2661">
        <v>2</v>
      </c>
      <c r="I2661" t="s">
        <v>27</v>
      </c>
    </row>
    <row r="2662" spans="1:9" x14ac:dyDescent="0.2">
      <c r="A2662" t="str">
        <f t="shared" si="288"/>
        <v>38322Tiahura667PocilloporidaeDessous</v>
      </c>
      <c r="B2662" s="1">
        <v>38322</v>
      </c>
      <c r="C2662" t="s">
        <v>24</v>
      </c>
      <c r="D2662" s="19">
        <v>6</v>
      </c>
      <c r="E2662">
        <v>67</v>
      </c>
      <c r="F2662" t="s">
        <v>10</v>
      </c>
      <c r="G2662" t="s">
        <v>8</v>
      </c>
      <c r="H2662">
        <v>3</v>
      </c>
      <c r="I2662" t="s">
        <v>27</v>
      </c>
    </row>
    <row r="2663" spans="1:9" x14ac:dyDescent="0.2">
      <c r="A2663" t="str">
        <f t="shared" si="288"/>
        <v>38322Tiahura668Autres</v>
      </c>
      <c r="B2663" s="1">
        <v>38322</v>
      </c>
      <c r="C2663" t="s">
        <v>24</v>
      </c>
      <c r="D2663" s="19">
        <v>6</v>
      </c>
      <c r="E2663">
        <v>68</v>
      </c>
      <c r="F2663" t="s">
        <v>14</v>
      </c>
      <c r="H2663">
        <v>0</v>
      </c>
    </row>
    <row r="2664" spans="1:9" x14ac:dyDescent="0.2">
      <c r="A2664" t="str">
        <f t="shared" si="288"/>
        <v>38322Tiahura669PocilloporidaeDessous</v>
      </c>
      <c r="B2664" s="1">
        <v>38322</v>
      </c>
      <c r="C2664" t="s">
        <v>24</v>
      </c>
      <c r="D2664" s="19">
        <v>6</v>
      </c>
      <c r="E2664">
        <v>69</v>
      </c>
      <c r="F2664" t="s">
        <v>10</v>
      </c>
      <c r="G2664" t="s">
        <v>8</v>
      </c>
      <c r="H2664">
        <v>6</v>
      </c>
      <c r="I2664" t="s">
        <v>27</v>
      </c>
    </row>
    <row r="2665" spans="1:9" x14ac:dyDescent="0.2">
      <c r="A2665" t="str">
        <f t="shared" si="288"/>
        <v>38322Tiahura670Autres</v>
      </c>
      <c r="B2665" s="1">
        <v>38322</v>
      </c>
      <c r="C2665" t="s">
        <v>24</v>
      </c>
      <c r="D2665" s="19">
        <v>6</v>
      </c>
      <c r="E2665">
        <v>70</v>
      </c>
      <c r="F2665" t="s">
        <v>14</v>
      </c>
      <c r="H2665">
        <v>0</v>
      </c>
    </row>
    <row r="2666" spans="1:9" x14ac:dyDescent="0.2">
      <c r="A2666" t="str">
        <f t="shared" si="288"/>
        <v>38322Tiahura671</v>
      </c>
      <c r="B2666" s="1">
        <v>38322</v>
      </c>
      <c r="C2666" t="s">
        <v>24</v>
      </c>
      <c r="D2666" s="19">
        <v>6</v>
      </c>
      <c r="E2666">
        <v>71</v>
      </c>
      <c r="F2666" t="s">
        <v>27</v>
      </c>
      <c r="G2666" t="s">
        <v>27</v>
      </c>
      <c r="H2666" t="s">
        <v>27</v>
      </c>
      <c r="I2666" t="s">
        <v>31</v>
      </c>
    </row>
    <row r="2667" spans="1:9" x14ac:dyDescent="0.2">
      <c r="A2667" t="str">
        <f t="shared" si="288"/>
        <v>38322Tiahura672</v>
      </c>
      <c r="B2667" s="1">
        <v>38322</v>
      </c>
      <c r="C2667" t="s">
        <v>24</v>
      </c>
      <c r="D2667" s="19">
        <v>6</v>
      </c>
      <c r="E2667">
        <v>72</v>
      </c>
      <c r="F2667" t="s">
        <v>27</v>
      </c>
      <c r="G2667" t="s">
        <v>27</v>
      </c>
      <c r="H2667" t="s">
        <v>27</v>
      </c>
      <c r="I2667" t="s">
        <v>31</v>
      </c>
    </row>
    <row r="2668" spans="1:9" x14ac:dyDescent="0.2">
      <c r="A2668" t="str">
        <f t="shared" si="288"/>
        <v>38322Tiahura673</v>
      </c>
      <c r="B2668" s="1">
        <v>38322</v>
      </c>
      <c r="C2668" t="s">
        <v>24</v>
      </c>
      <c r="D2668" s="19">
        <v>6</v>
      </c>
      <c r="E2668">
        <v>73</v>
      </c>
      <c r="F2668" t="s">
        <v>27</v>
      </c>
      <c r="G2668" t="s">
        <v>27</v>
      </c>
      <c r="H2668" t="s">
        <v>27</v>
      </c>
      <c r="I2668" t="s">
        <v>31</v>
      </c>
    </row>
    <row r="2669" spans="1:9" x14ac:dyDescent="0.2">
      <c r="A2669" t="str">
        <f t="shared" si="288"/>
        <v>38322Tiahura674</v>
      </c>
      <c r="B2669" s="1">
        <v>38322</v>
      </c>
      <c r="C2669" t="s">
        <v>24</v>
      </c>
      <c r="D2669" s="19">
        <v>6</v>
      </c>
      <c r="E2669">
        <v>74</v>
      </c>
      <c r="F2669" t="s">
        <v>27</v>
      </c>
      <c r="G2669" t="s">
        <v>27</v>
      </c>
      <c r="H2669" t="s">
        <v>27</v>
      </c>
      <c r="I2669" t="s">
        <v>31</v>
      </c>
    </row>
    <row r="2670" spans="1:9" x14ac:dyDescent="0.2">
      <c r="A2670" t="str">
        <f t="shared" si="288"/>
        <v>38322Tiahura675</v>
      </c>
      <c r="B2670" s="1">
        <v>38322</v>
      </c>
      <c r="C2670" t="s">
        <v>24</v>
      </c>
      <c r="D2670" s="19">
        <v>6</v>
      </c>
      <c r="E2670">
        <v>75</v>
      </c>
      <c r="F2670" t="s">
        <v>27</v>
      </c>
      <c r="G2670" t="s">
        <v>27</v>
      </c>
      <c r="H2670" t="s">
        <v>27</v>
      </c>
      <c r="I2670" t="s">
        <v>31</v>
      </c>
    </row>
    <row r="2671" spans="1:9" x14ac:dyDescent="0.2">
      <c r="A2671" t="str">
        <f t="shared" si="288"/>
        <v>38322Tiahura676</v>
      </c>
      <c r="B2671" s="1">
        <v>38322</v>
      </c>
      <c r="C2671" t="s">
        <v>24</v>
      </c>
      <c r="D2671" s="19">
        <v>6</v>
      </c>
      <c r="E2671">
        <v>76</v>
      </c>
      <c r="F2671" t="s">
        <v>27</v>
      </c>
      <c r="G2671" t="s">
        <v>27</v>
      </c>
      <c r="H2671" t="s">
        <v>27</v>
      </c>
      <c r="I2671" t="s">
        <v>31</v>
      </c>
    </row>
    <row r="2672" spans="1:9" x14ac:dyDescent="0.2">
      <c r="A2672" t="str">
        <f t="shared" si="288"/>
        <v>38322Tiahura677</v>
      </c>
      <c r="B2672" s="1">
        <v>38322</v>
      </c>
      <c r="C2672" t="s">
        <v>24</v>
      </c>
      <c r="D2672" s="19">
        <v>6</v>
      </c>
      <c r="E2672">
        <v>77</v>
      </c>
      <c r="F2672" t="s">
        <v>27</v>
      </c>
      <c r="G2672" t="s">
        <v>27</v>
      </c>
      <c r="H2672" t="s">
        <v>27</v>
      </c>
      <c r="I2672" t="s">
        <v>31</v>
      </c>
    </row>
    <row r="2673" spans="1:9" x14ac:dyDescent="0.2">
      <c r="A2673" t="str">
        <f t="shared" si="288"/>
        <v>38322Tiahura678</v>
      </c>
      <c r="B2673" s="1">
        <v>38322</v>
      </c>
      <c r="C2673" t="s">
        <v>24</v>
      </c>
      <c r="D2673" s="19">
        <v>6</v>
      </c>
      <c r="E2673">
        <v>78</v>
      </c>
      <c r="F2673" t="s">
        <v>27</v>
      </c>
      <c r="G2673" t="s">
        <v>27</v>
      </c>
      <c r="H2673" t="s">
        <v>27</v>
      </c>
      <c r="I2673" t="s">
        <v>31</v>
      </c>
    </row>
    <row r="2674" spans="1:9" x14ac:dyDescent="0.2">
      <c r="A2674" t="str">
        <f t="shared" si="288"/>
        <v>38322Tiahura679</v>
      </c>
      <c r="B2674" s="1">
        <v>38322</v>
      </c>
      <c r="C2674" t="s">
        <v>24</v>
      </c>
      <c r="D2674" s="19">
        <v>6</v>
      </c>
      <c r="E2674">
        <v>79</v>
      </c>
      <c r="F2674" t="s">
        <v>27</v>
      </c>
      <c r="G2674" t="s">
        <v>27</v>
      </c>
      <c r="H2674" t="s">
        <v>27</v>
      </c>
      <c r="I2674" t="s">
        <v>31</v>
      </c>
    </row>
    <row r="2675" spans="1:9" x14ac:dyDescent="0.2">
      <c r="A2675" t="str">
        <f t="shared" si="288"/>
        <v>38322Tiahura680</v>
      </c>
      <c r="B2675" s="1">
        <v>38322</v>
      </c>
      <c r="C2675" t="s">
        <v>24</v>
      </c>
      <c r="D2675" s="19">
        <v>6</v>
      </c>
      <c r="E2675">
        <v>80</v>
      </c>
      <c r="F2675" t="s">
        <v>27</v>
      </c>
      <c r="G2675" t="s">
        <v>27</v>
      </c>
      <c r="H2675" t="s">
        <v>27</v>
      </c>
      <c r="I2675" t="s">
        <v>31</v>
      </c>
    </row>
    <row r="2676" spans="1:9" x14ac:dyDescent="0.2">
      <c r="A2676" t="str">
        <f t="shared" si="288"/>
        <v>38322Tiahura1281</v>
      </c>
      <c r="B2676" s="1">
        <v>38322</v>
      </c>
      <c r="C2676" t="s">
        <v>24</v>
      </c>
      <c r="D2676" s="19">
        <v>12</v>
      </c>
      <c r="E2676">
        <v>81</v>
      </c>
      <c r="F2676" t="s">
        <v>27</v>
      </c>
      <c r="G2676" t="s">
        <v>27</v>
      </c>
      <c r="H2676" t="s">
        <v>27</v>
      </c>
      <c r="I2676" t="s">
        <v>31</v>
      </c>
    </row>
    <row r="2677" spans="1:9" x14ac:dyDescent="0.2">
      <c r="A2677" t="str">
        <f t="shared" si="288"/>
        <v>38322Tiahura1282PocilloporidaeBords</v>
      </c>
      <c r="B2677" s="1">
        <v>38322</v>
      </c>
      <c r="C2677" t="s">
        <v>24</v>
      </c>
      <c r="D2677" s="19">
        <v>12</v>
      </c>
      <c r="E2677">
        <v>82</v>
      </c>
      <c r="F2677" t="s">
        <v>10</v>
      </c>
      <c r="G2677" t="s">
        <v>13</v>
      </c>
      <c r="H2677">
        <v>1</v>
      </c>
      <c r="I2677" t="s">
        <v>27</v>
      </c>
    </row>
    <row r="2678" spans="1:9" x14ac:dyDescent="0.2">
      <c r="A2678" t="str">
        <f t="shared" si="288"/>
        <v>38322Tiahura1282PocilloporidaeDessus</v>
      </c>
      <c r="B2678" s="1">
        <v>38322</v>
      </c>
      <c r="C2678" t="s">
        <v>24</v>
      </c>
      <c r="D2678" s="19">
        <v>12</v>
      </c>
      <c r="E2678">
        <v>82</v>
      </c>
      <c r="F2678" t="s">
        <v>10</v>
      </c>
      <c r="G2678" t="s">
        <v>11</v>
      </c>
      <c r="H2678">
        <v>1</v>
      </c>
      <c r="I2678" t="s">
        <v>27</v>
      </c>
    </row>
    <row r="2679" spans="1:9" x14ac:dyDescent="0.2">
      <c r="A2679" t="str">
        <f t="shared" si="288"/>
        <v>38322Tiahura1283PocilloporidaeBords</v>
      </c>
      <c r="B2679" s="1">
        <v>38322</v>
      </c>
      <c r="C2679" t="s">
        <v>24</v>
      </c>
      <c r="D2679" s="19">
        <v>12</v>
      </c>
      <c r="E2679">
        <v>83</v>
      </c>
      <c r="F2679" t="s">
        <v>10</v>
      </c>
      <c r="G2679" t="s">
        <v>13</v>
      </c>
      <c r="H2679">
        <v>3</v>
      </c>
      <c r="I2679" t="s">
        <v>27</v>
      </c>
    </row>
    <row r="2680" spans="1:9" x14ac:dyDescent="0.2">
      <c r="A2680" t="str">
        <f t="shared" si="288"/>
        <v>38322Tiahura1283PoritidaeDessous</v>
      </c>
      <c r="B2680" s="1">
        <v>38322</v>
      </c>
      <c r="C2680" t="s">
        <v>24</v>
      </c>
      <c r="D2680" s="19">
        <v>12</v>
      </c>
      <c r="E2680">
        <v>83</v>
      </c>
      <c r="F2680" t="s">
        <v>7</v>
      </c>
      <c r="G2680" t="s">
        <v>8</v>
      </c>
      <c r="H2680">
        <v>1</v>
      </c>
      <c r="I2680" t="s">
        <v>27</v>
      </c>
    </row>
    <row r="2681" spans="1:9" x14ac:dyDescent="0.2">
      <c r="A2681" t="str">
        <f t="shared" si="288"/>
        <v>38322Tiahura1284PocilloporidaeDessus</v>
      </c>
      <c r="B2681" s="1">
        <v>38322</v>
      </c>
      <c r="C2681" t="s">
        <v>24</v>
      </c>
      <c r="D2681" s="19">
        <v>12</v>
      </c>
      <c r="E2681">
        <v>84</v>
      </c>
      <c r="F2681" t="s">
        <v>10</v>
      </c>
      <c r="G2681" t="s">
        <v>11</v>
      </c>
      <c r="H2681">
        <v>1</v>
      </c>
      <c r="I2681" t="s">
        <v>27</v>
      </c>
    </row>
    <row r="2682" spans="1:9" x14ac:dyDescent="0.2">
      <c r="A2682" t="str">
        <f t="shared" si="288"/>
        <v>38322Tiahura1285PocilloporidaeDessous</v>
      </c>
      <c r="B2682" s="1">
        <v>38322</v>
      </c>
      <c r="C2682" t="s">
        <v>24</v>
      </c>
      <c r="D2682" s="19">
        <v>12</v>
      </c>
      <c r="E2682">
        <v>85</v>
      </c>
      <c r="F2682" t="s">
        <v>10</v>
      </c>
      <c r="G2682" t="s">
        <v>8</v>
      </c>
      <c r="H2682">
        <v>1</v>
      </c>
      <c r="I2682" t="s">
        <v>27</v>
      </c>
    </row>
    <row r="2683" spans="1:9" x14ac:dyDescent="0.2">
      <c r="A2683" t="str">
        <f t="shared" si="288"/>
        <v>38322Tiahura1285PocilloporidaeDessus</v>
      </c>
      <c r="B2683" s="1">
        <v>38322</v>
      </c>
      <c r="C2683" t="s">
        <v>24</v>
      </c>
      <c r="D2683" s="19">
        <v>12</v>
      </c>
      <c r="E2683">
        <v>85</v>
      </c>
      <c r="F2683" t="s">
        <v>10</v>
      </c>
      <c r="G2683" t="s">
        <v>11</v>
      </c>
      <c r="H2683">
        <v>1</v>
      </c>
      <c r="I2683" t="s">
        <v>27</v>
      </c>
    </row>
    <row r="2684" spans="1:9" x14ac:dyDescent="0.2">
      <c r="A2684" t="str">
        <f t="shared" si="288"/>
        <v>38322Tiahura1285PoritidaeDessous</v>
      </c>
      <c r="B2684" s="1">
        <v>38322</v>
      </c>
      <c r="C2684" t="s">
        <v>24</v>
      </c>
      <c r="D2684" s="19">
        <v>12</v>
      </c>
      <c r="E2684">
        <v>85</v>
      </c>
      <c r="F2684" t="s">
        <v>7</v>
      </c>
      <c r="G2684" t="s">
        <v>8</v>
      </c>
      <c r="H2684">
        <v>1</v>
      </c>
      <c r="I2684" t="s">
        <v>27</v>
      </c>
    </row>
    <row r="2685" spans="1:9" x14ac:dyDescent="0.2">
      <c r="A2685" t="str">
        <f t="shared" si="288"/>
        <v>38322Tiahura1286AcroporidaeDessous</v>
      </c>
      <c r="B2685" s="1">
        <v>38322</v>
      </c>
      <c r="C2685" t="s">
        <v>24</v>
      </c>
      <c r="D2685" s="19">
        <v>12</v>
      </c>
      <c r="E2685">
        <v>86</v>
      </c>
      <c r="F2685" t="s">
        <v>17</v>
      </c>
      <c r="G2685" t="s">
        <v>8</v>
      </c>
      <c r="H2685">
        <v>1</v>
      </c>
      <c r="I2685" t="s">
        <v>27</v>
      </c>
    </row>
    <row r="2686" spans="1:9" x14ac:dyDescent="0.2">
      <c r="A2686" t="str">
        <f t="shared" si="288"/>
        <v>38322Tiahura1286PocilloporidaeBords</v>
      </c>
      <c r="B2686" s="1">
        <v>38322</v>
      </c>
      <c r="C2686" t="s">
        <v>24</v>
      </c>
      <c r="D2686" s="19">
        <v>12</v>
      </c>
      <c r="E2686">
        <v>86</v>
      </c>
      <c r="F2686" t="s">
        <v>10</v>
      </c>
      <c r="G2686" t="s">
        <v>13</v>
      </c>
      <c r="H2686">
        <v>2</v>
      </c>
      <c r="I2686" t="s">
        <v>27</v>
      </c>
    </row>
    <row r="2687" spans="1:9" x14ac:dyDescent="0.2">
      <c r="A2687" t="str">
        <f t="shared" ref="A2687:A2750" si="289">B2687 &amp; C2687&amp; D2687&amp; E2687 &amp; F2687 &amp;G2687</f>
        <v>38322Tiahura1287</v>
      </c>
      <c r="B2687" s="1">
        <v>38322</v>
      </c>
      <c r="C2687" t="s">
        <v>24</v>
      </c>
      <c r="D2687" s="19">
        <v>12</v>
      </c>
      <c r="E2687">
        <v>87</v>
      </c>
    </row>
    <row r="2688" spans="1:9" x14ac:dyDescent="0.2">
      <c r="A2688" t="str">
        <f t="shared" si="289"/>
        <v>38322Tiahura1288CassésDessus</v>
      </c>
      <c r="B2688" s="1">
        <v>38322</v>
      </c>
      <c r="C2688" t="s">
        <v>24</v>
      </c>
      <c r="D2688" s="19">
        <v>12</v>
      </c>
      <c r="E2688">
        <v>88</v>
      </c>
      <c r="F2688" t="s">
        <v>12</v>
      </c>
      <c r="G2688" t="s">
        <v>11</v>
      </c>
      <c r="H2688">
        <v>1</v>
      </c>
      <c r="I2688" t="s">
        <v>27</v>
      </c>
    </row>
    <row r="2689" spans="1:9" x14ac:dyDescent="0.2">
      <c r="A2689" t="str">
        <f t="shared" si="289"/>
        <v>38322Tiahura1289</v>
      </c>
      <c r="B2689" s="1">
        <v>38322</v>
      </c>
      <c r="C2689" t="s">
        <v>24</v>
      </c>
      <c r="D2689" s="19">
        <v>12</v>
      </c>
      <c r="E2689">
        <v>89</v>
      </c>
      <c r="F2689" t="s">
        <v>27</v>
      </c>
      <c r="G2689" t="s">
        <v>27</v>
      </c>
      <c r="H2689" t="s">
        <v>27</v>
      </c>
      <c r="I2689" t="s">
        <v>31</v>
      </c>
    </row>
    <row r="2690" spans="1:9" x14ac:dyDescent="0.2">
      <c r="A2690" t="str">
        <f t="shared" si="289"/>
        <v>38322Tiahura1290PocilloporidaeBords</v>
      </c>
      <c r="B2690" s="1">
        <v>38322</v>
      </c>
      <c r="C2690" t="s">
        <v>24</v>
      </c>
      <c r="D2690" s="19">
        <v>12</v>
      </c>
      <c r="E2690">
        <v>90</v>
      </c>
      <c r="F2690" t="s">
        <v>10</v>
      </c>
      <c r="G2690" t="s">
        <v>13</v>
      </c>
      <c r="H2690">
        <v>1</v>
      </c>
      <c r="I2690" t="s">
        <v>27</v>
      </c>
    </row>
    <row r="2691" spans="1:9" x14ac:dyDescent="0.2">
      <c r="A2691" t="str">
        <f t="shared" si="289"/>
        <v>38322Tiahura1290PocilloporidaeDessous</v>
      </c>
      <c r="B2691" s="1">
        <v>38322</v>
      </c>
      <c r="C2691" t="s">
        <v>24</v>
      </c>
      <c r="D2691" s="19">
        <v>12</v>
      </c>
      <c r="E2691">
        <v>90</v>
      </c>
      <c r="F2691" t="s">
        <v>10</v>
      </c>
      <c r="G2691" t="s">
        <v>8</v>
      </c>
      <c r="H2691">
        <v>1</v>
      </c>
      <c r="I2691" t="s">
        <v>27</v>
      </c>
    </row>
    <row r="2692" spans="1:9" x14ac:dyDescent="0.2">
      <c r="A2692" t="str">
        <f t="shared" si="289"/>
        <v>38322Tiahura1291PocilloporidaeDessus</v>
      </c>
      <c r="B2692" s="1">
        <v>38322</v>
      </c>
      <c r="C2692" t="s">
        <v>24</v>
      </c>
      <c r="D2692" s="19">
        <v>12</v>
      </c>
      <c r="E2692">
        <v>91</v>
      </c>
      <c r="F2692" t="s">
        <v>10</v>
      </c>
      <c r="G2692" t="s">
        <v>11</v>
      </c>
      <c r="H2692">
        <v>1</v>
      </c>
      <c r="I2692" t="s">
        <v>27</v>
      </c>
    </row>
    <row r="2693" spans="1:9" x14ac:dyDescent="0.2">
      <c r="A2693" t="str">
        <f t="shared" si="289"/>
        <v>38322Tiahura1292</v>
      </c>
      <c r="B2693" s="1">
        <v>38322</v>
      </c>
      <c r="C2693" t="s">
        <v>24</v>
      </c>
      <c r="D2693" s="19">
        <v>12</v>
      </c>
      <c r="E2693">
        <v>92</v>
      </c>
      <c r="F2693" t="s">
        <v>27</v>
      </c>
      <c r="G2693" t="s">
        <v>27</v>
      </c>
      <c r="H2693" t="s">
        <v>27</v>
      </c>
      <c r="I2693" t="s">
        <v>31</v>
      </c>
    </row>
    <row r="2694" spans="1:9" x14ac:dyDescent="0.2">
      <c r="A2694" t="str">
        <f t="shared" si="289"/>
        <v>38322Tiahura1293</v>
      </c>
      <c r="B2694" s="1">
        <v>38322</v>
      </c>
      <c r="C2694" t="s">
        <v>24</v>
      </c>
      <c r="D2694" s="19">
        <v>12</v>
      </c>
      <c r="E2694">
        <v>93</v>
      </c>
      <c r="F2694" t="s">
        <v>27</v>
      </c>
      <c r="G2694" t="s">
        <v>27</v>
      </c>
      <c r="H2694" t="s">
        <v>27</v>
      </c>
      <c r="I2694" t="s">
        <v>31</v>
      </c>
    </row>
    <row r="2695" spans="1:9" x14ac:dyDescent="0.2">
      <c r="A2695" t="str">
        <f t="shared" si="289"/>
        <v>38322Tiahura1294</v>
      </c>
      <c r="B2695" s="1">
        <v>38322</v>
      </c>
      <c r="C2695" t="s">
        <v>24</v>
      </c>
      <c r="D2695" s="19">
        <v>12</v>
      </c>
      <c r="E2695">
        <v>94</v>
      </c>
      <c r="F2695" t="s">
        <v>27</v>
      </c>
      <c r="G2695" t="s">
        <v>27</v>
      </c>
      <c r="H2695" t="s">
        <v>27</v>
      </c>
      <c r="I2695" t="s">
        <v>31</v>
      </c>
    </row>
    <row r="2696" spans="1:9" x14ac:dyDescent="0.2">
      <c r="A2696" t="str">
        <f t="shared" si="289"/>
        <v>38322Tiahura1295</v>
      </c>
      <c r="B2696" s="1">
        <v>38322</v>
      </c>
      <c r="C2696" t="s">
        <v>24</v>
      </c>
      <c r="D2696" s="19">
        <v>12</v>
      </c>
      <c r="E2696">
        <v>95</v>
      </c>
      <c r="F2696" t="s">
        <v>27</v>
      </c>
      <c r="G2696" t="s">
        <v>27</v>
      </c>
      <c r="H2696" t="s">
        <v>27</v>
      </c>
      <c r="I2696" t="s">
        <v>31</v>
      </c>
    </row>
    <row r="2697" spans="1:9" x14ac:dyDescent="0.2">
      <c r="A2697" t="str">
        <f t="shared" si="289"/>
        <v>38322Tiahura1296</v>
      </c>
      <c r="B2697" s="1">
        <v>38322</v>
      </c>
      <c r="C2697" t="s">
        <v>24</v>
      </c>
      <c r="D2697" s="19">
        <v>12</v>
      </c>
      <c r="E2697">
        <v>96</v>
      </c>
      <c r="F2697" t="s">
        <v>27</v>
      </c>
      <c r="G2697" t="s">
        <v>27</v>
      </c>
      <c r="H2697" t="s">
        <v>27</v>
      </c>
      <c r="I2697" t="s">
        <v>31</v>
      </c>
    </row>
    <row r="2698" spans="1:9" x14ac:dyDescent="0.2">
      <c r="A2698" t="str">
        <f t="shared" si="289"/>
        <v>38322Tiahura1297</v>
      </c>
      <c r="B2698" s="1">
        <v>38322</v>
      </c>
      <c r="C2698" t="s">
        <v>24</v>
      </c>
      <c r="D2698" s="19">
        <v>12</v>
      </c>
      <c r="E2698">
        <v>97</v>
      </c>
      <c r="F2698" t="s">
        <v>27</v>
      </c>
      <c r="G2698" t="s">
        <v>27</v>
      </c>
      <c r="H2698" t="s">
        <v>27</v>
      </c>
      <c r="I2698" t="s">
        <v>31</v>
      </c>
    </row>
    <row r="2699" spans="1:9" x14ac:dyDescent="0.2">
      <c r="A2699" t="str">
        <f t="shared" si="289"/>
        <v>38322Tiahura1298</v>
      </c>
      <c r="B2699" s="1">
        <v>38322</v>
      </c>
      <c r="C2699" t="s">
        <v>24</v>
      </c>
      <c r="D2699" s="19">
        <v>12</v>
      </c>
      <c r="E2699">
        <v>98</v>
      </c>
      <c r="F2699" t="s">
        <v>27</v>
      </c>
      <c r="G2699" t="s">
        <v>27</v>
      </c>
      <c r="H2699" t="s">
        <v>27</v>
      </c>
      <c r="I2699" t="s">
        <v>31</v>
      </c>
    </row>
    <row r="2700" spans="1:9" x14ac:dyDescent="0.2">
      <c r="A2700" t="str">
        <f t="shared" si="289"/>
        <v>38322Tiahura1299</v>
      </c>
      <c r="B2700" s="1">
        <v>38322</v>
      </c>
      <c r="C2700" t="s">
        <v>24</v>
      </c>
      <c r="D2700" s="19">
        <v>12</v>
      </c>
      <c r="E2700">
        <v>99</v>
      </c>
      <c r="F2700" t="s">
        <v>27</v>
      </c>
      <c r="G2700" t="s">
        <v>27</v>
      </c>
      <c r="H2700" t="s">
        <v>27</v>
      </c>
      <c r="I2700" t="s">
        <v>31</v>
      </c>
    </row>
    <row r="2701" spans="1:9" x14ac:dyDescent="0.2">
      <c r="A2701" t="str">
        <f t="shared" si="289"/>
        <v>38322Tiahura12100Autres</v>
      </c>
      <c r="B2701" s="1">
        <v>38322</v>
      </c>
      <c r="C2701" t="s">
        <v>24</v>
      </c>
      <c r="D2701" s="19">
        <v>12</v>
      </c>
      <c r="E2701">
        <v>100</v>
      </c>
      <c r="F2701" t="s">
        <v>14</v>
      </c>
      <c r="H2701">
        <v>0</v>
      </c>
    </row>
    <row r="2702" spans="1:9" x14ac:dyDescent="0.2">
      <c r="A2702" t="str">
        <f t="shared" si="289"/>
        <v>38322Tiahura18101Autres</v>
      </c>
      <c r="B2702" s="1">
        <v>38322</v>
      </c>
      <c r="C2702" t="s">
        <v>24</v>
      </c>
      <c r="D2702" s="19">
        <v>18</v>
      </c>
      <c r="E2702">
        <v>101</v>
      </c>
      <c r="F2702" t="s">
        <v>14</v>
      </c>
      <c r="H2702">
        <v>0</v>
      </c>
    </row>
    <row r="2703" spans="1:9" x14ac:dyDescent="0.2">
      <c r="A2703" t="str">
        <f t="shared" si="289"/>
        <v>38322Tiahura18102Autres</v>
      </c>
      <c r="B2703" s="1">
        <v>38322</v>
      </c>
      <c r="C2703" t="s">
        <v>24</v>
      </c>
      <c r="D2703" s="19">
        <v>18</v>
      </c>
      <c r="E2703">
        <v>102</v>
      </c>
      <c r="F2703" t="s">
        <v>14</v>
      </c>
      <c r="H2703">
        <v>0</v>
      </c>
    </row>
    <row r="2704" spans="1:9" x14ac:dyDescent="0.2">
      <c r="A2704" t="str">
        <f t="shared" si="289"/>
        <v>38322Tiahura18103Autres</v>
      </c>
      <c r="B2704" s="1">
        <v>38322</v>
      </c>
      <c r="C2704" t="s">
        <v>24</v>
      </c>
      <c r="D2704" s="19">
        <v>18</v>
      </c>
      <c r="E2704">
        <v>103</v>
      </c>
      <c r="F2704" t="s">
        <v>14</v>
      </c>
      <c r="H2704">
        <v>0</v>
      </c>
    </row>
    <row r="2705" spans="1:9" x14ac:dyDescent="0.2">
      <c r="A2705" t="str">
        <f t="shared" si="289"/>
        <v>38322Tiahura18104PoritidaeDessous</v>
      </c>
      <c r="B2705" s="1">
        <v>38322</v>
      </c>
      <c r="C2705" t="s">
        <v>24</v>
      </c>
      <c r="D2705" s="19">
        <v>18</v>
      </c>
      <c r="E2705">
        <v>104</v>
      </c>
      <c r="F2705" t="s">
        <v>7</v>
      </c>
      <c r="G2705" t="s">
        <v>8</v>
      </c>
      <c r="H2705">
        <v>1</v>
      </c>
      <c r="I2705" t="s">
        <v>27</v>
      </c>
    </row>
    <row r="2706" spans="1:9" x14ac:dyDescent="0.2">
      <c r="A2706" t="str">
        <f t="shared" si="289"/>
        <v>38322Tiahura18105Autres</v>
      </c>
      <c r="B2706" s="1">
        <v>38322</v>
      </c>
      <c r="C2706" t="s">
        <v>24</v>
      </c>
      <c r="D2706" s="19">
        <v>18</v>
      </c>
      <c r="E2706">
        <v>105</v>
      </c>
      <c r="F2706" t="s">
        <v>14</v>
      </c>
      <c r="H2706">
        <v>0</v>
      </c>
    </row>
    <row r="2707" spans="1:9" x14ac:dyDescent="0.2">
      <c r="A2707" t="str">
        <f t="shared" si="289"/>
        <v>38322Tiahura18106PocilloporidaeDessus</v>
      </c>
      <c r="B2707" s="1">
        <v>38322</v>
      </c>
      <c r="C2707" t="s">
        <v>24</v>
      </c>
      <c r="D2707" s="19">
        <v>18</v>
      </c>
      <c r="E2707">
        <v>106</v>
      </c>
      <c r="F2707" t="s">
        <v>10</v>
      </c>
      <c r="G2707" t="s">
        <v>11</v>
      </c>
      <c r="H2707">
        <v>1</v>
      </c>
      <c r="I2707" t="s">
        <v>27</v>
      </c>
    </row>
    <row r="2708" spans="1:9" x14ac:dyDescent="0.2">
      <c r="A2708" t="str">
        <f t="shared" si="289"/>
        <v>38322Tiahura18106PoritidaeDessous</v>
      </c>
      <c r="B2708" s="1">
        <v>38322</v>
      </c>
      <c r="C2708" t="s">
        <v>24</v>
      </c>
      <c r="D2708" s="19">
        <v>18</v>
      </c>
      <c r="E2708">
        <v>106</v>
      </c>
      <c r="F2708" t="s">
        <v>7</v>
      </c>
      <c r="G2708" t="s">
        <v>8</v>
      </c>
      <c r="H2708">
        <v>2</v>
      </c>
      <c r="I2708" t="s">
        <v>27</v>
      </c>
    </row>
    <row r="2709" spans="1:9" x14ac:dyDescent="0.2">
      <c r="A2709" t="str">
        <f t="shared" si="289"/>
        <v>38322Tiahura18107</v>
      </c>
      <c r="B2709" s="1">
        <v>38322</v>
      </c>
      <c r="C2709" t="s">
        <v>24</v>
      </c>
      <c r="D2709" s="19">
        <v>18</v>
      </c>
      <c r="E2709">
        <v>107</v>
      </c>
    </row>
    <row r="2710" spans="1:9" x14ac:dyDescent="0.2">
      <c r="A2710" t="str">
        <f t="shared" si="289"/>
        <v>38322Tiahura18108PocilloporidaeDessous</v>
      </c>
      <c r="B2710" s="1">
        <v>38322</v>
      </c>
      <c r="C2710" t="s">
        <v>24</v>
      </c>
      <c r="D2710" s="19">
        <v>18</v>
      </c>
      <c r="E2710">
        <v>108</v>
      </c>
      <c r="F2710" t="s">
        <v>10</v>
      </c>
      <c r="G2710" t="s">
        <v>8</v>
      </c>
      <c r="H2710">
        <v>1</v>
      </c>
      <c r="I2710" t="s">
        <v>27</v>
      </c>
    </row>
    <row r="2711" spans="1:9" x14ac:dyDescent="0.2">
      <c r="A2711" t="str">
        <f t="shared" si="289"/>
        <v>38322Tiahura18108PoritidaeBords</v>
      </c>
      <c r="B2711" s="1">
        <v>38322</v>
      </c>
      <c r="C2711" t="s">
        <v>24</v>
      </c>
      <c r="D2711" s="19">
        <v>18</v>
      </c>
      <c r="E2711">
        <v>108</v>
      </c>
      <c r="F2711" t="s">
        <v>7</v>
      </c>
      <c r="G2711" t="s">
        <v>13</v>
      </c>
      <c r="H2711">
        <v>1</v>
      </c>
      <c r="I2711" t="s">
        <v>27</v>
      </c>
    </row>
    <row r="2712" spans="1:9" x14ac:dyDescent="0.2">
      <c r="A2712" t="str">
        <f t="shared" si="289"/>
        <v>38322Tiahura18109AcroporidaeBords</v>
      </c>
      <c r="B2712" s="1">
        <v>38322</v>
      </c>
      <c r="C2712" t="s">
        <v>24</v>
      </c>
      <c r="D2712" s="19">
        <v>18</v>
      </c>
      <c r="E2712">
        <v>109</v>
      </c>
      <c r="F2712" t="s">
        <v>17</v>
      </c>
      <c r="G2712" t="s">
        <v>13</v>
      </c>
      <c r="H2712">
        <v>1</v>
      </c>
      <c r="I2712" t="s">
        <v>27</v>
      </c>
    </row>
    <row r="2713" spans="1:9" x14ac:dyDescent="0.2">
      <c r="A2713" t="str">
        <f t="shared" si="289"/>
        <v>38322Tiahura18109AcroporidaeDessous</v>
      </c>
      <c r="B2713" s="1">
        <v>38322</v>
      </c>
      <c r="C2713" t="s">
        <v>24</v>
      </c>
      <c r="D2713" s="19">
        <v>18</v>
      </c>
      <c r="E2713">
        <v>109</v>
      </c>
      <c r="F2713" t="s">
        <v>17</v>
      </c>
      <c r="G2713" t="s">
        <v>8</v>
      </c>
      <c r="H2713">
        <v>1</v>
      </c>
      <c r="I2713" t="s">
        <v>27</v>
      </c>
    </row>
    <row r="2714" spans="1:9" x14ac:dyDescent="0.2">
      <c r="A2714" t="str">
        <f t="shared" si="289"/>
        <v>38322Tiahura18109PocilloporidaeDessous</v>
      </c>
      <c r="B2714" s="1">
        <v>38322</v>
      </c>
      <c r="C2714" t="s">
        <v>24</v>
      </c>
      <c r="D2714" s="19">
        <v>18</v>
      </c>
      <c r="E2714">
        <v>109</v>
      </c>
      <c r="F2714" t="s">
        <v>10</v>
      </c>
      <c r="G2714" t="s">
        <v>8</v>
      </c>
      <c r="H2714">
        <v>3</v>
      </c>
      <c r="I2714" t="s">
        <v>27</v>
      </c>
    </row>
    <row r="2715" spans="1:9" x14ac:dyDescent="0.2">
      <c r="A2715" t="str">
        <f t="shared" si="289"/>
        <v>38322Tiahura18109PoritidaeDessous</v>
      </c>
      <c r="B2715" s="1">
        <v>38322</v>
      </c>
      <c r="C2715" t="s">
        <v>24</v>
      </c>
      <c r="D2715" s="19">
        <v>18</v>
      </c>
      <c r="E2715">
        <v>109</v>
      </c>
      <c r="F2715" t="s">
        <v>7</v>
      </c>
      <c r="G2715" t="s">
        <v>8</v>
      </c>
      <c r="H2715">
        <v>2</v>
      </c>
      <c r="I2715" t="s">
        <v>27</v>
      </c>
    </row>
    <row r="2716" spans="1:9" x14ac:dyDescent="0.2">
      <c r="A2716" t="str">
        <f t="shared" si="289"/>
        <v>38322Tiahura18110Autres</v>
      </c>
      <c r="B2716" s="1">
        <v>38322</v>
      </c>
      <c r="C2716" t="s">
        <v>24</v>
      </c>
      <c r="D2716" s="19">
        <v>18</v>
      </c>
      <c r="E2716">
        <v>110</v>
      </c>
      <c r="F2716" t="s">
        <v>14</v>
      </c>
      <c r="H2716">
        <v>0</v>
      </c>
    </row>
    <row r="2717" spans="1:9" x14ac:dyDescent="0.2">
      <c r="A2717" t="str">
        <f t="shared" si="289"/>
        <v>38322Tiahura18111Autres</v>
      </c>
      <c r="B2717" s="1">
        <v>38322</v>
      </c>
      <c r="C2717" t="s">
        <v>24</v>
      </c>
      <c r="D2717" s="19">
        <v>18</v>
      </c>
      <c r="E2717">
        <v>111</v>
      </c>
      <c r="F2717" t="s">
        <v>14</v>
      </c>
      <c r="H2717">
        <v>0</v>
      </c>
    </row>
    <row r="2718" spans="1:9" x14ac:dyDescent="0.2">
      <c r="A2718" t="str">
        <f t="shared" si="289"/>
        <v>38322Tiahura18112Autres</v>
      </c>
      <c r="B2718" s="1">
        <v>38322</v>
      </c>
      <c r="C2718" t="s">
        <v>24</v>
      </c>
      <c r="D2718" s="19">
        <v>18</v>
      </c>
      <c r="E2718">
        <v>112</v>
      </c>
      <c r="F2718" t="s">
        <v>14</v>
      </c>
      <c r="H2718">
        <v>0</v>
      </c>
    </row>
    <row r="2719" spans="1:9" x14ac:dyDescent="0.2">
      <c r="A2719" t="str">
        <f t="shared" si="289"/>
        <v>38322Tiahura18113Autres</v>
      </c>
      <c r="B2719" s="1">
        <v>38322</v>
      </c>
      <c r="C2719" t="s">
        <v>24</v>
      </c>
      <c r="D2719" s="19">
        <v>18</v>
      </c>
      <c r="E2719">
        <v>113</v>
      </c>
      <c r="F2719" t="s">
        <v>14</v>
      </c>
      <c r="H2719">
        <v>0</v>
      </c>
    </row>
    <row r="2720" spans="1:9" x14ac:dyDescent="0.2">
      <c r="A2720" t="str">
        <f t="shared" si="289"/>
        <v>38322Tiahura18114AcroporidaeBords</v>
      </c>
      <c r="B2720" s="1">
        <v>38322</v>
      </c>
      <c r="C2720" t="s">
        <v>24</v>
      </c>
      <c r="D2720" s="19">
        <v>18</v>
      </c>
      <c r="E2720">
        <v>114</v>
      </c>
      <c r="F2720" t="s">
        <v>17</v>
      </c>
      <c r="G2720" t="s">
        <v>13</v>
      </c>
      <c r="H2720">
        <v>1</v>
      </c>
      <c r="I2720" t="s">
        <v>27</v>
      </c>
    </row>
    <row r="2721" spans="1:9" x14ac:dyDescent="0.2">
      <c r="A2721" t="str">
        <f t="shared" si="289"/>
        <v>38322Tiahura18114AcroporidaeDessous</v>
      </c>
      <c r="B2721" s="1">
        <v>38322</v>
      </c>
      <c r="C2721" t="s">
        <v>24</v>
      </c>
      <c r="D2721" s="19">
        <v>18</v>
      </c>
      <c r="E2721">
        <v>114</v>
      </c>
      <c r="F2721" t="s">
        <v>17</v>
      </c>
      <c r="G2721" t="s">
        <v>8</v>
      </c>
      <c r="H2721">
        <v>1</v>
      </c>
      <c r="I2721" t="s">
        <v>27</v>
      </c>
    </row>
    <row r="2722" spans="1:9" x14ac:dyDescent="0.2">
      <c r="A2722" t="str">
        <f t="shared" si="289"/>
        <v>38322Tiahura18114PoritidaeBords</v>
      </c>
      <c r="B2722" s="1">
        <v>38322</v>
      </c>
      <c r="C2722" t="s">
        <v>24</v>
      </c>
      <c r="D2722" s="19">
        <v>18</v>
      </c>
      <c r="E2722">
        <v>114</v>
      </c>
      <c r="F2722" t="s">
        <v>7</v>
      </c>
      <c r="G2722" t="s">
        <v>13</v>
      </c>
      <c r="H2722">
        <v>1</v>
      </c>
      <c r="I2722" t="s">
        <v>27</v>
      </c>
    </row>
    <row r="2723" spans="1:9" x14ac:dyDescent="0.2">
      <c r="A2723" t="str">
        <f t="shared" si="289"/>
        <v>38322Tiahura18115Autres</v>
      </c>
      <c r="B2723" s="1">
        <v>38322</v>
      </c>
      <c r="C2723" t="s">
        <v>24</v>
      </c>
      <c r="D2723" s="19">
        <v>18</v>
      </c>
      <c r="E2723">
        <v>115</v>
      </c>
      <c r="F2723" t="s">
        <v>14</v>
      </c>
      <c r="H2723">
        <v>0</v>
      </c>
    </row>
    <row r="2724" spans="1:9" x14ac:dyDescent="0.2">
      <c r="A2724" t="str">
        <f t="shared" si="289"/>
        <v>38322Tiahura18116Autres</v>
      </c>
      <c r="B2724" s="1">
        <v>38322</v>
      </c>
      <c r="C2724" t="s">
        <v>24</v>
      </c>
      <c r="D2724" s="19">
        <v>18</v>
      </c>
      <c r="E2724">
        <v>116</v>
      </c>
      <c r="F2724" t="s">
        <v>14</v>
      </c>
      <c r="H2724">
        <v>0</v>
      </c>
    </row>
    <row r="2725" spans="1:9" x14ac:dyDescent="0.2">
      <c r="A2725" t="str">
        <f t="shared" si="289"/>
        <v>38322Tiahura18117Autres</v>
      </c>
      <c r="B2725" s="1">
        <v>38322</v>
      </c>
      <c r="C2725" t="s">
        <v>24</v>
      </c>
      <c r="D2725" s="19">
        <v>18</v>
      </c>
      <c r="E2725">
        <v>117</v>
      </c>
      <c r="F2725" t="s">
        <v>14</v>
      </c>
      <c r="H2725">
        <v>0</v>
      </c>
    </row>
    <row r="2726" spans="1:9" x14ac:dyDescent="0.2">
      <c r="A2726" t="str">
        <f t="shared" si="289"/>
        <v>38322Tiahura18118PocilloporidaeDessous</v>
      </c>
      <c r="B2726" s="1">
        <v>38322</v>
      </c>
      <c r="C2726" t="s">
        <v>24</v>
      </c>
      <c r="D2726" s="19">
        <v>18</v>
      </c>
      <c r="E2726">
        <v>118</v>
      </c>
      <c r="F2726" t="s">
        <v>10</v>
      </c>
      <c r="G2726" t="s">
        <v>8</v>
      </c>
      <c r="H2726">
        <v>2</v>
      </c>
      <c r="I2726" t="s">
        <v>27</v>
      </c>
    </row>
    <row r="2727" spans="1:9" x14ac:dyDescent="0.2">
      <c r="A2727" t="str">
        <f t="shared" si="289"/>
        <v>38322Tiahura18119Autres</v>
      </c>
      <c r="B2727" s="1">
        <v>38322</v>
      </c>
      <c r="C2727" t="s">
        <v>24</v>
      </c>
      <c r="D2727" s="19">
        <v>18</v>
      </c>
      <c r="E2727">
        <v>119</v>
      </c>
      <c r="F2727" t="s">
        <v>14</v>
      </c>
      <c r="H2727">
        <v>0</v>
      </c>
    </row>
    <row r="2728" spans="1:9" x14ac:dyDescent="0.2">
      <c r="A2728" t="str">
        <f t="shared" si="289"/>
        <v>38322Tiahura18120AcroporidaeBords</v>
      </c>
      <c r="B2728" s="1">
        <v>38322</v>
      </c>
      <c r="C2728" t="s">
        <v>24</v>
      </c>
      <c r="D2728" s="19">
        <v>18</v>
      </c>
      <c r="E2728">
        <v>120</v>
      </c>
      <c r="F2728" t="s">
        <v>17</v>
      </c>
      <c r="G2728" t="s">
        <v>13</v>
      </c>
      <c r="H2728">
        <v>1</v>
      </c>
      <c r="I2728" t="s">
        <v>27</v>
      </c>
    </row>
    <row r="2729" spans="1:9" x14ac:dyDescent="0.2">
      <c r="A2729" t="str">
        <f t="shared" si="289"/>
        <v>38322Tiahura18120AutresBords</v>
      </c>
      <c r="B2729" s="1">
        <v>38322</v>
      </c>
      <c r="C2729" t="s">
        <v>24</v>
      </c>
      <c r="D2729" s="19">
        <v>18</v>
      </c>
      <c r="E2729">
        <v>120</v>
      </c>
      <c r="F2729" t="s">
        <v>14</v>
      </c>
      <c r="G2729" t="s">
        <v>13</v>
      </c>
      <c r="H2729">
        <v>1</v>
      </c>
      <c r="I2729" t="s">
        <v>27</v>
      </c>
    </row>
    <row r="2730" spans="1:9" x14ac:dyDescent="0.2">
      <c r="A2730" t="str">
        <f t="shared" si="289"/>
        <v>38322Tiahura18120PocilloporidaeBords</v>
      </c>
      <c r="B2730" s="1">
        <v>38322</v>
      </c>
      <c r="C2730" t="s">
        <v>24</v>
      </c>
      <c r="D2730" s="19">
        <v>18</v>
      </c>
      <c r="E2730">
        <v>120</v>
      </c>
      <c r="F2730" t="s">
        <v>10</v>
      </c>
      <c r="G2730" t="s">
        <v>13</v>
      </c>
      <c r="H2730">
        <v>4</v>
      </c>
      <c r="I2730" t="s">
        <v>27</v>
      </c>
    </row>
    <row r="2731" spans="1:9" x14ac:dyDescent="0.2">
      <c r="A2731" t="str">
        <f t="shared" si="289"/>
        <v>38322Tiahura18120PocilloporidaeDessous</v>
      </c>
      <c r="B2731" s="1">
        <v>38322</v>
      </c>
      <c r="C2731" t="s">
        <v>24</v>
      </c>
      <c r="D2731" s="19">
        <v>18</v>
      </c>
      <c r="E2731">
        <v>120</v>
      </c>
      <c r="F2731" t="s">
        <v>10</v>
      </c>
      <c r="G2731" t="s">
        <v>8</v>
      </c>
      <c r="H2731">
        <v>1</v>
      </c>
      <c r="I2731" t="s">
        <v>27</v>
      </c>
    </row>
    <row r="2732" spans="1:9" x14ac:dyDescent="0.2">
      <c r="A2732" t="str">
        <f t="shared" si="289"/>
        <v>38322Tiahura18120PoritidaeBords</v>
      </c>
      <c r="B2732" s="1">
        <v>38322</v>
      </c>
      <c r="C2732" t="s">
        <v>24</v>
      </c>
      <c r="D2732" s="19">
        <v>18</v>
      </c>
      <c r="E2732">
        <v>120</v>
      </c>
      <c r="F2732" t="s">
        <v>7</v>
      </c>
      <c r="G2732" t="s">
        <v>13</v>
      </c>
      <c r="H2732">
        <v>1</v>
      </c>
      <c r="I2732" t="s">
        <v>27</v>
      </c>
    </row>
    <row r="2733" spans="1:9" x14ac:dyDescent="0.2">
      <c r="A2733" t="str">
        <f t="shared" si="289"/>
        <v>38322Haapiti6121Autres</v>
      </c>
      <c r="B2733" s="1">
        <v>38322</v>
      </c>
      <c r="C2733" t="s">
        <v>25</v>
      </c>
      <c r="D2733" s="19">
        <v>6</v>
      </c>
      <c r="E2733">
        <v>121</v>
      </c>
      <c r="F2733" t="s">
        <v>14</v>
      </c>
      <c r="H2733">
        <v>0</v>
      </c>
    </row>
    <row r="2734" spans="1:9" x14ac:dyDescent="0.2">
      <c r="A2734" t="str">
        <f t="shared" si="289"/>
        <v>38322Haapiti6122Autres</v>
      </c>
      <c r="B2734" s="1">
        <v>38322</v>
      </c>
      <c r="C2734" t="s">
        <v>25</v>
      </c>
      <c r="D2734" s="19">
        <v>6</v>
      </c>
      <c r="E2734">
        <v>122</v>
      </c>
      <c r="F2734" t="s">
        <v>14</v>
      </c>
      <c r="H2734">
        <v>0</v>
      </c>
    </row>
    <row r="2735" spans="1:9" x14ac:dyDescent="0.2">
      <c r="A2735" t="str">
        <f t="shared" si="289"/>
        <v>38322Haapiti6123Autres</v>
      </c>
      <c r="B2735" s="1">
        <v>38322</v>
      </c>
      <c r="C2735" t="s">
        <v>25</v>
      </c>
      <c r="D2735" s="19">
        <v>6</v>
      </c>
      <c r="E2735">
        <v>123</v>
      </c>
      <c r="F2735" t="s">
        <v>14</v>
      </c>
      <c r="H2735">
        <v>0</v>
      </c>
    </row>
    <row r="2736" spans="1:9" x14ac:dyDescent="0.2">
      <c r="A2736" t="str">
        <f t="shared" si="289"/>
        <v>38322Haapiti6124PocilloporidaeDessous</v>
      </c>
      <c r="B2736" s="1">
        <v>38322</v>
      </c>
      <c r="C2736" t="s">
        <v>25</v>
      </c>
      <c r="D2736" s="19">
        <v>6</v>
      </c>
      <c r="E2736">
        <v>124</v>
      </c>
      <c r="F2736" t="s">
        <v>10</v>
      </c>
      <c r="G2736" t="s">
        <v>8</v>
      </c>
      <c r="H2736">
        <v>1</v>
      </c>
      <c r="I2736" t="s">
        <v>27</v>
      </c>
    </row>
    <row r="2737" spans="1:9" x14ac:dyDescent="0.2">
      <c r="A2737" t="str">
        <f t="shared" si="289"/>
        <v>38322Haapiti6125Autres</v>
      </c>
      <c r="B2737" s="1">
        <v>38322</v>
      </c>
      <c r="C2737" t="s">
        <v>25</v>
      </c>
      <c r="D2737" s="19">
        <v>6</v>
      </c>
      <c r="E2737">
        <v>125</v>
      </c>
      <c r="F2737" t="s">
        <v>14</v>
      </c>
      <c r="H2737">
        <v>0</v>
      </c>
    </row>
    <row r="2738" spans="1:9" x14ac:dyDescent="0.2">
      <c r="A2738" t="str">
        <f t="shared" si="289"/>
        <v>38322Haapiti6126Autres</v>
      </c>
      <c r="B2738" s="1">
        <v>38322</v>
      </c>
      <c r="C2738" t="s">
        <v>25</v>
      </c>
      <c r="D2738" s="19">
        <v>6</v>
      </c>
      <c r="E2738">
        <v>126</v>
      </c>
      <c r="F2738" t="s">
        <v>14</v>
      </c>
      <c r="H2738">
        <v>0</v>
      </c>
    </row>
    <row r="2739" spans="1:9" x14ac:dyDescent="0.2">
      <c r="A2739" t="str">
        <f t="shared" si="289"/>
        <v>38322Haapiti6127Autres</v>
      </c>
      <c r="B2739" s="1">
        <v>38322</v>
      </c>
      <c r="C2739" t="s">
        <v>25</v>
      </c>
      <c r="D2739" s="19">
        <v>6</v>
      </c>
      <c r="E2739">
        <v>127</v>
      </c>
      <c r="F2739" t="s">
        <v>14</v>
      </c>
      <c r="H2739">
        <v>0</v>
      </c>
    </row>
    <row r="2740" spans="1:9" x14ac:dyDescent="0.2">
      <c r="A2740" t="str">
        <f t="shared" si="289"/>
        <v>38322Haapiti6128PocilloporidaeDessous</v>
      </c>
      <c r="B2740" s="1">
        <v>38322</v>
      </c>
      <c r="C2740" t="s">
        <v>25</v>
      </c>
      <c r="D2740" s="19">
        <v>6</v>
      </c>
      <c r="E2740">
        <v>128</v>
      </c>
      <c r="F2740" t="s">
        <v>10</v>
      </c>
      <c r="G2740" t="s">
        <v>8</v>
      </c>
      <c r="H2740">
        <v>3</v>
      </c>
      <c r="I2740" t="s">
        <v>27</v>
      </c>
    </row>
    <row r="2741" spans="1:9" x14ac:dyDescent="0.2">
      <c r="A2741" t="str">
        <f t="shared" si="289"/>
        <v>38322Haapiti6128PoritidaeDessous</v>
      </c>
      <c r="B2741" s="1">
        <v>38322</v>
      </c>
      <c r="C2741" t="s">
        <v>25</v>
      </c>
      <c r="D2741" s="19">
        <v>6</v>
      </c>
      <c r="E2741">
        <v>128</v>
      </c>
      <c r="F2741" t="s">
        <v>7</v>
      </c>
      <c r="G2741" t="s">
        <v>8</v>
      </c>
      <c r="H2741">
        <v>1</v>
      </c>
      <c r="I2741" t="s">
        <v>27</v>
      </c>
    </row>
    <row r="2742" spans="1:9" x14ac:dyDescent="0.2">
      <c r="A2742" t="str">
        <f t="shared" si="289"/>
        <v>38322Haapiti6129Autres</v>
      </c>
      <c r="B2742" s="1">
        <v>38322</v>
      </c>
      <c r="C2742" t="s">
        <v>25</v>
      </c>
      <c r="D2742" s="19">
        <v>6</v>
      </c>
      <c r="E2742">
        <v>129</v>
      </c>
      <c r="F2742" t="s">
        <v>14</v>
      </c>
      <c r="H2742">
        <v>0</v>
      </c>
    </row>
    <row r="2743" spans="1:9" x14ac:dyDescent="0.2">
      <c r="A2743" t="str">
        <f t="shared" si="289"/>
        <v>38322Haapiti6130Autres</v>
      </c>
      <c r="B2743" s="1">
        <v>38322</v>
      </c>
      <c r="C2743" t="s">
        <v>25</v>
      </c>
      <c r="D2743" s="19">
        <v>6</v>
      </c>
      <c r="E2743">
        <v>130</v>
      </c>
      <c r="F2743" t="s">
        <v>14</v>
      </c>
      <c r="H2743">
        <v>0</v>
      </c>
    </row>
    <row r="2744" spans="1:9" x14ac:dyDescent="0.2">
      <c r="A2744" t="str">
        <f t="shared" si="289"/>
        <v>38322Haapiti6131PocilloporidaeDessous</v>
      </c>
      <c r="B2744" s="1">
        <v>38322</v>
      </c>
      <c r="C2744" t="s">
        <v>25</v>
      </c>
      <c r="D2744" s="19">
        <v>6</v>
      </c>
      <c r="E2744">
        <v>131</v>
      </c>
      <c r="F2744" t="s">
        <v>10</v>
      </c>
      <c r="G2744" t="s">
        <v>8</v>
      </c>
      <c r="H2744">
        <v>1</v>
      </c>
      <c r="I2744" t="s">
        <v>27</v>
      </c>
    </row>
    <row r="2745" spans="1:9" x14ac:dyDescent="0.2">
      <c r="A2745" t="str">
        <f t="shared" si="289"/>
        <v>38322Haapiti6132Autres</v>
      </c>
      <c r="B2745" s="1">
        <v>38322</v>
      </c>
      <c r="C2745" t="s">
        <v>25</v>
      </c>
      <c r="D2745" s="19">
        <v>6</v>
      </c>
      <c r="E2745">
        <v>132</v>
      </c>
      <c r="F2745" t="s">
        <v>14</v>
      </c>
      <c r="H2745">
        <v>0</v>
      </c>
    </row>
    <row r="2746" spans="1:9" x14ac:dyDescent="0.2">
      <c r="A2746" t="str">
        <f t="shared" si="289"/>
        <v>38322Haapiti6133PocilloporidaeDessous</v>
      </c>
      <c r="B2746" s="1">
        <v>38322</v>
      </c>
      <c r="C2746" t="s">
        <v>25</v>
      </c>
      <c r="D2746" s="19">
        <v>6</v>
      </c>
      <c r="E2746">
        <v>133</v>
      </c>
      <c r="F2746" t="s">
        <v>10</v>
      </c>
      <c r="G2746" t="s">
        <v>8</v>
      </c>
      <c r="H2746">
        <v>1</v>
      </c>
      <c r="I2746" t="s">
        <v>27</v>
      </c>
    </row>
    <row r="2747" spans="1:9" x14ac:dyDescent="0.2">
      <c r="A2747" t="str">
        <f t="shared" si="289"/>
        <v>38322Haapiti6134Autres</v>
      </c>
      <c r="B2747" s="1">
        <v>38322</v>
      </c>
      <c r="C2747" t="s">
        <v>25</v>
      </c>
      <c r="D2747" s="19">
        <v>6</v>
      </c>
      <c r="E2747">
        <v>134</v>
      </c>
      <c r="F2747" t="s">
        <v>14</v>
      </c>
      <c r="H2747">
        <v>0</v>
      </c>
    </row>
    <row r="2748" spans="1:9" x14ac:dyDescent="0.2">
      <c r="A2748" t="str">
        <f t="shared" si="289"/>
        <v>38322Haapiti6135Autres</v>
      </c>
      <c r="B2748" s="1">
        <v>38322</v>
      </c>
      <c r="C2748" t="s">
        <v>25</v>
      </c>
      <c r="D2748" s="19">
        <v>6</v>
      </c>
      <c r="E2748">
        <v>135</v>
      </c>
      <c r="F2748" t="s">
        <v>14</v>
      </c>
      <c r="H2748">
        <v>0</v>
      </c>
    </row>
    <row r="2749" spans="1:9" x14ac:dyDescent="0.2">
      <c r="A2749" t="str">
        <f t="shared" si="289"/>
        <v>38322Haapiti6136Autres</v>
      </c>
      <c r="B2749" s="1">
        <v>38322</v>
      </c>
      <c r="C2749" t="s">
        <v>25</v>
      </c>
      <c r="D2749" s="19">
        <v>6</v>
      </c>
      <c r="E2749">
        <v>136</v>
      </c>
      <c r="F2749" t="s">
        <v>14</v>
      </c>
      <c r="H2749">
        <v>0</v>
      </c>
    </row>
    <row r="2750" spans="1:9" x14ac:dyDescent="0.2">
      <c r="A2750" t="str">
        <f t="shared" si="289"/>
        <v>38322Haapiti6137Autres</v>
      </c>
      <c r="B2750" s="1">
        <v>38322</v>
      </c>
      <c r="C2750" t="s">
        <v>25</v>
      </c>
      <c r="D2750" s="19">
        <v>6</v>
      </c>
      <c r="E2750">
        <v>137</v>
      </c>
      <c r="F2750" t="s">
        <v>14</v>
      </c>
      <c r="H2750">
        <v>0</v>
      </c>
    </row>
    <row r="2751" spans="1:9" x14ac:dyDescent="0.2">
      <c r="A2751" t="str">
        <f t="shared" ref="A2751:A2814" si="290">B2751 &amp; C2751&amp; D2751&amp; E2751 &amp; F2751 &amp;G2751</f>
        <v>38322Haapiti6138Autres</v>
      </c>
      <c r="B2751" s="1">
        <v>38322</v>
      </c>
      <c r="C2751" t="s">
        <v>25</v>
      </c>
      <c r="D2751" s="19">
        <v>6</v>
      </c>
      <c r="E2751">
        <v>138</v>
      </c>
      <c r="F2751" t="s">
        <v>14</v>
      </c>
      <c r="H2751">
        <v>0</v>
      </c>
    </row>
    <row r="2752" spans="1:9" x14ac:dyDescent="0.2">
      <c r="A2752" t="str">
        <f t="shared" si="290"/>
        <v>38322Haapiti6139Autres</v>
      </c>
      <c r="B2752" s="1">
        <v>38322</v>
      </c>
      <c r="C2752" t="s">
        <v>25</v>
      </c>
      <c r="D2752" s="19">
        <v>6</v>
      </c>
      <c r="E2752">
        <v>139</v>
      </c>
      <c r="F2752" t="s">
        <v>14</v>
      </c>
      <c r="H2752">
        <v>0</v>
      </c>
    </row>
    <row r="2753" spans="1:9" x14ac:dyDescent="0.2">
      <c r="A2753" t="str">
        <f t="shared" si="290"/>
        <v>38322Haapiti6140Autres</v>
      </c>
      <c r="B2753" s="1">
        <v>38322</v>
      </c>
      <c r="C2753" t="s">
        <v>25</v>
      </c>
      <c r="D2753" s="19">
        <v>6</v>
      </c>
      <c r="E2753">
        <v>140</v>
      </c>
      <c r="F2753" t="s">
        <v>14</v>
      </c>
      <c r="H2753">
        <v>0</v>
      </c>
    </row>
    <row r="2754" spans="1:9" x14ac:dyDescent="0.2">
      <c r="A2754" t="str">
        <f t="shared" si="290"/>
        <v>38322Haapiti12141PocilloporidaeDessous</v>
      </c>
      <c r="B2754" s="1">
        <v>38322</v>
      </c>
      <c r="C2754" t="s">
        <v>25</v>
      </c>
      <c r="D2754" s="19">
        <v>12</v>
      </c>
      <c r="E2754">
        <v>141</v>
      </c>
      <c r="F2754" t="s">
        <v>10</v>
      </c>
      <c r="G2754" t="s">
        <v>8</v>
      </c>
      <c r="H2754">
        <v>1</v>
      </c>
      <c r="I2754" t="s">
        <v>27</v>
      </c>
    </row>
    <row r="2755" spans="1:9" x14ac:dyDescent="0.2">
      <c r="A2755" t="str">
        <f t="shared" si="290"/>
        <v>38322Haapiti12141PoritidaeDessous</v>
      </c>
      <c r="B2755" s="1">
        <v>38322</v>
      </c>
      <c r="C2755" t="s">
        <v>25</v>
      </c>
      <c r="D2755" s="19">
        <v>12</v>
      </c>
      <c r="E2755">
        <v>141</v>
      </c>
      <c r="F2755" t="s">
        <v>7</v>
      </c>
      <c r="G2755" t="s">
        <v>8</v>
      </c>
      <c r="H2755">
        <v>1</v>
      </c>
      <c r="I2755" t="s">
        <v>27</v>
      </c>
    </row>
    <row r="2756" spans="1:9" x14ac:dyDescent="0.2">
      <c r="A2756" t="str">
        <f t="shared" si="290"/>
        <v>38322Haapiti12142Autres</v>
      </c>
      <c r="B2756" s="1">
        <v>38322</v>
      </c>
      <c r="C2756" t="s">
        <v>25</v>
      </c>
      <c r="D2756" s="19">
        <v>12</v>
      </c>
      <c r="E2756">
        <v>142</v>
      </c>
      <c r="F2756" t="s">
        <v>14</v>
      </c>
      <c r="H2756">
        <v>0</v>
      </c>
    </row>
    <row r="2757" spans="1:9" x14ac:dyDescent="0.2">
      <c r="A2757" t="str">
        <f t="shared" si="290"/>
        <v>38322Haapiti12143</v>
      </c>
      <c r="B2757" s="1">
        <v>38322</v>
      </c>
      <c r="C2757" t="s">
        <v>25</v>
      </c>
      <c r="D2757" s="19">
        <v>12</v>
      </c>
      <c r="E2757">
        <v>143</v>
      </c>
      <c r="F2757" t="s">
        <v>27</v>
      </c>
      <c r="G2757" t="s">
        <v>27</v>
      </c>
      <c r="H2757" t="s">
        <v>27</v>
      </c>
      <c r="I2757" t="s">
        <v>31</v>
      </c>
    </row>
    <row r="2758" spans="1:9" x14ac:dyDescent="0.2">
      <c r="A2758" t="str">
        <f t="shared" si="290"/>
        <v>38322Haapiti12144</v>
      </c>
      <c r="B2758" s="1">
        <v>38322</v>
      </c>
      <c r="C2758" t="s">
        <v>25</v>
      </c>
      <c r="D2758" s="19">
        <v>12</v>
      </c>
      <c r="E2758">
        <v>144</v>
      </c>
      <c r="F2758" t="s">
        <v>27</v>
      </c>
      <c r="G2758" t="s">
        <v>27</v>
      </c>
      <c r="H2758" t="s">
        <v>27</v>
      </c>
      <c r="I2758" t="s">
        <v>31</v>
      </c>
    </row>
    <row r="2759" spans="1:9" x14ac:dyDescent="0.2">
      <c r="A2759" t="str">
        <f t="shared" si="290"/>
        <v>38322Haapiti12145Autres</v>
      </c>
      <c r="B2759" s="1">
        <v>38322</v>
      </c>
      <c r="C2759" t="s">
        <v>25</v>
      </c>
      <c r="D2759" s="19">
        <v>12</v>
      </c>
      <c r="E2759">
        <v>145</v>
      </c>
      <c r="F2759" t="s">
        <v>14</v>
      </c>
      <c r="H2759">
        <v>0</v>
      </c>
    </row>
    <row r="2760" spans="1:9" x14ac:dyDescent="0.2">
      <c r="A2760" t="str">
        <f t="shared" si="290"/>
        <v>38322Haapiti12146Autres</v>
      </c>
      <c r="B2760" s="1">
        <v>38322</v>
      </c>
      <c r="C2760" t="s">
        <v>25</v>
      </c>
      <c r="D2760" s="19">
        <v>12</v>
      </c>
      <c r="E2760">
        <v>146</v>
      </c>
      <c r="F2760" t="s">
        <v>14</v>
      </c>
      <c r="H2760">
        <v>0</v>
      </c>
    </row>
    <row r="2761" spans="1:9" x14ac:dyDescent="0.2">
      <c r="A2761" t="str">
        <f t="shared" si="290"/>
        <v>38322Haapiti12147Autres</v>
      </c>
      <c r="B2761" s="1">
        <v>38322</v>
      </c>
      <c r="C2761" t="s">
        <v>25</v>
      </c>
      <c r="D2761" s="19">
        <v>12</v>
      </c>
      <c r="E2761">
        <v>147</v>
      </c>
      <c r="F2761" t="s">
        <v>14</v>
      </c>
      <c r="H2761">
        <v>0</v>
      </c>
    </row>
    <row r="2762" spans="1:9" x14ac:dyDescent="0.2">
      <c r="A2762" t="str">
        <f t="shared" si="290"/>
        <v>38322Haapiti12148Autres</v>
      </c>
      <c r="B2762" s="1">
        <v>38322</v>
      </c>
      <c r="C2762" t="s">
        <v>25</v>
      </c>
      <c r="D2762" s="19">
        <v>12</v>
      </c>
      <c r="E2762">
        <v>148</v>
      </c>
      <c r="F2762" t="s">
        <v>14</v>
      </c>
      <c r="H2762">
        <v>0</v>
      </c>
    </row>
    <row r="2763" spans="1:9" x14ac:dyDescent="0.2">
      <c r="A2763" t="str">
        <f t="shared" si="290"/>
        <v>38322Haapiti12149Autres</v>
      </c>
      <c r="B2763" s="1">
        <v>38322</v>
      </c>
      <c r="C2763" t="s">
        <v>25</v>
      </c>
      <c r="D2763" s="19">
        <v>12</v>
      </c>
      <c r="E2763">
        <v>149</v>
      </c>
      <c r="F2763" t="s">
        <v>14</v>
      </c>
      <c r="H2763">
        <v>0</v>
      </c>
    </row>
    <row r="2764" spans="1:9" x14ac:dyDescent="0.2">
      <c r="A2764" t="str">
        <f t="shared" si="290"/>
        <v>38322Haapiti12150PocilloporidaeBords</v>
      </c>
      <c r="B2764" s="1">
        <v>38322</v>
      </c>
      <c r="C2764" t="s">
        <v>25</v>
      </c>
      <c r="D2764" s="19">
        <v>12</v>
      </c>
      <c r="E2764">
        <v>150</v>
      </c>
      <c r="F2764" t="s">
        <v>10</v>
      </c>
      <c r="G2764" t="s">
        <v>13</v>
      </c>
      <c r="H2764">
        <v>2</v>
      </c>
      <c r="I2764" t="s">
        <v>27</v>
      </c>
    </row>
    <row r="2765" spans="1:9" x14ac:dyDescent="0.2">
      <c r="A2765" t="str">
        <f t="shared" si="290"/>
        <v>38322Haapiti12150PocilloporidaeDessus</v>
      </c>
      <c r="B2765" s="1">
        <v>38322</v>
      </c>
      <c r="C2765" t="s">
        <v>25</v>
      </c>
      <c r="D2765" s="19">
        <v>12</v>
      </c>
      <c r="E2765">
        <v>150</v>
      </c>
      <c r="F2765" t="s">
        <v>10</v>
      </c>
      <c r="G2765" t="s">
        <v>11</v>
      </c>
      <c r="H2765">
        <v>1</v>
      </c>
      <c r="I2765" t="s">
        <v>27</v>
      </c>
    </row>
    <row r="2766" spans="1:9" x14ac:dyDescent="0.2">
      <c r="A2766" t="str">
        <f t="shared" si="290"/>
        <v>38322Haapiti12151PoritidaeDessous</v>
      </c>
      <c r="B2766" s="1">
        <v>38322</v>
      </c>
      <c r="C2766" t="s">
        <v>25</v>
      </c>
      <c r="D2766" s="19">
        <v>12</v>
      </c>
      <c r="E2766">
        <v>151</v>
      </c>
      <c r="F2766" t="s">
        <v>7</v>
      </c>
      <c r="G2766" t="s">
        <v>8</v>
      </c>
      <c r="H2766">
        <v>1</v>
      </c>
      <c r="I2766" t="s">
        <v>27</v>
      </c>
    </row>
    <row r="2767" spans="1:9" x14ac:dyDescent="0.2">
      <c r="A2767" t="str">
        <f t="shared" si="290"/>
        <v>38322Haapiti12152PoritidaeDessous</v>
      </c>
      <c r="B2767" s="1">
        <v>38322</v>
      </c>
      <c r="C2767" t="s">
        <v>25</v>
      </c>
      <c r="D2767" s="19">
        <v>12</v>
      </c>
      <c r="E2767">
        <v>152</v>
      </c>
      <c r="F2767" t="s">
        <v>7</v>
      </c>
      <c r="G2767" t="s">
        <v>8</v>
      </c>
      <c r="H2767">
        <v>1</v>
      </c>
      <c r="I2767" t="s">
        <v>27</v>
      </c>
    </row>
    <row r="2768" spans="1:9" x14ac:dyDescent="0.2">
      <c r="A2768" t="str">
        <f t="shared" si="290"/>
        <v>38322Haapiti12153Autres</v>
      </c>
      <c r="B2768" s="1">
        <v>38322</v>
      </c>
      <c r="C2768" t="s">
        <v>25</v>
      </c>
      <c r="D2768" s="19">
        <v>12</v>
      </c>
      <c r="E2768">
        <v>153</v>
      </c>
      <c r="F2768" t="s">
        <v>14</v>
      </c>
      <c r="H2768">
        <v>0</v>
      </c>
    </row>
    <row r="2769" spans="1:9" x14ac:dyDescent="0.2">
      <c r="A2769" t="str">
        <f t="shared" si="290"/>
        <v>38322Haapiti12154PocilloporidaeBords</v>
      </c>
      <c r="B2769" s="1">
        <v>38322</v>
      </c>
      <c r="C2769" t="s">
        <v>25</v>
      </c>
      <c r="D2769" s="19">
        <v>12</v>
      </c>
      <c r="E2769">
        <v>154</v>
      </c>
      <c r="F2769" t="s">
        <v>10</v>
      </c>
      <c r="G2769" t="s">
        <v>13</v>
      </c>
      <c r="H2769">
        <v>1</v>
      </c>
      <c r="I2769" t="s">
        <v>27</v>
      </c>
    </row>
    <row r="2770" spans="1:9" x14ac:dyDescent="0.2">
      <c r="A2770" t="str">
        <f t="shared" si="290"/>
        <v>38322Haapiti12155Autres</v>
      </c>
      <c r="B2770" s="1">
        <v>38322</v>
      </c>
      <c r="C2770" t="s">
        <v>25</v>
      </c>
      <c r="D2770" s="19">
        <v>12</v>
      </c>
      <c r="E2770">
        <v>155</v>
      </c>
      <c r="F2770" t="s">
        <v>14</v>
      </c>
      <c r="H2770">
        <v>0</v>
      </c>
    </row>
    <row r="2771" spans="1:9" x14ac:dyDescent="0.2">
      <c r="A2771" t="str">
        <f t="shared" si="290"/>
        <v>38322Haapiti12156</v>
      </c>
      <c r="B2771" s="1">
        <v>38322</v>
      </c>
      <c r="C2771" t="s">
        <v>25</v>
      </c>
      <c r="D2771" s="19">
        <v>12</v>
      </c>
      <c r="E2771">
        <v>156</v>
      </c>
      <c r="F2771" t="s">
        <v>27</v>
      </c>
      <c r="G2771" t="s">
        <v>27</v>
      </c>
      <c r="H2771" t="s">
        <v>27</v>
      </c>
      <c r="I2771" t="s">
        <v>31</v>
      </c>
    </row>
    <row r="2772" spans="1:9" x14ac:dyDescent="0.2">
      <c r="A2772" t="str">
        <f t="shared" si="290"/>
        <v>38322Haapiti12157</v>
      </c>
      <c r="B2772" s="1">
        <v>38322</v>
      </c>
      <c r="C2772" t="s">
        <v>25</v>
      </c>
      <c r="D2772" s="19">
        <v>12</v>
      </c>
      <c r="E2772">
        <v>157</v>
      </c>
      <c r="F2772" t="s">
        <v>27</v>
      </c>
      <c r="G2772" t="s">
        <v>27</v>
      </c>
      <c r="H2772" t="s">
        <v>27</v>
      </c>
      <c r="I2772" t="s">
        <v>31</v>
      </c>
    </row>
    <row r="2773" spans="1:9" x14ac:dyDescent="0.2">
      <c r="A2773" t="str">
        <f t="shared" si="290"/>
        <v>38322Haapiti12158Autres</v>
      </c>
      <c r="B2773" s="1">
        <v>38322</v>
      </c>
      <c r="C2773" t="s">
        <v>25</v>
      </c>
      <c r="D2773" s="19">
        <v>12</v>
      </c>
      <c r="E2773">
        <v>158</v>
      </c>
      <c r="F2773" t="s">
        <v>14</v>
      </c>
      <c r="H2773">
        <v>0</v>
      </c>
    </row>
    <row r="2774" spans="1:9" x14ac:dyDescent="0.2">
      <c r="A2774" t="str">
        <f t="shared" si="290"/>
        <v>38322Haapiti12159Autres</v>
      </c>
      <c r="B2774" s="1">
        <v>38322</v>
      </c>
      <c r="C2774" t="s">
        <v>25</v>
      </c>
      <c r="D2774" s="19">
        <v>12</v>
      </c>
      <c r="E2774">
        <v>159</v>
      </c>
      <c r="F2774" t="s">
        <v>14</v>
      </c>
      <c r="H2774">
        <v>0</v>
      </c>
    </row>
    <row r="2775" spans="1:9" x14ac:dyDescent="0.2">
      <c r="A2775" t="str">
        <f t="shared" si="290"/>
        <v>38322Haapiti12160PoritidaeDessous</v>
      </c>
      <c r="B2775" s="1">
        <v>38322</v>
      </c>
      <c r="C2775" t="s">
        <v>25</v>
      </c>
      <c r="D2775" s="19">
        <v>12</v>
      </c>
      <c r="E2775">
        <v>160</v>
      </c>
      <c r="F2775" t="s">
        <v>7</v>
      </c>
      <c r="G2775" t="s">
        <v>8</v>
      </c>
      <c r="H2775">
        <v>1</v>
      </c>
      <c r="I2775" t="s">
        <v>27</v>
      </c>
    </row>
    <row r="2776" spans="1:9" x14ac:dyDescent="0.2">
      <c r="A2776" t="str">
        <f t="shared" si="290"/>
        <v>38322Haapiti18161Autres</v>
      </c>
      <c r="B2776" s="1">
        <v>38322</v>
      </c>
      <c r="C2776" t="s">
        <v>25</v>
      </c>
      <c r="D2776" s="19">
        <v>18</v>
      </c>
      <c r="E2776">
        <v>161</v>
      </c>
      <c r="F2776" t="s">
        <v>14</v>
      </c>
      <c r="H2776">
        <v>0</v>
      </c>
    </row>
    <row r="2777" spans="1:9" x14ac:dyDescent="0.2">
      <c r="A2777" t="str">
        <f t="shared" si="290"/>
        <v>38322Haapiti18162PocilloporidaeDessous</v>
      </c>
      <c r="B2777" s="1">
        <v>38322</v>
      </c>
      <c r="C2777" t="s">
        <v>25</v>
      </c>
      <c r="D2777" s="19">
        <v>18</v>
      </c>
      <c r="E2777">
        <v>162</v>
      </c>
      <c r="F2777" t="s">
        <v>10</v>
      </c>
      <c r="G2777" t="s">
        <v>8</v>
      </c>
      <c r="H2777">
        <v>1</v>
      </c>
      <c r="I2777" t="s">
        <v>27</v>
      </c>
    </row>
    <row r="2778" spans="1:9" x14ac:dyDescent="0.2">
      <c r="A2778" t="str">
        <f t="shared" si="290"/>
        <v>38322Haapiti18162PocilloporidaeDessus</v>
      </c>
      <c r="B2778" s="1">
        <v>38322</v>
      </c>
      <c r="C2778" t="s">
        <v>25</v>
      </c>
      <c r="D2778" s="19">
        <v>18</v>
      </c>
      <c r="E2778">
        <v>162</v>
      </c>
      <c r="F2778" t="s">
        <v>10</v>
      </c>
      <c r="G2778" t="s">
        <v>11</v>
      </c>
      <c r="H2778">
        <v>2</v>
      </c>
      <c r="I2778" t="s">
        <v>27</v>
      </c>
    </row>
    <row r="2779" spans="1:9" x14ac:dyDescent="0.2">
      <c r="A2779" t="str">
        <f t="shared" si="290"/>
        <v>38322Haapiti18163</v>
      </c>
      <c r="B2779" s="1">
        <v>38322</v>
      </c>
      <c r="C2779" t="s">
        <v>25</v>
      </c>
      <c r="D2779" s="19">
        <v>18</v>
      </c>
      <c r="E2779">
        <v>163</v>
      </c>
      <c r="F2779" t="s">
        <v>27</v>
      </c>
      <c r="G2779" t="s">
        <v>27</v>
      </c>
      <c r="H2779" t="s">
        <v>27</v>
      </c>
      <c r="I2779" t="s">
        <v>31</v>
      </c>
    </row>
    <row r="2780" spans="1:9" x14ac:dyDescent="0.2">
      <c r="A2780" t="str">
        <f t="shared" si="290"/>
        <v>38322Haapiti18164PocilloporidaeBords</v>
      </c>
      <c r="B2780" s="1">
        <v>38322</v>
      </c>
      <c r="C2780" t="s">
        <v>25</v>
      </c>
      <c r="D2780" s="19">
        <v>18</v>
      </c>
      <c r="E2780">
        <v>164</v>
      </c>
      <c r="F2780" t="s">
        <v>10</v>
      </c>
      <c r="G2780" t="s">
        <v>13</v>
      </c>
      <c r="H2780">
        <v>1</v>
      </c>
      <c r="I2780" t="s">
        <v>27</v>
      </c>
    </row>
    <row r="2781" spans="1:9" x14ac:dyDescent="0.2">
      <c r="A2781" t="str">
        <f t="shared" si="290"/>
        <v>38322Haapiti18164PocilloporidaeDessus</v>
      </c>
      <c r="B2781" s="1">
        <v>38322</v>
      </c>
      <c r="C2781" t="s">
        <v>25</v>
      </c>
      <c r="D2781" s="19">
        <v>18</v>
      </c>
      <c r="E2781">
        <v>164</v>
      </c>
      <c r="F2781" t="s">
        <v>10</v>
      </c>
      <c r="G2781" t="s">
        <v>11</v>
      </c>
      <c r="H2781">
        <v>1</v>
      </c>
      <c r="I2781" t="s">
        <v>27</v>
      </c>
    </row>
    <row r="2782" spans="1:9" x14ac:dyDescent="0.2">
      <c r="A2782" t="str">
        <f t="shared" si="290"/>
        <v>38322Haapiti18164PoritidaeBords</v>
      </c>
      <c r="B2782" s="1">
        <v>38322</v>
      </c>
      <c r="C2782" t="s">
        <v>25</v>
      </c>
      <c r="D2782" s="19">
        <v>18</v>
      </c>
      <c r="E2782">
        <v>164</v>
      </c>
      <c r="F2782" t="s">
        <v>7</v>
      </c>
      <c r="G2782" t="s">
        <v>13</v>
      </c>
      <c r="H2782">
        <v>1</v>
      </c>
      <c r="I2782" t="s">
        <v>27</v>
      </c>
    </row>
    <row r="2783" spans="1:9" x14ac:dyDescent="0.2">
      <c r="A2783" t="str">
        <f t="shared" si="290"/>
        <v>38322Haapiti18165</v>
      </c>
      <c r="B2783" s="1">
        <v>38322</v>
      </c>
      <c r="C2783" t="s">
        <v>25</v>
      </c>
      <c r="D2783" s="19">
        <v>18</v>
      </c>
      <c r="E2783">
        <v>165</v>
      </c>
      <c r="F2783" t="s">
        <v>27</v>
      </c>
      <c r="G2783" t="s">
        <v>27</v>
      </c>
      <c r="H2783" t="s">
        <v>27</v>
      </c>
      <c r="I2783" t="s">
        <v>31</v>
      </c>
    </row>
    <row r="2784" spans="1:9" x14ac:dyDescent="0.2">
      <c r="A2784" t="str">
        <f t="shared" si="290"/>
        <v>38322Haapiti18166PocilloporidaeBords</v>
      </c>
      <c r="B2784" s="1">
        <v>38322</v>
      </c>
      <c r="C2784" t="s">
        <v>25</v>
      </c>
      <c r="D2784" s="19">
        <v>18</v>
      </c>
      <c r="E2784">
        <v>166</v>
      </c>
      <c r="F2784" t="s">
        <v>10</v>
      </c>
      <c r="G2784" t="s">
        <v>13</v>
      </c>
      <c r="H2784">
        <v>1</v>
      </c>
      <c r="I2784" t="s">
        <v>27</v>
      </c>
    </row>
    <row r="2785" spans="1:9" x14ac:dyDescent="0.2">
      <c r="A2785" t="str">
        <f t="shared" si="290"/>
        <v>38322Haapiti18167PocilloporidaeBords</v>
      </c>
      <c r="B2785" s="1">
        <v>38322</v>
      </c>
      <c r="C2785" t="s">
        <v>25</v>
      </c>
      <c r="D2785" s="19">
        <v>18</v>
      </c>
      <c r="E2785">
        <v>167</v>
      </c>
      <c r="F2785" t="s">
        <v>10</v>
      </c>
      <c r="G2785" t="s">
        <v>13</v>
      </c>
      <c r="H2785">
        <v>1</v>
      </c>
      <c r="I2785" t="s">
        <v>27</v>
      </c>
    </row>
    <row r="2786" spans="1:9" x14ac:dyDescent="0.2">
      <c r="A2786" t="str">
        <f t="shared" si="290"/>
        <v>38322Haapiti18167PocilloporidaeDessous</v>
      </c>
      <c r="B2786" s="1">
        <v>38322</v>
      </c>
      <c r="C2786" t="s">
        <v>25</v>
      </c>
      <c r="D2786" s="19">
        <v>18</v>
      </c>
      <c r="E2786">
        <v>167</v>
      </c>
      <c r="F2786" t="s">
        <v>10</v>
      </c>
      <c r="G2786" t="s">
        <v>8</v>
      </c>
      <c r="H2786">
        <v>2</v>
      </c>
      <c r="I2786" t="s">
        <v>27</v>
      </c>
    </row>
    <row r="2787" spans="1:9" x14ac:dyDescent="0.2">
      <c r="A2787" t="str">
        <f t="shared" si="290"/>
        <v>38322Haapiti18168Autres</v>
      </c>
      <c r="B2787" s="1">
        <v>38322</v>
      </c>
      <c r="C2787" t="s">
        <v>25</v>
      </c>
      <c r="D2787" s="19">
        <v>18</v>
      </c>
      <c r="E2787">
        <v>168</v>
      </c>
      <c r="F2787" t="s">
        <v>14</v>
      </c>
      <c r="H2787">
        <v>0</v>
      </c>
    </row>
    <row r="2788" spans="1:9" x14ac:dyDescent="0.2">
      <c r="A2788" t="str">
        <f t="shared" si="290"/>
        <v>38322Haapiti18169PocilloporidaeBords</v>
      </c>
      <c r="B2788" s="1">
        <v>38322</v>
      </c>
      <c r="C2788" t="s">
        <v>25</v>
      </c>
      <c r="D2788" s="19">
        <v>18</v>
      </c>
      <c r="E2788">
        <v>169</v>
      </c>
      <c r="F2788" t="s">
        <v>10</v>
      </c>
      <c r="G2788" t="s">
        <v>13</v>
      </c>
      <c r="H2788">
        <v>4</v>
      </c>
      <c r="I2788" t="s">
        <v>27</v>
      </c>
    </row>
    <row r="2789" spans="1:9" x14ac:dyDescent="0.2">
      <c r="A2789" t="str">
        <f t="shared" si="290"/>
        <v>38322Haapiti18169PocilloporidaeDessous</v>
      </c>
      <c r="B2789" s="1">
        <v>38322</v>
      </c>
      <c r="C2789" t="s">
        <v>25</v>
      </c>
      <c r="D2789" s="19">
        <v>18</v>
      </c>
      <c r="E2789">
        <v>169</v>
      </c>
      <c r="F2789" t="s">
        <v>10</v>
      </c>
      <c r="G2789" t="s">
        <v>8</v>
      </c>
      <c r="H2789">
        <v>1</v>
      </c>
      <c r="I2789" t="s">
        <v>27</v>
      </c>
    </row>
    <row r="2790" spans="1:9" x14ac:dyDescent="0.2">
      <c r="A2790" t="str">
        <f t="shared" si="290"/>
        <v>38322Haapiti18169PoritidaeDessous</v>
      </c>
      <c r="B2790" s="1">
        <v>38322</v>
      </c>
      <c r="C2790" t="s">
        <v>25</v>
      </c>
      <c r="D2790" s="19">
        <v>18</v>
      </c>
      <c r="E2790">
        <v>169</v>
      </c>
      <c r="F2790" t="s">
        <v>7</v>
      </c>
      <c r="G2790" t="s">
        <v>8</v>
      </c>
      <c r="H2790">
        <v>1</v>
      </c>
      <c r="I2790" t="s">
        <v>27</v>
      </c>
    </row>
    <row r="2791" spans="1:9" x14ac:dyDescent="0.2">
      <c r="A2791" t="str">
        <f t="shared" si="290"/>
        <v>38322Haapiti18170Autres</v>
      </c>
      <c r="B2791" s="1">
        <v>38322</v>
      </c>
      <c r="C2791" t="s">
        <v>25</v>
      </c>
      <c r="D2791" s="19">
        <v>18</v>
      </c>
      <c r="E2791">
        <v>170</v>
      </c>
      <c r="F2791" t="s">
        <v>14</v>
      </c>
      <c r="H2791">
        <v>0</v>
      </c>
    </row>
    <row r="2792" spans="1:9" x14ac:dyDescent="0.2">
      <c r="A2792" t="str">
        <f t="shared" si="290"/>
        <v>38322Haapiti18171PocilloporidaeBords</v>
      </c>
      <c r="B2792" s="1">
        <v>38322</v>
      </c>
      <c r="C2792" t="s">
        <v>25</v>
      </c>
      <c r="D2792" s="19">
        <v>18</v>
      </c>
      <c r="E2792">
        <v>171</v>
      </c>
      <c r="F2792" t="s">
        <v>10</v>
      </c>
      <c r="G2792" t="s">
        <v>13</v>
      </c>
      <c r="H2792">
        <v>2</v>
      </c>
      <c r="I2792" t="s">
        <v>27</v>
      </c>
    </row>
    <row r="2793" spans="1:9" x14ac:dyDescent="0.2">
      <c r="A2793" t="str">
        <f t="shared" si="290"/>
        <v>38322Haapiti18171PocilloporidaeDessus</v>
      </c>
      <c r="B2793" s="1">
        <v>38322</v>
      </c>
      <c r="C2793" t="s">
        <v>25</v>
      </c>
      <c r="D2793" s="19">
        <v>18</v>
      </c>
      <c r="E2793">
        <v>171</v>
      </c>
      <c r="F2793" t="s">
        <v>10</v>
      </c>
      <c r="G2793" t="s">
        <v>11</v>
      </c>
      <c r="H2793">
        <v>1</v>
      </c>
      <c r="I2793" t="s">
        <v>27</v>
      </c>
    </row>
    <row r="2794" spans="1:9" x14ac:dyDescent="0.2">
      <c r="A2794" t="str">
        <f t="shared" si="290"/>
        <v>38322Haapiti18171PoritidaeDessous</v>
      </c>
      <c r="B2794" s="1">
        <v>38322</v>
      </c>
      <c r="C2794" t="s">
        <v>25</v>
      </c>
      <c r="D2794" s="19">
        <v>18</v>
      </c>
      <c r="E2794">
        <v>171</v>
      </c>
      <c r="F2794" t="s">
        <v>7</v>
      </c>
      <c r="G2794" t="s">
        <v>8</v>
      </c>
      <c r="H2794">
        <v>1</v>
      </c>
      <c r="I2794" t="s">
        <v>27</v>
      </c>
    </row>
    <row r="2795" spans="1:9" x14ac:dyDescent="0.2">
      <c r="A2795" t="str">
        <f t="shared" si="290"/>
        <v>38322Haapiti18172PocilloporidaeDessous</v>
      </c>
      <c r="B2795" s="1">
        <v>38322</v>
      </c>
      <c r="C2795" t="s">
        <v>25</v>
      </c>
      <c r="D2795" s="19">
        <v>18</v>
      </c>
      <c r="E2795">
        <v>172</v>
      </c>
      <c r="F2795" t="s">
        <v>10</v>
      </c>
      <c r="G2795" t="s">
        <v>8</v>
      </c>
      <c r="H2795">
        <v>1</v>
      </c>
      <c r="I2795" t="s">
        <v>27</v>
      </c>
    </row>
    <row r="2796" spans="1:9" x14ac:dyDescent="0.2">
      <c r="A2796" t="str">
        <f t="shared" si="290"/>
        <v>38322Haapiti18173Autres</v>
      </c>
      <c r="B2796" s="1">
        <v>38322</v>
      </c>
      <c r="C2796" t="s">
        <v>25</v>
      </c>
      <c r="D2796" s="19">
        <v>18</v>
      </c>
      <c r="E2796">
        <v>173</v>
      </c>
      <c r="F2796" t="s">
        <v>14</v>
      </c>
      <c r="H2796">
        <v>0</v>
      </c>
    </row>
    <row r="2797" spans="1:9" x14ac:dyDescent="0.2">
      <c r="A2797" t="str">
        <f t="shared" si="290"/>
        <v>38322Haapiti18174</v>
      </c>
      <c r="B2797" s="1">
        <v>38322</v>
      </c>
      <c r="C2797" t="s">
        <v>25</v>
      </c>
      <c r="D2797" s="19">
        <v>18</v>
      </c>
      <c r="E2797">
        <v>174</v>
      </c>
      <c r="F2797" t="s">
        <v>27</v>
      </c>
      <c r="G2797" t="s">
        <v>27</v>
      </c>
      <c r="H2797" t="s">
        <v>27</v>
      </c>
      <c r="I2797" t="s">
        <v>31</v>
      </c>
    </row>
    <row r="2798" spans="1:9" x14ac:dyDescent="0.2">
      <c r="A2798" t="str">
        <f t="shared" si="290"/>
        <v>38322Haapiti18175PocilloporidaeDessous</v>
      </c>
      <c r="B2798" s="1">
        <v>38322</v>
      </c>
      <c r="C2798" t="s">
        <v>25</v>
      </c>
      <c r="D2798" s="19">
        <v>18</v>
      </c>
      <c r="E2798">
        <v>175</v>
      </c>
      <c r="F2798" t="s">
        <v>10</v>
      </c>
      <c r="G2798" t="s">
        <v>8</v>
      </c>
      <c r="H2798">
        <v>2</v>
      </c>
      <c r="I2798" t="s">
        <v>27</v>
      </c>
    </row>
    <row r="2799" spans="1:9" x14ac:dyDescent="0.2">
      <c r="A2799" t="str">
        <f t="shared" si="290"/>
        <v>38322Haapiti18176</v>
      </c>
      <c r="B2799" s="1">
        <v>38322</v>
      </c>
      <c r="C2799" t="s">
        <v>25</v>
      </c>
      <c r="D2799" s="19">
        <v>18</v>
      </c>
      <c r="E2799">
        <v>176</v>
      </c>
      <c r="F2799" t="s">
        <v>27</v>
      </c>
      <c r="G2799" t="s">
        <v>27</v>
      </c>
      <c r="H2799" t="s">
        <v>27</v>
      </c>
      <c r="I2799" t="s">
        <v>31</v>
      </c>
    </row>
    <row r="2800" spans="1:9" x14ac:dyDescent="0.2">
      <c r="A2800" t="str">
        <f t="shared" si="290"/>
        <v>38322Haapiti18177Autres</v>
      </c>
      <c r="B2800" s="1">
        <v>38322</v>
      </c>
      <c r="C2800" t="s">
        <v>25</v>
      </c>
      <c r="D2800" s="19">
        <v>18</v>
      </c>
      <c r="E2800">
        <v>177</v>
      </c>
      <c r="F2800" t="s">
        <v>14</v>
      </c>
      <c r="H2800">
        <v>0</v>
      </c>
    </row>
    <row r="2801" spans="1:9" x14ac:dyDescent="0.2">
      <c r="A2801" t="str">
        <f t="shared" si="290"/>
        <v>38322Haapiti18178PocilloporidaeBords</v>
      </c>
      <c r="B2801" s="1">
        <v>38322</v>
      </c>
      <c r="C2801" t="s">
        <v>25</v>
      </c>
      <c r="D2801" s="19">
        <v>18</v>
      </c>
      <c r="E2801">
        <v>178</v>
      </c>
      <c r="F2801" t="s">
        <v>10</v>
      </c>
      <c r="G2801" t="s">
        <v>13</v>
      </c>
      <c r="H2801">
        <v>1</v>
      </c>
      <c r="I2801" t="s">
        <v>27</v>
      </c>
    </row>
    <row r="2802" spans="1:9" x14ac:dyDescent="0.2">
      <c r="A2802" t="str">
        <f t="shared" si="290"/>
        <v>38322Haapiti18178PocilloporidaeDessous</v>
      </c>
      <c r="B2802" s="1">
        <v>38322</v>
      </c>
      <c r="C2802" t="s">
        <v>25</v>
      </c>
      <c r="D2802" s="19">
        <v>18</v>
      </c>
      <c r="E2802">
        <v>178</v>
      </c>
      <c r="F2802" t="s">
        <v>10</v>
      </c>
      <c r="G2802" t="s">
        <v>8</v>
      </c>
      <c r="H2802">
        <v>1</v>
      </c>
      <c r="I2802" t="s">
        <v>27</v>
      </c>
    </row>
    <row r="2803" spans="1:9" x14ac:dyDescent="0.2">
      <c r="A2803" t="str">
        <f t="shared" si="290"/>
        <v>38322Haapiti18178PocilloporidaeDessus</v>
      </c>
      <c r="B2803" s="1">
        <v>38322</v>
      </c>
      <c r="C2803" t="s">
        <v>25</v>
      </c>
      <c r="D2803" s="19">
        <v>18</v>
      </c>
      <c r="E2803">
        <v>178</v>
      </c>
      <c r="F2803" t="s">
        <v>10</v>
      </c>
      <c r="G2803" t="s">
        <v>11</v>
      </c>
      <c r="H2803">
        <v>1</v>
      </c>
      <c r="I2803" t="s">
        <v>27</v>
      </c>
    </row>
    <row r="2804" spans="1:9" x14ac:dyDescent="0.2">
      <c r="A2804" t="str">
        <f t="shared" si="290"/>
        <v>38322Haapiti18179PocilloporidaeBords</v>
      </c>
      <c r="B2804" s="1">
        <v>38322</v>
      </c>
      <c r="C2804" t="s">
        <v>25</v>
      </c>
      <c r="D2804" s="19">
        <v>18</v>
      </c>
      <c r="E2804">
        <v>179</v>
      </c>
      <c r="F2804" t="s">
        <v>10</v>
      </c>
      <c r="G2804" t="s">
        <v>13</v>
      </c>
      <c r="H2804">
        <v>1</v>
      </c>
      <c r="I2804" t="s">
        <v>27</v>
      </c>
    </row>
    <row r="2805" spans="1:9" x14ac:dyDescent="0.2">
      <c r="A2805" t="str">
        <f t="shared" si="290"/>
        <v>38322Haapiti18179PocilloporidaeDessous</v>
      </c>
      <c r="B2805" s="1">
        <v>38322</v>
      </c>
      <c r="C2805" t="s">
        <v>25</v>
      </c>
      <c r="D2805" s="19">
        <v>18</v>
      </c>
      <c r="E2805">
        <v>179</v>
      </c>
      <c r="F2805" t="s">
        <v>10</v>
      </c>
      <c r="G2805" t="s">
        <v>8</v>
      </c>
      <c r="H2805">
        <v>2</v>
      </c>
      <c r="I2805" t="s">
        <v>27</v>
      </c>
    </row>
    <row r="2806" spans="1:9" x14ac:dyDescent="0.2">
      <c r="A2806" t="str">
        <f t="shared" si="290"/>
        <v>38322Haapiti18180Autres</v>
      </c>
      <c r="B2806" s="1">
        <v>38322</v>
      </c>
      <c r="C2806" t="s">
        <v>25</v>
      </c>
      <c r="D2806" s="19">
        <v>18</v>
      </c>
      <c r="E2806">
        <v>180</v>
      </c>
      <c r="F2806" t="s">
        <v>14</v>
      </c>
      <c r="H2806">
        <v>0</v>
      </c>
    </row>
    <row r="2807" spans="1:9" x14ac:dyDescent="0.2">
      <c r="A2807" t="str">
        <f t="shared" si="290"/>
        <v>38596Vaipahu61PoritidaeDessous</v>
      </c>
      <c r="B2807" s="1">
        <v>38596</v>
      </c>
      <c r="C2807" t="s">
        <v>23</v>
      </c>
      <c r="D2807" s="19">
        <v>6</v>
      </c>
      <c r="E2807">
        <v>1</v>
      </c>
      <c r="F2807" t="s">
        <v>7</v>
      </c>
      <c r="G2807" t="s">
        <v>8</v>
      </c>
      <c r="H2807">
        <v>2</v>
      </c>
      <c r="I2807" t="s">
        <v>27</v>
      </c>
    </row>
    <row r="2808" spans="1:9" x14ac:dyDescent="0.2">
      <c r="A2808" t="str">
        <f t="shared" si="290"/>
        <v>38596Vaipahu62AcroporidaeDessous</v>
      </c>
      <c r="B2808" s="1">
        <v>38596</v>
      </c>
      <c r="C2808" t="s">
        <v>23</v>
      </c>
      <c r="D2808" s="19">
        <v>6</v>
      </c>
      <c r="E2808">
        <v>2</v>
      </c>
      <c r="F2808" t="s">
        <v>17</v>
      </c>
      <c r="G2808" t="s">
        <v>8</v>
      </c>
      <c r="H2808">
        <v>5</v>
      </c>
      <c r="I2808" t="s">
        <v>27</v>
      </c>
    </row>
    <row r="2809" spans="1:9" x14ac:dyDescent="0.2">
      <c r="A2809" t="str">
        <f t="shared" si="290"/>
        <v>38596Vaipahu62PoritidaeDessous</v>
      </c>
      <c r="B2809" s="1">
        <v>38596</v>
      </c>
      <c r="C2809" t="s">
        <v>23</v>
      </c>
      <c r="D2809" s="19">
        <v>6</v>
      </c>
      <c r="E2809">
        <v>2</v>
      </c>
      <c r="F2809" t="s">
        <v>7</v>
      </c>
      <c r="G2809" t="s">
        <v>8</v>
      </c>
      <c r="H2809">
        <v>2</v>
      </c>
      <c r="I2809" t="s">
        <v>27</v>
      </c>
    </row>
    <row r="2810" spans="1:9" x14ac:dyDescent="0.2">
      <c r="A2810" t="str">
        <f t="shared" si="290"/>
        <v>38596Vaipahu63Autres</v>
      </c>
      <c r="B2810" s="1">
        <v>38596</v>
      </c>
      <c r="C2810" t="s">
        <v>23</v>
      </c>
      <c r="D2810" s="19">
        <v>6</v>
      </c>
      <c r="E2810">
        <v>3</v>
      </c>
      <c r="F2810" t="s">
        <v>14</v>
      </c>
      <c r="H2810">
        <v>0</v>
      </c>
    </row>
    <row r="2811" spans="1:9" x14ac:dyDescent="0.2">
      <c r="A2811" t="str">
        <f t="shared" si="290"/>
        <v>38596Vaipahu64Autres</v>
      </c>
      <c r="B2811" s="1">
        <v>38596</v>
      </c>
      <c r="C2811" t="s">
        <v>23</v>
      </c>
      <c r="D2811" s="19">
        <v>6</v>
      </c>
      <c r="E2811">
        <v>4</v>
      </c>
      <c r="F2811" t="s">
        <v>14</v>
      </c>
      <c r="H2811">
        <v>0</v>
      </c>
    </row>
    <row r="2812" spans="1:9" x14ac:dyDescent="0.2">
      <c r="A2812" t="str">
        <f t="shared" si="290"/>
        <v>38596Vaipahu65AcroporidaeDessous</v>
      </c>
      <c r="B2812" s="1">
        <v>38596</v>
      </c>
      <c r="C2812" t="s">
        <v>23</v>
      </c>
      <c r="D2812" s="19">
        <v>6</v>
      </c>
      <c r="E2812">
        <v>5</v>
      </c>
      <c r="F2812" t="s">
        <v>17</v>
      </c>
      <c r="G2812" t="s">
        <v>8</v>
      </c>
      <c r="H2812">
        <v>1</v>
      </c>
      <c r="I2812" t="s">
        <v>27</v>
      </c>
    </row>
    <row r="2813" spans="1:9" x14ac:dyDescent="0.2">
      <c r="A2813" t="str">
        <f t="shared" si="290"/>
        <v>38596Vaipahu65PocilloporidaeDessous</v>
      </c>
      <c r="B2813" s="1">
        <v>38596</v>
      </c>
      <c r="C2813" t="s">
        <v>23</v>
      </c>
      <c r="D2813" s="19">
        <v>6</v>
      </c>
      <c r="E2813">
        <v>5</v>
      </c>
      <c r="F2813" t="s">
        <v>10</v>
      </c>
      <c r="G2813" t="s">
        <v>8</v>
      </c>
      <c r="H2813">
        <v>1</v>
      </c>
      <c r="I2813" t="s">
        <v>27</v>
      </c>
    </row>
    <row r="2814" spans="1:9" x14ac:dyDescent="0.2">
      <c r="A2814" t="str">
        <f t="shared" si="290"/>
        <v>38596Vaipahu66Autres</v>
      </c>
      <c r="B2814" s="1">
        <v>38596</v>
      </c>
      <c r="C2814" t="s">
        <v>23</v>
      </c>
      <c r="D2814" s="19">
        <v>6</v>
      </c>
      <c r="E2814">
        <v>6</v>
      </c>
      <c r="F2814" t="s">
        <v>14</v>
      </c>
      <c r="H2814">
        <v>0</v>
      </c>
    </row>
    <row r="2815" spans="1:9" x14ac:dyDescent="0.2">
      <c r="A2815" t="str">
        <f t="shared" ref="A2815:A2878" si="291">B2815 &amp; C2815&amp; D2815&amp; E2815 &amp; F2815 &amp;G2815</f>
        <v>38596Vaipahu67AcroporidaeDessous</v>
      </c>
      <c r="B2815" s="1">
        <v>38596</v>
      </c>
      <c r="C2815" t="s">
        <v>23</v>
      </c>
      <c r="D2815" s="19">
        <v>6</v>
      </c>
      <c r="E2815">
        <v>7</v>
      </c>
      <c r="F2815" t="s">
        <v>17</v>
      </c>
      <c r="G2815" t="s">
        <v>8</v>
      </c>
      <c r="H2815">
        <v>1</v>
      </c>
      <c r="I2815" t="s">
        <v>27</v>
      </c>
    </row>
    <row r="2816" spans="1:9" x14ac:dyDescent="0.2">
      <c r="A2816" t="str">
        <f t="shared" si="291"/>
        <v>38596Vaipahu68Autres</v>
      </c>
      <c r="B2816" s="1">
        <v>38596</v>
      </c>
      <c r="C2816" t="s">
        <v>23</v>
      </c>
      <c r="D2816" s="19">
        <v>6</v>
      </c>
      <c r="E2816">
        <v>8</v>
      </c>
      <c r="F2816" t="s">
        <v>14</v>
      </c>
      <c r="H2816">
        <v>0</v>
      </c>
    </row>
    <row r="2817" spans="1:9" x14ac:dyDescent="0.2">
      <c r="A2817" t="str">
        <f t="shared" si="291"/>
        <v>38596Vaipahu69Autres</v>
      </c>
      <c r="B2817" s="1">
        <v>38596</v>
      </c>
      <c r="C2817" t="s">
        <v>23</v>
      </c>
      <c r="D2817" s="19">
        <v>6</v>
      </c>
      <c r="E2817">
        <v>9</v>
      </c>
      <c r="F2817" t="s">
        <v>14</v>
      </c>
      <c r="H2817">
        <v>0</v>
      </c>
    </row>
    <row r="2818" spans="1:9" x14ac:dyDescent="0.2">
      <c r="A2818" t="str">
        <f t="shared" si="291"/>
        <v>38596Vaipahu610PocilloporidaeBords</v>
      </c>
      <c r="B2818" s="1">
        <v>38596</v>
      </c>
      <c r="C2818" t="s">
        <v>23</v>
      </c>
      <c r="D2818" s="19">
        <v>6</v>
      </c>
      <c r="E2818">
        <v>10</v>
      </c>
      <c r="F2818" t="s">
        <v>10</v>
      </c>
      <c r="G2818" t="s">
        <v>13</v>
      </c>
      <c r="H2818">
        <v>1</v>
      </c>
      <c r="I2818" t="s">
        <v>27</v>
      </c>
    </row>
    <row r="2819" spans="1:9" x14ac:dyDescent="0.2">
      <c r="A2819" t="str">
        <f t="shared" si="291"/>
        <v>38596Vaipahu610PoritidaeDessous</v>
      </c>
      <c r="B2819" s="1">
        <v>38596</v>
      </c>
      <c r="C2819" t="s">
        <v>23</v>
      </c>
      <c r="D2819" s="19">
        <v>6</v>
      </c>
      <c r="E2819">
        <v>10</v>
      </c>
      <c r="F2819" t="s">
        <v>7</v>
      </c>
      <c r="G2819" t="s">
        <v>8</v>
      </c>
      <c r="H2819">
        <v>1</v>
      </c>
      <c r="I2819" t="s">
        <v>27</v>
      </c>
    </row>
    <row r="2820" spans="1:9" x14ac:dyDescent="0.2">
      <c r="A2820" t="str">
        <f t="shared" si="291"/>
        <v>38596Vaipahu611Autres</v>
      </c>
      <c r="B2820" s="1">
        <v>38596</v>
      </c>
      <c r="C2820" t="s">
        <v>23</v>
      </c>
      <c r="D2820" s="19">
        <v>6</v>
      </c>
      <c r="E2820">
        <v>11</v>
      </c>
      <c r="F2820" t="s">
        <v>14</v>
      </c>
      <c r="H2820">
        <v>0</v>
      </c>
    </row>
    <row r="2821" spans="1:9" x14ac:dyDescent="0.2">
      <c r="A2821" t="str">
        <f t="shared" si="291"/>
        <v>38596Vaipahu612Autres</v>
      </c>
      <c r="B2821" s="1">
        <v>38596</v>
      </c>
      <c r="C2821" t="s">
        <v>23</v>
      </c>
      <c r="D2821" s="19">
        <v>6</v>
      </c>
      <c r="E2821">
        <v>12</v>
      </c>
      <c r="F2821" t="s">
        <v>14</v>
      </c>
      <c r="H2821">
        <v>0</v>
      </c>
    </row>
    <row r="2822" spans="1:9" x14ac:dyDescent="0.2">
      <c r="A2822" t="str">
        <f t="shared" si="291"/>
        <v>38596Vaipahu613Autres</v>
      </c>
      <c r="B2822" s="1">
        <v>38596</v>
      </c>
      <c r="C2822" t="s">
        <v>23</v>
      </c>
      <c r="D2822" s="19">
        <v>6</v>
      </c>
      <c r="E2822">
        <v>13</v>
      </c>
      <c r="F2822" t="s">
        <v>14</v>
      </c>
      <c r="H2822">
        <v>0</v>
      </c>
    </row>
    <row r="2823" spans="1:9" x14ac:dyDescent="0.2">
      <c r="A2823" t="str">
        <f t="shared" si="291"/>
        <v>38596Vaipahu614Autres</v>
      </c>
      <c r="B2823" s="1">
        <v>38596</v>
      </c>
      <c r="C2823" t="s">
        <v>23</v>
      </c>
      <c r="D2823" s="19">
        <v>6</v>
      </c>
      <c r="E2823">
        <v>14</v>
      </c>
      <c r="F2823" t="s">
        <v>14</v>
      </c>
      <c r="H2823">
        <v>0</v>
      </c>
    </row>
    <row r="2824" spans="1:9" x14ac:dyDescent="0.2">
      <c r="A2824" t="str">
        <f t="shared" si="291"/>
        <v>38596Vaipahu615Autres</v>
      </c>
      <c r="B2824" s="1">
        <v>38596</v>
      </c>
      <c r="C2824" t="s">
        <v>23</v>
      </c>
      <c r="D2824" s="19">
        <v>6</v>
      </c>
      <c r="E2824">
        <v>15</v>
      </c>
      <c r="F2824" t="s">
        <v>14</v>
      </c>
      <c r="H2824">
        <v>0</v>
      </c>
    </row>
    <row r="2825" spans="1:9" x14ac:dyDescent="0.2">
      <c r="A2825" t="str">
        <f t="shared" si="291"/>
        <v>38596Vaipahu616Autres</v>
      </c>
      <c r="B2825" s="1">
        <v>38596</v>
      </c>
      <c r="C2825" t="s">
        <v>23</v>
      </c>
      <c r="D2825" s="19">
        <v>6</v>
      </c>
      <c r="E2825">
        <v>16</v>
      </c>
      <c r="F2825" t="s">
        <v>14</v>
      </c>
      <c r="H2825">
        <v>0</v>
      </c>
    </row>
    <row r="2826" spans="1:9" x14ac:dyDescent="0.2">
      <c r="A2826" t="str">
        <f t="shared" si="291"/>
        <v>38596Vaipahu617Autres</v>
      </c>
      <c r="B2826" s="1">
        <v>38596</v>
      </c>
      <c r="C2826" t="s">
        <v>23</v>
      </c>
      <c r="D2826" s="19">
        <v>6</v>
      </c>
      <c r="E2826">
        <v>17</v>
      </c>
      <c r="F2826" t="s">
        <v>14</v>
      </c>
      <c r="H2826">
        <v>0</v>
      </c>
    </row>
    <row r="2827" spans="1:9" x14ac:dyDescent="0.2">
      <c r="A2827" t="str">
        <f t="shared" si="291"/>
        <v>38596Vaipahu618Autres</v>
      </c>
      <c r="B2827" s="1">
        <v>38596</v>
      </c>
      <c r="C2827" t="s">
        <v>23</v>
      </c>
      <c r="D2827" s="19">
        <v>6</v>
      </c>
      <c r="E2827">
        <v>18</v>
      </c>
      <c r="F2827" t="s">
        <v>14</v>
      </c>
      <c r="H2827">
        <v>0</v>
      </c>
    </row>
    <row r="2828" spans="1:9" x14ac:dyDescent="0.2">
      <c r="A2828" t="str">
        <f t="shared" si="291"/>
        <v>38596Vaipahu619AcroporidaeBords</v>
      </c>
      <c r="B2828" s="1">
        <v>38596</v>
      </c>
      <c r="C2828" t="s">
        <v>23</v>
      </c>
      <c r="D2828" s="19">
        <v>6</v>
      </c>
      <c r="E2828">
        <v>19</v>
      </c>
      <c r="F2828" t="s">
        <v>17</v>
      </c>
      <c r="G2828" t="s">
        <v>13</v>
      </c>
      <c r="H2828">
        <v>1</v>
      </c>
      <c r="I2828" t="s">
        <v>27</v>
      </c>
    </row>
    <row r="2829" spans="1:9" x14ac:dyDescent="0.2">
      <c r="A2829" t="str">
        <f t="shared" si="291"/>
        <v>38596Vaipahu620Autres</v>
      </c>
      <c r="B2829" s="1">
        <v>38596</v>
      </c>
      <c r="C2829" t="s">
        <v>23</v>
      </c>
      <c r="D2829" s="19">
        <v>6</v>
      </c>
      <c r="E2829">
        <v>20</v>
      </c>
      <c r="F2829" t="s">
        <v>14</v>
      </c>
      <c r="H2829">
        <v>0</v>
      </c>
    </row>
    <row r="2830" spans="1:9" x14ac:dyDescent="0.2">
      <c r="A2830" t="str">
        <f t="shared" si="291"/>
        <v>38596Vaipahu1221Autres</v>
      </c>
      <c r="B2830" s="1">
        <v>38596</v>
      </c>
      <c r="C2830" t="s">
        <v>23</v>
      </c>
      <c r="D2830" s="19">
        <v>12</v>
      </c>
      <c r="E2830">
        <v>21</v>
      </c>
      <c r="F2830" t="s">
        <v>14</v>
      </c>
      <c r="H2830">
        <v>0</v>
      </c>
    </row>
    <row r="2831" spans="1:9" x14ac:dyDescent="0.2">
      <c r="A2831" t="str">
        <f t="shared" si="291"/>
        <v>38596Vaipahu1222AcroporidaeBords</v>
      </c>
      <c r="B2831" s="1">
        <v>38596</v>
      </c>
      <c r="C2831" t="s">
        <v>23</v>
      </c>
      <c r="D2831" s="19">
        <v>12</v>
      </c>
      <c r="E2831">
        <v>22</v>
      </c>
      <c r="F2831" t="s">
        <v>17</v>
      </c>
      <c r="G2831" t="s">
        <v>13</v>
      </c>
      <c r="H2831">
        <v>1</v>
      </c>
      <c r="I2831" t="s">
        <v>27</v>
      </c>
    </row>
    <row r="2832" spans="1:9" x14ac:dyDescent="0.2">
      <c r="A2832" t="str">
        <f t="shared" si="291"/>
        <v>38596Vaipahu1222PocilloporidaeBords</v>
      </c>
      <c r="B2832" s="1">
        <v>38596</v>
      </c>
      <c r="C2832" t="s">
        <v>23</v>
      </c>
      <c r="D2832" s="19">
        <v>12</v>
      </c>
      <c r="E2832">
        <v>22</v>
      </c>
      <c r="F2832" t="s">
        <v>10</v>
      </c>
      <c r="G2832" t="s">
        <v>13</v>
      </c>
      <c r="H2832">
        <v>1</v>
      </c>
      <c r="I2832" t="s">
        <v>27</v>
      </c>
    </row>
    <row r="2833" spans="1:9" x14ac:dyDescent="0.2">
      <c r="A2833" t="str">
        <f t="shared" si="291"/>
        <v>38596Vaipahu1223Autres</v>
      </c>
      <c r="B2833" s="1">
        <v>38596</v>
      </c>
      <c r="C2833" t="s">
        <v>23</v>
      </c>
      <c r="D2833" s="19">
        <v>12</v>
      </c>
      <c r="E2833">
        <v>23</v>
      </c>
      <c r="F2833" t="s">
        <v>14</v>
      </c>
      <c r="H2833">
        <v>0</v>
      </c>
    </row>
    <row r="2834" spans="1:9" x14ac:dyDescent="0.2">
      <c r="A2834" t="str">
        <f t="shared" si="291"/>
        <v>38596Vaipahu1224PocilloporidaeBords</v>
      </c>
      <c r="B2834" s="1">
        <v>38596</v>
      </c>
      <c r="C2834" t="s">
        <v>23</v>
      </c>
      <c r="D2834" s="19">
        <v>12</v>
      </c>
      <c r="E2834">
        <v>24</v>
      </c>
      <c r="F2834" t="s">
        <v>10</v>
      </c>
      <c r="G2834" t="s">
        <v>13</v>
      </c>
      <c r="H2834">
        <v>1</v>
      </c>
      <c r="I2834" t="s">
        <v>27</v>
      </c>
    </row>
    <row r="2835" spans="1:9" x14ac:dyDescent="0.2">
      <c r="A2835" t="str">
        <f t="shared" si="291"/>
        <v>38596Vaipahu1224PoritidaeDessous</v>
      </c>
      <c r="B2835" s="1">
        <v>38596</v>
      </c>
      <c r="C2835" t="s">
        <v>23</v>
      </c>
      <c r="D2835" s="19">
        <v>12</v>
      </c>
      <c r="E2835">
        <v>24</v>
      </c>
      <c r="F2835" t="s">
        <v>7</v>
      </c>
      <c r="G2835" t="s">
        <v>8</v>
      </c>
      <c r="H2835">
        <v>1</v>
      </c>
      <c r="I2835" t="s">
        <v>27</v>
      </c>
    </row>
    <row r="2836" spans="1:9" x14ac:dyDescent="0.2">
      <c r="A2836" t="str">
        <f t="shared" si="291"/>
        <v>38596Vaipahu1225Autres</v>
      </c>
      <c r="B2836" s="1">
        <v>38596</v>
      </c>
      <c r="C2836" t="s">
        <v>23</v>
      </c>
      <c r="D2836" s="19">
        <v>12</v>
      </c>
      <c r="E2836">
        <v>25</v>
      </c>
      <c r="F2836" t="s">
        <v>14</v>
      </c>
      <c r="H2836">
        <v>0</v>
      </c>
    </row>
    <row r="2837" spans="1:9" x14ac:dyDescent="0.2">
      <c r="A2837" t="str">
        <f t="shared" si="291"/>
        <v>38596Vaipahu1226PoritidaeDessous</v>
      </c>
      <c r="B2837" s="1">
        <v>38596</v>
      </c>
      <c r="C2837" t="s">
        <v>23</v>
      </c>
      <c r="D2837" s="19">
        <v>12</v>
      </c>
      <c r="E2837">
        <v>26</v>
      </c>
      <c r="F2837" t="s">
        <v>7</v>
      </c>
      <c r="G2837" t="s">
        <v>8</v>
      </c>
      <c r="H2837">
        <v>2</v>
      </c>
      <c r="I2837" t="s">
        <v>27</v>
      </c>
    </row>
    <row r="2838" spans="1:9" x14ac:dyDescent="0.2">
      <c r="A2838" t="str">
        <f t="shared" si="291"/>
        <v>38596Vaipahu1227PoritidaeDessous</v>
      </c>
      <c r="B2838" s="1">
        <v>38596</v>
      </c>
      <c r="C2838" t="s">
        <v>23</v>
      </c>
      <c r="D2838" s="19">
        <v>12</v>
      </c>
      <c r="E2838">
        <v>27</v>
      </c>
      <c r="F2838" t="s">
        <v>7</v>
      </c>
      <c r="G2838" t="s">
        <v>8</v>
      </c>
      <c r="H2838">
        <v>1</v>
      </c>
      <c r="I2838" t="s">
        <v>27</v>
      </c>
    </row>
    <row r="2839" spans="1:9" x14ac:dyDescent="0.2">
      <c r="A2839" t="str">
        <f t="shared" si="291"/>
        <v>38596Vaipahu1228AcroporidaeDessous</v>
      </c>
      <c r="B2839" s="1">
        <v>38596</v>
      </c>
      <c r="C2839" t="s">
        <v>23</v>
      </c>
      <c r="D2839" s="19">
        <v>12</v>
      </c>
      <c r="E2839">
        <v>28</v>
      </c>
      <c r="F2839" t="s">
        <v>17</v>
      </c>
      <c r="G2839" t="s">
        <v>8</v>
      </c>
      <c r="H2839">
        <v>1</v>
      </c>
      <c r="I2839" t="s">
        <v>27</v>
      </c>
    </row>
    <row r="2840" spans="1:9" x14ac:dyDescent="0.2">
      <c r="A2840" t="str">
        <f t="shared" si="291"/>
        <v>38596Vaipahu1229Autres</v>
      </c>
      <c r="B2840" s="1">
        <v>38596</v>
      </c>
      <c r="C2840" t="s">
        <v>23</v>
      </c>
      <c r="D2840" s="19">
        <v>12</v>
      </c>
      <c r="E2840">
        <v>29</v>
      </c>
      <c r="F2840" t="s">
        <v>14</v>
      </c>
      <c r="H2840">
        <v>0</v>
      </c>
    </row>
    <row r="2841" spans="1:9" x14ac:dyDescent="0.2">
      <c r="A2841" t="str">
        <f t="shared" si="291"/>
        <v>38596Vaipahu1230Autres</v>
      </c>
      <c r="B2841" s="1">
        <v>38596</v>
      </c>
      <c r="C2841" t="s">
        <v>23</v>
      </c>
      <c r="D2841" s="19">
        <v>12</v>
      </c>
      <c r="E2841">
        <v>30</v>
      </c>
      <c r="F2841" t="s">
        <v>14</v>
      </c>
      <c r="H2841">
        <v>0</v>
      </c>
    </row>
    <row r="2842" spans="1:9" x14ac:dyDescent="0.2">
      <c r="A2842" t="str">
        <f t="shared" si="291"/>
        <v>38596Vaipahu1231PoritidaeDessous</v>
      </c>
      <c r="B2842" s="1">
        <v>38596</v>
      </c>
      <c r="C2842" t="s">
        <v>23</v>
      </c>
      <c r="D2842" s="19">
        <v>12</v>
      </c>
      <c r="E2842">
        <v>31</v>
      </c>
      <c r="F2842" t="s">
        <v>7</v>
      </c>
      <c r="G2842" t="s">
        <v>8</v>
      </c>
      <c r="H2842">
        <v>3</v>
      </c>
      <c r="I2842" t="s">
        <v>27</v>
      </c>
    </row>
    <row r="2843" spans="1:9" x14ac:dyDescent="0.2">
      <c r="A2843" t="str">
        <f t="shared" si="291"/>
        <v>38596Vaipahu1232Autres</v>
      </c>
      <c r="B2843" s="1">
        <v>38596</v>
      </c>
      <c r="C2843" t="s">
        <v>23</v>
      </c>
      <c r="D2843" s="19">
        <v>12</v>
      </c>
      <c r="E2843">
        <v>32</v>
      </c>
      <c r="F2843" t="s">
        <v>14</v>
      </c>
      <c r="H2843">
        <v>0</v>
      </c>
    </row>
    <row r="2844" spans="1:9" x14ac:dyDescent="0.2">
      <c r="A2844" t="str">
        <f t="shared" si="291"/>
        <v>38596Vaipahu1233AcroporidaeDessous</v>
      </c>
      <c r="B2844" s="1">
        <v>38596</v>
      </c>
      <c r="C2844" t="s">
        <v>23</v>
      </c>
      <c r="D2844" s="19">
        <v>12</v>
      </c>
      <c r="E2844">
        <v>33</v>
      </c>
      <c r="F2844" t="s">
        <v>17</v>
      </c>
      <c r="G2844" t="s">
        <v>8</v>
      </c>
      <c r="H2844">
        <v>1</v>
      </c>
      <c r="I2844" t="s">
        <v>27</v>
      </c>
    </row>
    <row r="2845" spans="1:9" x14ac:dyDescent="0.2">
      <c r="A2845" t="str">
        <f t="shared" si="291"/>
        <v>38596Vaipahu1233PoritidaeDessous</v>
      </c>
      <c r="B2845" s="1">
        <v>38596</v>
      </c>
      <c r="C2845" t="s">
        <v>23</v>
      </c>
      <c r="D2845" s="19">
        <v>12</v>
      </c>
      <c r="E2845">
        <v>33</v>
      </c>
      <c r="F2845" t="s">
        <v>7</v>
      </c>
      <c r="G2845" t="s">
        <v>8</v>
      </c>
      <c r="H2845">
        <v>4</v>
      </c>
      <c r="I2845" t="s">
        <v>27</v>
      </c>
    </row>
    <row r="2846" spans="1:9" x14ac:dyDescent="0.2">
      <c r="A2846" t="str">
        <f t="shared" si="291"/>
        <v>38596Vaipahu1234Autres</v>
      </c>
      <c r="B2846" s="1">
        <v>38596</v>
      </c>
      <c r="C2846" t="s">
        <v>23</v>
      </c>
      <c r="D2846" s="19">
        <v>12</v>
      </c>
      <c r="E2846">
        <v>34</v>
      </c>
      <c r="F2846" t="s">
        <v>14</v>
      </c>
      <c r="H2846">
        <v>0</v>
      </c>
    </row>
    <row r="2847" spans="1:9" x14ac:dyDescent="0.2">
      <c r="A2847" t="str">
        <f t="shared" si="291"/>
        <v>38596Vaipahu1235PoritidaeDessous</v>
      </c>
      <c r="B2847" s="1">
        <v>38596</v>
      </c>
      <c r="C2847" t="s">
        <v>23</v>
      </c>
      <c r="D2847" s="19">
        <v>12</v>
      </c>
      <c r="E2847">
        <v>35</v>
      </c>
      <c r="F2847" t="s">
        <v>7</v>
      </c>
      <c r="G2847" t="s">
        <v>8</v>
      </c>
      <c r="H2847">
        <v>1</v>
      </c>
      <c r="I2847" t="s">
        <v>27</v>
      </c>
    </row>
    <row r="2848" spans="1:9" x14ac:dyDescent="0.2">
      <c r="A2848" t="str">
        <f t="shared" si="291"/>
        <v>38596Vaipahu1236Autres</v>
      </c>
      <c r="B2848" s="1">
        <v>38596</v>
      </c>
      <c r="C2848" t="s">
        <v>23</v>
      </c>
      <c r="D2848" s="19">
        <v>12</v>
      </c>
      <c r="E2848">
        <v>36</v>
      </c>
      <c r="F2848" t="s">
        <v>14</v>
      </c>
      <c r="H2848">
        <v>0</v>
      </c>
    </row>
    <row r="2849" spans="1:9" x14ac:dyDescent="0.2">
      <c r="A2849" t="str">
        <f t="shared" si="291"/>
        <v>38596Vaipahu1237AcroporidaeBords</v>
      </c>
      <c r="B2849" s="1">
        <v>38596</v>
      </c>
      <c r="C2849" t="s">
        <v>23</v>
      </c>
      <c r="D2849" s="19">
        <v>12</v>
      </c>
      <c r="E2849">
        <v>37</v>
      </c>
      <c r="F2849" t="s">
        <v>17</v>
      </c>
      <c r="G2849" t="s">
        <v>13</v>
      </c>
      <c r="H2849">
        <v>1</v>
      </c>
      <c r="I2849" t="s">
        <v>27</v>
      </c>
    </row>
    <row r="2850" spans="1:9" x14ac:dyDescent="0.2">
      <c r="A2850" t="str">
        <f t="shared" si="291"/>
        <v>38596Vaipahu1238</v>
      </c>
      <c r="B2850" s="1">
        <v>38596</v>
      </c>
      <c r="C2850" t="s">
        <v>23</v>
      </c>
      <c r="D2850" s="19">
        <v>12</v>
      </c>
      <c r="E2850">
        <v>38</v>
      </c>
      <c r="F2850" t="s">
        <v>27</v>
      </c>
      <c r="G2850" t="s">
        <v>27</v>
      </c>
      <c r="H2850" t="s">
        <v>27</v>
      </c>
      <c r="I2850" t="s">
        <v>31</v>
      </c>
    </row>
    <row r="2851" spans="1:9" x14ac:dyDescent="0.2">
      <c r="A2851" t="str">
        <f t="shared" si="291"/>
        <v>38596Vaipahu1239PocilloporidaeDessous</v>
      </c>
      <c r="B2851" s="1">
        <v>38596</v>
      </c>
      <c r="C2851" t="s">
        <v>23</v>
      </c>
      <c r="D2851" s="19">
        <v>12</v>
      </c>
      <c r="E2851">
        <v>39</v>
      </c>
      <c r="F2851" t="s">
        <v>10</v>
      </c>
      <c r="G2851" t="s">
        <v>8</v>
      </c>
      <c r="H2851">
        <v>1</v>
      </c>
      <c r="I2851" t="s">
        <v>27</v>
      </c>
    </row>
    <row r="2852" spans="1:9" x14ac:dyDescent="0.2">
      <c r="A2852" t="str">
        <f t="shared" si="291"/>
        <v>38596Vaipahu1240PocilloporidaeDessous</v>
      </c>
      <c r="B2852" s="1">
        <v>38596</v>
      </c>
      <c r="C2852" t="s">
        <v>23</v>
      </c>
      <c r="D2852" s="19">
        <v>12</v>
      </c>
      <c r="E2852">
        <v>40</v>
      </c>
      <c r="F2852" t="s">
        <v>10</v>
      </c>
      <c r="G2852" t="s">
        <v>8</v>
      </c>
      <c r="H2852">
        <v>1</v>
      </c>
      <c r="I2852" t="s">
        <v>27</v>
      </c>
    </row>
    <row r="2853" spans="1:9" x14ac:dyDescent="0.2">
      <c r="A2853" t="str">
        <f t="shared" si="291"/>
        <v>38596Vaipahu1841Autres</v>
      </c>
      <c r="B2853" s="1">
        <v>38596</v>
      </c>
      <c r="C2853" t="s">
        <v>23</v>
      </c>
      <c r="D2853" s="19">
        <v>18</v>
      </c>
      <c r="E2853">
        <v>41</v>
      </c>
      <c r="F2853" t="s">
        <v>14</v>
      </c>
      <c r="H2853">
        <v>0</v>
      </c>
    </row>
    <row r="2854" spans="1:9" x14ac:dyDescent="0.2">
      <c r="A2854" t="str">
        <f t="shared" si="291"/>
        <v>38596Vaipahu1842Autres</v>
      </c>
      <c r="B2854" s="1">
        <v>38596</v>
      </c>
      <c r="C2854" t="s">
        <v>23</v>
      </c>
      <c r="D2854" s="19">
        <v>18</v>
      </c>
      <c r="E2854">
        <v>42</v>
      </c>
      <c r="F2854" t="s">
        <v>14</v>
      </c>
      <c r="H2854">
        <v>0</v>
      </c>
    </row>
    <row r="2855" spans="1:9" x14ac:dyDescent="0.2">
      <c r="A2855" t="str">
        <f t="shared" si="291"/>
        <v>38596Vaipahu1843Autres</v>
      </c>
      <c r="B2855" s="1">
        <v>38596</v>
      </c>
      <c r="C2855" t="s">
        <v>23</v>
      </c>
      <c r="D2855" s="19">
        <v>18</v>
      </c>
      <c r="E2855">
        <v>43</v>
      </c>
      <c r="F2855" t="s">
        <v>14</v>
      </c>
      <c r="H2855">
        <v>0</v>
      </c>
    </row>
    <row r="2856" spans="1:9" x14ac:dyDescent="0.2">
      <c r="A2856" t="str">
        <f t="shared" si="291"/>
        <v>38596Vaipahu1844</v>
      </c>
      <c r="B2856" s="1">
        <v>38596</v>
      </c>
      <c r="C2856" t="s">
        <v>23</v>
      </c>
      <c r="D2856" s="19">
        <v>18</v>
      </c>
      <c r="E2856">
        <v>44</v>
      </c>
      <c r="F2856" t="s">
        <v>27</v>
      </c>
      <c r="G2856" t="s">
        <v>27</v>
      </c>
      <c r="H2856" t="s">
        <v>27</v>
      </c>
      <c r="I2856" t="s">
        <v>31</v>
      </c>
    </row>
    <row r="2857" spans="1:9" x14ac:dyDescent="0.2">
      <c r="A2857" t="str">
        <f t="shared" si="291"/>
        <v>38596Vaipahu1845Autres</v>
      </c>
      <c r="B2857" s="1">
        <v>38596</v>
      </c>
      <c r="C2857" t="s">
        <v>23</v>
      </c>
      <c r="D2857" s="19">
        <v>18</v>
      </c>
      <c r="E2857">
        <v>45</v>
      </c>
      <c r="F2857" t="s">
        <v>14</v>
      </c>
      <c r="H2857">
        <v>0</v>
      </c>
    </row>
    <row r="2858" spans="1:9" x14ac:dyDescent="0.2">
      <c r="A2858" t="str">
        <f t="shared" si="291"/>
        <v>38596Vaipahu1846Autres</v>
      </c>
      <c r="B2858" s="1">
        <v>38596</v>
      </c>
      <c r="C2858" t="s">
        <v>23</v>
      </c>
      <c r="D2858" s="19">
        <v>18</v>
      </c>
      <c r="E2858">
        <v>46</v>
      </c>
      <c r="F2858" t="s">
        <v>14</v>
      </c>
      <c r="H2858">
        <v>0</v>
      </c>
    </row>
    <row r="2859" spans="1:9" x14ac:dyDescent="0.2">
      <c r="A2859" t="str">
        <f t="shared" si="291"/>
        <v>38596Vaipahu1847PocilloporidaeDessous</v>
      </c>
      <c r="B2859" s="1">
        <v>38596</v>
      </c>
      <c r="C2859" t="s">
        <v>23</v>
      </c>
      <c r="D2859" s="19">
        <v>18</v>
      </c>
      <c r="E2859">
        <v>47</v>
      </c>
      <c r="F2859" t="s">
        <v>10</v>
      </c>
      <c r="G2859" t="s">
        <v>8</v>
      </c>
      <c r="H2859">
        <v>1</v>
      </c>
      <c r="I2859" t="s">
        <v>27</v>
      </c>
    </row>
    <row r="2860" spans="1:9" x14ac:dyDescent="0.2">
      <c r="A2860" t="str">
        <f t="shared" si="291"/>
        <v>38596Vaipahu1848Autres</v>
      </c>
      <c r="B2860" s="1">
        <v>38596</v>
      </c>
      <c r="C2860" t="s">
        <v>23</v>
      </c>
      <c r="D2860" s="19">
        <v>18</v>
      </c>
      <c r="E2860">
        <v>48</v>
      </c>
      <c r="F2860" t="s">
        <v>14</v>
      </c>
      <c r="H2860">
        <v>0</v>
      </c>
    </row>
    <row r="2861" spans="1:9" x14ac:dyDescent="0.2">
      <c r="A2861" t="str">
        <f t="shared" si="291"/>
        <v>38596Vaipahu1849Autres</v>
      </c>
      <c r="B2861" s="1">
        <v>38596</v>
      </c>
      <c r="C2861" t="s">
        <v>23</v>
      </c>
      <c r="D2861" s="19">
        <v>18</v>
      </c>
      <c r="E2861">
        <v>49</v>
      </c>
      <c r="F2861" t="s">
        <v>14</v>
      </c>
      <c r="H2861">
        <v>0</v>
      </c>
    </row>
    <row r="2862" spans="1:9" x14ac:dyDescent="0.2">
      <c r="A2862" t="str">
        <f t="shared" si="291"/>
        <v>38596Vaipahu1850PoritidaeBords</v>
      </c>
      <c r="B2862" s="1">
        <v>38596</v>
      </c>
      <c r="C2862" t="s">
        <v>23</v>
      </c>
      <c r="D2862" s="19">
        <v>18</v>
      </c>
      <c r="E2862">
        <v>50</v>
      </c>
      <c r="F2862" t="s">
        <v>7</v>
      </c>
      <c r="G2862" t="s">
        <v>13</v>
      </c>
      <c r="H2862">
        <v>1</v>
      </c>
      <c r="I2862" t="s">
        <v>27</v>
      </c>
    </row>
    <row r="2863" spans="1:9" x14ac:dyDescent="0.2">
      <c r="A2863" t="str">
        <f t="shared" si="291"/>
        <v>38596Vaipahu1851Autres</v>
      </c>
      <c r="B2863" s="1">
        <v>38596</v>
      </c>
      <c r="C2863" t="s">
        <v>23</v>
      </c>
      <c r="D2863" s="19">
        <v>18</v>
      </c>
      <c r="E2863">
        <v>51</v>
      </c>
      <c r="F2863" t="s">
        <v>14</v>
      </c>
      <c r="H2863">
        <v>0</v>
      </c>
    </row>
    <row r="2864" spans="1:9" x14ac:dyDescent="0.2">
      <c r="A2864" t="str">
        <f t="shared" si="291"/>
        <v>38596Vaipahu1852Autres</v>
      </c>
      <c r="B2864" s="1">
        <v>38596</v>
      </c>
      <c r="C2864" t="s">
        <v>23</v>
      </c>
      <c r="D2864" s="19">
        <v>18</v>
      </c>
      <c r="E2864">
        <v>52</v>
      </c>
      <c r="F2864" t="s">
        <v>14</v>
      </c>
      <c r="H2864">
        <v>0</v>
      </c>
    </row>
    <row r="2865" spans="1:9" x14ac:dyDescent="0.2">
      <c r="A2865" t="str">
        <f t="shared" si="291"/>
        <v>38596Vaipahu1853Autres</v>
      </c>
      <c r="B2865" s="1">
        <v>38596</v>
      </c>
      <c r="C2865" t="s">
        <v>23</v>
      </c>
      <c r="D2865" s="19">
        <v>18</v>
      </c>
      <c r="E2865">
        <v>53</v>
      </c>
      <c r="F2865" t="s">
        <v>14</v>
      </c>
      <c r="H2865">
        <v>0</v>
      </c>
    </row>
    <row r="2866" spans="1:9" x14ac:dyDescent="0.2">
      <c r="A2866" t="str">
        <f t="shared" si="291"/>
        <v>38596Vaipahu1854Autres</v>
      </c>
      <c r="B2866" s="1">
        <v>38596</v>
      </c>
      <c r="C2866" t="s">
        <v>23</v>
      </c>
      <c r="D2866" s="19">
        <v>18</v>
      </c>
      <c r="E2866">
        <v>54</v>
      </c>
      <c r="F2866" t="s">
        <v>14</v>
      </c>
      <c r="H2866">
        <v>0</v>
      </c>
    </row>
    <row r="2867" spans="1:9" x14ac:dyDescent="0.2">
      <c r="A2867" t="str">
        <f t="shared" si="291"/>
        <v>38596Vaipahu1855AcroporidaeBords</v>
      </c>
      <c r="B2867" s="1">
        <v>38596</v>
      </c>
      <c r="C2867" t="s">
        <v>23</v>
      </c>
      <c r="D2867" s="19">
        <v>18</v>
      </c>
      <c r="E2867">
        <v>55</v>
      </c>
      <c r="F2867" t="s">
        <v>17</v>
      </c>
      <c r="G2867" t="s">
        <v>13</v>
      </c>
      <c r="H2867">
        <v>1</v>
      </c>
      <c r="I2867" t="s">
        <v>27</v>
      </c>
    </row>
    <row r="2868" spans="1:9" x14ac:dyDescent="0.2">
      <c r="A2868" t="str">
        <f t="shared" si="291"/>
        <v>38596Vaipahu1856Autres</v>
      </c>
      <c r="B2868" s="1">
        <v>38596</v>
      </c>
      <c r="C2868" t="s">
        <v>23</v>
      </c>
      <c r="D2868" s="19">
        <v>18</v>
      </c>
      <c r="E2868">
        <v>56</v>
      </c>
      <c r="F2868" t="s">
        <v>14</v>
      </c>
      <c r="H2868">
        <v>0</v>
      </c>
    </row>
    <row r="2869" spans="1:9" x14ac:dyDescent="0.2">
      <c r="A2869" t="str">
        <f t="shared" si="291"/>
        <v>38596Vaipahu1857Autres</v>
      </c>
      <c r="B2869" s="1">
        <v>38596</v>
      </c>
      <c r="C2869" t="s">
        <v>23</v>
      </c>
      <c r="D2869" s="19">
        <v>18</v>
      </c>
      <c r="E2869">
        <v>57</v>
      </c>
      <c r="F2869" t="s">
        <v>14</v>
      </c>
      <c r="H2869">
        <v>0</v>
      </c>
    </row>
    <row r="2870" spans="1:9" x14ac:dyDescent="0.2">
      <c r="A2870" t="str">
        <f t="shared" si="291"/>
        <v>38596Vaipahu1858Autres</v>
      </c>
      <c r="B2870" s="1">
        <v>38596</v>
      </c>
      <c r="C2870" t="s">
        <v>23</v>
      </c>
      <c r="D2870" s="19">
        <v>18</v>
      </c>
      <c r="E2870">
        <v>58</v>
      </c>
      <c r="F2870" t="s">
        <v>14</v>
      </c>
      <c r="H2870">
        <v>0</v>
      </c>
    </row>
    <row r="2871" spans="1:9" x14ac:dyDescent="0.2">
      <c r="A2871" t="str">
        <f t="shared" si="291"/>
        <v>38596Vaipahu1859Autres</v>
      </c>
      <c r="B2871" s="1">
        <v>38596</v>
      </c>
      <c r="C2871" t="s">
        <v>23</v>
      </c>
      <c r="D2871" s="19">
        <v>18</v>
      </c>
      <c r="E2871">
        <v>59</v>
      </c>
      <c r="F2871" t="s">
        <v>14</v>
      </c>
      <c r="H2871">
        <v>0</v>
      </c>
    </row>
    <row r="2872" spans="1:9" x14ac:dyDescent="0.2">
      <c r="A2872" t="str">
        <f t="shared" si="291"/>
        <v>38596Vaipahu1860</v>
      </c>
      <c r="B2872" s="1">
        <v>38596</v>
      </c>
      <c r="C2872" t="s">
        <v>23</v>
      </c>
      <c r="D2872" s="19">
        <v>18</v>
      </c>
      <c r="E2872">
        <v>60</v>
      </c>
      <c r="F2872" t="s">
        <v>27</v>
      </c>
      <c r="G2872" t="s">
        <v>27</v>
      </c>
      <c r="H2872" t="s">
        <v>27</v>
      </c>
      <c r="I2872" t="s">
        <v>31</v>
      </c>
    </row>
    <row r="2873" spans="1:9" x14ac:dyDescent="0.2">
      <c r="A2873" t="str">
        <f t="shared" si="291"/>
        <v>38596Tiahura661Autres</v>
      </c>
      <c r="B2873" s="1">
        <v>38596</v>
      </c>
      <c r="C2873" t="s">
        <v>24</v>
      </c>
      <c r="D2873" s="19">
        <v>6</v>
      </c>
      <c r="E2873">
        <v>61</v>
      </c>
      <c r="F2873" t="s">
        <v>14</v>
      </c>
      <c r="H2873">
        <v>0</v>
      </c>
    </row>
    <row r="2874" spans="1:9" x14ac:dyDescent="0.2">
      <c r="A2874" t="str">
        <f t="shared" si="291"/>
        <v>38596Tiahura662Autres</v>
      </c>
      <c r="B2874" s="1">
        <v>38596</v>
      </c>
      <c r="C2874" t="s">
        <v>24</v>
      </c>
      <c r="D2874" s="19">
        <v>6</v>
      </c>
      <c r="E2874">
        <v>62</v>
      </c>
      <c r="F2874" t="s">
        <v>14</v>
      </c>
      <c r="H2874">
        <v>0</v>
      </c>
    </row>
    <row r="2875" spans="1:9" x14ac:dyDescent="0.2">
      <c r="A2875" t="str">
        <f t="shared" si="291"/>
        <v>38596Tiahura663Autres</v>
      </c>
      <c r="B2875" s="1">
        <v>38596</v>
      </c>
      <c r="C2875" t="s">
        <v>24</v>
      </c>
      <c r="D2875" s="19">
        <v>6</v>
      </c>
      <c r="E2875">
        <v>63</v>
      </c>
      <c r="F2875" t="s">
        <v>14</v>
      </c>
      <c r="H2875">
        <v>0</v>
      </c>
    </row>
    <row r="2876" spans="1:9" x14ac:dyDescent="0.2">
      <c r="A2876" t="str">
        <f t="shared" si="291"/>
        <v>38596Tiahura664Autres</v>
      </c>
      <c r="B2876" s="1">
        <v>38596</v>
      </c>
      <c r="C2876" t="s">
        <v>24</v>
      </c>
      <c r="D2876" s="19">
        <v>6</v>
      </c>
      <c r="E2876">
        <v>64</v>
      </c>
      <c r="F2876" t="s">
        <v>14</v>
      </c>
      <c r="H2876">
        <v>0</v>
      </c>
    </row>
    <row r="2877" spans="1:9" x14ac:dyDescent="0.2">
      <c r="A2877" t="str">
        <f t="shared" si="291"/>
        <v>38596Tiahura665Autres</v>
      </c>
      <c r="B2877" s="1">
        <v>38596</v>
      </c>
      <c r="C2877" t="s">
        <v>24</v>
      </c>
      <c r="D2877" s="19">
        <v>6</v>
      </c>
      <c r="E2877">
        <v>65</v>
      </c>
      <c r="F2877" t="s">
        <v>14</v>
      </c>
      <c r="H2877">
        <v>0</v>
      </c>
    </row>
    <row r="2878" spans="1:9" x14ac:dyDescent="0.2">
      <c r="A2878" t="str">
        <f t="shared" si="291"/>
        <v>38596Tiahura666Autres</v>
      </c>
      <c r="B2878" s="1">
        <v>38596</v>
      </c>
      <c r="C2878" t="s">
        <v>24</v>
      </c>
      <c r="D2878" s="19">
        <v>6</v>
      </c>
      <c r="E2878">
        <v>66</v>
      </c>
      <c r="F2878" t="s">
        <v>14</v>
      </c>
      <c r="H2878">
        <v>0</v>
      </c>
    </row>
    <row r="2879" spans="1:9" x14ac:dyDescent="0.2">
      <c r="A2879" t="str">
        <f t="shared" ref="A2879:A2942" si="292">B2879 &amp; C2879&amp; D2879&amp; E2879 &amp; F2879 &amp;G2879</f>
        <v>38596Tiahura667PocilloporidaeDessous</v>
      </c>
      <c r="B2879" s="1">
        <v>38596</v>
      </c>
      <c r="C2879" t="s">
        <v>24</v>
      </c>
      <c r="D2879" s="19">
        <v>6</v>
      </c>
      <c r="E2879">
        <v>67</v>
      </c>
      <c r="F2879" t="s">
        <v>10</v>
      </c>
      <c r="G2879" t="s">
        <v>8</v>
      </c>
      <c r="H2879">
        <v>1</v>
      </c>
      <c r="I2879" t="s">
        <v>27</v>
      </c>
    </row>
    <row r="2880" spans="1:9" x14ac:dyDescent="0.2">
      <c r="A2880" t="str">
        <f t="shared" si="292"/>
        <v>38596Tiahura668Autres</v>
      </c>
      <c r="B2880" s="1">
        <v>38596</v>
      </c>
      <c r="C2880" t="s">
        <v>24</v>
      </c>
      <c r="D2880" s="19">
        <v>6</v>
      </c>
      <c r="E2880">
        <v>68</v>
      </c>
      <c r="F2880" t="s">
        <v>14</v>
      </c>
      <c r="H2880">
        <v>0</v>
      </c>
    </row>
    <row r="2881" spans="1:9" x14ac:dyDescent="0.2">
      <c r="A2881" t="str">
        <f t="shared" si="292"/>
        <v>38596Tiahura669Autres</v>
      </c>
      <c r="B2881" s="1">
        <v>38596</v>
      </c>
      <c r="C2881" t="s">
        <v>24</v>
      </c>
      <c r="D2881" s="19">
        <v>6</v>
      </c>
      <c r="E2881">
        <v>69</v>
      </c>
      <c r="F2881" t="s">
        <v>14</v>
      </c>
      <c r="H2881">
        <v>0</v>
      </c>
    </row>
    <row r="2882" spans="1:9" x14ac:dyDescent="0.2">
      <c r="A2882" t="str">
        <f t="shared" si="292"/>
        <v>38596Tiahura670PocilloporidaeDessous</v>
      </c>
      <c r="B2882" s="1">
        <v>38596</v>
      </c>
      <c r="C2882" t="s">
        <v>24</v>
      </c>
      <c r="D2882" s="19">
        <v>6</v>
      </c>
      <c r="E2882">
        <v>70</v>
      </c>
      <c r="F2882" t="s">
        <v>10</v>
      </c>
      <c r="G2882" t="s">
        <v>8</v>
      </c>
      <c r="H2882">
        <v>1</v>
      </c>
      <c r="I2882" t="s">
        <v>27</v>
      </c>
    </row>
    <row r="2883" spans="1:9" x14ac:dyDescent="0.2">
      <c r="A2883" t="str">
        <f t="shared" si="292"/>
        <v>38596Tiahura671Autres</v>
      </c>
      <c r="B2883" s="1">
        <v>38596</v>
      </c>
      <c r="C2883" t="s">
        <v>24</v>
      </c>
      <c r="D2883" s="19">
        <v>6</v>
      </c>
      <c r="E2883">
        <v>71</v>
      </c>
      <c r="F2883" t="s">
        <v>14</v>
      </c>
      <c r="H2883">
        <v>0</v>
      </c>
    </row>
    <row r="2884" spans="1:9" x14ac:dyDescent="0.2">
      <c r="A2884" t="str">
        <f t="shared" si="292"/>
        <v>38596Tiahura672Autres</v>
      </c>
      <c r="B2884" s="1">
        <v>38596</v>
      </c>
      <c r="C2884" t="s">
        <v>24</v>
      </c>
      <c r="D2884" s="19">
        <v>6</v>
      </c>
      <c r="E2884">
        <v>72</v>
      </c>
      <c r="F2884" t="s">
        <v>14</v>
      </c>
      <c r="H2884">
        <v>0</v>
      </c>
    </row>
    <row r="2885" spans="1:9" x14ac:dyDescent="0.2">
      <c r="A2885" t="str">
        <f t="shared" si="292"/>
        <v>38596Tiahura673Autres</v>
      </c>
      <c r="B2885" s="1">
        <v>38596</v>
      </c>
      <c r="C2885" t="s">
        <v>24</v>
      </c>
      <c r="D2885" s="19">
        <v>6</v>
      </c>
      <c r="E2885">
        <v>73</v>
      </c>
      <c r="F2885" t="s">
        <v>14</v>
      </c>
      <c r="H2885">
        <v>0</v>
      </c>
    </row>
    <row r="2886" spans="1:9" x14ac:dyDescent="0.2">
      <c r="A2886" t="str">
        <f t="shared" si="292"/>
        <v>38596Tiahura674Autres</v>
      </c>
      <c r="B2886" s="1">
        <v>38596</v>
      </c>
      <c r="C2886" t="s">
        <v>24</v>
      </c>
      <c r="D2886" s="19">
        <v>6</v>
      </c>
      <c r="E2886">
        <v>74</v>
      </c>
      <c r="F2886" t="s">
        <v>14</v>
      </c>
      <c r="H2886">
        <v>0</v>
      </c>
    </row>
    <row r="2887" spans="1:9" x14ac:dyDescent="0.2">
      <c r="A2887" t="str">
        <f t="shared" si="292"/>
        <v>38596Tiahura675PoritidaeDessous</v>
      </c>
      <c r="B2887" s="1">
        <v>38596</v>
      </c>
      <c r="C2887" t="s">
        <v>24</v>
      </c>
      <c r="D2887" s="19">
        <v>6</v>
      </c>
      <c r="E2887">
        <v>75</v>
      </c>
      <c r="F2887" t="s">
        <v>7</v>
      </c>
      <c r="G2887" t="s">
        <v>8</v>
      </c>
      <c r="H2887">
        <v>1</v>
      </c>
      <c r="I2887" t="s">
        <v>27</v>
      </c>
    </row>
    <row r="2888" spans="1:9" x14ac:dyDescent="0.2">
      <c r="A2888" t="str">
        <f t="shared" si="292"/>
        <v>38596Tiahura676AcroporidaeDessous</v>
      </c>
      <c r="B2888" s="1">
        <v>38596</v>
      </c>
      <c r="C2888" t="s">
        <v>24</v>
      </c>
      <c r="D2888" s="19">
        <v>6</v>
      </c>
      <c r="E2888">
        <v>76</v>
      </c>
      <c r="F2888" t="s">
        <v>17</v>
      </c>
      <c r="G2888" t="s">
        <v>8</v>
      </c>
      <c r="H2888">
        <v>1</v>
      </c>
      <c r="I2888" t="s">
        <v>27</v>
      </c>
    </row>
    <row r="2889" spans="1:9" x14ac:dyDescent="0.2">
      <c r="A2889" t="str">
        <f t="shared" si="292"/>
        <v>38596Tiahura677Autres</v>
      </c>
      <c r="B2889" s="1">
        <v>38596</v>
      </c>
      <c r="C2889" t="s">
        <v>24</v>
      </c>
      <c r="D2889" s="19">
        <v>6</v>
      </c>
      <c r="E2889">
        <v>77</v>
      </c>
      <c r="F2889" t="s">
        <v>14</v>
      </c>
      <c r="H2889">
        <v>0</v>
      </c>
    </row>
    <row r="2890" spans="1:9" x14ac:dyDescent="0.2">
      <c r="A2890" t="str">
        <f t="shared" si="292"/>
        <v>38596Tiahura678Autres</v>
      </c>
      <c r="B2890" s="1">
        <v>38596</v>
      </c>
      <c r="C2890" t="s">
        <v>24</v>
      </c>
      <c r="D2890" s="19">
        <v>6</v>
      </c>
      <c r="E2890">
        <v>78</v>
      </c>
      <c r="F2890" t="s">
        <v>14</v>
      </c>
      <c r="H2890">
        <v>0</v>
      </c>
    </row>
    <row r="2891" spans="1:9" x14ac:dyDescent="0.2">
      <c r="A2891" t="str">
        <f t="shared" si="292"/>
        <v>38596Tiahura679Autres</v>
      </c>
      <c r="B2891" s="1">
        <v>38596</v>
      </c>
      <c r="C2891" t="s">
        <v>24</v>
      </c>
      <c r="D2891" s="19">
        <v>6</v>
      </c>
      <c r="E2891">
        <v>79</v>
      </c>
      <c r="F2891" t="s">
        <v>14</v>
      </c>
      <c r="H2891">
        <v>0</v>
      </c>
    </row>
    <row r="2892" spans="1:9" x14ac:dyDescent="0.2">
      <c r="A2892" t="str">
        <f t="shared" si="292"/>
        <v>38596Tiahura680AcroporidaeDessous</v>
      </c>
      <c r="B2892" s="1">
        <v>38596</v>
      </c>
      <c r="C2892" t="s">
        <v>24</v>
      </c>
      <c r="D2892" s="19">
        <v>6</v>
      </c>
      <c r="E2892">
        <v>80</v>
      </c>
      <c r="F2892" t="s">
        <v>17</v>
      </c>
      <c r="G2892" t="s">
        <v>8</v>
      </c>
      <c r="H2892">
        <v>1</v>
      </c>
      <c r="I2892" t="s">
        <v>27</v>
      </c>
    </row>
    <row r="2893" spans="1:9" x14ac:dyDescent="0.2">
      <c r="A2893" t="str">
        <f t="shared" si="292"/>
        <v>38596Tiahura680PocilloporidaeDessous</v>
      </c>
      <c r="B2893" s="1">
        <v>38596</v>
      </c>
      <c r="C2893" t="s">
        <v>24</v>
      </c>
      <c r="D2893" s="19">
        <v>6</v>
      </c>
      <c r="E2893">
        <v>80</v>
      </c>
      <c r="F2893" t="s">
        <v>10</v>
      </c>
      <c r="G2893" t="s">
        <v>8</v>
      </c>
      <c r="H2893">
        <v>2</v>
      </c>
      <c r="I2893" t="s">
        <v>27</v>
      </c>
    </row>
    <row r="2894" spans="1:9" x14ac:dyDescent="0.2">
      <c r="A2894" t="str">
        <f t="shared" si="292"/>
        <v>38596Tiahura1281PoritidaeDessous</v>
      </c>
      <c r="B2894" s="1">
        <v>38596</v>
      </c>
      <c r="C2894" t="s">
        <v>24</v>
      </c>
      <c r="D2894" s="19">
        <v>12</v>
      </c>
      <c r="E2894">
        <v>81</v>
      </c>
      <c r="F2894" t="s">
        <v>7</v>
      </c>
      <c r="G2894" t="s">
        <v>8</v>
      </c>
      <c r="H2894">
        <v>2</v>
      </c>
      <c r="I2894" t="s">
        <v>27</v>
      </c>
    </row>
    <row r="2895" spans="1:9" x14ac:dyDescent="0.2">
      <c r="A2895" t="str">
        <f t="shared" si="292"/>
        <v>38596Tiahura1282Autres</v>
      </c>
      <c r="B2895" s="1">
        <v>38596</v>
      </c>
      <c r="C2895" t="s">
        <v>24</v>
      </c>
      <c r="D2895" s="19">
        <v>12</v>
      </c>
      <c r="E2895">
        <v>82</v>
      </c>
      <c r="F2895" t="s">
        <v>14</v>
      </c>
      <c r="H2895">
        <v>0</v>
      </c>
    </row>
    <row r="2896" spans="1:9" x14ac:dyDescent="0.2">
      <c r="A2896" t="str">
        <f t="shared" si="292"/>
        <v>38596Tiahura1283Autres</v>
      </c>
      <c r="B2896" s="1">
        <v>38596</v>
      </c>
      <c r="C2896" t="s">
        <v>24</v>
      </c>
      <c r="D2896" s="19">
        <v>12</v>
      </c>
      <c r="E2896">
        <v>83</v>
      </c>
      <c r="F2896" t="s">
        <v>14</v>
      </c>
      <c r="H2896">
        <v>0</v>
      </c>
    </row>
    <row r="2897" spans="1:9" x14ac:dyDescent="0.2">
      <c r="A2897" t="str">
        <f t="shared" si="292"/>
        <v>38596Tiahura1284Autres</v>
      </c>
      <c r="B2897" s="1">
        <v>38596</v>
      </c>
      <c r="C2897" t="s">
        <v>24</v>
      </c>
      <c r="D2897" s="19">
        <v>12</v>
      </c>
      <c r="E2897">
        <v>84</v>
      </c>
      <c r="F2897" t="s">
        <v>14</v>
      </c>
      <c r="H2897">
        <v>0</v>
      </c>
    </row>
    <row r="2898" spans="1:9" x14ac:dyDescent="0.2">
      <c r="A2898" t="str">
        <f t="shared" si="292"/>
        <v>38596Tiahura1285AcroporidaeDessous</v>
      </c>
      <c r="B2898" s="1">
        <v>38596</v>
      </c>
      <c r="C2898" t="s">
        <v>24</v>
      </c>
      <c r="D2898" s="19">
        <v>12</v>
      </c>
      <c r="E2898">
        <v>85</v>
      </c>
      <c r="F2898" t="s">
        <v>17</v>
      </c>
      <c r="G2898" t="s">
        <v>8</v>
      </c>
      <c r="H2898">
        <v>1</v>
      </c>
      <c r="I2898" t="s">
        <v>27</v>
      </c>
    </row>
    <row r="2899" spans="1:9" x14ac:dyDescent="0.2">
      <c r="A2899" t="str">
        <f t="shared" si="292"/>
        <v>38596Tiahura1285PoritidaeDessous</v>
      </c>
      <c r="B2899" s="1">
        <v>38596</v>
      </c>
      <c r="C2899" t="s">
        <v>24</v>
      </c>
      <c r="D2899" s="19">
        <v>12</v>
      </c>
      <c r="E2899">
        <v>85</v>
      </c>
      <c r="F2899" t="s">
        <v>7</v>
      </c>
      <c r="G2899" t="s">
        <v>8</v>
      </c>
      <c r="H2899">
        <v>5</v>
      </c>
      <c r="I2899" t="s">
        <v>27</v>
      </c>
    </row>
    <row r="2900" spans="1:9" x14ac:dyDescent="0.2">
      <c r="A2900" t="str">
        <f t="shared" si="292"/>
        <v>38596Tiahura1286Autres</v>
      </c>
      <c r="B2900" s="1">
        <v>38596</v>
      </c>
      <c r="C2900" t="s">
        <v>24</v>
      </c>
      <c r="D2900" s="19">
        <v>12</v>
      </c>
      <c r="E2900">
        <v>86</v>
      </c>
      <c r="F2900" t="s">
        <v>14</v>
      </c>
      <c r="H2900">
        <v>0</v>
      </c>
    </row>
    <row r="2901" spans="1:9" x14ac:dyDescent="0.2">
      <c r="A2901" t="str">
        <f t="shared" si="292"/>
        <v>38596Tiahura1287Autres</v>
      </c>
      <c r="B2901" s="1">
        <v>38596</v>
      </c>
      <c r="C2901" t="s">
        <v>24</v>
      </c>
      <c r="D2901" s="19">
        <v>12</v>
      </c>
      <c r="E2901">
        <v>87</v>
      </c>
      <c r="F2901" t="s">
        <v>14</v>
      </c>
      <c r="H2901">
        <v>0</v>
      </c>
    </row>
    <row r="2902" spans="1:9" x14ac:dyDescent="0.2">
      <c r="A2902" t="str">
        <f t="shared" si="292"/>
        <v>38596Tiahura1288AcroporidaeDessus</v>
      </c>
      <c r="B2902" s="1">
        <v>38596</v>
      </c>
      <c r="C2902" t="s">
        <v>24</v>
      </c>
      <c r="D2902" s="19">
        <v>12</v>
      </c>
      <c r="E2902">
        <v>88</v>
      </c>
      <c r="F2902" t="s">
        <v>17</v>
      </c>
      <c r="G2902" t="s">
        <v>11</v>
      </c>
      <c r="H2902">
        <v>1</v>
      </c>
      <c r="I2902" t="s">
        <v>27</v>
      </c>
    </row>
    <row r="2903" spans="1:9" x14ac:dyDescent="0.2">
      <c r="A2903" t="str">
        <f t="shared" si="292"/>
        <v>38596Tiahura1289Autres</v>
      </c>
      <c r="B2903" s="1">
        <v>38596</v>
      </c>
      <c r="C2903" t="s">
        <v>24</v>
      </c>
      <c r="D2903" s="19">
        <v>12</v>
      </c>
      <c r="E2903">
        <v>89</v>
      </c>
      <c r="F2903" t="s">
        <v>14</v>
      </c>
      <c r="H2903">
        <v>0</v>
      </c>
    </row>
    <row r="2904" spans="1:9" x14ac:dyDescent="0.2">
      <c r="A2904" t="str">
        <f t="shared" si="292"/>
        <v>38596Tiahura1290PoritidaeBords</v>
      </c>
      <c r="B2904" s="1">
        <v>38596</v>
      </c>
      <c r="C2904" t="s">
        <v>24</v>
      </c>
      <c r="D2904" s="19">
        <v>12</v>
      </c>
      <c r="E2904">
        <v>90</v>
      </c>
      <c r="F2904" t="s">
        <v>7</v>
      </c>
      <c r="G2904" t="s">
        <v>13</v>
      </c>
      <c r="H2904">
        <v>1</v>
      </c>
      <c r="I2904" t="s">
        <v>27</v>
      </c>
    </row>
    <row r="2905" spans="1:9" x14ac:dyDescent="0.2">
      <c r="A2905" t="str">
        <f t="shared" si="292"/>
        <v>38596Tiahura1290PoritidaeDessous</v>
      </c>
      <c r="B2905" s="1">
        <v>38596</v>
      </c>
      <c r="C2905" t="s">
        <v>24</v>
      </c>
      <c r="D2905" s="19">
        <v>12</v>
      </c>
      <c r="E2905">
        <v>90</v>
      </c>
      <c r="F2905" t="s">
        <v>7</v>
      </c>
      <c r="G2905" t="s">
        <v>8</v>
      </c>
      <c r="H2905">
        <v>3</v>
      </c>
      <c r="I2905" t="s">
        <v>27</v>
      </c>
    </row>
    <row r="2906" spans="1:9" x14ac:dyDescent="0.2">
      <c r="A2906" t="str">
        <f t="shared" si="292"/>
        <v>38596Tiahura1291PoritidaeBords</v>
      </c>
      <c r="B2906" s="1">
        <v>38596</v>
      </c>
      <c r="C2906" t="s">
        <v>24</v>
      </c>
      <c r="D2906" s="19">
        <v>12</v>
      </c>
      <c r="E2906">
        <v>91</v>
      </c>
      <c r="F2906" t="s">
        <v>7</v>
      </c>
      <c r="G2906" t="s">
        <v>13</v>
      </c>
      <c r="H2906">
        <v>1</v>
      </c>
      <c r="I2906" t="s">
        <v>27</v>
      </c>
    </row>
    <row r="2907" spans="1:9" x14ac:dyDescent="0.2">
      <c r="A2907" t="str">
        <f t="shared" si="292"/>
        <v>38596Tiahura1292PocilloporidaeDessous</v>
      </c>
      <c r="B2907" s="1">
        <v>38596</v>
      </c>
      <c r="C2907" t="s">
        <v>24</v>
      </c>
      <c r="D2907" s="19">
        <v>12</v>
      </c>
      <c r="E2907">
        <v>92</v>
      </c>
      <c r="F2907" t="s">
        <v>10</v>
      </c>
      <c r="G2907" t="s">
        <v>8</v>
      </c>
      <c r="H2907">
        <v>1</v>
      </c>
      <c r="I2907" t="s">
        <v>27</v>
      </c>
    </row>
    <row r="2908" spans="1:9" x14ac:dyDescent="0.2">
      <c r="A2908" t="str">
        <f t="shared" si="292"/>
        <v>38596Tiahura1292PoritidaeBords</v>
      </c>
      <c r="B2908" s="1">
        <v>38596</v>
      </c>
      <c r="C2908" t="s">
        <v>24</v>
      </c>
      <c r="D2908" s="19">
        <v>12</v>
      </c>
      <c r="E2908">
        <v>92</v>
      </c>
      <c r="F2908" t="s">
        <v>7</v>
      </c>
      <c r="G2908" t="s">
        <v>13</v>
      </c>
      <c r="H2908">
        <v>1</v>
      </c>
      <c r="I2908" t="s">
        <v>27</v>
      </c>
    </row>
    <row r="2909" spans="1:9" x14ac:dyDescent="0.2">
      <c r="A2909" t="str">
        <f t="shared" si="292"/>
        <v>38596Tiahura1293Autres</v>
      </c>
      <c r="B2909" s="1">
        <v>38596</v>
      </c>
      <c r="C2909" t="s">
        <v>24</v>
      </c>
      <c r="D2909" s="19">
        <v>12</v>
      </c>
      <c r="E2909">
        <v>93</v>
      </c>
      <c r="F2909" t="s">
        <v>14</v>
      </c>
      <c r="H2909">
        <v>0</v>
      </c>
    </row>
    <row r="2910" spans="1:9" x14ac:dyDescent="0.2">
      <c r="A2910" t="str">
        <f t="shared" si="292"/>
        <v>38596Tiahura1294PoritidaeDessous</v>
      </c>
      <c r="B2910" s="1">
        <v>38596</v>
      </c>
      <c r="C2910" t="s">
        <v>24</v>
      </c>
      <c r="D2910" s="19">
        <v>12</v>
      </c>
      <c r="E2910">
        <v>94</v>
      </c>
      <c r="F2910" t="s">
        <v>7</v>
      </c>
      <c r="G2910" t="s">
        <v>8</v>
      </c>
      <c r="H2910">
        <v>1</v>
      </c>
      <c r="I2910" t="s">
        <v>27</v>
      </c>
    </row>
    <row r="2911" spans="1:9" x14ac:dyDescent="0.2">
      <c r="A2911" t="str">
        <f t="shared" si="292"/>
        <v>38596Tiahura1295Autres</v>
      </c>
      <c r="B2911" s="1">
        <v>38596</v>
      </c>
      <c r="C2911" t="s">
        <v>24</v>
      </c>
      <c r="D2911" s="19">
        <v>12</v>
      </c>
      <c r="E2911">
        <v>95</v>
      </c>
      <c r="F2911" t="s">
        <v>14</v>
      </c>
      <c r="H2911">
        <v>0</v>
      </c>
    </row>
    <row r="2912" spans="1:9" x14ac:dyDescent="0.2">
      <c r="A2912" t="str">
        <f t="shared" si="292"/>
        <v>38596Tiahura1296Autres</v>
      </c>
      <c r="B2912" s="1">
        <v>38596</v>
      </c>
      <c r="C2912" t="s">
        <v>24</v>
      </c>
      <c r="D2912" s="19">
        <v>12</v>
      </c>
      <c r="E2912">
        <v>96</v>
      </c>
      <c r="F2912" t="s">
        <v>14</v>
      </c>
      <c r="H2912">
        <v>0</v>
      </c>
    </row>
    <row r="2913" spans="1:9" x14ac:dyDescent="0.2">
      <c r="A2913" t="str">
        <f t="shared" si="292"/>
        <v>38596Tiahura1297Autres</v>
      </c>
      <c r="B2913" s="1">
        <v>38596</v>
      </c>
      <c r="C2913" t="s">
        <v>24</v>
      </c>
      <c r="D2913" s="19">
        <v>12</v>
      </c>
      <c r="E2913">
        <v>97</v>
      </c>
      <c r="F2913" t="s">
        <v>14</v>
      </c>
      <c r="H2913">
        <v>0</v>
      </c>
    </row>
    <row r="2914" spans="1:9" x14ac:dyDescent="0.2">
      <c r="A2914" t="str">
        <f t="shared" si="292"/>
        <v>38596Tiahura1298Autres</v>
      </c>
      <c r="B2914" s="1">
        <v>38596</v>
      </c>
      <c r="C2914" t="s">
        <v>24</v>
      </c>
      <c r="D2914" s="19">
        <v>12</v>
      </c>
      <c r="E2914">
        <v>98</v>
      </c>
      <c r="F2914" t="s">
        <v>14</v>
      </c>
      <c r="H2914">
        <v>0</v>
      </c>
    </row>
    <row r="2915" spans="1:9" x14ac:dyDescent="0.2">
      <c r="A2915" t="str">
        <f t="shared" si="292"/>
        <v>38596Tiahura1299PoritidaeDessous</v>
      </c>
      <c r="B2915" s="1">
        <v>38596</v>
      </c>
      <c r="C2915" t="s">
        <v>24</v>
      </c>
      <c r="D2915" s="19">
        <v>12</v>
      </c>
      <c r="E2915">
        <v>99</v>
      </c>
      <c r="F2915" t="s">
        <v>7</v>
      </c>
      <c r="G2915" t="s">
        <v>8</v>
      </c>
      <c r="H2915">
        <v>1</v>
      </c>
      <c r="I2915" t="s">
        <v>27</v>
      </c>
    </row>
    <row r="2916" spans="1:9" x14ac:dyDescent="0.2">
      <c r="A2916" t="str">
        <f t="shared" si="292"/>
        <v>38596Tiahura12100Autres</v>
      </c>
      <c r="B2916" s="1">
        <v>38596</v>
      </c>
      <c r="C2916" t="s">
        <v>24</v>
      </c>
      <c r="D2916" s="19">
        <v>12</v>
      </c>
      <c r="E2916">
        <v>100</v>
      </c>
      <c r="F2916" t="s">
        <v>14</v>
      </c>
      <c r="H2916">
        <v>0</v>
      </c>
    </row>
    <row r="2917" spans="1:9" x14ac:dyDescent="0.2">
      <c r="A2917" t="str">
        <f t="shared" si="292"/>
        <v>38596Tiahura18101AcroporidaeBords</v>
      </c>
      <c r="B2917" s="1">
        <v>38596</v>
      </c>
      <c r="C2917" t="s">
        <v>24</v>
      </c>
      <c r="D2917" s="19">
        <v>18</v>
      </c>
      <c r="E2917">
        <v>101</v>
      </c>
      <c r="F2917" t="s">
        <v>17</v>
      </c>
      <c r="G2917" t="s">
        <v>13</v>
      </c>
      <c r="H2917">
        <v>1</v>
      </c>
      <c r="I2917" t="s">
        <v>27</v>
      </c>
    </row>
    <row r="2918" spans="1:9" x14ac:dyDescent="0.2">
      <c r="A2918" t="str">
        <f t="shared" si="292"/>
        <v>38596Tiahura18102Autres</v>
      </c>
      <c r="B2918" s="1">
        <v>38596</v>
      </c>
      <c r="C2918" t="s">
        <v>24</v>
      </c>
      <c r="D2918" s="19">
        <v>18</v>
      </c>
      <c r="E2918">
        <v>102</v>
      </c>
      <c r="F2918" t="s">
        <v>14</v>
      </c>
      <c r="H2918">
        <v>0</v>
      </c>
    </row>
    <row r="2919" spans="1:9" x14ac:dyDescent="0.2">
      <c r="A2919" t="str">
        <f t="shared" si="292"/>
        <v>38596Tiahura18103AcroporidaeBords</v>
      </c>
      <c r="B2919" s="1">
        <v>38596</v>
      </c>
      <c r="C2919" t="s">
        <v>24</v>
      </c>
      <c r="D2919" s="19">
        <v>18</v>
      </c>
      <c r="E2919">
        <v>103</v>
      </c>
      <c r="F2919" t="s">
        <v>17</v>
      </c>
      <c r="G2919" t="s">
        <v>13</v>
      </c>
      <c r="H2919">
        <v>1</v>
      </c>
      <c r="I2919" t="s">
        <v>27</v>
      </c>
    </row>
    <row r="2920" spans="1:9" x14ac:dyDescent="0.2">
      <c r="A2920" t="str">
        <f t="shared" si="292"/>
        <v>38596Tiahura18104Autres</v>
      </c>
      <c r="B2920" s="1">
        <v>38596</v>
      </c>
      <c r="C2920" t="s">
        <v>24</v>
      </c>
      <c r="D2920" s="19">
        <v>18</v>
      </c>
      <c r="E2920">
        <v>104</v>
      </c>
      <c r="F2920" t="s">
        <v>14</v>
      </c>
      <c r="H2920">
        <v>0</v>
      </c>
    </row>
    <row r="2921" spans="1:9" x14ac:dyDescent="0.2">
      <c r="A2921" t="str">
        <f t="shared" si="292"/>
        <v>38596Tiahura18105Autres</v>
      </c>
      <c r="B2921" s="1">
        <v>38596</v>
      </c>
      <c r="C2921" t="s">
        <v>24</v>
      </c>
      <c r="D2921" s="19">
        <v>18</v>
      </c>
      <c r="E2921">
        <v>105</v>
      </c>
      <c r="F2921" t="s">
        <v>14</v>
      </c>
      <c r="H2921">
        <v>0</v>
      </c>
    </row>
    <row r="2922" spans="1:9" x14ac:dyDescent="0.2">
      <c r="A2922" t="str">
        <f t="shared" si="292"/>
        <v>38596Tiahura18106Autres</v>
      </c>
      <c r="B2922" s="1">
        <v>38596</v>
      </c>
      <c r="C2922" t="s">
        <v>24</v>
      </c>
      <c r="D2922" s="19">
        <v>18</v>
      </c>
      <c r="E2922">
        <v>106</v>
      </c>
      <c r="F2922" t="s">
        <v>14</v>
      </c>
      <c r="H2922">
        <v>0</v>
      </c>
    </row>
    <row r="2923" spans="1:9" x14ac:dyDescent="0.2">
      <c r="A2923" t="str">
        <f t="shared" si="292"/>
        <v>38596Tiahura18107AcroporidaeDessus</v>
      </c>
      <c r="B2923" s="1">
        <v>38596</v>
      </c>
      <c r="C2923" t="s">
        <v>24</v>
      </c>
      <c r="D2923" s="19">
        <v>18</v>
      </c>
      <c r="E2923">
        <v>107</v>
      </c>
      <c r="F2923" t="s">
        <v>17</v>
      </c>
      <c r="G2923" t="s">
        <v>11</v>
      </c>
      <c r="H2923">
        <v>1</v>
      </c>
      <c r="I2923" t="s">
        <v>27</v>
      </c>
    </row>
    <row r="2924" spans="1:9" x14ac:dyDescent="0.2">
      <c r="A2924" t="str">
        <f t="shared" si="292"/>
        <v>38596Tiahura18108Autres</v>
      </c>
      <c r="B2924" s="1">
        <v>38596</v>
      </c>
      <c r="C2924" t="s">
        <v>24</v>
      </c>
      <c r="D2924" s="19">
        <v>18</v>
      </c>
      <c r="E2924">
        <v>108</v>
      </c>
      <c r="F2924" t="s">
        <v>14</v>
      </c>
      <c r="H2924">
        <v>0</v>
      </c>
    </row>
    <row r="2925" spans="1:9" x14ac:dyDescent="0.2">
      <c r="A2925" t="str">
        <f t="shared" si="292"/>
        <v>38596Tiahura18109Autres</v>
      </c>
      <c r="B2925" s="1">
        <v>38596</v>
      </c>
      <c r="C2925" t="s">
        <v>24</v>
      </c>
      <c r="D2925" s="19">
        <v>18</v>
      </c>
      <c r="E2925">
        <v>109</v>
      </c>
      <c r="F2925" t="s">
        <v>14</v>
      </c>
      <c r="H2925">
        <v>0</v>
      </c>
    </row>
    <row r="2926" spans="1:9" x14ac:dyDescent="0.2">
      <c r="A2926" t="str">
        <f t="shared" si="292"/>
        <v>38596Tiahura18110Autres</v>
      </c>
      <c r="B2926" s="1">
        <v>38596</v>
      </c>
      <c r="C2926" t="s">
        <v>24</v>
      </c>
      <c r="D2926" s="19">
        <v>18</v>
      </c>
      <c r="E2926">
        <v>110</v>
      </c>
      <c r="F2926" t="s">
        <v>14</v>
      </c>
      <c r="H2926">
        <v>0</v>
      </c>
    </row>
    <row r="2927" spans="1:9" x14ac:dyDescent="0.2">
      <c r="A2927" t="str">
        <f t="shared" si="292"/>
        <v>38596Tiahura18111PoritidaeBords</v>
      </c>
      <c r="B2927" s="1">
        <v>38596</v>
      </c>
      <c r="C2927" t="s">
        <v>24</v>
      </c>
      <c r="D2927" s="19">
        <v>18</v>
      </c>
      <c r="E2927">
        <v>111</v>
      </c>
      <c r="F2927" t="s">
        <v>7</v>
      </c>
      <c r="G2927" t="s">
        <v>13</v>
      </c>
      <c r="H2927">
        <v>2</v>
      </c>
      <c r="I2927" t="s">
        <v>27</v>
      </c>
    </row>
    <row r="2928" spans="1:9" x14ac:dyDescent="0.2">
      <c r="A2928" t="str">
        <f t="shared" si="292"/>
        <v>38596Tiahura18112Autres</v>
      </c>
      <c r="B2928" s="1">
        <v>38596</v>
      </c>
      <c r="C2928" t="s">
        <v>24</v>
      </c>
      <c r="D2928" s="19">
        <v>18</v>
      </c>
      <c r="E2928">
        <v>112</v>
      </c>
      <c r="F2928" t="s">
        <v>14</v>
      </c>
      <c r="H2928">
        <v>0</v>
      </c>
    </row>
    <row r="2929" spans="1:9" x14ac:dyDescent="0.2">
      <c r="A2929" t="str">
        <f t="shared" si="292"/>
        <v>38596Tiahura18113PocilloporidaeDessous</v>
      </c>
      <c r="B2929" s="1">
        <v>38596</v>
      </c>
      <c r="C2929" t="s">
        <v>24</v>
      </c>
      <c r="D2929" s="19">
        <v>18</v>
      </c>
      <c r="E2929">
        <v>113</v>
      </c>
      <c r="F2929" t="s">
        <v>10</v>
      </c>
      <c r="G2929" t="s">
        <v>8</v>
      </c>
      <c r="H2929">
        <v>1</v>
      </c>
      <c r="I2929" t="s">
        <v>27</v>
      </c>
    </row>
    <row r="2930" spans="1:9" x14ac:dyDescent="0.2">
      <c r="A2930" t="str">
        <f t="shared" si="292"/>
        <v>38596Tiahura18114Autres</v>
      </c>
      <c r="B2930" s="1">
        <v>38596</v>
      </c>
      <c r="C2930" t="s">
        <v>24</v>
      </c>
      <c r="D2930" s="19">
        <v>18</v>
      </c>
      <c r="E2930">
        <v>114</v>
      </c>
      <c r="F2930" t="s">
        <v>14</v>
      </c>
      <c r="H2930">
        <v>0</v>
      </c>
    </row>
    <row r="2931" spans="1:9" x14ac:dyDescent="0.2">
      <c r="A2931" t="str">
        <f t="shared" si="292"/>
        <v>38596Tiahura18115Autres</v>
      </c>
      <c r="B2931" s="1">
        <v>38596</v>
      </c>
      <c r="C2931" t="s">
        <v>24</v>
      </c>
      <c r="D2931" s="19">
        <v>18</v>
      </c>
      <c r="E2931">
        <v>115</v>
      </c>
      <c r="F2931" t="s">
        <v>14</v>
      </c>
      <c r="H2931">
        <v>0</v>
      </c>
    </row>
    <row r="2932" spans="1:9" x14ac:dyDescent="0.2">
      <c r="A2932" t="str">
        <f t="shared" si="292"/>
        <v>38596Tiahura18116PoritidaeDessous</v>
      </c>
      <c r="B2932" s="1">
        <v>38596</v>
      </c>
      <c r="C2932" t="s">
        <v>24</v>
      </c>
      <c r="D2932" s="19">
        <v>18</v>
      </c>
      <c r="E2932">
        <v>116</v>
      </c>
      <c r="F2932" t="s">
        <v>7</v>
      </c>
      <c r="G2932" t="s">
        <v>8</v>
      </c>
      <c r="H2932">
        <v>1</v>
      </c>
      <c r="I2932" t="s">
        <v>27</v>
      </c>
    </row>
    <row r="2933" spans="1:9" x14ac:dyDescent="0.2">
      <c r="A2933" t="str">
        <f t="shared" si="292"/>
        <v>38596Tiahura18117Autres</v>
      </c>
      <c r="B2933" s="1">
        <v>38596</v>
      </c>
      <c r="C2933" t="s">
        <v>24</v>
      </c>
      <c r="D2933" s="19">
        <v>18</v>
      </c>
      <c r="E2933">
        <v>117</v>
      </c>
      <c r="F2933" t="s">
        <v>14</v>
      </c>
      <c r="H2933">
        <v>0</v>
      </c>
    </row>
    <row r="2934" spans="1:9" x14ac:dyDescent="0.2">
      <c r="A2934" t="str">
        <f t="shared" si="292"/>
        <v>38596Tiahura18118Autres</v>
      </c>
      <c r="B2934" s="1">
        <v>38596</v>
      </c>
      <c r="C2934" t="s">
        <v>24</v>
      </c>
      <c r="D2934" s="19">
        <v>18</v>
      </c>
      <c r="E2934">
        <v>118</v>
      </c>
      <c r="F2934" t="s">
        <v>14</v>
      </c>
      <c r="H2934">
        <v>0</v>
      </c>
    </row>
    <row r="2935" spans="1:9" x14ac:dyDescent="0.2">
      <c r="A2935" t="str">
        <f t="shared" si="292"/>
        <v>38596Tiahura18119Autres</v>
      </c>
      <c r="B2935" s="1">
        <v>38596</v>
      </c>
      <c r="C2935" t="s">
        <v>24</v>
      </c>
      <c r="D2935" s="19">
        <v>18</v>
      </c>
      <c r="E2935">
        <v>119</v>
      </c>
      <c r="F2935" t="s">
        <v>14</v>
      </c>
      <c r="H2935">
        <v>0</v>
      </c>
    </row>
    <row r="2936" spans="1:9" x14ac:dyDescent="0.2">
      <c r="A2936" t="str">
        <f t="shared" si="292"/>
        <v>38596Tiahura18120Autres</v>
      </c>
      <c r="B2936" s="1">
        <v>38596</v>
      </c>
      <c r="C2936" t="s">
        <v>24</v>
      </c>
      <c r="D2936" s="19">
        <v>18</v>
      </c>
      <c r="E2936">
        <v>120</v>
      </c>
      <c r="F2936" t="s">
        <v>14</v>
      </c>
      <c r="H2936">
        <v>0</v>
      </c>
    </row>
    <row r="2937" spans="1:9" x14ac:dyDescent="0.2">
      <c r="A2937" t="str">
        <f t="shared" si="292"/>
        <v>38596Haapiti6121Autres</v>
      </c>
      <c r="B2937" s="1">
        <v>38596</v>
      </c>
      <c r="C2937" t="s">
        <v>25</v>
      </c>
      <c r="D2937" s="19">
        <v>6</v>
      </c>
      <c r="E2937">
        <v>121</v>
      </c>
      <c r="F2937" t="s">
        <v>14</v>
      </c>
      <c r="H2937">
        <v>0</v>
      </c>
    </row>
    <row r="2938" spans="1:9" x14ac:dyDescent="0.2">
      <c r="A2938" t="str">
        <f t="shared" si="292"/>
        <v>38596Haapiti6122Autres</v>
      </c>
      <c r="B2938" s="1">
        <v>38596</v>
      </c>
      <c r="C2938" t="s">
        <v>25</v>
      </c>
      <c r="D2938" s="19">
        <v>6</v>
      </c>
      <c r="E2938">
        <v>122</v>
      </c>
      <c r="F2938" t="s">
        <v>14</v>
      </c>
      <c r="H2938">
        <v>0</v>
      </c>
    </row>
    <row r="2939" spans="1:9" x14ac:dyDescent="0.2">
      <c r="A2939" t="str">
        <f t="shared" si="292"/>
        <v>38596Haapiti6123</v>
      </c>
      <c r="B2939" s="1">
        <v>38596</v>
      </c>
      <c r="C2939" t="s">
        <v>25</v>
      </c>
      <c r="D2939" s="19">
        <v>6</v>
      </c>
      <c r="E2939">
        <v>123</v>
      </c>
      <c r="F2939" t="s">
        <v>27</v>
      </c>
      <c r="G2939" t="s">
        <v>27</v>
      </c>
      <c r="H2939" t="s">
        <v>27</v>
      </c>
      <c r="I2939" t="s">
        <v>31</v>
      </c>
    </row>
    <row r="2940" spans="1:9" x14ac:dyDescent="0.2">
      <c r="A2940" t="str">
        <f t="shared" si="292"/>
        <v>38596Haapiti6124Autres</v>
      </c>
      <c r="B2940" s="1">
        <v>38596</v>
      </c>
      <c r="C2940" t="s">
        <v>25</v>
      </c>
      <c r="D2940" s="19">
        <v>6</v>
      </c>
      <c r="E2940">
        <v>124</v>
      </c>
      <c r="F2940" t="s">
        <v>14</v>
      </c>
      <c r="H2940">
        <v>0</v>
      </c>
    </row>
    <row r="2941" spans="1:9" x14ac:dyDescent="0.2">
      <c r="A2941" t="str">
        <f t="shared" si="292"/>
        <v>38596Haapiti6125Autres</v>
      </c>
      <c r="B2941" s="1">
        <v>38596</v>
      </c>
      <c r="C2941" t="s">
        <v>25</v>
      </c>
      <c r="D2941" s="19">
        <v>6</v>
      </c>
      <c r="E2941">
        <v>125</v>
      </c>
      <c r="F2941" t="s">
        <v>14</v>
      </c>
      <c r="H2941">
        <v>0</v>
      </c>
    </row>
    <row r="2942" spans="1:9" x14ac:dyDescent="0.2">
      <c r="A2942" t="str">
        <f t="shared" si="292"/>
        <v>38596Haapiti6126Autres</v>
      </c>
      <c r="B2942" s="1">
        <v>38596</v>
      </c>
      <c r="C2942" t="s">
        <v>25</v>
      </c>
      <c r="D2942" s="19">
        <v>6</v>
      </c>
      <c r="E2942">
        <v>126</v>
      </c>
      <c r="F2942" t="s">
        <v>14</v>
      </c>
      <c r="H2942">
        <v>0</v>
      </c>
    </row>
    <row r="2943" spans="1:9" x14ac:dyDescent="0.2">
      <c r="A2943" t="str">
        <f t="shared" ref="A2943:A3006" si="293">B2943 &amp; C2943&amp; D2943&amp; E2943 &amp; F2943 &amp;G2943</f>
        <v>38596Haapiti6127</v>
      </c>
      <c r="B2943" s="1">
        <v>38596</v>
      </c>
      <c r="C2943" t="s">
        <v>25</v>
      </c>
      <c r="D2943" s="19">
        <v>6</v>
      </c>
      <c r="E2943">
        <v>127</v>
      </c>
      <c r="F2943" t="s">
        <v>27</v>
      </c>
      <c r="G2943" t="s">
        <v>27</v>
      </c>
      <c r="H2943" t="s">
        <v>27</v>
      </c>
      <c r="I2943" t="s">
        <v>31</v>
      </c>
    </row>
    <row r="2944" spans="1:9" x14ac:dyDescent="0.2">
      <c r="A2944" t="str">
        <f t="shared" si="293"/>
        <v>38596Haapiti6128Autres</v>
      </c>
      <c r="B2944" s="1">
        <v>38596</v>
      </c>
      <c r="C2944" t="s">
        <v>25</v>
      </c>
      <c r="D2944" s="19">
        <v>6</v>
      </c>
      <c r="E2944">
        <v>128</v>
      </c>
      <c r="F2944" t="s">
        <v>14</v>
      </c>
      <c r="H2944">
        <v>0</v>
      </c>
    </row>
    <row r="2945" spans="1:9" x14ac:dyDescent="0.2">
      <c r="A2945" t="str">
        <f t="shared" si="293"/>
        <v>38596Haapiti6129Autres</v>
      </c>
      <c r="B2945" s="1">
        <v>38596</v>
      </c>
      <c r="C2945" t="s">
        <v>25</v>
      </c>
      <c r="D2945" s="19">
        <v>6</v>
      </c>
      <c r="E2945">
        <v>129</v>
      </c>
      <c r="F2945" t="s">
        <v>14</v>
      </c>
      <c r="H2945">
        <v>0</v>
      </c>
    </row>
    <row r="2946" spans="1:9" x14ac:dyDescent="0.2">
      <c r="A2946" t="str">
        <f t="shared" si="293"/>
        <v>38596Haapiti6130Autres</v>
      </c>
      <c r="B2946" s="1">
        <v>38596</v>
      </c>
      <c r="C2946" t="s">
        <v>25</v>
      </c>
      <c r="D2946" s="19">
        <v>6</v>
      </c>
      <c r="E2946">
        <v>130</v>
      </c>
      <c r="F2946" t="s">
        <v>14</v>
      </c>
      <c r="H2946">
        <v>0</v>
      </c>
    </row>
    <row r="2947" spans="1:9" x14ac:dyDescent="0.2">
      <c r="A2947" t="str">
        <f t="shared" si="293"/>
        <v>38596Haapiti6131</v>
      </c>
      <c r="B2947" s="1">
        <v>38596</v>
      </c>
      <c r="C2947" t="s">
        <v>25</v>
      </c>
      <c r="D2947" s="19">
        <v>6</v>
      </c>
      <c r="E2947">
        <v>131</v>
      </c>
      <c r="F2947" t="s">
        <v>27</v>
      </c>
      <c r="G2947" t="s">
        <v>27</v>
      </c>
      <c r="H2947" t="s">
        <v>27</v>
      </c>
      <c r="I2947" t="s">
        <v>31</v>
      </c>
    </row>
    <row r="2948" spans="1:9" x14ac:dyDescent="0.2">
      <c r="A2948" t="str">
        <f t="shared" si="293"/>
        <v>38596Haapiti6132Autres</v>
      </c>
      <c r="B2948" s="1">
        <v>38596</v>
      </c>
      <c r="C2948" t="s">
        <v>25</v>
      </c>
      <c r="D2948" s="19">
        <v>6</v>
      </c>
      <c r="E2948">
        <v>132</v>
      </c>
      <c r="F2948" t="s">
        <v>14</v>
      </c>
      <c r="H2948">
        <v>0</v>
      </c>
    </row>
    <row r="2949" spans="1:9" x14ac:dyDescent="0.2">
      <c r="A2949" t="str">
        <f t="shared" si="293"/>
        <v>38596Haapiti6133Autres</v>
      </c>
      <c r="B2949" s="1">
        <v>38596</v>
      </c>
      <c r="C2949" t="s">
        <v>25</v>
      </c>
      <c r="D2949" s="19">
        <v>6</v>
      </c>
      <c r="E2949">
        <v>133</v>
      </c>
      <c r="F2949" t="s">
        <v>14</v>
      </c>
      <c r="H2949">
        <v>0</v>
      </c>
    </row>
    <row r="2950" spans="1:9" x14ac:dyDescent="0.2">
      <c r="A2950" t="str">
        <f t="shared" si="293"/>
        <v>38596Haapiti6134PocilloporidaeDessous</v>
      </c>
      <c r="B2950" s="1">
        <v>38596</v>
      </c>
      <c r="C2950" t="s">
        <v>25</v>
      </c>
      <c r="D2950" s="19">
        <v>6</v>
      </c>
      <c r="E2950">
        <v>134</v>
      </c>
      <c r="F2950" t="s">
        <v>10</v>
      </c>
      <c r="G2950" t="s">
        <v>8</v>
      </c>
      <c r="H2950">
        <v>1</v>
      </c>
      <c r="I2950" t="s">
        <v>27</v>
      </c>
    </row>
    <row r="2951" spans="1:9" x14ac:dyDescent="0.2">
      <c r="A2951" t="str">
        <f t="shared" si="293"/>
        <v>38596Haapiti6135Autres</v>
      </c>
      <c r="B2951" s="1">
        <v>38596</v>
      </c>
      <c r="C2951" t="s">
        <v>25</v>
      </c>
      <c r="D2951" s="19">
        <v>6</v>
      </c>
      <c r="E2951">
        <v>135</v>
      </c>
      <c r="F2951" t="s">
        <v>14</v>
      </c>
      <c r="H2951">
        <v>0</v>
      </c>
    </row>
    <row r="2952" spans="1:9" x14ac:dyDescent="0.2">
      <c r="A2952" t="str">
        <f t="shared" si="293"/>
        <v>38596Haapiti6136Autres</v>
      </c>
      <c r="B2952" s="1">
        <v>38596</v>
      </c>
      <c r="C2952" t="s">
        <v>25</v>
      </c>
      <c r="D2952" s="19">
        <v>6</v>
      </c>
      <c r="E2952">
        <v>136</v>
      </c>
      <c r="F2952" t="s">
        <v>14</v>
      </c>
      <c r="H2952">
        <v>0</v>
      </c>
    </row>
    <row r="2953" spans="1:9" x14ac:dyDescent="0.2">
      <c r="A2953" t="str">
        <f t="shared" si="293"/>
        <v>38596Haapiti6137Autres</v>
      </c>
      <c r="B2953" s="1">
        <v>38596</v>
      </c>
      <c r="C2953" t="s">
        <v>25</v>
      </c>
      <c r="D2953" s="19">
        <v>6</v>
      </c>
      <c r="E2953">
        <v>137</v>
      </c>
      <c r="F2953" t="s">
        <v>14</v>
      </c>
      <c r="H2953">
        <v>0</v>
      </c>
    </row>
    <row r="2954" spans="1:9" x14ac:dyDescent="0.2">
      <c r="A2954" t="str">
        <f t="shared" si="293"/>
        <v>38596Haapiti6138Autres</v>
      </c>
      <c r="B2954" s="1">
        <v>38596</v>
      </c>
      <c r="C2954" t="s">
        <v>25</v>
      </c>
      <c r="D2954" s="19">
        <v>6</v>
      </c>
      <c r="E2954">
        <v>138</v>
      </c>
      <c r="F2954" t="s">
        <v>14</v>
      </c>
      <c r="H2954">
        <v>0</v>
      </c>
    </row>
    <row r="2955" spans="1:9" x14ac:dyDescent="0.2">
      <c r="A2955" t="str">
        <f t="shared" si="293"/>
        <v>38596Haapiti6139PocilloporidaeDessous</v>
      </c>
      <c r="B2955" s="1">
        <v>38596</v>
      </c>
      <c r="C2955" t="s">
        <v>25</v>
      </c>
      <c r="D2955" s="19">
        <v>6</v>
      </c>
      <c r="E2955">
        <v>139</v>
      </c>
      <c r="F2955" t="s">
        <v>10</v>
      </c>
      <c r="G2955" t="s">
        <v>8</v>
      </c>
      <c r="H2955">
        <v>1</v>
      </c>
      <c r="I2955" t="s">
        <v>27</v>
      </c>
    </row>
    <row r="2956" spans="1:9" x14ac:dyDescent="0.2">
      <c r="A2956" t="str">
        <f t="shared" si="293"/>
        <v>38596Haapiti6140Autres</v>
      </c>
      <c r="B2956" s="1">
        <v>38596</v>
      </c>
      <c r="C2956" t="s">
        <v>25</v>
      </c>
      <c r="D2956" s="19">
        <v>6</v>
      </c>
      <c r="E2956">
        <v>140</v>
      </c>
      <c r="F2956" t="s">
        <v>14</v>
      </c>
      <c r="H2956">
        <v>0</v>
      </c>
    </row>
    <row r="2957" spans="1:9" x14ac:dyDescent="0.2">
      <c r="A2957" t="str">
        <f t="shared" si="293"/>
        <v>38596Haapiti12141Autres</v>
      </c>
      <c r="B2957" s="1">
        <v>38596</v>
      </c>
      <c r="C2957" t="s">
        <v>25</v>
      </c>
      <c r="D2957" s="19">
        <v>12</v>
      </c>
      <c r="E2957">
        <v>141</v>
      </c>
      <c r="F2957" t="s">
        <v>14</v>
      </c>
      <c r="H2957">
        <v>0</v>
      </c>
    </row>
    <row r="2958" spans="1:9" x14ac:dyDescent="0.2">
      <c r="A2958" t="str">
        <f t="shared" si="293"/>
        <v>38596Haapiti12142PoritidaeBords</v>
      </c>
      <c r="B2958" s="1">
        <v>38596</v>
      </c>
      <c r="C2958" t="s">
        <v>25</v>
      </c>
      <c r="D2958" s="19">
        <v>12</v>
      </c>
      <c r="E2958">
        <v>142</v>
      </c>
      <c r="F2958" t="s">
        <v>7</v>
      </c>
      <c r="G2958" t="s">
        <v>13</v>
      </c>
      <c r="H2958">
        <v>1</v>
      </c>
      <c r="I2958" t="s">
        <v>27</v>
      </c>
    </row>
    <row r="2959" spans="1:9" x14ac:dyDescent="0.2">
      <c r="A2959" t="str">
        <f t="shared" si="293"/>
        <v>38596Haapiti12143PoritidaeDessous</v>
      </c>
      <c r="B2959" s="1">
        <v>38596</v>
      </c>
      <c r="C2959" t="s">
        <v>25</v>
      </c>
      <c r="D2959" s="19">
        <v>12</v>
      </c>
      <c r="E2959">
        <v>143</v>
      </c>
      <c r="F2959" t="s">
        <v>7</v>
      </c>
      <c r="G2959" t="s">
        <v>8</v>
      </c>
      <c r="H2959">
        <v>2</v>
      </c>
      <c r="I2959" t="s">
        <v>27</v>
      </c>
    </row>
    <row r="2960" spans="1:9" x14ac:dyDescent="0.2">
      <c r="A2960" t="str">
        <f t="shared" si="293"/>
        <v>38596Haapiti12144Autres</v>
      </c>
      <c r="B2960" s="1">
        <v>38596</v>
      </c>
      <c r="C2960" t="s">
        <v>25</v>
      </c>
      <c r="D2960" s="19">
        <v>12</v>
      </c>
      <c r="E2960">
        <v>144</v>
      </c>
      <c r="F2960" t="s">
        <v>14</v>
      </c>
      <c r="H2960">
        <v>0</v>
      </c>
    </row>
    <row r="2961" spans="1:9" x14ac:dyDescent="0.2">
      <c r="A2961" t="str">
        <f t="shared" si="293"/>
        <v>38596Haapiti12145Autres</v>
      </c>
      <c r="B2961" s="1">
        <v>38596</v>
      </c>
      <c r="C2961" t="s">
        <v>25</v>
      </c>
      <c r="D2961" s="19">
        <v>12</v>
      </c>
      <c r="E2961">
        <v>145</v>
      </c>
      <c r="F2961" t="s">
        <v>14</v>
      </c>
      <c r="H2961">
        <v>0</v>
      </c>
    </row>
    <row r="2962" spans="1:9" x14ac:dyDescent="0.2">
      <c r="A2962" t="str">
        <f t="shared" si="293"/>
        <v>38596Haapiti12146Autres</v>
      </c>
      <c r="B2962" s="1">
        <v>38596</v>
      </c>
      <c r="C2962" t="s">
        <v>25</v>
      </c>
      <c r="D2962" s="19">
        <v>12</v>
      </c>
      <c r="E2962">
        <v>146</v>
      </c>
      <c r="F2962" t="s">
        <v>14</v>
      </c>
      <c r="H2962">
        <v>0</v>
      </c>
    </row>
    <row r="2963" spans="1:9" x14ac:dyDescent="0.2">
      <c r="A2963" t="str">
        <f t="shared" si="293"/>
        <v>38596Haapiti12147Autres</v>
      </c>
      <c r="B2963" s="1">
        <v>38596</v>
      </c>
      <c r="C2963" t="s">
        <v>25</v>
      </c>
      <c r="D2963" s="19">
        <v>12</v>
      </c>
      <c r="E2963">
        <v>147</v>
      </c>
      <c r="F2963" t="s">
        <v>14</v>
      </c>
      <c r="H2963">
        <v>0</v>
      </c>
    </row>
    <row r="2964" spans="1:9" x14ac:dyDescent="0.2">
      <c r="A2964" t="str">
        <f t="shared" si="293"/>
        <v>38596Haapiti12148Autres</v>
      </c>
      <c r="B2964" s="1">
        <v>38596</v>
      </c>
      <c r="C2964" t="s">
        <v>25</v>
      </c>
      <c r="D2964" s="19">
        <v>12</v>
      </c>
      <c r="E2964">
        <v>148</v>
      </c>
      <c r="F2964" t="s">
        <v>14</v>
      </c>
      <c r="H2964">
        <v>0</v>
      </c>
    </row>
    <row r="2965" spans="1:9" x14ac:dyDescent="0.2">
      <c r="A2965" t="str">
        <f t="shared" si="293"/>
        <v>38596Haapiti12149Autres</v>
      </c>
      <c r="B2965" s="1">
        <v>38596</v>
      </c>
      <c r="C2965" t="s">
        <v>25</v>
      </c>
      <c r="D2965" s="19">
        <v>12</v>
      </c>
      <c r="E2965">
        <v>149</v>
      </c>
      <c r="F2965" t="s">
        <v>14</v>
      </c>
      <c r="H2965">
        <v>0</v>
      </c>
    </row>
    <row r="2966" spans="1:9" x14ac:dyDescent="0.2">
      <c r="A2966" t="str">
        <f t="shared" si="293"/>
        <v>38596Haapiti12150Autres</v>
      </c>
      <c r="B2966" s="1">
        <v>38596</v>
      </c>
      <c r="C2966" t="s">
        <v>25</v>
      </c>
      <c r="D2966" s="19">
        <v>12</v>
      </c>
      <c r="E2966">
        <v>150</v>
      </c>
      <c r="F2966" t="s">
        <v>14</v>
      </c>
      <c r="H2966">
        <v>0</v>
      </c>
    </row>
    <row r="2967" spans="1:9" x14ac:dyDescent="0.2">
      <c r="A2967" t="str">
        <f t="shared" si="293"/>
        <v>38596Haapiti12151Autres</v>
      </c>
      <c r="B2967" s="1">
        <v>38596</v>
      </c>
      <c r="C2967" t="s">
        <v>25</v>
      </c>
      <c r="D2967" s="19">
        <v>12</v>
      </c>
      <c r="E2967">
        <v>151</v>
      </c>
      <c r="F2967" t="s">
        <v>14</v>
      </c>
      <c r="H2967">
        <v>0</v>
      </c>
    </row>
    <row r="2968" spans="1:9" x14ac:dyDescent="0.2">
      <c r="A2968" t="str">
        <f t="shared" si="293"/>
        <v>38596Haapiti12152Autres</v>
      </c>
      <c r="B2968" s="1">
        <v>38596</v>
      </c>
      <c r="C2968" t="s">
        <v>25</v>
      </c>
      <c r="D2968" s="19">
        <v>12</v>
      </c>
      <c r="E2968">
        <v>152</v>
      </c>
      <c r="F2968" t="s">
        <v>14</v>
      </c>
      <c r="H2968">
        <v>0</v>
      </c>
    </row>
    <row r="2969" spans="1:9" x14ac:dyDescent="0.2">
      <c r="A2969" t="str">
        <f t="shared" si="293"/>
        <v>38596Haapiti12153Autres</v>
      </c>
      <c r="B2969" s="1">
        <v>38596</v>
      </c>
      <c r="C2969" t="s">
        <v>25</v>
      </c>
      <c r="D2969" s="19">
        <v>12</v>
      </c>
      <c r="E2969">
        <v>153</v>
      </c>
      <c r="F2969" t="s">
        <v>14</v>
      </c>
      <c r="H2969">
        <v>0</v>
      </c>
    </row>
    <row r="2970" spans="1:9" x14ac:dyDescent="0.2">
      <c r="A2970" t="str">
        <f t="shared" si="293"/>
        <v>38596Haapiti12154Autres</v>
      </c>
      <c r="B2970" s="1">
        <v>38596</v>
      </c>
      <c r="C2970" t="s">
        <v>25</v>
      </c>
      <c r="D2970" s="19">
        <v>12</v>
      </c>
      <c r="E2970">
        <v>154</v>
      </c>
      <c r="F2970" t="s">
        <v>14</v>
      </c>
      <c r="H2970">
        <v>0</v>
      </c>
    </row>
    <row r="2971" spans="1:9" x14ac:dyDescent="0.2">
      <c r="A2971" t="str">
        <f t="shared" si="293"/>
        <v>38596Haapiti12155Autres</v>
      </c>
      <c r="B2971" s="1">
        <v>38596</v>
      </c>
      <c r="C2971" t="s">
        <v>25</v>
      </c>
      <c r="D2971" s="19">
        <v>12</v>
      </c>
      <c r="E2971">
        <v>155</v>
      </c>
      <c r="F2971" t="s">
        <v>14</v>
      </c>
      <c r="H2971">
        <v>0</v>
      </c>
    </row>
    <row r="2972" spans="1:9" x14ac:dyDescent="0.2">
      <c r="A2972" t="str">
        <f t="shared" si="293"/>
        <v>38596Haapiti12156AcroporidaeDessous</v>
      </c>
      <c r="B2972" s="1">
        <v>38596</v>
      </c>
      <c r="C2972" t="s">
        <v>25</v>
      </c>
      <c r="D2972" s="19">
        <v>12</v>
      </c>
      <c r="E2972">
        <v>156</v>
      </c>
      <c r="F2972" t="s">
        <v>17</v>
      </c>
      <c r="G2972" t="s">
        <v>8</v>
      </c>
      <c r="H2972">
        <v>1</v>
      </c>
      <c r="I2972" t="s">
        <v>27</v>
      </c>
    </row>
    <row r="2973" spans="1:9" x14ac:dyDescent="0.2">
      <c r="A2973" t="str">
        <f t="shared" si="293"/>
        <v>38596Haapiti12156PocilloporidaeDessous</v>
      </c>
      <c r="B2973" s="1">
        <v>38596</v>
      </c>
      <c r="C2973" t="s">
        <v>25</v>
      </c>
      <c r="D2973" s="19">
        <v>12</v>
      </c>
      <c r="E2973">
        <v>156</v>
      </c>
      <c r="F2973" t="s">
        <v>10</v>
      </c>
      <c r="G2973" t="s">
        <v>8</v>
      </c>
      <c r="H2973">
        <v>1</v>
      </c>
      <c r="I2973" t="s">
        <v>27</v>
      </c>
    </row>
    <row r="2974" spans="1:9" x14ac:dyDescent="0.2">
      <c r="A2974" t="str">
        <f t="shared" si="293"/>
        <v>38596Haapiti12157PoritidaeDessous</v>
      </c>
      <c r="B2974" s="1">
        <v>38596</v>
      </c>
      <c r="C2974" t="s">
        <v>25</v>
      </c>
      <c r="D2974" s="19">
        <v>12</v>
      </c>
      <c r="E2974">
        <v>157</v>
      </c>
      <c r="F2974" t="s">
        <v>7</v>
      </c>
      <c r="G2974" t="s">
        <v>8</v>
      </c>
      <c r="H2974">
        <v>1</v>
      </c>
      <c r="I2974" t="s">
        <v>27</v>
      </c>
    </row>
    <row r="2975" spans="1:9" x14ac:dyDescent="0.2">
      <c r="A2975" t="str">
        <f t="shared" si="293"/>
        <v>38596Haapiti12158Autres</v>
      </c>
      <c r="B2975" s="1">
        <v>38596</v>
      </c>
      <c r="C2975" t="s">
        <v>25</v>
      </c>
      <c r="D2975" s="19">
        <v>12</v>
      </c>
      <c r="E2975">
        <v>158</v>
      </c>
      <c r="F2975" t="s">
        <v>14</v>
      </c>
      <c r="H2975">
        <v>0</v>
      </c>
    </row>
    <row r="2976" spans="1:9" x14ac:dyDescent="0.2">
      <c r="A2976" t="str">
        <f t="shared" si="293"/>
        <v>38596Haapiti12159AcroporidaeDessous</v>
      </c>
      <c r="B2976" s="1">
        <v>38596</v>
      </c>
      <c r="C2976" t="s">
        <v>25</v>
      </c>
      <c r="D2976" s="19">
        <v>12</v>
      </c>
      <c r="E2976">
        <v>159</v>
      </c>
      <c r="F2976" t="s">
        <v>17</v>
      </c>
      <c r="G2976" t="s">
        <v>8</v>
      </c>
      <c r="H2976">
        <v>1</v>
      </c>
      <c r="I2976" t="s">
        <v>27</v>
      </c>
    </row>
    <row r="2977" spans="1:9" x14ac:dyDescent="0.2">
      <c r="A2977" t="str">
        <f t="shared" si="293"/>
        <v>38596Haapiti12160PoritidaeDessous</v>
      </c>
      <c r="B2977" s="1">
        <v>38596</v>
      </c>
      <c r="C2977" t="s">
        <v>25</v>
      </c>
      <c r="D2977" s="19">
        <v>12</v>
      </c>
      <c r="E2977">
        <v>160</v>
      </c>
      <c r="F2977" t="s">
        <v>7</v>
      </c>
      <c r="G2977" t="s">
        <v>8</v>
      </c>
      <c r="H2977">
        <v>1</v>
      </c>
      <c r="I2977" t="s">
        <v>27</v>
      </c>
    </row>
    <row r="2978" spans="1:9" x14ac:dyDescent="0.2">
      <c r="A2978" t="str">
        <f t="shared" si="293"/>
        <v>38596Haapiti18161Autres</v>
      </c>
      <c r="B2978" s="1">
        <v>38596</v>
      </c>
      <c r="C2978" t="s">
        <v>25</v>
      </c>
      <c r="D2978" s="19">
        <v>18</v>
      </c>
      <c r="E2978">
        <v>161</v>
      </c>
      <c r="F2978" t="s">
        <v>14</v>
      </c>
      <c r="H2978">
        <v>0</v>
      </c>
    </row>
    <row r="2979" spans="1:9" x14ac:dyDescent="0.2">
      <c r="A2979" t="str">
        <f t="shared" si="293"/>
        <v>38596Haapiti18162Autres</v>
      </c>
      <c r="B2979" s="1">
        <v>38596</v>
      </c>
      <c r="C2979" t="s">
        <v>25</v>
      </c>
      <c r="D2979" s="19">
        <v>18</v>
      </c>
      <c r="E2979">
        <v>162</v>
      </c>
      <c r="F2979" t="s">
        <v>14</v>
      </c>
      <c r="H2979">
        <v>0</v>
      </c>
    </row>
    <row r="2980" spans="1:9" x14ac:dyDescent="0.2">
      <c r="A2980" t="str">
        <f t="shared" si="293"/>
        <v>38596Haapiti18163Autres</v>
      </c>
      <c r="B2980" s="1">
        <v>38596</v>
      </c>
      <c r="C2980" t="s">
        <v>25</v>
      </c>
      <c r="D2980" s="19">
        <v>18</v>
      </c>
      <c r="E2980">
        <v>163</v>
      </c>
      <c r="F2980" t="s">
        <v>14</v>
      </c>
      <c r="H2980">
        <v>0</v>
      </c>
    </row>
    <row r="2981" spans="1:9" x14ac:dyDescent="0.2">
      <c r="A2981" t="str">
        <f t="shared" si="293"/>
        <v>38596Haapiti18164Autres</v>
      </c>
      <c r="B2981" s="1">
        <v>38596</v>
      </c>
      <c r="C2981" t="s">
        <v>25</v>
      </c>
      <c r="D2981" s="19">
        <v>18</v>
      </c>
      <c r="E2981">
        <v>164</v>
      </c>
      <c r="F2981" t="s">
        <v>14</v>
      </c>
      <c r="H2981">
        <v>0</v>
      </c>
    </row>
    <row r="2982" spans="1:9" x14ac:dyDescent="0.2">
      <c r="A2982" t="str">
        <f t="shared" si="293"/>
        <v>38596Haapiti18165Autres</v>
      </c>
      <c r="B2982" s="1">
        <v>38596</v>
      </c>
      <c r="C2982" t="s">
        <v>25</v>
      </c>
      <c r="D2982" s="19">
        <v>18</v>
      </c>
      <c r="E2982">
        <v>165</v>
      </c>
      <c r="F2982" t="s">
        <v>14</v>
      </c>
      <c r="H2982">
        <v>0</v>
      </c>
    </row>
    <row r="2983" spans="1:9" x14ac:dyDescent="0.2">
      <c r="A2983" t="str">
        <f t="shared" si="293"/>
        <v>38596Haapiti18166Autres</v>
      </c>
      <c r="B2983" s="1">
        <v>38596</v>
      </c>
      <c r="C2983" t="s">
        <v>25</v>
      </c>
      <c r="D2983" s="19">
        <v>18</v>
      </c>
      <c r="E2983">
        <v>166</v>
      </c>
      <c r="F2983" t="s">
        <v>14</v>
      </c>
      <c r="H2983">
        <v>0</v>
      </c>
    </row>
    <row r="2984" spans="1:9" x14ac:dyDescent="0.2">
      <c r="A2984" t="str">
        <f t="shared" si="293"/>
        <v>38596Haapiti18167Autres</v>
      </c>
      <c r="B2984" s="1">
        <v>38596</v>
      </c>
      <c r="C2984" t="s">
        <v>25</v>
      </c>
      <c r="D2984" s="19">
        <v>18</v>
      </c>
      <c r="E2984">
        <v>167</v>
      </c>
      <c r="F2984" t="s">
        <v>14</v>
      </c>
      <c r="H2984">
        <v>0</v>
      </c>
    </row>
    <row r="2985" spans="1:9" x14ac:dyDescent="0.2">
      <c r="A2985" t="str">
        <f t="shared" si="293"/>
        <v>38596Haapiti18168Autres</v>
      </c>
      <c r="B2985" s="1">
        <v>38596</v>
      </c>
      <c r="C2985" t="s">
        <v>25</v>
      </c>
      <c r="D2985" s="19">
        <v>18</v>
      </c>
      <c r="E2985">
        <v>168</v>
      </c>
      <c r="F2985" t="s">
        <v>14</v>
      </c>
      <c r="H2985">
        <v>0</v>
      </c>
    </row>
    <row r="2986" spans="1:9" x14ac:dyDescent="0.2">
      <c r="A2986" t="str">
        <f t="shared" si="293"/>
        <v>38596Haapiti18169Autres</v>
      </c>
      <c r="B2986" s="1">
        <v>38596</v>
      </c>
      <c r="C2986" t="s">
        <v>25</v>
      </c>
      <c r="D2986" s="19">
        <v>18</v>
      </c>
      <c r="E2986">
        <v>169</v>
      </c>
      <c r="F2986" t="s">
        <v>14</v>
      </c>
      <c r="H2986">
        <v>0</v>
      </c>
    </row>
    <row r="2987" spans="1:9" x14ac:dyDescent="0.2">
      <c r="A2987" t="str">
        <f t="shared" si="293"/>
        <v>38596Haapiti18170PocilloporidaeDessous</v>
      </c>
      <c r="B2987" s="1">
        <v>38596</v>
      </c>
      <c r="C2987" t="s">
        <v>25</v>
      </c>
      <c r="D2987" s="19">
        <v>18</v>
      </c>
      <c r="E2987">
        <v>170</v>
      </c>
      <c r="F2987" t="s">
        <v>10</v>
      </c>
      <c r="G2987" t="s">
        <v>8</v>
      </c>
      <c r="H2987">
        <v>1</v>
      </c>
      <c r="I2987" t="s">
        <v>27</v>
      </c>
    </row>
    <row r="2988" spans="1:9" x14ac:dyDescent="0.2">
      <c r="A2988" t="str">
        <f t="shared" si="293"/>
        <v>38596Haapiti18171Autres</v>
      </c>
      <c r="B2988" s="1">
        <v>38596</v>
      </c>
      <c r="C2988" t="s">
        <v>25</v>
      </c>
      <c r="D2988" s="19">
        <v>18</v>
      </c>
      <c r="E2988">
        <v>171</v>
      </c>
      <c r="F2988" t="s">
        <v>14</v>
      </c>
      <c r="H2988">
        <v>0</v>
      </c>
    </row>
    <row r="2989" spans="1:9" x14ac:dyDescent="0.2">
      <c r="A2989" t="str">
        <f t="shared" si="293"/>
        <v>38596Haapiti18172Autres</v>
      </c>
      <c r="B2989" s="1">
        <v>38596</v>
      </c>
      <c r="C2989" t="s">
        <v>25</v>
      </c>
      <c r="D2989" s="19">
        <v>18</v>
      </c>
      <c r="E2989">
        <v>172</v>
      </c>
      <c r="F2989" t="s">
        <v>14</v>
      </c>
      <c r="H2989">
        <v>0</v>
      </c>
    </row>
    <row r="2990" spans="1:9" x14ac:dyDescent="0.2">
      <c r="A2990" t="str">
        <f t="shared" si="293"/>
        <v>38596Haapiti18173Autres</v>
      </c>
      <c r="B2990" s="1">
        <v>38596</v>
      </c>
      <c r="C2990" t="s">
        <v>25</v>
      </c>
      <c r="D2990" s="19">
        <v>18</v>
      </c>
      <c r="E2990">
        <v>173</v>
      </c>
      <c r="F2990" t="s">
        <v>14</v>
      </c>
      <c r="H2990">
        <v>0</v>
      </c>
    </row>
    <row r="2991" spans="1:9" x14ac:dyDescent="0.2">
      <c r="A2991" t="str">
        <f t="shared" si="293"/>
        <v>38596Haapiti18174Autres</v>
      </c>
      <c r="B2991" s="1">
        <v>38596</v>
      </c>
      <c r="C2991" t="s">
        <v>25</v>
      </c>
      <c r="D2991" s="19">
        <v>18</v>
      </c>
      <c r="E2991">
        <v>174</v>
      </c>
      <c r="F2991" t="s">
        <v>14</v>
      </c>
      <c r="H2991">
        <v>0</v>
      </c>
    </row>
    <row r="2992" spans="1:9" x14ac:dyDescent="0.2">
      <c r="A2992" t="str">
        <f t="shared" si="293"/>
        <v>38596Haapiti18175AcroporidaeDessous</v>
      </c>
      <c r="B2992" s="1">
        <v>38596</v>
      </c>
      <c r="C2992" t="s">
        <v>25</v>
      </c>
      <c r="D2992" s="19">
        <v>18</v>
      </c>
      <c r="E2992">
        <v>175</v>
      </c>
      <c r="F2992" t="s">
        <v>17</v>
      </c>
      <c r="G2992" t="s">
        <v>8</v>
      </c>
      <c r="H2992">
        <v>1</v>
      </c>
      <c r="I2992" t="s">
        <v>27</v>
      </c>
    </row>
    <row r="2993" spans="1:9" x14ac:dyDescent="0.2">
      <c r="A2993" t="str">
        <f t="shared" si="293"/>
        <v>38596Haapiti18176Autres</v>
      </c>
      <c r="B2993" s="1">
        <v>38596</v>
      </c>
      <c r="C2993" t="s">
        <v>25</v>
      </c>
      <c r="D2993" s="19">
        <v>18</v>
      </c>
      <c r="E2993">
        <v>176</v>
      </c>
      <c r="F2993" t="s">
        <v>14</v>
      </c>
      <c r="H2993">
        <v>0</v>
      </c>
    </row>
    <row r="2994" spans="1:9" x14ac:dyDescent="0.2">
      <c r="A2994" t="str">
        <f t="shared" si="293"/>
        <v>38596Haapiti18177Autres</v>
      </c>
      <c r="B2994" s="1">
        <v>38596</v>
      </c>
      <c r="C2994" t="s">
        <v>25</v>
      </c>
      <c r="D2994" s="19">
        <v>18</v>
      </c>
      <c r="E2994">
        <v>177</v>
      </c>
      <c r="F2994" t="s">
        <v>14</v>
      </c>
      <c r="H2994">
        <v>0</v>
      </c>
    </row>
    <row r="2995" spans="1:9" x14ac:dyDescent="0.2">
      <c r="A2995" t="str">
        <f t="shared" si="293"/>
        <v>38596Haapiti18178Autres</v>
      </c>
      <c r="B2995" s="1">
        <v>38596</v>
      </c>
      <c r="C2995" t="s">
        <v>25</v>
      </c>
      <c r="D2995" s="19">
        <v>18</v>
      </c>
      <c r="E2995">
        <v>178</v>
      </c>
      <c r="F2995" t="s">
        <v>14</v>
      </c>
      <c r="H2995">
        <v>0</v>
      </c>
    </row>
    <row r="2996" spans="1:9" x14ac:dyDescent="0.2">
      <c r="A2996" t="str">
        <f t="shared" si="293"/>
        <v>38596Haapiti18179Autres</v>
      </c>
      <c r="B2996" s="1">
        <v>38596</v>
      </c>
      <c r="C2996" t="s">
        <v>25</v>
      </c>
      <c r="D2996" s="19">
        <v>18</v>
      </c>
      <c r="E2996">
        <v>179</v>
      </c>
      <c r="F2996" t="s">
        <v>14</v>
      </c>
      <c r="H2996">
        <v>0</v>
      </c>
    </row>
    <row r="2997" spans="1:9" x14ac:dyDescent="0.2">
      <c r="A2997" t="str">
        <f t="shared" si="293"/>
        <v>38596Haapiti18180Autres</v>
      </c>
      <c r="B2997" s="1">
        <v>38596</v>
      </c>
      <c r="C2997" t="s">
        <v>25</v>
      </c>
      <c r="D2997" s="19">
        <v>18</v>
      </c>
      <c r="E2997">
        <v>180</v>
      </c>
      <c r="F2997" t="s">
        <v>14</v>
      </c>
      <c r="H2997">
        <v>0</v>
      </c>
    </row>
    <row r="2998" spans="1:9" x14ac:dyDescent="0.2">
      <c r="A2998" t="str">
        <f t="shared" si="293"/>
        <v>38687Vaipahu61PocilloporidaeDessous</v>
      </c>
      <c r="B2998" s="1">
        <v>38687</v>
      </c>
      <c r="C2998" t="s">
        <v>23</v>
      </c>
      <c r="D2998" s="19">
        <v>6</v>
      </c>
      <c r="E2998">
        <v>1</v>
      </c>
      <c r="F2998" t="s">
        <v>10</v>
      </c>
      <c r="G2998" t="s">
        <v>8</v>
      </c>
      <c r="H2998">
        <v>1</v>
      </c>
      <c r="I2998" t="s">
        <v>27</v>
      </c>
    </row>
    <row r="2999" spans="1:9" x14ac:dyDescent="0.2">
      <c r="A2999" t="str">
        <f t="shared" si="293"/>
        <v>38687Vaipahu62AcroporidaeDessous</v>
      </c>
      <c r="B2999" s="1">
        <v>38687</v>
      </c>
      <c r="C2999" t="s">
        <v>23</v>
      </c>
      <c r="D2999" s="19">
        <v>6</v>
      </c>
      <c r="E2999">
        <v>2</v>
      </c>
      <c r="F2999" t="s">
        <v>17</v>
      </c>
      <c r="G2999" t="s">
        <v>8</v>
      </c>
      <c r="H2999">
        <v>1</v>
      </c>
      <c r="I2999" t="s">
        <v>27</v>
      </c>
    </row>
    <row r="3000" spans="1:9" x14ac:dyDescent="0.2">
      <c r="A3000" t="str">
        <f t="shared" si="293"/>
        <v>38687Vaipahu63PocilloporidaeDessous</v>
      </c>
      <c r="B3000" s="1">
        <v>38687</v>
      </c>
      <c r="C3000" t="s">
        <v>23</v>
      </c>
      <c r="D3000" s="19">
        <v>6</v>
      </c>
      <c r="E3000">
        <v>3</v>
      </c>
      <c r="F3000" t="s">
        <v>10</v>
      </c>
      <c r="G3000" t="s">
        <v>8</v>
      </c>
      <c r="H3000">
        <v>1</v>
      </c>
      <c r="I3000" t="s">
        <v>27</v>
      </c>
    </row>
    <row r="3001" spans="1:9" x14ac:dyDescent="0.2">
      <c r="A3001" t="str">
        <f t="shared" si="293"/>
        <v>38687Vaipahu64PocilloporidaeDessous</v>
      </c>
      <c r="B3001" s="1">
        <v>38687</v>
      </c>
      <c r="C3001" t="s">
        <v>23</v>
      </c>
      <c r="D3001" s="19">
        <v>6</v>
      </c>
      <c r="E3001">
        <v>4</v>
      </c>
      <c r="F3001" t="s">
        <v>10</v>
      </c>
      <c r="G3001" t="s">
        <v>8</v>
      </c>
      <c r="H3001">
        <v>4</v>
      </c>
      <c r="I3001" t="s">
        <v>27</v>
      </c>
    </row>
    <row r="3002" spans="1:9" x14ac:dyDescent="0.2">
      <c r="A3002" t="str">
        <f t="shared" si="293"/>
        <v>38687Vaipahu65Autres</v>
      </c>
      <c r="B3002" s="1">
        <v>38687</v>
      </c>
      <c r="C3002" t="s">
        <v>23</v>
      </c>
      <c r="D3002" s="19">
        <v>6</v>
      </c>
      <c r="E3002">
        <v>5</v>
      </c>
      <c r="F3002" t="s">
        <v>14</v>
      </c>
      <c r="H3002">
        <v>0</v>
      </c>
    </row>
    <row r="3003" spans="1:9" x14ac:dyDescent="0.2">
      <c r="A3003" t="str">
        <f t="shared" si="293"/>
        <v>38687Vaipahu66PocilloporidaeDessous</v>
      </c>
      <c r="B3003" s="1">
        <v>38687</v>
      </c>
      <c r="C3003" t="s">
        <v>23</v>
      </c>
      <c r="D3003" s="19">
        <v>6</v>
      </c>
      <c r="E3003">
        <v>6</v>
      </c>
      <c r="F3003" t="s">
        <v>10</v>
      </c>
      <c r="G3003" t="s">
        <v>8</v>
      </c>
      <c r="H3003">
        <v>2</v>
      </c>
      <c r="I3003" t="s">
        <v>27</v>
      </c>
    </row>
    <row r="3004" spans="1:9" x14ac:dyDescent="0.2">
      <c r="A3004" t="str">
        <f t="shared" si="293"/>
        <v>38687Vaipahu67PocilloporidaeBords</v>
      </c>
      <c r="B3004" s="1">
        <v>38687</v>
      </c>
      <c r="C3004" t="s">
        <v>23</v>
      </c>
      <c r="D3004" s="19">
        <v>6</v>
      </c>
      <c r="E3004">
        <v>7</v>
      </c>
      <c r="F3004" t="s">
        <v>10</v>
      </c>
      <c r="G3004" t="s">
        <v>13</v>
      </c>
      <c r="H3004">
        <v>5</v>
      </c>
      <c r="I3004" t="s">
        <v>27</v>
      </c>
    </row>
    <row r="3005" spans="1:9" x14ac:dyDescent="0.2">
      <c r="A3005" t="str">
        <f t="shared" si="293"/>
        <v>38687Vaipahu67PocilloporidaeDessus</v>
      </c>
      <c r="B3005" s="1">
        <v>38687</v>
      </c>
      <c r="C3005" t="s">
        <v>23</v>
      </c>
      <c r="D3005" s="19">
        <v>6</v>
      </c>
      <c r="E3005">
        <v>7</v>
      </c>
      <c r="F3005" t="s">
        <v>10</v>
      </c>
      <c r="G3005" t="s">
        <v>11</v>
      </c>
      <c r="H3005">
        <v>2</v>
      </c>
      <c r="I3005" t="s">
        <v>27</v>
      </c>
    </row>
    <row r="3006" spans="1:9" x14ac:dyDescent="0.2">
      <c r="A3006" t="str">
        <f t="shared" si="293"/>
        <v>38687Vaipahu68PocilloporidaeBords</v>
      </c>
      <c r="B3006" s="1">
        <v>38687</v>
      </c>
      <c r="C3006" t="s">
        <v>23</v>
      </c>
      <c r="D3006" s="19">
        <v>6</v>
      </c>
      <c r="E3006">
        <v>8</v>
      </c>
      <c r="F3006" t="s">
        <v>10</v>
      </c>
      <c r="G3006" t="s">
        <v>13</v>
      </c>
      <c r="H3006">
        <v>1</v>
      </c>
      <c r="I3006" t="s">
        <v>27</v>
      </c>
    </row>
    <row r="3007" spans="1:9" x14ac:dyDescent="0.2">
      <c r="A3007" t="str">
        <f t="shared" ref="A3007:A3070" si="294">B3007 &amp; C3007&amp; D3007&amp; E3007 &amp; F3007 &amp;G3007</f>
        <v>38687Vaipahu69PocilloporidaeDessous</v>
      </c>
      <c r="B3007" s="1">
        <v>38687</v>
      </c>
      <c r="C3007" t="s">
        <v>23</v>
      </c>
      <c r="D3007" s="19">
        <v>6</v>
      </c>
      <c r="E3007">
        <v>9</v>
      </c>
      <c r="F3007" t="s">
        <v>10</v>
      </c>
      <c r="G3007" t="s">
        <v>8</v>
      </c>
      <c r="H3007">
        <v>1</v>
      </c>
      <c r="I3007" t="s">
        <v>27</v>
      </c>
    </row>
    <row r="3008" spans="1:9" x14ac:dyDescent="0.2">
      <c r="A3008" t="str">
        <f t="shared" si="294"/>
        <v>38687Vaipahu610Autres</v>
      </c>
      <c r="B3008" s="1">
        <v>38687</v>
      </c>
      <c r="C3008" t="s">
        <v>23</v>
      </c>
      <c r="D3008" s="19">
        <v>6</v>
      </c>
      <c r="E3008">
        <v>10</v>
      </c>
      <c r="F3008" t="s">
        <v>14</v>
      </c>
      <c r="H3008">
        <v>0</v>
      </c>
    </row>
    <row r="3009" spans="1:9" x14ac:dyDescent="0.2">
      <c r="A3009" t="str">
        <f t="shared" si="294"/>
        <v>38687Vaipahu611PocilloporidaeBords</v>
      </c>
      <c r="B3009" s="1">
        <v>38687</v>
      </c>
      <c r="C3009" t="s">
        <v>23</v>
      </c>
      <c r="D3009" s="19">
        <v>6</v>
      </c>
      <c r="E3009">
        <v>11</v>
      </c>
      <c r="F3009" t="s">
        <v>10</v>
      </c>
      <c r="G3009" t="s">
        <v>13</v>
      </c>
      <c r="H3009">
        <v>1</v>
      </c>
      <c r="I3009" t="s">
        <v>27</v>
      </c>
    </row>
    <row r="3010" spans="1:9" x14ac:dyDescent="0.2">
      <c r="A3010" t="str">
        <f t="shared" si="294"/>
        <v>38687Vaipahu611PocilloporidaeDessous</v>
      </c>
      <c r="B3010" s="1">
        <v>38687</v>
      </c>
      <c r="C3010" t="s">
        <v>23</v>
      </c>
      <c r="D3010" s="19">
        <v>6</v>
      </c>
      <c r="E3010">
        <v>11</v>
      </c>
      <c r="F3010" t="s">
        <v>10</v>
      </c>
      <c r="G3010" t="s">
        <v>8</v>
      </c>
      <c r="H3010">
        <v>1</v>
      </c>
      <c r="I3010" t="s">
        <v>27</v>
      </c>
    </row>
    <row r="3011" spans="1:9" x14ac:dyDescent="0.2">
      <c r="A3011" t="str">
        <f t="shared" si="294"/>
        <v>38687Vaipahu612PocilloporidaeDessous</v>
      </c>
      <c r="B3011" s="1">
        <v>38687</v>
      </c>
      <c r="C3011" t="s">
        <v>23</v>
      </c>
      <c r="D3011" s="19">
        <v>6</v>
      </c>
      <c r="E3011">
        <v>12</v>
      </c>
      <c r="F3011" t="s">
        <v>10</v>
      </c>
      <c r="G3011" t="s">
        <v>8</v>
      </c>
      <c r="H3011">
        <v>1</v>
      </c>
      <c r="I3011" t="s">
        <v>27</v>
      </c>
    </row>
    <row r="3012" spans="1:9" x14ac:dyDescent="0.2">
      <c r="A3012" t="str">
        <f t="shared" si="294"/>
        <v>38687Vaipahu613Autres</v>
      </c>
      <c r="B3012" s="1">
        <v>38687</v>
      </c>
      <c r="C3012" t="s">
        <v>23</v>
      </c>
      <c r="D3012" s="19">
        <v>6</v>
      </c>
      <c r="E3012">
        <v>13</v>
      </c>
      <c r="F3012" t="s">
        <v>14</v>
      </c>
      <c r="H3012">
        <v>0</v>
      </c>
    </row>
    <row r="3013" spans="1:9" x14ac:dyDescent="0.2">
      <c r="A3013" t="str">
        <f t="shared" si="294"/>
        <v>38687Vaipahu614PocilloporidaeDessous</v>
      </c>
      <c r="B3013" s="1">
        <v>38687</v>
      </c>
      <c r="C3013" t="s">
        <v>23</v>
      </c>
      <c r="D3013" s="19">
        <v>6</v>
      </c>
      <c r="E3013">
        <v>14</v>
      </c>
      <c r="F3013" t="s">
        <v>10</v>
      </c>
      <c r="G3013" t="s">
        <v>8</v>
      </c>
      <c r="H3013">
        <v>2</v>
      </c>
      <c r="I3013" t="s">
        <v>27</v>
      </c>
    </row>
    <row r="3014" spans="1:9" x14ac:dyDescent="0.2">
      <c r="A3014" t="str">
        <f t="shared" si="294"/>
        <v>38687Vaipahu615PocilloporidaeDessous</v>
      </c>
      <c r="B3014" s="1">
        <v>38687</v>
      </c>
      <c r="C3014" t="s">
        <v>23</v>
      </c>
      <c r="D3014" s="19">
        <v>6</v>
      </c>
      <c r="E3014">
        <v>15</v>
      </c>
      <c r="F3014" t="s">
        <v>10</v>
      </c>
      <c r="G3014" t="s">
        <v>8</v>
      </c>
      <c r="H3014">
        <v>1</v>
      </c>
      <c r="I3014" t="s">
        <v>27</v>
      </c>
    </row>
    <row r="3015" spans="1:9" x14ac:dyDescent="0.2">
      <c r="A3015" t="str">
        <f t="shared" si="294"/>
        <v>38687Vaipahu615PocilloporidaeDessus</v>
      </c>
      <c r="B3015" s="1">
        <v>38687</v>
      </c>
      <c r="C3015" t="s">
        <v>23</v>
      </c>
      <c r="D3015" s="19">
        <v>6</v>
      </c>
      <c r="E3015">
        <v>15</v>
      </c>
      <c r="F3015" t="s">
        <v>10</v>
      </c>
      <c r="G3015" t="s">
        <v>11</v>
      </c>
      <c r="H3015">
        <v>1</v>
      </c>
      <c r="I3015" t="s">
        <v>27</v>
      </c>
    </row>
    <row r="3016" spans="1:9" x14ac:dyDescent="0.2">
      <c r="A3016" t="str">
        <f t="shared" si="294"/>
        <v>38687Vaipahu616Autres</v>
      </c>
      <c r="B3016" s="1">
        <v>38687</v>
      </c>
      <c r="C3016" t="s">
        <v>23</v>
      </c>
      <c r="D3016" s="19">
        <v>6</v>
      </c>
      <c r="E3016">
        <v>16</v>
      </c>
      <c r="F3016" t="s">
        <v>14</v>
      </c>
      <c r="H3016">
        <v>0</v>
      </c>
    </row>
    <row r="3017" spans="1:9" x14ac:dyDescent="0.2">
      <c r="A3017" t="str">
        <f t="shared" si="294"/>
        <v>38687Vaipahu617PocilloporidaeBords</v>
      </c>
      <c r="B3017" s="1">
        <v>38687</v>
      </c>
      <c r="C3017" t="s">
        <v>23</v>
      </c>
      <c r="D3017" s="19">
        <v>6</v>
      </c>
      <c r="E3017">
        <v>17</v>
      </c>
      <c r="F3017" t="s">
        <v>10</v>
      </c>
      <c r="G3017" t="s">
        <v>13</v>
      </c>
      <c r="H3017">
        <v>1</v>
      </c>
      <c r="I3017" t="s">
        <v>27</v>
      </c>
    </row>
    <row r="3018" spans="1:9" x14ac:dyDescent="0.2">
      <c r="A3018" t="str">
        <f t="shared" si="294"/>
        <v>38687Vaipahu617PoritidaeBords</v>
      </c>
      <c r="B3018" s="1">
        <v>38687</v>
      </c>
      <c r="C3018" t="s">
        <v>23</v>
      </c>
      <c r="D3018" s="19">
        <v>6</v>
      </c>
      <c r="E3018">
        <v>17</v>
      </c>
      <c r="F3018" t="s">
        <v>7</v>
      </c>
      <c r="G3018" t="s">
        <v>13</v>
      </c>
      <c r="H3018">
        <v>1</v>
      </c>
      <c r="I3018" t="s">
        <v>27</v>
      </c>
    </row>
    <row r="3019" spans="1:9" x14ac:dyDescent="0.2">
      <c r="A3019" t="str">
        <f t="shared" si="294"/>
        <v>38687Vaipahu618PocilloporidaeDessous</v>
      </c>
      <c r="B3019" s="1">
        <v>38687</v>
      </c>
      <c r="C3019" t="s">
        <v>23</v>
      </c>
      <c r="D3019" s="19">
        <v>6</v>
      </c>
      <c r="E3019">
        <v>18</v>
      </c>
      <c r="F3019" t="s">
        <v>10</v>
      </c>
      <c r="G3019" t="s">
        <v>8</v>
      </c>
      <c r="H3019">
        <v>2</v>
      </c>
      <c r="I3019" t="s">
        <v>27</v>
      </c>
    </row>
    <row r="3020" spans="1:9" x14ac:dyDescent="0.2">
      <c r="A3020" t="str">
        <f t="shared" si="294"/>
        <v>38687Vaipahu618PoritidaeDessous</v>
      </c>
      <c r="B3020" s="1">
        <v>38687</v>
      </c>
      <c r="C3020" t="s">
        <v>23</v>
      </c>
      <c r="D3020" s="19">
        <v>6</v>
      </c>
      <c r="E3020">
        <v>18</v>
      </c>
      <c r="F3020" t="s">
        <v>7</v>
      </c>
      <c r="G3020" t="s">
        <v>8</v>
      </c>
      <c r="H3020">
        <v>1</v>
      </c>
      <c r="I3020" t="s">
        <v>27</v>
      </c>
    </row>
    <row r="3021" spans="1:9" x14ac:dyDescent="0.2">
      <c r="A3021" t="str">
        <f t="shared" si="294"/>
        <v>38687Vaipahu619Autres</v>
      </c>
      <c r="B3021" s="1">
        <v>38687</v>
      </c>
      <c r="C3021" t="s">
        <v>23</v>
      </c>
      <c r="D3021" s="19">
        <v>6</v>
      </c>
      <c r="E3021">
        <v>19</v>
      </c>
      <c r="F3021" t="s">
        <v>14</v>
      </c>
      <c r="H3021">
        <v>0</v>
      </c>
    </row>
    <row r="3022" spans="1:9" x14ac:dyDescent="0.2">
      <c r="A3022" t="str">
        <f t="shared" si="294"/>
        <v>38687Vaipahu620PocilloporidaeDessous</v>
      </c>
      <c r="B3022" s="1">
        <v>38687</v>
      </c>
      <c r="C3022" t="s">
        <v>23</v>
      </c>
      <c r="D3022" s="19">
        <v>6</v>
      </c>
      <c r="E3022">
        <v>20</v>
      </c>
      <c r="F3022" t="s">
        <v>10</v>
      </c>
      <c r="G3022" t="s">
        <v>8</v>
      </c>
      <c r="H3022">
        <v>3</v>
      </c>
      <c r="I3022" t="s">
        <v>27</v>
      </c>
    </row>
    <row r="3023" spans="1:9" x14ac:dyDescent="0.2">
      <c r="A3023" t="str">
        <f t="shared" si="294"/>
        <v>38687Vaipahu620PoritidaeDessous</v>
      </c>
      <c r="B3023" s="1">
        <v>38687</v>
      </c>
      <c r="C3023" t="s">
        <v>23</v>
      </c>
      <c r="D3023" s="19">
        <v>6</v>
      </c>
      <c r="E3023">
        <v>20</v>
      </c>
      <c r="F3023" t="s">
        <v>7</v>
      </c>
      <c r="G3023" t="s">
        <v>8</v>
      </c>
      <c r="H3023">
        <v>2</v>
      </c>
      <c r="I3023" t="s">
        <v>27</v>
      </c>
    </row>
    <row r="3024" spans="1:9" x14ac:dyDescent="0.2">
      <c r="A3024" t="str">
        <f t="shared" si="294"/>
        <v>38687Vaipahu1221PocilloporidaeBords</v>
      </c>
      <c r="B3024" s="1">
        <v>38687</v>
      </c>
      <c r="C3024" t="s">
        <v>23</v>
      </c>
      <c r="D3024" s="19">
        <v>12</v>
      </c>
      <c r="E3024">
        <v>21</v>
      </c>
      <c r="F3024" t="s">
        <v>10</v>
      </c>
      <c r="G3024" t="s">
        <v>13</v>
      </c>
      <c r="H3024">
        <v>2</v>
      </c>
      <c r="I3024" t="s">
        <v>27</v>
      </c>
    </row>
    <row r="3025" spans="1:9" x14ac:dyDescent="0.2">
      <c r="A3025" t="str">
        <f t="shared" si="294"/>
        <v>38687Vaipahu1222PocilloporidaeDessus</v>
      </c>
      <c r="B3025" s="1">
        <v>38687</v>
      </c>
      <c r="C3025" t="s">
        <v>23</v>
      </c>
      <c r="D3025" s="19">
        <v>12</v>
      </c>
      <c r="E3025">
        <v>22</v>
      </c>
      <c r="F3025" t="s">
        <v>10</v>
      </c>
      <c r="G3025" t="s">
        <v>11</v>
      </c>
      <c r="H3025">
        <v>1</v>
      </c>
      <c r="I3025" t="s">
        <v>27</v>
      </c>
    </row>
    <row r="3026" spans="1:9" x14ac:dyDescent="0.2">
      <c r="A3026" t="str">
        <f t="shared" si="294"/>
        <v>38687Vaipahu1223</v>
      </c>
      <c r="B3026" s="1">
        <v>38687</v>
      </c>
      <c r="C3026" t="s">
        <v>23</v>
      </c>
      <c r="D3026" s="19">
        <v>12</v>
      </c>
      <c r="E3026">
        <v>23</v>
      </c>
      <c r="F3026" t="s">
        <v>27</v>
      </c>
      <c r="G3026" t="s">
        <v>27</v>
      </c>
      <c r="H3026" t="s">
        <v>27</v>
      </c>
      <c r="I3026" t="s">
        <v>31</v>
      </c>
    </row>
    <row r="3027" spans="1:9" x14ac:dyDescent="0.2">
      <c r="A3027" t="str">
        <f t="shared" si="294"/>
        <v>38687Vaipahu1224PocilloporidaeDessous</v>
      </c>
      <c r="B3027" s="1">
        <v>38687</v>
      </c>
      <c r="C3027" t="s">
        <v>23</v>
      </c>
      <c r="D3027" s="19">
        <v>12</v>
      </c>
      <c r="E3027">
        <v>24</v>
      </c>
      <c r="F3027" t="s">
        <v>10</v>
      </c>
      <c r="G3027" t="s">
        <v>8</v>
      </c>
      <c r="H3027">
        <v>2</v>
      </c>
      <c r="I3027" t="s">
        <v>27</v>
      </c>
    </row>
    <row r="3028" spans="1:9" x14ac:dyDescent="0.2">
      <c r="A3028" t="str">
        <f t="shared" si="294"/>
        <v>38687Vaipahu1225Autres</v>
      </c>
      <c r="B3028" s="1">
        <v>38687</v>
      </c>
      <c r="C3028" t="s">
        <v>23</v>
      </c>
      <c r="D3028" s="19">
        <v>12</v>
      </c>
      <c r="E3028">
        <v>25</v>
      </c>
      <c r="F3028" t="s">
        <v>14</v>
      </c>
      <c r="H3028">
        <v>0</v>
      </c>
    </row>
    <row r="3029" spans="1:9" x14ac:dyDescent="0.2">
      <c r="A3029" t="str">
        <f t="shared" si="294"/>
        <v>38687Vaipahu1226PocilloporidaeDessous</v>
      </c>
      <c r="B3029" s="1">
        <v>38687</v>
      </c>
      <c r="C3029" t="s">
        <v>23</v>
      </c>
      <c r="D3029" s="19">
        <v>12</v>
      </c>
      <c r="E3029">
        <v>26</v>
      </c>
      <c r="F3029" t="s">
        <v>10</v>
      </c>
      <c r="G3029" t="s">
        <v>8</v>
      </c>
      <c r="H3029">
        <v>4</v>
      </c>
      <c r="I3029" t="s">
        <v>27</v>
      </c>
    </row>
    <row r="3030" spans="1:9" x14ac:dyDescent="0.2">
      <c r="A3030" t="str">
        <f t="shared" si="294"/>
        <v>38687Vaipahu1227PocilloporidaeDessous</v>
      </c>
      <c r="B3030" s="1">
        <v>38687</v>
      </c>
      <c r="C3030" t="s">
        <v>23</v>
      </c>
      <c r="D3030" s="19">
        <v>12</v>
      </c>
      <c r="E3030">
        <v>27</v>
      </c>
      <c r="F3030" t="s">
        <v>10</v>
      </c>
      <c r="G3030" t="s">
        <v>8</v>
      </c>
      <c r="H3030">
        <v>1</v>
      </c>
      <c r="I3030" t="s">
        <v>27</v>
      </c>
    </row>
    <row r="3031" spans="1:9" x14ac:dyDescent="0.2">
      <c r="A3031" t="str">
        <f t="shared" si="294"/>
        <v>38687Vaipahu1227PocilloporidaeDessus</v>
      </c>
      <c r="B3031" s="1">
        <v>38687</v>
      </c>
      <c r="C3031" t="s">
        <v>23</v>
      </c>
      <c r="D3031" s="19">
        <v>12</v>
      </c>
      <c r="E3031">
        <v>27</v>
      </c>
      <c r="F3031" t="s">
        <v>10</v>
      </c>
      <c r="G3031" t="s">
        <v>11</v>
      </c>
      <c r="H3031">
        <v>1</v>
      </c>
      <c r="I3031" t="s">
        <v>27</v>
      </c>
    </row>
    <row r="3032" spans="1:9" x14ac:dyDescent="0.2">
      <c r="A3032" t="str">
        <f t="shared" si="294"/>
        <v>38687Vaipahu1228Autres</v>
      </c>
      <c r="B3032" s="1">
        <v>38687</v>
      </c>
      <c r="C3032" t="s">
        <v>23</v>
      </c>
      <c r="D3032" s="19">
        <v>12</v>
      </c>
      <c r="E3032">
        <v>28</v>
      </c>
      <c r="F3032" t="s">
        <v>14</v>
      </c>
      <c r="H3032">
        <v>0</v>
      </c>
    </row>
    <row r="3033" spans="1:9" x14ac:dyDescent="0.2">
      <c r="A3033" t="str">
        <f t="shared" si="294"/>
        <v>38687Vaipahu1229PocilloporidaeDessous</v>
      </c>
      <c r="B3033" s="1">
        <v>38687</v>
      </c>
      <c r="C3033" t="s">
        <v>23</v>
      </c>
      <c r="D3033" s="19">
        <v>12</v>
      </c>
      <c r="E3033">
        <v>29</v>
      </c>
      <c r="F3033" t="s">
        <v>10</v>
      </c>
      <c r="G3033" t="s">
        <v>8</v>
      </c>
      <c r="H3033">
        <v>1</v>
      </c>
      <c r="I3033" t="s">
        <v>27</v>
      </c>
    </row>
    <row r="3034" spans="1:9" x14ac:dyDescent="0.2">
      <c r="A3034" t="str">
        <f t="shared" si="294"/>
        <v>38687Vaipahu1229PoritidaeBords</v>
      </c>
      <c r="B3034" s="1">
        <v>38687</v>
      </c>
      <c r="C3034" t="s">
        <v>23</v>
      </c>
      <c r="D3034" s="19">
        <v>12</v>
      </c>
      <c r="E3034">
        <v>29</v>
      </c>
      <c r="F3034" t="s">
        <v>7</v>
      </c>
      <c r="G3034" t="s">
        <v>13</v>
      </c>
      <c r="H3034">
        <v>1</v>
      </c>
      <c r="I3034" t="s">
        <v>27</v>
      </c>
    </row>
    <row r="3035" spans="1:9" x14ac:dyDescent="0.2">
      <c r="A3035" t="str">
        <f t="shared" si="294"/>
        <v>38687Vaipahu1230</v>
      </c>
      <c r="B3035" s="1">
        <v>38687</v>
      </c>
      <c r="C3035" t="s">
        <v>23</v>
      </c>
      <c r="D3035" s="19">
        <v>12</v>
      </c>
      <c r="E3035">
        <v>30</v>
      </c>
      <c r="F3035" t="s">
        <v>27</v>
      </c>
      <c r="G3035" t="s">
        <v>27</v>
      </c>
      <c r="H3035" t="s">
        <v>27</v>
      </c>
      <c r="I3035" t="s">
        <v>31</v>
      </c>
    </row>
    <row r="3036" spans="1:9" x14ac:dyDescent="0.2">
      <c r="A3036" t="str">
        <f t="shared" si="294"/>
        <v>38687Vaipahu1231Autres</v>
      </c>
      <c r="B3036" s="1">
        <v>38687</v>
      </c>
      <c r="C3036" t="s">
        <v>23</v>
      </c>
      <c r="D3036" s="19">
        <v>12</v>
      </c>
      <c r="E3036">
        <v>31</v>
      </c>
      <c r="F3036" t="s">
        <v>14</v>
      </c>
      <c r="H3036">
        <v>0</v>
      </c>
    </row>
    <row r="3037" spans="1:9" x14ac:dyDescent="0.2">
      <c r="A3037" t="str">
        <f t="shared" si="294"/>
        <v>38687Vaipahu1232PocilloporidaeBords</v>
      </c>
      <c r="B3037" s="1">
        <v>38687</v>
      </c>
      <c r="C3037" t="s">
        <v>23</v>
      </c>
      <c r="D3037" s="19">
        <v>12</v>
      </c>
      <c r="E3037">
        <v>32</v>
      </c>
      <c r="F3037" t="s">
        <v>10</v>
      </c>
      <c r="G3037" t="s">
        <v>13</v>
      </c>
      <c r="H3037">
        <v>1</v>
      </c>
      <c r="I3037" t="s">
        <v>27</v>
      </c>
    </row>
    <row r="3038" spans="1:9" x14ac:dyDescent="0.2">
      <c r="A3038" t="str">
        <f t="shared" si="294"/>
        <v>38687Vaipahu1233Autres</v>
      </c>
      <c r="B3038" s="1">
        <v>38687</v>
      </c>
      <c r="C3038" t="s">
        <v>23</v>
      </c>
      <c r="D3038" s="19">
        <v>12</v>
      </c>
      <c r="E3038">
        <v>33</v>
      </c>
      <c r="F3038" t="s">
        <v>14</v>
      </c>
      <c r="H3038">
        <v>0</v>
      </c>
    </row>
    <row r="3039" spans="1:9" x14ac:dyDescent="0.2">
      <c r="A3039" t="str">
        <f t="shared" si="294"/>
        <v>38687Vaipahu1234PocilloporidaeBords</v>
      </c>
      <c r="B3039" s="1">
        <v>38687</v>
      </c>
      <c r="C3039" t="s">
        <v>23</v>
      </c>
      <c r="D3039" s="19">
        <v>12</v>
      </c>
      <c r="E3039">
        <v>34</v>
      </c>
      <c r="F3039" t="s">
        <v>10</v>
      </c>
      <c r="G3039" t="s">
        <v>13</v>
      </c>
      <c r="H3039">
        <v>1</v>
      </c>
      <c r="I3039" t="s">
        <v>27</v>
      </c>
    </row>
    <row r="3040" spans="1:9" x14ac:dyDescent="0.2">
      <c r="A3040" t="str">
        <f t="shared" si="294"/>
        <v>38687Vaipahu1235PocilloporidaeDessous</v>
      </c>
      <c r="B3040" s="1">
        <v>38687</v>
      </c>
      <c r="C3040" t="s">
        <v>23</v>
      </c>
      <c r="D3040" s="19">
        <v>12</v>
      </c>
      <c r="E3040">
        <v>35</v>
      </c>
      <c r="F3040" t="s">
        <v>10</v>
      </c>
      <c r="G3040" t="s">
        <v>8</v>
      </c>
      <c r="H3040">
        <v>2</v>
      </c>
      <c r="I3040" t="s">
        <v>27</v>
      </c>
    </row>
    <row r="3041" spans="1:9" x14ac:dyDescent="0.2">
      <c r="A3041" t="str">
        <f t="shared" si="294"/>
        <v>38687Vaipahu1236PocilloporidaeBords</v>
      </c>
      <c r="B3041" s="1">
        <v>38687</v>
      </c>
      <c r="C3041" t="s">
        <v>23</v>
      </c>
      <c r="D3041" s="19">
        <v>12</v>
      </c>
      <c r="E3041">
        <v>36</v>
      </c>
      <c r="F3041" t="s">
        <v>10</v>
      </c>
      <c r="G3041" t="s">
        <v>13</v>
      </c>
      <c r="H3041">
        <v>4</v>
      </c>
      <c r="I3041" t="s">
        <v>27</v>
      </c>
    </row>
    <row r="3042" spans="1:9" x14ac:dyDescent="0.2">
      <c r="A3042" t="str">
        <f t="shared" si="294"/>
        <v>38687Vaipahu1236PocilloporidaeDessous</v>
      </c>
      <c r="B3042" s="1">
        <v>38687</v>
      </c>
      <c r="C3042" t="s">
        <v>23</v>
      </c>
      <c r="D3042" s="19">
        <v>12</v>
      </c>
      <c r="E3042">
        <v>36</v>
      </c>
      <c r="F3042" t="s">
        <v>10</v>
      </c>
      <c r="G3042" t="s">
        <v>8</v>
      </c>
      <c r="H3042">
        <v>1</v>
      </c>
      <c r="I3042" t="s">
        <v>27</v>
      </c>
    </row>
    <row r="3043" spans="1:9" x14ac:dyDescent="0.2">
      <c r="A3043" t="str">
        <f t="shared" si="294"/>
        <v>38687Vaipahu1237PocilloporidaeDessous</v>
      </c>
      <c r="B3043" s="1">
        <v>38687</v>
      </c>
      <c r="C3043" t="s">
        <v>23</v>
      </c>
      <c r="D3043" s="19">
        <v>12</v>
      </c>
      <c r="E3043">
        <v>37</v>
      </c>
      <c r="F3043" t="s">
        <v>10</v>
      </c>
      <c r="G3043" t="s">
        <v>8</v>
      </c>
      <c r="H3043">
        <v>1</v>
      </c>
      <c r="I3043" t="s">
        <v>27</v>
      </c>
    </row>
    <row r="3044" spans="1:9" x14ac:dyDescent="0.2">
      <c r="A3044" t="str">
        <f t="shared" si="294"/>
        <v>38687Vaipahu1238PocilloporidaeDessous</v>
      </c>
      <c r="B3044" s="1">
        <v>38687</v>
      </c>
      <c r="C3044" t="s">
        <v>23</v>
      </c>
      <c r="D3044" s="19">
        <v>12</v>
      </c>
      <c r="E3044">
        <v>38</v>
      </c>
      <c r="F3044" t="s">
        <v>10</v>
      </c>
      <c r="G3044" t="s">
        <v>8</v>
      </c>
      <c r="H3044">
        <v>2</v>
      </c>
      <c r="I3044" t="s">
        <v>27</v>
      </c>
    </row>
    <row r="3045" spans="1:9" x14ac:dyDescent="0.2">
      <c r="A3045" t="str">
        <f t="shared" si="294"/>
        <v>38687Vaipahu1239PocilloporidaeBords</v>
      </c>
      <c r="B3045" s="1">
        <v>38687</v>
      </c>
      <c r="C3045" t="s">
        <v>23</v>
      </c>
      <c r="D3045" s="19">
        <v>12</v>
      </c>
      <c r="E3045">
        <v>39</v>
      </c>
      <c r="F3045" t="s">
        <v>10</v>
      </c>
      <c r="G3045" t="s">
        <v>13</v>
      </c>
      <c r="H3045">
        <v>1</v>
      </c>
      <c r="I3045" t="s">
        <v>27</v>
      </c>
    </row>
    <row r="3046" spans="1:9" x14ac:dyDescent="0.2">
      <c r="A3046" t="str">
        <f t="shared" si="294"/>
        <v>38687Vaipahu1239PocilloporidaeDessous</v>
      </c>
      <c r="B3046" s="1">
        <v>38687</v>
      </c>
      <c r="C3046" t="s">
        <v>23</v>
      </c>
      <c r="D3046" s="19">
        <v>12</v>
      </c>
      <c r="E3046">
        <v>39</v>
      </c>
      <c r="F3046" t="s">
        <v>10</v>
      </c>
      <c r="G3046" t="s">
        <v>8</v>
      </c>
      <c r="H3046">
        <v>2</v>
      </c>
      <c r="I3046" t="s">
        <v>27</v>
      </c>
    </row>
    <row r="3047" spans="1:9" x14ac:dyDescent="0.2">
      <c r="A3047" t="str">
        <f t="shared" si="294"/>
        <v>38687Vaipahu1239PoritidaeDessous</v>
      </c>
      <c r="B3047" s="1">
        <v>38687</v>
      </c>
      <c r="C3047" t="s">
        <v>23</v>
      </c>
      <c r="D3047" s="19">
        <v>12</v>
      </c>
      <c r="E3047">
        <v>39</v>
      </c>
      <c r="F3047" t="s">
        <v>7</v>
      </c>
      <c r="G3047" t="s">
        <v>8</v>
      </c>
      <c r="H3047">
        <v>1</v>
      </c>
      <c r="I3047" t="s">
        <v>27</v>
      </c>
    </row>
    <row r="3048" spans="1:9" x14ac:dyDescent="0.2">
      <c r="A3048" t="str">
        <f t="shared" si="294"/>
        <v>38687Vaipahu1240Autres</v>
      </c>
      <c r="B3048" s="1">
        <v>38687</v>
      </c>
      <c r="C3048" t="s">
        <v>23</v>
      </c>
      <c r="D3048" s="19">
        <v>12</v>
      </c>
      <c r="E3048">
        <v>40</v>
      </c>
      <c r="F3048" t="s">
        <v>14</v>
      </c>
      <c r="H3048">
        <v>0</v>
      </c>
    </row>
    <row r="3049" spans="1:9" x14ac:dyDescent="0.2">
      <c r="A3049" t="str">
        <f t="shared" si="294"/>
        <v>38687Vaipahu1841PocilloporidaeDessous</v>
      </c>
      <c r="B3049" s="1">
        <v>38687</v>
      </c>
      <c r="C3049" t="s">
        <v>23</v>
      </c>
      <c r="D3049" s="19">
        <v>18</v>
      </c>
      <c r="E3049">
        <v>41</v>
      </c>
      <c r="F3049" t="s">
        <v>10</v>
      </c>
      <c r="G3049" t="s">
        <v>8</v>
      </c>
      <c r="H3049">
        <v>1</v>
      </c>
      <c r="I3049" t="s">
        <v>27</v>
      </c>
    </row>
    <row r="3050" spans="1:9" x14ac:dyDescent="0.2">
      <c r="A3050" t="str">
        <f t="shared" si="294"/>
        <v>38687Vaipahu1842PocilloporidaeBords</v>
      </c>
      <c r="B3050" s="1">
        <v>38687</v>
      </c>
      <c r="C3050" t="s">
        <v>23</v>
      </c>
      <c r="D3050" s="19">
        <v>18</v>
      </c>
      <c r="E3050">
        <v>42</v>
      </c>
      <c r="F3050" t="s">
        <v>10</v>
      </c>
      <c r="G3050" t="s">
        <v>13</v>
      </c>
      <c r="H3050">
        <v>1</v>
      </c>
      <c r="I3050" t="s">
        <v>27</v>
      </c>
    </row>
    <row r="3051" spans="1:9" x14ac:dyDescent="0.2">
      <c r="A3051" t="str">
        <f t="shared" si="294"/>
        <v>38687Vaipahu1842PoritidaeBords</v>
      </c>
      <c r="B3051" s="1">
        <v>38687</v>
      </c>
      <c r="C3051" t="s">
        <v>23</v>
      </c>
      <c r="D3051" s="19">
        <v>18</v>
      </c>
      <c r="E3051">
        <v>42</v>
      </c>
      <c r="F3051" t="s">
        <v>7</v>
      </c>
      <c r="G3051" t="s">
        <v>13</v>
      </c>
      <c r="H3051">
        <v>1</v>
      </c>
      <c r="I3051" t="s">
        <v>27</v>
      </c>
    </row>
    <row r="3052" spans="1:9" x14ac:dyDescent="0.2">
      <c r="A3052" t="str">
        <f t="shared" si="294"/>
        <v>38687Vaipahu1843PocilloporidaeDessus</v>
      </c>
      <c r="B3052" s="1">
        <v>38687</v>
      </c>
      <c r="C3052" t="s">
        <v>23</v>
      </c>
      <c r="D3052" s="19">
        <v>18</v>
      </c>
      <c r="E3052">
        <v>43</v>
      </c>
      <c r="F3052" t="s">
        <v>10</v>
      </c>
      <c r="G3052" t="s">
        <v>11</v>
      </c>
      <c r="H3052">
        <v>1</v>
      </c>
      <c r="I3052" t="s">
        <v>27</v>
      </c>
    </row>
    <row r="3053" spans="1:9" x14ac:dyDescent="0.2">
      <c r="A3053" t="str">
        <f t="shared" si="294"/>
        <v>38687Vaipahu1844PocilloporidaeBords</v>
      </c>
      <c r="B3053" s="1">
        <v>38687</v>
      </c>
      <c r="C3053" t="s">
        <v>23</v>
      </c>
      <c r="D3053" s="19">
        <v>18</v>
      </c>
      <c r="E3053">
        <v>44</v>
      </c>
      <c r="F3053" t="s">
        <v>10</v>
      </c>
      <c r="G3053" t="s">
        <v>13</v>
      </c>
      <c r="H3053">
        <v>1</v>
      </c>
      <c r="I3053" t="s">
        <v>27</v>
      </c>
    </row>
    <row r="3054" spans="1:9" x14ac:dyDescent="0.2">
      <c r="A3054" t="str">
        <f t="shared" si="294"/>
        <v>38687Vaipahu1844PoritidaeDessous</v>
      </c>
      <c r="B3054" s="1">
        <v>38687</v>
      </c>
      <c r="C3054" t="s">
        <v>23</v>
      </c>
      <c r="D3054" s="19">
        <v>18</v>
      </c>
      <c r="E3054">
        <v>44</v>
      </c>
      <c r="F3054" t="s">
        <v>7</v>
      </c>
      <c r="G3054" t="s">
        <v>8</v>
      </c>
      <c r="H3054">
        <v>1</v>
      </c>
      <c r="I3054" t="s">
        <v>27</v>
      </c>
    </row>
    <row r="3055" spans="1:9" x14ac:dyDescent="0.2">
      <c r="A3055" t="str">
        <f t="shared" si="294"/>
        <v>38687Vaipahu1845PocilloporidaeBords</v>
      </c>
      <c r="B3055" s="1">
        <v>38687</v>
      </c>
      <c r="C3055" t="s">
        <v>23</v>
      </c>
      <c r="D3055" s="19">
        <v>18</v>
      </c>
      <c r="E3055">
        <v>45</v>
      </c>
      <c r="F3055" t="s">
        <v>10</v>
      </c>
      <c r="G3055" t="s">
        <v>13</v>
      </c>
      <c r="H3055">
        <v>2</v>
      </c>
      <c r="I3055" t="s">
        <v>27</v>
      </c>
    </row>
    <row r="3056" spans="1:9" x14ac:dyDescent="0.2">
      <c r="A3056" t="str">
        <f t="shared" si="294"/>
        <v>38687Vaipahu1845PocilloporidaeDessous</v>
      </c>
      <c r="B3056" s="1">
        <v>38687</v>
      </c>
      <c r="C3056" t="s">
        <v>23</v>
      </c>
      <c r="D3056" s="19">
        <v>18</v>
      </c>
      <c r="E3056">
        <v>45</v>
      </c>
      <c r="F3056" t="s">
        <v>10</v>
      </c>
      <c r="G3056" t="s">
        <v>8</v>
      </c>
      <c r="H3056">
        <v>1</v>
      </c>
      <c r="I3056" t="s">
        <v>27</v>
      </c>
    </row>
    <row r="3057" spans="1:9" x14ac:dyDescent="0.2">
      <c r="A3057" t="str">
        <f t="shared" si="294"/>
        <v>38687Vaipahu1846PocilloporidaeDessous</v>
      </c>
      <c r="B3057" s="1">
        <v>38687</v>
      </c>
      <c r="C3057" t="s">
        <v>23</v>
      </c>
      <c r="D3057" s="19">
        <v>18</v>
      </c>
      <c r="E3057">
        <v>46</v>
      </c>
      <c r="F3057" t="s">
        <v>10</v>
      </c>
      <c r="G3057" t="s">
        <v>8</v>
      </c>
      <c r="H3057">
        <v>1</v>
      </c>
      <c r="I3057" t="s">
        <v>27</v>
      </c>
    </row>
    <row r="3058" spans="1:9" x14ac:dyDescent="0.2">
      <c r="A3058" t="str">
        <f t="shared" si="294"/>
        <v>38687Vaipahu1846PocilloporidaeDessus</v>
      </c>
      <c r="B3058" s="1">
        <v>38687</v>
      </c>
      <c r="C3058" t="s">
        <v>23</v>
      </c>
      <c r="D3058" s="19">
        <v>18</v>
      </c>
      <c r="E3058">
        <v>46</v>
      </c>
      <c r="F3058" t="s">
        <v>10</v>
      </c>
      <c r="G3058" t="s">
        <v>11</v>
      </c>
      <c r="H3058">
        <v>1</v>
      </c>
      <c r="I3058" t="s">
        <v>27</v>
      </c>
    </row>
    <row r="3059" spans="1:9" x14ac:dyDescent="0.2">
      <c r="A3059" t="str">
        <f t="shared" si="294"/>
        <v>38687Vaipahu1846PoritidaeBords</v>
      </c>
      <c r="B3059" s="1">
        <v>38687</v>
      </c>
      <c r="C3059" t="s">
        <v>23</v>
      </c>
      <c r="D3059" s="19">
        <v>18</v>
      </c>
      <c r="E3059">
        <v>46</v>
      </c>
      <c r="F3059" t="s">
        <v>7</v>
      </c>
      <c r="G3059" t="s">
        <v>13</v>
      </c>
      <c r="H3059">
        <v>1</v>
      </c>
      <c r="I3059" t="s">
        <v>27</v>
      </c>
    </row>
    <row r="3060" spans="1:9" x14ac:dyDescent="0.2">
      <c r="A3060" t="str">
        <f t="shared" si="294"/>
        <v>38687Vaipahu1847PocilloporidaeBords</v>
      </c>
      <c r="B3060" s="1">
        <v>38687</v>
      </c>
      <c r="C3060" t="s">
        <v>23</v>
      </c>
      <c r="D3060" s="19">
        <v>18</v>
      </c>
      <c r="E3060">
        <v>47</v>
      </c>
      <c r="F3060" t="s">
        <v>10</v>
      </c>
      <c r="G3060" t="s">
        <v>13</v>
      </c>
      <c r="H3060">
        <v>1</v>
      </c>
      <c r="I3060" t="s">
        <v>27</v>
      </c>
    </row>
    <row r="3061" spans="1:9" x14ac:dyDescent="0.2">
      <c r="A3061" t="str">
        <f t="shared" si="294"/>
        <v>38687Vaipahu1848PocilloporidaeDessous</v>
      </c>
      <c r="B3061" s="1">
        <v>38687</v>
      </c>
      <c r="C3061" t="s">
        <v>23</v>
      </c>
      <c r="D3061" s="19">
        <v>18</v>
      </c>
      <c r="E3061">
        <v>48</v>
      </c>
      <c r="F3061" t="s">
        <v>10</v>
      </c>
      <c r="G3061" t="s">
        <v>8</v>
      </c>
      <c r="H3061">
        <v>1</v>
      </c>
      <c r="I3061" t="s">
        <v>27</v>
      </c>
    </row>
    <row r="3062" spans="1:9" x14ac:dyDescent="0.2">
      <c r="A3062" t="str">
        <f t="shared" si="294"/>
        <v>38687Vaipahu1849Autres</v>
      </c>
      <c r="B3062" s="1">
        <v>38687</v>
      </c>
      <c r="C3062" t="s">
        <v>23</v>
      </c>
      <c r="D3062" s="19">
        <v>18</v>
      </c>
      <c r="E3062">
        <v>49</v>
      </c>
      <c r="F3062" t="s">
        <v>14</v>
      </c>
      <c r="H3062">
        <v>0</v>
      </c>
    </row>
    <row r="3063" spans="1:9" x14ac:dyDescent="0.2">
      <c r="A3063" t="str">
        <f t="shared" si="294"/>
        <v>38687Vaipahu1850PocilloporidaeBords</v>
      </c>
      <c r="B3063" s="1">
        <v>38687</v>
      </c>
      <c r="C3063" t="s">
        <v>23</v>
      </c>
      <c r="D3063" s="19">
        <v>18</v>
      </c>
      <c r="E3063">
        <v>50</v>
      </c>
      <c r="F3063" t="s">
        <v>10</v>
      </c>
      <c r="G3063" t="s">
        <v>13</v>
      </c>
      <c r="H3063">
        <v>1</v>
      </c>
      <c r="I3063" t="s">
        <v>27</v>
      </c>
    </row>
    <row r="3064" spans="1:9" x14ac:dyDescent="0.2">
      <c r="A3064" t="str">
        <f t="shared" si="294"/>
        <v>38687Vaipahu1850PoritidaeDessus</v>
      </c>
      <c r="B3064" s="1">
        <v>38687</v>
      </c>
      <c r="C3064" t="s">
        <v>23</v>
      </c>
      <c r="D3064" s="19">
        <v>18</v>
      </c>
      <c r="E3064">
        <v>50</v>
      </c>
      <c r="F3064" t="s">
        <v>7</v>
      </c>
      <c r="G3064" t="s">
        <v>11</v>
      </c>
      <c r="H3064">
        <v>1</v>
      </c>
      <c r="I3064" t="s">
        <v>27</v>
      </c>
    </row>
    <row r="3065" spans="1:9" x14ac:dyDescent="0.2">
      <c r="A3065" t="str">
        <f t="shared" si="294"/>
        <v>38687Vaipahu1851PoritidaeDessus</v>
      </c>
      <c r="B3065" s="1">
        <v>38687</v>
      </c>
      <c r="C3065" t="s">
        <v>23</v>
      </c>
      <c r="D3065" s="19">
        <v>18</v>
      </c>
      <c r="E3065">
        <v>51</v>
      </c>
      <c r="F3065" t="s">
        <v>7</v>
      </c>
      <c r="G3065" t="s">
        <v>11</v>
      </c>
      <c r="H3065">
        <v>1</v>
      </c>
      <c r="I3065" t="s">
        <v>27</v>
      </c>
    </row>
    <row r="3066" spans="1:9" x14ac:dyDescent="0.2">
      <c r="A3066" t="str">
        <f t="shared" si="294"/>
        <v>38687Vaipahu1852PocilloporidaeBords</v>
      </c>
      <c r="B3066" s="1">
        <v>38687</v>
      </c>
      <c r="C3066" t="s">
        <v>23</v>
      </c>
      <c r="D3066" s="19">
        <v>18</v>
      </c>
      <c r="E3066">
        <v>52</v>
      </c>
      <c r="F3066" t="s">
        <v>10</v>
      </c>
      <c r="G3066" t="s">
        <v>13</v>
      </c>
      <c r="H3066">
        <v>1</v>
      </c>
      <c r="I3066" t="s">
        <v>27</v>
      </c>
    </row>
    <row r="3067" spans="1:9" x14ac:dyDescent="0.2">
      <c r="A3067" t="str">
        <f t="shared" si="294"/>
        <v>38687Vaipahu1853Autres</v>
      </c>
      <c r="B3067" s="1">
        <v>38687</v>
      </c>
      <c r="C3067" t="s">
        <v>23</v>
      </c>
      <c r="D3067" s="19">
        <v>18</v>
      </c>
      <c r="E3067">
        <v>53</v>
      </c>
      <c r="F3067" t="s">
        <v>14</v>
      </c>
      <c r="H3067">
        <v>0</v>
      </c>
    </row>
    <row r="3068" spans="1:9" x14ac:dyDescent="0.2">
      <c r="A3068" t="str">
        <f t="shared" si="294"/>
        <v>38687Vaipahu1854Autres</v>
      </c>
      <c r="B3068" s="1">
        <v>38687</v>
      </c>
      <c r="C3068" t="s">
        <v>23</v>
      </c>
      <c r="D3068" s="19">
        <v>18</v>
      </c>
      <c r="E3068">
        <v>54</v>
      </c>
      <c r="F3068" t="s">
        <v>14</v>
      </c>
      <c r="H3068">
        <v>0</v>
      </c>
    </row>
    <row r="3069" spans="1:9" x14ac:dyDescent="0.2">
      <c r="A3069" t="str">
        <f t="shared" si="294"/>
        <v>38687Vaipahu1855PocilloporidaeDessus</v>
      </c>
      <c r="B3069" s="1">
        <v>38687</v>
      </c>
      <c r="C3069" t="s">
        <v>23</v>
      </c>
      <c r="D3069" s="19">
        <v>18</v>
      </c>
      <c r="E3069">
        <v>55</v>
      </c>
      <c r="F3069" t="s">
        <v>10</v>
      </c>
      <c r="G3069" t="s">
        <v>11</v>
      </c>
      <c r="H3069">
        <v>1</v>
      </c>
      <c r="I3069" t="s">
        <v>27</v>
      </c>
    </row>
    <row r="3070" spans="1:9" x14ac:dyDescent="0.2">
      <c r="A3070" t="str">
        <f t="shared" si="294"/>
        <v>38687Vaipahu1856Autres</v>
      </c>
      <c r="B3070" s="1">
        <v>38687</v>
      </c>
      <c r="C3070" t="s">
        <v>23</v>
      </c>
      <c r="D3070" s="19">
        <v>18</v>
      </c>
      <c r="E3070">
        <v>56</v>
      </c>
      <c r="F3070" t="s">
        <v>14</v>
      </c>
      <c r="H3070">
        <v>0</v>
      </c>
    </row>
    <row r="3071" spans="1:9" x14ac:dyDescent="0.2">
      <c r="A3071" t="str">
        <f t="shared" ref="A3071:A3134" si="295">B3071 &amp; C3071&amp; D3071&amp; E3071 &amp; F3071 &amp;G3071</f>
        <v>38687Vaipahu1857Autres</v>
      </c>
      <c r="B3071" s="1">
        <v>38687</v>
      </c>
      <c r="C3071" t="s">
        <v>23</v>
      </c>
      <c r="D3071" s="19">
        <v>18</v>
      </c>
      <c r="E3071">
        <v>57</v>
      </c>
      <c r="F3071" t="s">
        <v>14</v>
      </c>
      <c r="H3071">
        <v>0</v>
      </c>
    </row>
    <row r="3072" spans="1:9" x14ac:dyDescent="0.2">
      <c r="A3072" t="str">
        <f t="shared" si="295"/>
        <v>38687Vaipahu1858Autres</v>
      </c>
      <c r="B3072" s="1">
        <v>38687</v>
      </c>
      <c r="C3072" t="s">
        <v>23</v>
      </c>
      <c r="D3072" s="19">
        <v>18</v>
      </c>
      <c r="E3072">
        <v>58</v>
      </c>
      <c r="F3072" t="s">
        <v>14</v>
      </c>
      <c r="H3072">
        <v>0</v>
      </c>
    </row>
    <row r="3073" spans="1:9" x14ac:dyDescent="0.2">
      <c r="A3073" t="str">
        <f t="shared" si="295"/>
        <v>38687Vaipahu1859Autres</v>
      </c>
      <c r="B3073" s="1">
        <v>38687</v>
      </c>
      <c r="C3073" t="s">
        <v>23</v>
      </c>
      <c r="D3073" s="19">
        <v>18</v>
      </c>
      <c r="E3073">
        <v>59</v>
      </c>
      <c r="F3073" t="s">
        <v>14</v>
      </c>
      <c r="H3073">
        <v>0</v>
      </c>
    </row>
    <row r="3074" spans="1:9" x14ac:dyDescent="0.2">
      <c r="A3074" t="str">
        <f t="shared" si="295"/>
        <v>38687Vaipahu1860Autres</v>
      </c>
      <c r="B3074" s="1">
        <v>38687</v>
      </c>
      <c r="C3074" t="s">
        <v>23</v>
      </c>
      <c r="D3074" s="19">
        <v>18</v>
      </c>
      <c r="E3074">
        <v>60</v>
      </c>
      <c r="F3074" t="s">
        <v>14</v>
      </c>
      <c r="H3074">
        <v>0</v>
      </c>
    </row>
    <row r="3075" spans="1:9" x14ac:dyDescent="0.2">
      <c r="A3075" t="str">
        <f t="shared" si="295"/>
        <v>38687Tiahura661PocilloporidaeDessous</v>
      </c>
      <c r="B3075" s="1">
        <v>38687</v>
      </c>
      <c r="C3075" t="s">
        <v>24</v>
      </c>
      <c r="D3075" s="19">
        <v>6</v>
      </c>
      <c r="E3075">
        <v>61</v>
      </c>
      <c r="F3075" t="s">
        <v>10</v>
      </c>
      <c r="G3075" t="s">
        <v>8</v>
      </c>
      <c r="H3075">
        <v>4</v>
      </c>
      <c r="I3075" t="s">
        <v>27</v>
      </c>
    </row>
    <row r="3076" spans="1:9" x14ac:dyDescent="0.2">
      <c r="A3076" t="str">
        <f t="shared" si="295"/>
        <v>38687Tiahura662PocilloporidaeDessus</v>
      </c>
      <c r="B3076" s="1">
        <v>38687</v>
      </c>
      <c r="C3076" t="s">
        <v>24</v>
      </c>
      <c r="D3076" s="19">
        <v>6</v>
      </c>
      <c r="E3076">
        <v>62</v>
      </c>
      <c r="F3076" t="s">
        <v>10</v>
      </c>
      <c r="G3076" t="s">
        <v>11</v>
      </c>
      <c r="H3076">
        <v>1</v>
      </c>
      <c r="I3076" t="s">
        <v>27</v>
      </c>
    </row>
    <row r="3077" spans="1:9" x14ac:dyDescent="0.2">
      <c r="A3077" t="str">
        <f t="shared" si="295"/>
        <v>38687Tiahura663CassésDessous</v>
      </c>
      <c r="B3077" s="1">
        <v>38687</v>
      </c>
      <c r="C3077" t="s">
        <v>24</v>
      </c>
      <c r="D3077" s="19">
        <v>6</v>
      </c>
      <c r="E3077">
        <v>63</v>
      </c>
      <c r="F3077" t="s">
        <v>12</v>
      </c>
      <c r="G3077" t="s">
        <v>8</v>
      </c>
      <c r="H3077">
        <v>1</v>
      </c>
      <c r="I3077" t="s">
        <v>27</v>
      </c>
    </row>
    <row r="3078" spans="1:9" x14ac:dyDescent="0.2">
      <c r="A3078" t="str">
        <f t="shared" si="295"/>
        <v>38687Tiahura663PocilloporidaeBords</v>
      </c>
      <c r="B3078" s="1">
        <v>38687</v>
      </c>
      <c r="C3078" t="s">
        <v>24</v>
      </c>
      <c r="D3078" s="19">
        <v>6</v>
      </c>
      <c r="E3078">
        <v>63</v>
      </c>
      <c r="F3078" t="s">
        <v>10</v>
      </c>
      <c r="G3078" t="s">
        <v>13</v>
      </c>
      <c r="H3078">
        <v>2</v>
      </c>
      <c r="I3078" t="s">
        <v>27</v>
      </c>
    </row>
    <row r="3079" spans="1:9" x14ac:dyDescent="0.2">
      <c r="A3079" t="str">
        <f t="shared" si="295"/>
        <v>38687Tiahura663PocilloporidaeDessous</v>
      </c>
      <c r="B3079" s="1">
        <v>38687</v>
      </c>
      <c r="C3079" t="s">
        <v>24</v>
      </c>
      <c r="D3079" s="19">
        <v>6</v>
      </c>
      <c r="E3079">
        <v>63</v>
      </c>
      <c r="F3079" t="s">
        <v>10</v>
      </c>
      <c r="G3079" t="s">
        <v>8</v>
      </c>
      <c r="H3079">
        <v>1</v>
      </c>
      <c r="I3079" t="s">
        <v>27</v>
      </c>
    </row>
    <row r="3080" spans="1:9" x14ac:dyDescent="0.2">
      <c r="A3080" t="str">
        <f t="shared" si="295"/>
        <v>38687Tiahura663PocilloporidaeDessus</v>
      </c>
      <c r="B3080" s="1">
        <v>38687</v>
      </c>
      <c r="C3080" t="s">
        <v>24</v>
      </c>
      <c r="D3080" s="19">
        <v>6</v>
      </c>
      <c r="E3080">
        <v>63</v>
      </c>
      <c r="F3080" t="s">
        <v>10</v>
      </c>
      <c r="G3080" t="s">
        <v>11</v>
      </c>
      <c r="H3080">
        <v>1</v>
      </c>
      <c r="I3080" t="s">
        <v>27</v>
      </c>
    </row>
    <row r="3081" spans="1:9" x14ac:dyDescent="0.2">
      <c r="A3081" t="str">
        <f t="shared" si="295"/>
        <v>38687Tiahura663PoritidaeDessous</v>
      </c>
      <c r="B3081" s="1">
        <v>38687</v>
      </c>
      <c r="C3081" t="s">
        <v>24</v>
      </c>
      <c r="D3081" s="19">
        <v>6</v>
      </c>
      <c r="E3081">
        <v>63</v>
      </c>
      <c r="F3081" t="s">
        <v>7</v>
      </c>
      <c r="G3081" t="s">
        <v>8</v>
      </c>
      <c r="H3081">
        <v>2</v>
      </c>
      <c r="I3081" t="s">
        <v>27</v>
      </c>
    </row>
    <row r="3082" spans="1:9" x14ac:dyDescent="0.2">
      <c r="A3082" t="str">
        <f t="shared" si="295"/>
        <v>38687Tiahura664PocilloporidaeBords</v>
      </c>
      <c r="B3082" s="1">
        <v>38687</v>
      </c>
      <c r="C3082" t="s">
        <v>24</v>
      </c>
      <c r="D3082" s="19">
        <v>6</v>
      </c>
      <c r="E3082">
        <v>64</v>
      </c>
      <c r="F3082" t="s">
        <v>10</v>
      </c>
      <c r="G3082" t="s">
        <v>13</v>
      </c>
      <c r="H3082">
        <v>2</v>
      </c>
      <c r="I3082" t="s">
        <v>27</v>
      </c>
    </row>
    <row r="3083" spans="1:9" x14ac:dyDescent="0.2">
      <c r="A3083" t="str">
        <f t="shared" si="295"/>
        <v>38687Tiahura665PocilloporidaeDessous</v>
      </c>
      <c r="B3083" s="1">
        <v>38687</v>
      </c>
      <c r="C3083" t="s">
        <v>24</v>
      </c>
      <c r="D3083" s="19">
        <v>6</v>
      </c>
      <c r="E3083">
        <v>65</v>
      </c>
      <c r="F3083" t="s">
        <v>10</v>
      </c>
      <c r="G3083" t="s">
        <v>8</v>
      </c>
      <c r="H3083">
        <v>2</v>
      </c>
      <c r="I3083" t="s">
        <v>27</v>
      </c>
    </row>
    <row r="3084" spans="1:9" x14ac:dyDescent="0.2">
      <c r="A3084" t="str">
        <f t="shared" si="295"/>
        <v>38687Tiahura666PocilloporidaeBords</v>
      </c>
      <c r="B3084" s="1">
        <v>38687</v>
      </c>
      <c r="C3084" t="s">
        <v>24</v>
      </c>
      <c r="D3084" s="19">
        <v>6</v>
      </c>
      <c r="E3084">
        <v>66</v>
      </c>
      <c r="F3084" t="s">
        <v>10</v>
      </c>
      <c r="G3084" t="s">
        <v>13</v>
      </c>
      <c r="H3084">
        <v>2</v>
      </c>
      <c r="I3084" t="s">
        <v>27</v>
      </c>
    </row>
    <row r="3085" spans="1:9" x14ac:dyDescent="0.2">
      <c r="A3085" t="str">
        <f t="shared" si="295"/>
        <v>38687Tiahura666PocilloporidaeDessous</v>
      </c>
      <c r="B3085" s="1">
        <v>38687</v>
      </c>
      <c r="C3085" t="s">
        <v>24</v>
      </c>
      <c r="D3085" s="19">
        <v>6</v>
      </c>
      <c r="E3085">
        <v>66</v>
      </c>
      <c r="F3085" t="s">
        <v>10</v>
      </c>
      <c r="G3085" t="s">
        <v>8</v>
      </c>
      <c r="H3085">
        <v>1</v>
      </c>
      <c r="I3085" t="s">
        <v>27</v>
      </c>
    </row>
    <row r="3086" spans="1:9" x14ac:dyDescent="0.2">
      <c r="A3086" t="str">
        <f t="shared" si="295"/>
        <v>38687Tiahura667Autres</v>
      </c>
      <c r="B3086" s="1">
        <v>38687</v>
      </c>
      <c r="C3086" t="s">
        <v>24</v>
      </c>
      <c r="D3086" s="19">
        <v>6</v>
      </c>
      <c r="E3086">
        <v>67</v>
      </c>
      <c r="F3086" t="s">
        <v>14</v>
      </c>
      <c r="H3086">
        <v>0</v>
      </c>
    </row>
    <row r="3087" spans="1:9" x14ac:dyDescent="0.2">
      <c r="A3087" t="str">
        <f t="shared" si="295"/>
        <v>38687Tiahura668Autres</v>
      </c>
      <c r="B3087" s="1">
        <v>38687</v>
      </c>
      <c r="C3087" t="s">
        <v>24</v>
      </c>
      <c r="D3087" s="19">
        <v>6</v>
      </c>
      <c r="E3087">
        <v>68</v>
      </c>
      <c r="F3087" t="s">
        <v>14</v>
      </c>
      <c r="H3087">
        <v>0</v>
      </c>
    </row>
    <row r="3088" spans="1:9" x14ac:dyDescent="0.2">
      <c r="A3088" t="str">
        <f t="shared" si="295"/>
        <v>38687Tiahura669PocilloporidaeDessous</v>
      </c>
      <c r="B3088" s="1">
        <v>38687</v>
      </c>
      <c r="C3088" t="s">
        <v>24</v>
      </c>
      <c r="D3088" s="19">
        <v>6</v>
      </c>
      <c r="E3088">
        <v>69</v>
      </c>
      <c r="F3088" t="s">
        <v>10</v>
      </c>
      <c r="G3088" t="s">
        <v>8</v>
      </c>
      <c r="H3088">
        <v>1</v>
      </c>
      <c r="I3088" t="s">
        <v>27</v>
      </c>
    </row>
    <row r="3089" spans="1:9" x14ac:dyDescent="0.2">
      <c r="A3089" t="str">
        <f t="shared" si="295"/>
        <v>38687Tiahura670Autres</v>
      </c>
      <c r="B3089" s="1">
        <v>38687</v>
      </c>
      <c r="C3089" t="s">
        <v>24</v>
      </c>
      <c r="D3089" s="19">
        <v>6</v>
      </c>
      <c r="E3089">
        <v>70</v>
      </c>
      <c r="F3089" t="s">
        <v>14</v>
      </c>
      <c r="H3089">
        <v>0</v>
      </c>
    </row>
    <row r="3090" spans="1:9" x14ac:dyDescent="0.2">
      <c r="A3090" t="str">
        <f t="shared" si="295"/>
        <v>38687Tiahura671PocilloporidaeDessous</v>
      </c>
      <c r="B3090" s="1">
        <v>38687</v>
      </c>
      <c r="C3090" t="s">
        <v>24</v>
      </c>
      <c r="D3090" s="19">
        <v>6</v>
      </c>
      <c r="E3090">
        <v>71</v>
      </c>
      <c r="F3090" t="s">
        <v>10</v>
      </c>
      <c r="G3090" t="s">
        <v>8</v>
      </c>
      <c r="H3090">
        <v>3</v>
      </c>
      <c r="I3090" t="s">
        <v>27</v>
      </c>
    </row>
    <row r="3091" spans="1:9" x14ac:dyDescent="0.2">
      <c r="A3091" t="str">
        <f t="shared" si="295"/>
        <v>38687Tiahura672PocilloporidaeDessus</v>
      </c>
      <c r="B3091" s="1">
        <v>38687</v>
      </c>
      <c r="C3091" t="s">
        <v>24</v>
      </c>
      <c r="D3091" s="19">
        <v>6</v>
      </c>
      <c r="E3091">
        <v>72</v>
      </c>
      <c r="F3091" t="s">
        <v>10</v>
      </c>
      <c r="G3091" t="s">
        <v>11</v>
      </c>
      <c r="H3091">
        <v>1</v>
      </c>
      <c r="I3091" t="s">
        <v>27</v>
      </c>
    </row>
    <row r="3092" spans="1:9" x14ac:dyDescent="0.2">
      <c r="A3092" t="str">
        <f t="shared" si="295"/>
        <v>38687Tiahura673PocilloporidaeDessous</v>
      </c>
      <c r="B3092" s="1">
        <v>38687</v>
      </c>
      <c r="C3092" t="s">
        <v>24</v>
      </c>
      <c r="D3092" s="19">
        <v>6</v>
      </c>
      <c r="E3092">
        <v>73</v>
      </c>
      <c r="F3092" t="s">
        <v>10</v>
      </c>
      <c r="G3092" t="s">
        <v>8</v>
      </c>
      <c r="H3092">
        <v>1</v>
      </c>
      <c r="I3092" t="s">
        <v>27</v>
      </c>
    </row>
    <row r="3093" spans="1:9" x14ac:dyDescent="0.2">
      <c r="A3093" t="str">
        <f t="shared" si="295"/>
        <v>38687Tiahura674PocilloporidaeBords</v>
      </c>
      <c r="B3093" s="1">
        <v>38687</v>
      </c>
      <c r="C3093" t="s">
        <v>24</v>
      </c>
      <c r="D3093" s="19">
        <v>6</v>
      </c>
      <c r="E3093">
        <v>74</v>
      </c>
      <c r="F3093" t="s">
        <v>10</v>
      </c>
      <c r="G3093" t="s">
        <v>13</v>
      </c>
      <c r="H3093">
        <v>1</v>
      </c>
      <c r="I3093" t="s">
        <v>27</v>
      </c>
    </row>
    <row r="3094" spans="1:9" x14ac:dyDescent="0.2">
      <c r="A3094" t="str">
        <f t="shared" si="295"/>
        <v>38687Tiahura674PocilloporidaeDessous</v>
      </c>
      <c r="B3094" s="1">
        <v>38687</v>
      </c>
      <c r="C3094" t="s">
        <v>24</v>
      </c>
      <c r="D3094" s="19">
        <v>6</v>
      </c>
      <c r="E3094">
        <v>74</v>
      </c>
      <c r="F3094" t="s">
        <v>10</v>
      </c>
      <c r="G3094" t="s">
        <v>8</v>
      </c>
      <c r="H3094">
        <v>1</v>
      </c>
      <c r="I3094" t="s">
        <v>27</v>
      </c>
    </row>
    <row r="3095" spans="1:9" x14ac:dyDescent="0.2">
      <c r="A3095" t="str">
        <f t="shared" si="295"/>
        <v>38687Tiahura675Autres</v>
      </c>
      <c r="B3095" s="1">
        <v>38687</v>
      </c>
      <c r="C3095" t="s">
        <v>24</v>
      </c>
      <c r="D3095" s="19">
        <v>6</v>
      </c>
      <c r="E3095">
        <v>75</v>
      </c>
      <c r="F3095" t="s">
        <v>14</v>
      </c>
      <c r="H3095">
        <v>0</v>
      </c>
    </row>
    <row r="3096" spans="1:9" x14ac:dyDescent="0.2">
      <c r="A3096" t="str">
        <f t="shared" si="295"/>
        <v>38687Tiahura676PocilloporidaeBords</v>
      </c>
      <c r="B3096" s="1">
        <v>38687</v>
      </c>
      <c r="C3096" t="s">
        <v>24</v>
      </c>
      <c r="D3096" s="19">
        <v>6</v>
      </c>
      <c r="E3096">
        <v>76</v>
      </c>
      <c r="F3096" t="s">
        <v>10</v>
      </c>
      <c r="G3096" t="s">
        <v>13</v>
      </c>
      <c r="H3096">
        <v>1</v>
      </c>
      <c r="I3096" t="s">
        <v>27</v>
      </c>
    </row>
    <row r="3097" spans="1:9" x14ac:dyDescent="0.2">
      <c r="A3097" t="str">
        <f t="shared" si="295"/>
        <v>38687Tiahura676PocilloporidaeDessous</v>
      </c>
      <c r="B3097" s="1">
        <v>38687</v>
      </c>
      <c r="C3097" t="s">
        <v>24</v>
      </c>
      <c r="D3097" s="19">
        <v>6</v>
      </c>
      <c r="E3097">
        <v>76</v>
      </c>
      <c r="F3097" t="s">
        <v>10</v>
      </c>
      <c r="G3097" t="s">
        <v>8</v>
      </c>
      <c r="H3097">
        <v>2</v>
      </c>
      <c r="I3097" t="s">
        <v>27</v>
      </c>
    </row>
    <row r="3098" spans="1:9" x14ac:dyDescent="0.2">
      <c r="A3098" t="str">
        <f t="shared" si="295"/>
        <v>38687Tiahura677AutresBords</v>
      </c>
      <c r="B3098" s="1">
        <v>38687</v>
      </c>
      <c r="C3098" t="s">
        <v>24</v>
      </c>
      <c r="D3098" s="19">
        <v>6</v>
      </c>
      <c r="E3098">
        <v>77</v>
      </c>
      <c r="F3098" t="s">
        <v>14</v>
      </c>
      <c r="G3098" t="s">
        <v>13</v>
      </c>
      <c r="H3098">
        <v>1</v>
      </c>
      <c r="I3098" t="s">
        <v>27</v>
      </c>
    </row>
    <row r="3099" spans="1:9" x14ac:dyDescent="0.2">
      <c r="A3099" t="str">
        <f t="shared" si="295"/>
        <v>38687Tiahura677PocilloporidaeDessous</v>
      </c>
      <c r="B3099" s="1">
        <v>38687</v>
      </c>
      <c r="C3099" t="s">
        <v>24</v>
      </c>
      <c r="D3099" s="19">
        <v>6</v>
      </c>
      <c r="E3099">
        <v>77</v>
      </c>
      <c r="F3099" t="s">
        <v>10</v>
      </c>
      <c r="G3099" t="s">
        <v>8</v>
      </c>
      <c r="H3099">
        <v>1</v>
      </c>
      <c r="I3099" t="s">
        <v>27</v>
      </c>
    </row>
    <row r="3100" spans="1:9" x14ac:dyDescent="0.2">
      <c r="A3100" t="str">
        <f t="shared" si="295"/>
        <v>38687Tiahura677PoritidaeDessous</v>
      </c>
      <c r="B3100" s="1">
        <v>38687</v>
      </c>
      <c r="C3100" t="s">
        <v>24</v>
      </c>
      <c r="D3100" s="19">
        <v>6</v>
      </c>
      <c r="E3100">
        <v>77</v>
      </c>
      <c r="F3100" t="s">
        <v>7</v>
      </c>
      <c r="G3100" t="s">
        <v>8</v>
      </c>
      <c r="H3100">
        <v>1</v>
      </c>
      <c r="I3100" t="s">
        <v>27</v>
      </c>
    </row>
    <row r="3101" spans="1:9" x14ac:dyDescent="0.2">
      <c r="A3101" t="str">
        <f t="shared" si="295"/>
        <v>38687Tiahura678Autres</v>
      </c>
      <c r="B3101" s="1">
        <v>38687</v>
      </c>
      <c r="C3101" t="s">
        <v>24</v>
      </c>
      <c r="D3101" s="19">
        <v>6</v>
      </c>
      <c r="E3101">
        <v>78</v>
      </c>
      <c r="F3101" t="s">
        <v>14</v>
      </c>
      <c r="H3101">
        <v>0</v>
      </c>
    </row>
    <row r="3102" spans="1:9" x14ac:dyDescent="0.2">
      <c r="A3102" t="str">
        <f t="shared" si="295"/>
        <v>38687Tiahura679PocilloporidaeDessous</v>
      </c>
      <c r="B3102" s="1">
        <v>38687</v>
      </c>
      <c r="C3102" t="s">
        <v>24</v>
      </c>
      <c r="D3102" s="19">
        <v>6</v>
      </c>
      <c r="E3102">
        <v>79</v>
      </c>
      <c r="F3102" t="s">
        <v>10</v>
      </c>
      <c r="G3102" t="s">
        <v>8</v>
      </c>
      <c r="H3102">
        <v>1</v>
      </c>
      <c r="I3102" t="s">
        <v>27</v>
      </c>
    </row>
    <row r="3103" spans="1:9" x14ac:dyDescent="0.2">
      <c r="A3103" t="str">
        <f t="shared" si="295"/>
        <v>38687Tiahura680PocilloporidaeBords</v>
      </c>
      <c r="B3103" s="1">
        <v>38687</v>
      </c>
      <c r="C3103" t="s">
        <v>24</v>
      </c>
      <c r="D3103" s="19">
        <v>6</v>
      </c>
      <c r="E3103">
        <v>80</v>
      </c>
      <c r="F3103" t="s">
        <v>10</v>
      </c>
      <c r="G3103" t="s">
        <v>13</v>
      </c>
      <c r="H3103">
        <v>2</v>
      </c>
      <c r="I3103" t="s">
        <v>27</v>
      </c>
    </row>
    <row r="3104" spans="1:9" x14ac:dyDescent="0.2">
      <c r="A3104" t="str">
        <f t="shared" si="295"/>
        <v>38687Tiahura680PocilloporidaeDessous</v>
      </c>
      <c r="B3104" s="1">
        <v>38687</v>
      </c>
      <c r="C3104" t="s">
        <v>24</v>
      </c>
      <c r="D3104" s="19">
        <v>6</v>
      </c>
      <c r="E3104">
        <v>80</v>
      </c>
      <c r="F3104" t="s">
        <v>10</v>
      </c>
      <c r="G3104" t="s">
        <v>8</v>
      </c>
      <c r="H3104">
        <v>7</v>
      </c>
      <c r="I3104" t="s">
        <v>27</v>
      </c>
    </row>
    <row r="3105" spans="1:9" x14ac:dyDescent="0.2">
      <c r="A3105" t="str">
        <f t="shared" si="295"/>
        <v>38687Tiahura1281PocilloporidaeBords</v>
      </c>
      <c r="B3105" s="1">
        <v>38687</v>
      </c>
      <c r="C3105" t="s">
        <v>24</v>
      </c>
      <c r="D3105" s="19">
        <v>12</v>
      </c>
      <c r="E3105">
        <v>81</v>
      </c>
      <c r="F3105" t="s">
        <v>10</v>
      </c>
      <c r="G3105" t="s">
        <v>13</v>
      </c>
      <c r="H3105">
        <v>5</v>
      </c>
      <c r="I3105" t="s">
        <v>27</v>
      </c>
    </row>
    <row r="3106" spans="1:9" x14ac:dyDescent="0.2">
      <c r="A3106" t="str">
        <f t="shared" si="295"/>
        <v>38687Tiahura1281PoritidaeBords</v>
      </c>
      <c r="B3106" s="1">
        <v>38687</v>
      </c>
      <c r="C3106" t="s">
        <v>24</v>
      </c>
      <c r="D3106" s="19">
        <v>12</v>
      </c>
      <c r="E3106">
        <v>81</v>
      </c>
      <c r="F3106" t="s">
        <v>7</v>
      </c>
      <c r="G3106" t="s">
        <v>13</v>
      </c>
      <c r="H3106">
        <v>1</v>
      </c>
      <c r="I3106" t="s">
        <v>27</v>
      </c>
    </row>
    <row r="3107" spans="1:9" x14ac:dyDescent="0.2">
      <c r="A3107" t="str">
        <f t="shared" si="295"/>
        <v>38687Tiahura1282PocilloporidaeBords</v>
      </c>
      <c r="B3107" s="1">
        <v>38687</v>
      </c>
      <c r="C3107" t="s">
        <v>24</v>
      </c>
      <c r="D3107" s="19">
        <v>12</v>
      </c>
      <c r="E3107">
        <v>82</v>
      </c>
      <c r="F3107" t="s">
        <v>10</v>
      </c>
      <c r="G3107" t="s">
        <v>13</v>
      </c>
      <c r="H3107">
        <v>1</v>
      </c>
      <c r="I3107" t="s">
        <v>27</v>
      </c>
    </row>
    <row r="3108" spans="1:9" x14ac:dyDescent="0.2">
      <c r="A3108" t="str">
        <f t="shared" si="295"/>
        <v>38687Tiahura1282PocilloporidaeDessus</v>
      </c>
      <c r="B3108" s="1">
        <v>38687</v>
      </c>
      <c r="C3108" t="s">
        <v>24</v>
      </c>
      <c r="D3108" s="19">
        <v>12</v>
      </c>
      <c r="E3108">
        <v>82</v>
      </c>
      <c r="F3108" t="s">
        <v>10</v>
      </c>
      <c r="G3108" t="s">
        <v>11</v>
      </c>
      <c r="H3108">
        <v>2</v>
      </c>
      <c r="I3108" t="s">
        <v>27</v>
      </c>
    </row>
    <row r="3109" spans="1:9" x14ac:dyDescent="0.2">
      <c r="A3109" t="str">
        <f t="shared" si="295"/>
        <v>38687Tiahura1283CassésBords</v>
      </c>
      <c r="B3109" s="1">
        <v>38687</v>
      </c>
      <c r="C3109" t="s">
        <v>24</v>
      </c>
      <c r="D3109" s="19">
        <v>12</v>
      </c>
      <c r="E3109">
        <v>83</v>
      </c>
      <c r="F3109" t="s">
        <v>12</v>
      </c>
      <c r="G3109" t="s">
        <v>13</v>
      </c>
      <c r="H3109">
        <v>1</v>
      </c>
      <c r="I3109" t="s">
        <v>27</v>
      </c>
    </row>
    <row r="3110" spans="1:9" x14ac:dyDescent="0.2">
      <c r="A3110" t="str">
        <f t="shared" si="295"/>
        <v>38687Tiahura1283PoritidaeDessous</v>
      </c>
      <c r="B3110" s="1">
        <v>38687</v>
      </c>
      <c r="C3110" t="s">
        <v>24</v>
      </c>
      <c r="D3110" s="19">
        <v>12</v>
      </c>
      <c r="E3110">
        <v>83</v>
      </c>
      <c r="F3110" t="s">
        <v>7</v>
      </c>
      <c r="G3110" t="s">
        <v>8</v>
      </c>
      <c r="H3110">
        <v>1</v>
      </c>
      <c r="I3110" t="s">
        <v>27</v>
      </c>
    </row>
    <row r="3111" spans="1:9" x14ac:dyDescent="0.2">
      <c r="A3111" t="str">
        <f t="shared" si="295"/>
        <v>38687Tiahura1284Autres</v>
      </c>
      <c r="B3111" s="1">
        <v>38687</v>
      </c>
      <c r="C3111" t="s">
        <v>24</v>
      </c>
      <c r="D3111" s="19">
        <v>12</v>
      </c>
      <c r="E3111">
        <v>84</v>
      </c>
      <c r="F3111" t="s">
        <v>14</v>
      </c>
      <c r="H3111">
        <v>0</v>
      </c>
    </row>
    <row r="3112" spans="1:9" x14ac:dyDescent="0.2">
      <c r="A3112" t="str">
        <f t="shared" si="295"/>
        <v>38687Tiahura1285PocilloporidaeDessous</v>
      </c>
      <c r="B3112" s="1">
        <v>38687</v>
      </c>
      <c r="C3112" t="s">
        <v>24</v>
      </c>
      <c r="D3112" s="19">
        <v>12</v>
      </c>
      <c r="E3112">
        <v>85</v>
      </c>
      <c r="F3112" t="s">
        <v>10</v>
      </c>
      <c r="G3112" t="s">
        <v>8</v>
      </c>
      <c r="H3112">
        <v>4</v>
      </c>
      <c r="I3112" t="s">
        <v>27</v>
      </c>
    </row>
    <row r="3113" spans="1:9" x14ac:dyDescent="0.2">
      <c r="A3113" t="str">
        <f t="shared" si="295"/>
        <v>38687Tiahura1286CassésDessus</v>
      </c>
      <c r="B3113" s="1">
        <v>38687</v>
      </c>
      <c r="C3113" t="s">
        <v>24</v>
      </c>
      <c r="D3113" s="19">
        <v>12</v>
      </c>
      <c r="E3113">
        <v>86</v>
      </c>
      <c r="F3113" t="s">
        <v>12</v>
      </c>
      <c r="G3113" t="s">
        <v>11</v>
      </c>
      <c r="H3113">
        <v>1</v>
      </c>
      <c r="I3113" t="s">
        <v>27</v>
      </c>
    </row>
    <row r="3114" spans="1:9" x14ac:dyDescent="0.2">
      <c r="A3114" t="str">
        <f t="shared" si="295"/>
        <v>38687Tiahura1286PocilloporidaeBords</v>
      </c>
      <c r="B3114" s="1">
        <v>38687</v>
      </c>
      <c r="C3114" t="s">
        <v>24</v>
      </c>
      <c r="D3114" s="19">
        <v>12</v>
      </c>
      <c r="E3114">
        <v>86</v>
      </c>
      <c r="F3114" t="s">
        <v>10</v>
      </c>
      <c r="G3114" t="s">
        <v>13</v>
      </c>
      <c r="H3114">
        <v>2</v>
      </c>
      <c r="I3114" t="s">
        <v>27</v>
      </c>
    </row>
    <row r="3115" spans="1:9" x14ac:dyDescent="0.2">
      <c r="A3115" t="str">
        <f t="shared" si="295"/>
        <v>38687Tiahura1286PocilloporidaeDessous</v>
      </c>
      <c r="B3115" s="1">
        <v>38687</v>
      </c>
      <c r="C3115" t="s">
        <v>24</v>
      </c>
      <c r="D3115" s="19">
        <v>12</v>
      </c>
      <c r="E3115">
        <v>86</v>
      </c>
      <c r="F3115" t="s">
        <v>10</v>
      </c>
      <c r="G3115" t="s">
        <v>8</v>
      </c>
      <c r="H3115">
        <v>1</v>
      </c>
      <c r="I3115" t="s">
        <v>27</v>
      </c>
    </row>
    <row r="3116" spans="1:9" x14ac:dyDescent="0.2">
      <c r="A3116" t="str">
        <f t="shared" si="295"/>
        <v>38687Tiahura1286PoritidaeDessous</v>
      </c>
      <c r="B3116" s="1">
        <v>38687</v>
      </c>
      <c r="C3116" t="s">
        <v>24</v>
      </c>
      <c r="D3116" s="19">
        <v>12</v>
      </c>
      <c r="E3116">
        <v>86</v>
      </c>
      <c r="F3116" t="s">
        <v>7</v>
      </c>
      <c r="G3116" t="s">
        <v>8</v>
      </c>
      <c r="H3116">
        <v>1</v>
      </c>
      <c r="I3116" t="s">
        <v>27</v>
      </c>
    </row>
    <row r="3117" spans="1:9" x14ac:dyDescent="0.2">
      <c r="A3117" t="str">
        <f t="shared" si="295"/>
        <v>38687Tiahura1287PoritidaeDessous</v>
      </c>
      <c r="B3117" s="1">
        <v>38687</v>
      </c>
      <c r="C3117" t="s">
        <v>24</v>
      </c>
      <c r="D3117" s="19">
        <v>12</v>
      </c>
      <c r="E3117">
        <v>87</v>
      </c>
      <c r="F3117" t="s">
        <v>7</v>
      </c>
      <c r="G3117" t="s">
        <v>8</v>
      </c>
      <c r="H3117">
        <v>1</v>
      </c>
      <c r="I3117" t="s">
        <v>27</v>
      </c>
    </row>
    <row r="3118" spans="1:9" x14ac:dyDescent="0.2">
      <c r="A3118" t="str">
        <f t="shared" si="295"/>
        <v>38687Tiahura1287PoritidaeDessus</v>
      </c>
      <c r="B3118" s="1">
        <v>38687</v>
      </c>
      <c r="C3118" t="s">
        <v>24</v>
      </c>
      <c r="D3118" s="19">
        <v>12</v>
      </c>
      <c r="E3118">
        <v>87</v>
      </c>
      <c r="F3118" t="s">
        <v>7</v>
      </c>
      <c r="G3118" t="s">
        <v>11</v>
      </c>
      <c r="H3118">
        <v>1</v>
      </c>
      <c r="I3118" t="s">
        <v>27</v>
      </c>
    </row>
    <row r="3119" spans="1:9" x14ac:dyDescent="0.2">
      <c r="A3119" t="str">
        <f t="shared" si="295"/>
        <v>38687Tiahura1288PocilloporidaeDessous</v>
      </c>
      <c r="B3119" s="1">
        <v>38687</v>
      </c>
      <c r="C3119" t="s">
        <v>24</v>
      </c>
      <c r="D3119" s="19">
        <v>12</v>
      </c>
      <c r="E3119">
        <v>88</v>
      </c>
      <c r="F3119" t="s">
        <v>10</v>
      </c>
      <c r="G3119" t="s">
        <v>8</v>
      </c>
      <c r="H3119">
        <v>1</v>
      </c>
      <c r="I3119" t="s">
        <v>27</v>
      </c>
    </row>
    <row r="3120" spans="1:9" x14ac:dyDescent="0.2">
      <c r="A3120" t="str">
        <f t="shared" si="295"/>
        <v>38687Tiahura1288PoritidaeDessous</v>
      </c>
      <c r="B3120" s="1">
        <v>38687</v>
      </c>
      <c r="C3120" t="s">
        <v>24</v>
      </c>
      <c r="D3120" s="19">
        <v>12</v>
      </c>
      <c r="E3120">
        <v>88</v>
      </c>
      <c r="F3120" t="s">
        <v>7</v>
      </c>
      <c r="G3120" t="s">
        <v>8</v>
      </c>
      <c r="H3120">
        <v>1</v>
      </c>
      <c r="I3120" t="s">
        <v>27</v>
      </c>
    </row>
    <row r="3121" spans="1:9" x14ac:dyDescent="0.2">
      <c r="A3121" t="str">
        <f t="shared" si="295"/>
        <v>38687Tiahura1289PocilloporidaeBords</v>
      </c>
      <c r="B3121" s="1">
        <v>38687</v>
      </c>
      <c r="C3121" t="s">
        <v>24</v>
      </c>
      <c r="D3121" s="19">
        <v>12</v>
      </c>
      <c r="E3121">
        <v>89</v>
      </c>
      <c r="F3121" t="s">
        <v>10</v>
      </c>
      <c r="G3121" t="s">
        <v>13</v>
      </c>
      <c r="H3121">
        <v>2</v>
      </c>
      <c r="I3121" t="s">
        <v>27</v>
      </c>
    </row>
    <row r="3122" spans="1:9" x14ac:dyDescent="0.2">
      <c r="A3122" t="str">
        <f t="shared" si="295"/>
        <v>38687Tiahura1289PoritidaeDessous</v>
      </c>
      <c r="B3122" s="1">
        <v>38687</v>
      </c>
      <c r="C3122" t="s">
        <v>24</v>
      </c>
      <c r="D3122" s="19">
        <v>12</v>
      </c>
      <c r="E3122">
        <v>89</v>
      </c>
      <c r="F3122" t="s">
        <v>7</v>
      </c>
      <c r="G3122" t="s">
        <v>8</v>
      </c>
      <c r="H3122">
        <v>1</v>
      </c>
      <c r="I3122" t="s">
        <v>27</v>
      </c>
    </row>
    <row r="3123" spans="1:9" x14ac:dyDescent="0.2">
      <c r="A3123" t="str">
        <f t="shared" si="295"/>
        <v>38687Tiahura1290PoritidaeDessous</v>
      </c>
      <c r="B3123" s="1">
        <v>38687</v>
      </c>
      <c r="C3123" t="s">
        <v>24</v>
      </c>
      <c r="D3123" s="19">
        <v>12</v>
      </c>
      <c r="E3123">
        <v>90</v>
      </c>
      <c r="F3123" t="s">
        <v>7</v>
      </c>
      <c r="G3123" t="s">
        <v>8</v>
      </c>
      <c r="H3123">
        <v>3</v>
      </c>
      <c r="I3123" t="s">
        <v>27</v>
      </c>
    </row>
    <row r="3124" spans="1:9" x14ac:dyDescent="0.2">
      <c r="A3124" t="str">
        <f t="shared" si="295"/>
        <v>38687Tiahura1291Autres</v>
      </c>
      <c r="B3124" s="1">
        <v>38687</v>
      </c>
      <c r="C3124" t="s">
        <v>24</v>
      </c>
      <c r="D3124" s="19">
        <v>12</v>
      </c>
      <c r="E3124">
        <v>91</v>
      </c>
      <c r="F3124" t="s">
        <v>14</v>
      </c>
      <c r="H3124">
        <v>0</v>
      </c>
    </row>
    <row r="3125" spans="1:9" x14ac:dyDescent="0.2">
      <c r="A3125" t="str">
        <f t="shared" si="295"/>
        <v>38687Tiahura1292PocilloporidaeDessus</v>
      </c>
      <c r="B3125" s="1">
        <v>38687</v>
      </c>
      <c r="C3125" t="s">
        <v>24</v>
      </c>
      <c r="D3125" s="19">
        <v>12</v>
      </c>
      <c r="E3125">
        <v>92</v>
      </c>
      <c r="F3125" t="s">
        <v>10</v>
      </c>
      <c r="G3125" t="s">
        <v>11</v>
      </c>
      <c r="H3125">
        <v>1</v>
      </c>
      <c r="I3125" t="s">
        <v>27</v>
      </c>
    </row>
    <row r="3126" spans="1:9" x14ac:dyDescent="0.2">
      <c r="A3126" t="str">
        <f t="shared" si="295"/>
        <v>38687Tiahura1293PocilloporidaeDessus</v>
      </c>
      <c r="B3126" s="1">
        <v>38687</v>
      </c>
      <c r="C3126" t="s">
        <v>24</v>
      </c>
      <c r="D3126" s="19">
        <v>12</v>
      </c>
      <c r="E3126">
        <v>93</v>
      </c>
      <c r="F3126" t="s">
        <v>10</v>
      </c>
      <c r="G3126" t="s">
        <v>11</v>
      </c>
      <c r="H3126">
        <v>1</v>
      </c>
      <c r="I3126" t="s">
        <v>27</v>
      </c>
    </row>
    <row r="3127" spans="1:9" x14ac:dyDescent="0.2">
      <c r="A3127" t="str">
        <f t="shared" si="295"/>
        <v>38687Tiahura1293PoritidaeDessus</v>
      </c>
      <c r="B3127" s="1">
        <v>38687</v>
      </c>
      <c r="C3127" t="s">
        <v>24</v>
      </c>
      <c r="D3127" s="19">
        <v>12</v>
      </c>
      <c r="E3127">
        <v>93</v>
      </c>
      <c r="F3127" t="s">
        <v>7</v>
      </c>
      <c r="G3127" t="s">
        <v>11</v>
      </c>
      <c r="H3127">
        <v>2</v>
      </c>
      <c r="I3127" t="s">
        <v>27</v>
      </c>
    </row>
    <row r="3128" spans="1:9" x14ac:dyDescent="0.2">
      <c r="A3128" t="str">
        <f t="shared" si="295"/>
        <v>38687Tiahura1294PocilloporidaeDessous</v>
      </c>
      <c r="B3128" s="1">
        <v>38687</v>
      </c>
      <c r="C3128" t="s">
        <v>24</v>
      </c>
      <c r="D3128" s="19">
        <v>12</v>
      </c>
      <c r="E3128">
        <v>94</v>
      </c>
      <c r="F3128" t="s">
        <v>10</v>
      </c>
      <c r="G3128" t="s">
        <v>8</v>
      </c>
      <c r="H3128">
        <v>1</v>
      </c>
      <c r="I3128" t="s">
        <v>27</v>
      </c>
    </row>
    <row r="3129" spans="1:9" x14ac:dyDescent="0.2">
      <c r="A3129" t="str">
        <f t="shared" si="295"/>
        <v>38687Tiahura1295Autres</v>
      </c>
      <c r="B3129" s="1">
        <v>38687</v>
      </c>
      <c r="C3129" t="s">
        <v>24</v>
      </c>
      <c r="D3129" s="19">
        <v>12</v>
      </c>
      <c r="E3129">
        <v>95</v>
      </c>
      <c r="F3129" t="s">
        <v>14</v>
      </c>
      <c r="H3129">
        <v>0</v>
      </c>
    </row>
    <row r="3130" spans="1:9" x14ac:dyDescent="0.2">
      <c r="A3130" t="str">
        <f t="shared" si="295"/>
        <v>38687Tiahura1296Autres</v>
      </c>
      <c r="B3130" s="1">
        <v>38687</v>
      </c>
      <c r="C3130" t="s">
        <v>24</v>
      </c>
      <c r="D3130" s="19">
        <v>12</v>
      </c>
      <c r="E3130">
        <v>96</v>
      </c>
      <c r="F3130" t="s">
        <v>14</v>
      </c>
      <c r="H3130">
        <v>0</v>
      </c>
    </row>
    <row r="3131" spans="1:9" x14ac:dyDescent="0.2">
      <c r="A3131" t="str">
        <f t="shared" si="295"/>
        <v>38687Tiahura1297PocilloporidaeBords</v>
      </c>
      <c r="B3131" s="1">
        <v>38687</v>
      </c>
      <c r="C3131" t="s">
        <v>24</v>
      </c>
      <c r="D3131" s="19">
        <v>12</v>
      </c>
      <c r="E3131">
        <v>97</v>
      </c>
      <c r="F3131" t="s">
        <v>10</v>
      </c>
      <c r="G3131" t="s">
        <v>13</v>
      </c>
      <c r="H3131">
        <v>1</v>
      </c>
      <c r="I3131" t="s">
        <v>27</v>
      </c>
    </row>
    <row r="3132" spans="1:9" x14ac:dyDescent="0.2">
      <c r="A3132" t="str">
        <f t="shared" si="295"/>
        <v>38687Tiahura1298Autres</v>
      </c>
      <c r="B3132" s="1">
        <v>38687</v>
      </c>
      <c r="C3132" t="s">
        <v>24</v>
      </c>
      <c r="D3132" s="19">
        <v>12</v>
      </c>
      <c r="E3132">
        <v>98</v>
      </c>
      <c r="F3132" t="s">
        <v>14</v>
      </c>
      <c r="H3132">
        <v>0</v>
      </c>
    </row>
    <row r="3133" spans="1:9" x14ac:dyDescent="0.2">
      <c r="A3133" t="str">
        <f t="shared" si="295"/>
        <v>38687Tiahura1299PocilloporidaeDessus</v>
      </c>
      <c r="B3133" s="1">
        <v>38687</v>
      </c>
      <c r="C3133" t="s">
        <v>24</v>
      </c>
      <c r="D3133" s="19">
        <v>12</v>
      </c>
      <c r="E3133">
        <v>99</v>
      </c>
      <c r="F3133" t="s">
        <v>10</v>
      </c>
      <c r="G3133" t="s">
        <v>11</v>
      </c>
      <c r="H3133">
        <v>1</v>
      </c>
      <c r="I3133" t="s">
        <v>27</v>
      </c>
    </row>
    <row r="3134" spans="1:9" x14ac:dyDescent="0.2">
      <c r="A3134" t="str">
        <f t="shared" si="295"/>
        <v>38687Tiahura12100PocilloporidaeDessous</v>
      </c>
      <c r="B3134" s="1">
        <v>38687</v>
      </c>
      <c r="C3134" t="s">
        <v>24</v>
      </c>
      <c r="D3134" s="19">
        <v>12</v>
      </c>
      <c r="E3134">
        <v>100</v>
      </c>
      <c r="F3134" t="s">
        <v>10</v>
      </c>
      <c r="G3134" t="s">
        <v>8</v>
      </c>
      <c r="H3134">
        <v>1</v>
      </c>
      <c r="I3134" t="s">
        <v>27</v>
      </c>
    </row>
    <row r="3135" spans="1:9" x14ac:dyDescent="0.2">
      <c r="A3135" t="str">
        <f t="shared" ref="A3135:A3198" si="296">B3135 &amp; C3135&amp; D3135&amp; E3135 &amp; F3135 &amp;G3135</f>
        <v>38687Tiahura18101PocilloporidaeBords</v>
      </c>
      <c r="B3135" s="1">
        <v>38687</v>
      </c>
      <c r="C3135" t="s">
        <v>24</v>
      </c>
      <c r="D3135" s="19">
        <v>18</v>
      </c>
      <c r="E3135">
        <v>101</v>
      </c>
      <c r="F3135" t="s">
        <v>10</v>
      </c>
      <c r="G3135" t="s">
        <v>13</v>
      </c>
      <c r="H3135">
        <v>1</v>
      </c>
      <c r="I3135" t="s">
        <v>27</v>
      </c>
    </row>
    <row r="3136" spans="1:9" x14ac:dyDescent="0.2">
      <c r="A3136" t="str">
        <f t="shared" si="296"/>
        <v>38687Tiahura18102Autres</v>
      </c>
      <c r="B3136" s="1">
        <v>38687</v>
      </c>
      <c r="C3136" t="s">
        <v>24</v>
      </c>
      <c r="D3136" s="19">
        <v>18</v>
      </c>
      <c r="E3136">
        <v>102</v>
      </c>
      <c r="F3136" t="s">
        <v>14</v>
      </c>
      <c r="H3136">
        <v>0</v>
      </c>
    </row>
    <row r="3137" spans="1:9" x14ac:dyDescent="0.2">
      <c r="A3137" t="str">
        <f t="shared" si="296"/>
        <v>38687Tiahura18103Autres</v>
      </c>
      <c r="B3137" s="1">
        <v>38687</v>
      </c>
      <c r="C3137" t="s">
        <v>24</v>
      </c>
      <c r="D3137" s="19">
        <v>18</v>
      </c>
      <c r="E3137">
        <v>103</v>
      </c>
      <c r="F3137" t="s">
        <v>14</v>
      </c>
      <c r="H3137">
        <v>0</v>
      </c>
    </row>
    <row r="3138" spans="1:9" x14ac:dyDescent="0.2">
      <c r="A3138" t="str">
        <f t="shared" si="296"/>
        <v>38687Tiahura18104PocilloporidaeDessous</v>
      </c>
      <c r="B3138" s="1">
        <v>38687</v>
      </c>
      <c r="C3138" t="s">
        <v>24</v>
      </c>
      <c r="D3138" s="19">
        <v>18</v>
      </c>
      <c r="E3138">
        <v>104</v>
      </c>
      <c r="F3138" t="s">
        <v>10</v>
      </c>
      <c r="G3138" t="s">
        <v>8</v>
      </c>
      <c r="H3138">
        <v>1</v>
      </c>
      <c r="I3138" t="s">
        <v>27</v>
      </c>
    </row>
    <row r="3139" spans="1:9" x14ac:dyDescent="0.2">
      <c r="A3139" t="str">
        <f t="shared" si="296"/>
        <v>38687Tiahura18105AcroporidaeDessous</v>
      </c>
      <c r="B3139" s="1">
        <v>38687</v>
      </c>
      <c r="C3139" t="s">
        <v>24</v>
      </c>
      <c r="D3139" s="19">
        <v>18</v>
      </c>
      <c r="E3139">
        <v>105</v>
      </c>
      <c r="F3139" t="s">
        <v>17</v>
      </c>
      <c r="G3139" t="s">
        <v>8</v>
      </c>
      <c r="H3139">
        <v>1</v>
      </c>
      <c r="I3139" t="s">
        <v>27</v>
      </c>
    </row>
    <row r="3140" spans="1:9" x14ac:dyDescent="0.2">
      <c r="A3140" t="str">
        <f t="shared" si="296"/>
        <v>38687Tiahura18106Autres</v>
      </c>
      <c r="B3140" s="1">
        <v>38687</v>
      </c>
      <c r="C3140" t="s">
        <v>24</v>
      </c>
      <c r="D3140" s="19">
        <v>18</v>
      </c>
      <c r="E3140">
        <v>106</v>
      </c>
      <c r="F3140" t="s">
        <v>14</v>
      </c>
      <c r="H3140">
        <v>0</v>
      </c>
    </row>
    <row r="3141" spans="1:9" x14ac:dyDescent="0.2">
      <c r="A3141" t="str">
        <f t="shared" si="296"/>
        <v>38687Tiahura18107Autres</v>
      </c>
      <c r="B3141" s="1">
        <v>38687</v>
      </c>
      <c r="C3141" t="s">
        <v>24</v>
      </c>
      <c r="D3141" s="19">
        <v>18</v>
      </c>
      <c r="E3141">
        <v>107</v>
      </c>
      <c r="F3141" t="s">
        <v>14</v>
      </c>
      <c r="H3141">
        <v>0</v>
      </c>
    </row>
    <row r="3142" spans="1:9" x14ac:dyDescent="0.2">
      <c r="A3142" t="str">
        <f t="shared" si="296"/>
        <v>38687Tiahura18108PocilloporidaeBords</v>
      </c>
      <c r="B3142" s="1">
        <v>38687</v>
      </c>
      <c r="C3142" t="s">
        <v>24</v>
      </c>
      <c r="D3142" s="19">
        <v>18</v>
      </c>
      <c r="E3142">
        <v>108</v>
      </c>
      <c r="F3142" t="s">
        <v>10</v>
      </c>
      <c r="G3142" t="s">
        <v>13</v>
      </c>
      <c r="H3142">
        <v>1</v>
      </c>
      <c r="I3142" t="s">
        <v>27</v>
      </c>
    </row>
    <row r="3143" spans="1:9" x14ac:dyDescent="0.2">
      <c r="A3143" t="str">
        <f t="shared" si="296"/>
        <v>38687Tiahura18109PocilloporidaeDessous</v>
      </c>
      <c r="B3143" s="1">
        <v>38687</v>
      </c>
      <c r="C3143" t="s">
        <v>24</v>
      </c>
      <c r="D3143" s="19">
        <v>18</v>
      </c>
      <c r="E3143">
        <v>109</v>
      </c>
      <c r="F3143" t="s">
        <v>10</v>
      </c>
      <c r="G3143" t="s">
        <v>8</v>
      </c>
      <c r="H3143">
        <v>4</v>
      </c>
      <c r="I3143" t="s">
        <v>27</v>
      </c>
    </row>
    <row r="3144" spans="1:9" x14ac:dyDescent="0.2">
      <c r="A3144" t="str">
        <f t="shared" si="296"/>
        <v>38687Tiahura18110Autres</v>
      </c>
      <c r="B3144" s="1">
        <v>38687</v>
      </c>
      <c r="C3144" t="s">
        <v>24</v>
      </c>
      <c r="D3144" s="19">
        <v>18</v>
      </c>
      <c r="E3144">
        <v>110</v>
      </c>
      <c r="F3144" t="s">
        <v>14</v>
      </c>
      <c r="H3144">
        <v>0</v>
      </c>
    </row>
    <row r="3145" spans="1:9" x14ac:dyDescent="0.2">
      <c r="A3145" t="str">
        <f t="shared" si="296"/>
        <v>38687Tiahura18111PocilloporidaeBords</v>
      </c>
      <c r="B3145" s="1">
        <v>38687</v>
      </c>
      <c r="C3145" t="s">
        <v>24</v>
      </c>
      <c r="D3145" s="19">
        <v>18</v>
      </c>
      <c r="E3145">
        <v>111</v>
      </c>
      <c r="F3145" t="s">
        <v>10</v>
      </c>
      <c r="G3145" t="s">
        <v>13</v>
      </c>
      <c r="H3145">
        <v>2</v>
      </c>
      <c r="I3145" t="s">
        <v>27</v>
      </c>
    </row>
    <row r="3146" spans="1:9" x14ac:dyDescent="0.2">
      <c r="A3146" t="str">
        <f t="shared" si="296"/>
        <v>38687Tiahura18112PoritidaeDessous</v>
      </c>
      <c r="B3146" s="1">
        <v>38687</v>
      </c>
      <c r="C3146" t="s">
        <v>24</v>
      </c>
      <c r="D3146" s="19">
        <v>18</v>
      </c>
      <c r="E3146">
        <v>112</v>
      </c>
      <c r="F3146" t="s">
        <v>7</v>
      </c>
      <c r="G3146" t="s">
        <v>8</v>
      </c>
      <c r="H3146">
        <v>1</v>
      </c>
      <c r="I3146" t="s">
        <v>27</v>
      </c>
    </row>
    <row r="3147" spans="1:9" x14ac:dyDescent="0.2">
      <c r="A3147" t="str">
        <f t="shared" si="296"/>
        <v>38687Tiahura18113PocilloporidaeBords</v>
      </c>
      <c r="B3147" s="1">
        <v>38687</v>
      </c>
      <c r="C3147" t="s">
        <v>24</v>
      </c>
      <c r="D3147" s="19">
        <v>18</v>
      </c>
      <c r="E3147">
        <v>113</v>
      </c>
      <c r="F3147" t="s">
        <v>10</v>
      </c>
      <c r="G3147" t="s">
        <v>13</v>
      </c>
      <c r="H3147">
        <v>1</v>
      </c>
      <c r="I3147" t="s">
        <v>27</v>
      </c>
    </row>
    <row r="3148" spans="1:9" x14ac:dyDescent="0.2">
      <c r="A3148" t="str">
        <f t="shared" si="296"/>
        <v>38687Tiahura18114PocilloporidaeBords</v>
      </c>
      <c r="B3148" s="1">
        <v>38687</v>
      </c>
      <c r="C3148" t="s">
        <v>24</v>
      </c>
      <c r="D3148" s="19">
        <v>18</v>
      </c>
      <c r="E3148">
        <v>114</v>
      </c>
      <c r="F3148" t="s">
        <v>10</v>
      </c>
      <c r="G3148" t="s">
        <v>13</v>
      </c>
      <c r="H3148">
        <v>1</v>
      </c>
      <c r="I3148" t="s">
        <v>27</v>
      </c>
    </row>
    <row r="3149" spans="1:9" x14ac:dyDescent="0.2">
      <c r="A3149" t="str">
        <f t="shared" si="296"/>
        <v>38687Tiahura18114PoritidaeDessous</v>
      </c>
      <c r="B3149" s="1">
        <v>38687</v>
      </c>
      <c r="C3149" t="s">
        <v>24</v>
      </c>
      <c r="D3149" s="19">
        <v>18</v>
      </c>
      <c r="E3149">
        <v>114</v>
      </c>
      <c r="F3149" t="s">
        <v>7</v>
      </c>
      <c r="G3149" t="s">
        <v>8</v>
      </c>
      <c r="H3149">
        <v>1</v>
      </c>
      <c r="I3149" t="s">
        <v>27</v>
      </c>
    </row>
    <row r="3150" spans="1:9" x14ac:dyDescent="0.2">
      <c r="A3150" t="str">
        <f t="shared" si="296"/>
        <v>38687Tiahura18115PocilloporidaeDessus</v>
      </c>
      <c r="B3150" s="1">
        <v>38687</v>
      </c>
      <c r="C3150" t="s">
        <v>24</v>
      </c>
      <c r="D3150" s="19">
        <v>18</v>
      </c>
      <c r="E3150">
        <v>115</v>
      </c>
      <c r="F3150" t="s">
        <v>10</v>
      </c>
      <c r="G3150" t="s">
        <v>11</v>
      </c>
      <c r="H3150">
        <v>1</v>
      </c>
      <c r="I3150" t="s">
        <v>27</v>
      </c>
    </row>
    <row r="3151" spans="1:9" x14ac:dyDescent="0.2">
      <c r="A3151" t="str">
        <f t="shared" si="296"/>
        <v>38687Tiahura18116Autres</v>
      </c>
      <c r="B3151" s="1">
        <v>38687</v>
      </c>
      <c r="C3151" t="s">
        <v>24</v>
      </c>
      <c r="D3151" s="19">
        <v>18</v>
      </c>
      <c r="E3151">
        <v>116</v>
      </c>
      <c r="F3151" t="s">
        <v>14</v>
      </c>
      <c r="H3151">
        <v>0</v>
      </c>
    </row>
    <row r="3152" spans="1:9" x14ac:dyDescent="0.2">
      <c r="A3152" t="str">
        <f t="shared" si="296"/>
        <v>38687Tiahura18117Autres</v>
      </c>
      <c r="B3152" s="1">
        <v>38687</v>
      </c>
      <c r="C3152" t="s">
        <v>24</v>
      </c>
      <c r="D3152" s="19">
        <v>18</v>
      </c>
      <c r="E3152">
        <v>117</v>
      </c>
      <c r="F3152" t="s">
        <v>14</v>
      </c>
      <c r="H3152">
        <v>0</v>
      </c>
    </row>
    <row r="3153" spans="1:9" x14ac:dyDescent="0.2">
      <c r="A3153" t="str">
        <f t="shared" si="296"/>
        <v>38687Tiahura18118Autres</v>
      </c>
      <c r="B3153" s="1">
        <v>38687</v>
      </c>
      <c r="C3153" t="s">
        <v>24</v>
      </c>
      <c r="D3153" s="19">
        <v>18</v>
      </c>
      <c r="E3153">
        <v>118</v>
      </c>
      <c r="F3153" t="s">
        <v>14</v>
      </c>
      <c r="H3153">
        <v>0</v>
      </c>
    </row>
    <row r="3154" spans="1:9" x14ac:dyDescent="0.2">
      <c r="A3154" t="str">
        <f t="shared" si="296"/>
        <v>38687Tiahura18119Autres</v>
      </c>
      <c r="B3154" s="1">
        <v>38687</v>
      </c>
      <c r="C3154" t="s">
        <v>24</v>
      </c>
      <c r="D3154" s="19">
        <v>18</v>
      </c>
      <c r="E3154">
        <v>119</v>
      </c>
      <c r="F3154" t="s">
        <v>14</v>
      </c>
      <c r="H3154">
        <v>0</v>
      </c>
    </row>
    <row r="3155" spans="1:9" x14ac:dyDescent="0.2">
      <c r="A3155" t="str">
        <f t="shared" si="296"/>
        <v>38687Tiahura18120CassésDessous</v>
      </c>
      <c r="B3155" s="1">
        <v>38687</v>
      </c>
      <c r="C3155" t="s">
        <v>24</v>
      </c>
      <c r="D3155" s="19">
        <v>18</v>
      </c>
      <c r="E3155">
        <v>120</v>
      </c>
      <c r="F3155" t="s">
        <v>12</v>
      </c>
      <c r="G3155" t="s">
        <v>8</v>
      </c>
      <c r="H3155">
        <v>1</v>
      </c>
      <c r="I3155" t="s">
        <v>27</v>
      </c>
    </row>
    <row r="3156" spans="1:9" x14ac:dyDescent="0.2">
      <c r="A3156" t="str">
        <f t="shared" si="296"/>
        <v>38687Tiahura18120PocilloporidaeBords</v>
      </c>
      <c r="B3156" s="1">
        <v>38687</v>
      </c>
      <c r="C3156" t="s">
        <v>24</v>
      </c>
      <c r="D3156" s="19">
        <v>18</v>
      </c>
      <c r="E3156">
        <v>120</v>
      </c>
      <c r="F3156" t="s">
        <v>10</v>
      </c>
      <c r="G3156" t="s">
        <v>13</v>
      </c>
      <c r="H3156">
        <v>2</v>
      </c>
      <c r="I3156" t="s">
        <v>27</v>
      </c>
    </row>
    <row r="3157" spans="1:9" x14ac:dyDescent="0.2">
      <c r="A3157" t="str">
        <f t="shared" si="296"/>
        <v>38687Tiahura18120PocilloporidaeDessous</v>
      </c>
      <c r="B3157" s="1">
        <v>38687</v>
      </c>
      <c r="C3157" t="s">
        <v>24</v>
      </c>
      <c r="D3157" s="19">
        <v>18</v>
      </c>
      <c r="E3157">
        <v>120</v>
      </c>
      <c r="F3157" t="s">
        <v>10</v>
      </c>
      <c r="G3157" t="s">
        <v>8</v>
      </c>
      <c r="H3157">
        <v>2</v>
      </c>
      <c r="I3157" t="s">
        <v>27</v>
      </c>
    </row>
    <row r="3158" spans="1:9" x14ac:dyDescent="0.2">
      <c r="A3158" t="str">
        <f t="shared" si="296"/>
        <v>38687Tiahura18120PoritidaeDessous</v>
      </c>
      <c r="B3158" s="1">
        <v>38687</v>
      </c>
      <c r="C3158" t="s">
        <v>24</v>
      </c>
      <c r="D3158" s="19">
        <v>18</v>
      </c>
      <c r="E3158">
        <v>120</v>
      </c>
      <c r="F3158" t="s">
        <v>7</v>
      </c>
      <c r="G3158" t="s">
        <v>8</v>
      </c>
      <c r="H3158">
        <v>1</v>
      </c>
      <c r="I3158" t="s">
        <v>27</v>
      </c>
    </row>
    <row r="3159" spans="1:9" x14ac:dyDescent="0.2">
      <c r="A3159" t="str">
        <f t="shared" si="296"/>
        <v>38687Haapiti6121Autres</v>
      </c>
      <c r="B3159" s="1">
        <v>38687</v>
      </c>
      <c r="C3159" t="s">
        <v>25</v>
      </c>
      <c r="D3159" s="19">
        <v>6</v>
      </c>
      <c r="E3159">
        <v>121</v>
      </c>
      <c r="F3159" t="s">
        <v>14</v>
      </c>
      <c r="H3159">
        <v>0</v>
      </c>
    </row>
    <row r="3160" spans="1:9" x14ac:dyDescent="0.2">
      <c r="A3160" t="str">
        <f t="shared" si="296"/>
        <v>38687Haapiti6122Autres</v>
      </c>
      <c r="B3160" s="1">
        <v>38687</v>
      </c>
      <c r="C3160" t="s">
        <v>25</v>
      </c>
      <c r="D3160" s="19">
        <v>6</v>
      </c>
      <c r="E3160">
        <v>122</v>
      </c>
      <c r="F3160" t="s">
        <v>14</v>
      </c>
      <c r="H3160">
        <v>0</v>
      </c>
    </row>
    <row r="3161" spans="1:9" x14ac:dyDescent="0.2">
      <c r="A3161" t="str">
        <f t="shared" si="296"/>
        <v>38687Haapiti6123PoritidaeDessous</v>
      </c>
      <c r="B3161" s="1">
        <v>38687</v>
      </c>
      <c r="C3161" t="s">
        <v>25</v>
      </c>
      <c r="D3161" s="19">
        <v>6</v>
      </c>
      <c r="E3161">
        <v>123</v>
      </c>
      <c r="F3161" t="s">
        <v>7</v>
      </c>
      <c r="G3161" t="s">
        <v>8</v>
      </c>
      <c r="H3161">
        <v>1</v>
      </c>
      <c r="I3161" t="s">
        <v>27</v>
      </c>
    </row>
    <row r="3162" spans="1:9" x14ac:dyDescent="0.2">
      <c r="A3162" t="str">
        <f t="shared" si="296"/>
        <v>38687Haapiti6124Autres</v>
      </c>
      <c r="B3162" s="1">
        <v>38687</v>
      </c>
      <c r="C3162" t="s">
        <v>25</v>
      </c>
      <c r="D3162" s="19">
        <v>6</v>
      </c>
      <c r="E3162">
        <v>124</v>
      </c>
      <c r="F3162" t="s">
        <v>14</v>
      </c>
      <c r="H3162">
        <v>0</v>
      </c>
    </row>
    <row r="3163" spans="1:9" x14ac:dyDescent="0.2">
      <c r="A3163" t="str">
        <f t="shared" si="296"/>
        <v>38687Haapiti6125Autres</v>
      </c>
      <c r="B3163" s="1">
        <v>38687</v>
      </c>
      <c r="C3163" t="s">
        <v>25</v>
      </c>
      <c r="D3163" s="19">
        <v>6</v>
      </c>
      <c r="E3163">
        <v>125</v>
      </c>
      <c r="F3163" t="s">
        <v>14</v>
      </c>
      <c r="H3163">
        <v>0</v>
      </c>
    </row>
    <row r="3164" spans="1:9" x14ac:dyDescent="0.2">
      <c r="A3164" t="str">
        <f t="shared" si="296"/>
        <v>38687Haapiti6126Autres</v>
      </c>
      <c r="B3164" s="1">
        <v>38687</v>
      </c>
      <c r="C3164" t="s">
        <v>25</v>
      </c>
      <c r="D3164" s="19">
        <v>6</v>
      </c>
      <c r="E3164">
        <v>126</v>
      </c>
      <c r="F3164" t="s">
        <v>14</v>
      </c>
      <c r="H3164">
        <v>0</v>
      </c>
    </row>
    <row r="3165" spans="1:9" x14ac:dyDescent="0.2">
      <c r="A3165" t="str">
        <f t="shared" si="296"/>
        <v>38687Haapiti6127Autres</v>
      </c>
      <c r="B3165" s="1">
        <v>38687</v>
      </c>
      <c r="C3165" t="s">
        <v>25</v>
      </c>
      <c r="D3165" s="19">
        <v>6</v>
      </c>
      <c r="E3165">
        <v>127</v>
      </c>
      <c r="F3165" t="s">
        <v>14</v>
      </c>
      <c r="H3165">
        <v>0</v>
      </c>
    </row>
    <row r="3166" spans="1:9" x14ac:dyDescent="0.2">
      <c r="A3166" t="str">
        <f t="shared" si="296"/>
        <v>38687Haapiti6128Autres</v>
      </c>
      <c r="B3166" s="1">
        <v>38687</v>
      </c>
      <c r="C3166" t="s">
        <v>25</v>
      </c>
      <c r="D3166" s="19">
        <v>6</v>
      </c>
      <c r="E3166">
        <v>128</v>
      </c>
      <c r="F3166" t="s">
        <v>14</v>
      </c>
      <c r="H3166">
        <v>0</v>
      </c>
    </row>
    <row r="3167" spans="1:9" x14ac:dyDescent="0.2">
      <c r="A3167" t="str">
        <f t="shared" si="296"/>
        <v>38687Haapiti6129Autres</v>
      </c>
      <c r="B3167" s="1">
        <v>38687</v>
      </c>
      <c r="C3167" t="s">
        <v>25</v>
      </c>
      <c r="D3167" s="19">
        <v>6</v>
      </c>
      <c r="E3167">
        <v>129</v>
      </c>
      <c r="F3167" t="s">
        <v>14</v>
      </c>
      <c r="H3167">
        <v>0</v>
      </c>
    </row>
    <row r="3168" spans="1:9" x14ac:dyDescent="0.2">
      <c r="A3168" t="str">
        <f t="shared" si="296"/>
        <v>38687Haapiti6130Autres</v>
      </c>
      <c r="B3168" s="1">
        <v>38687</v>
      </c>
      <c r="C3168" t="s">
        <v>25</v>
      </c>
      <c r="D3168" s="19">
        <v>6</v>
      </c>
      <c r="E3168">
        <v>130</v>
      </c>
      <c r="F3168" t="s">
        <v>14</v>
      </c>
      <c r="H3168">
        <v>0</v>
      </c>
    </row>
    <row r="3169" spans="1:9" x14ac:dyDescent="0.2">
      <c r="A3169" t="str">
        <f t="shared" si="296"/>
        <v>38687Haapiti6131Autres</v>
      </c>
      <c r="B3169" s="1">
        <v>38687</v>
      </c>
      <c r="C3169" t="s">
        <v>25</v>
      </c>
      <c r="D3169" s="19">
        <v>6</v>
      </c>
      <c r="E3169">
        <v>131</v>
      </c>
      <c r="F3169" t="s">
        <v>14</v>
      </c>
      <c r="H3169">
        <v>0</v>
      </c>
    </row>
    <row r="3170" spans="1:9" x14ac:dyDescent="0.2">
      <c r="A3170" t="str">
        <f t="shared" si="296"/>
        <v>38687Haapiti6132PocilloporidaeDessus</v>
      </c>
      <c r="B3170" s="1">
        <v>38687</v>
      </c>
      <c r="C3170" t="s">
        <v>25</v>
      </c>
      <c r="D3170" s="19">
        <v>6</v>
      </c>
      <c r="E3170">
        <v>132</v>
      </c>
      <c r="F3170" t="s">
        <v>10</v>
      </c>
      <c r="G3170" t="s">
        <v>11</v>
      </c>
      <c r="H3170">
        <v>1</v>
      </c>
      <c r="I3170" t="s">
        <v>27</v>
      </c>
    </row>
    <row r="3171" spans="1:9" x14ac:dyDescent="0.2">
      <c r="A3171" t="str">
        <f t="shared" si="296"/>
        <v>38687Haapiti6133Autres</v>
      </c>
      <c r="B3171" s="1">
        <v>38687</v>
      </c>
      <c r="C3171" t="s">
        <v>25</v>
      </c>
      <c r="D3171" s="19">
        <v>6</v>
      </c>
      <c r="E3171">
        <v>133</v>
      </c>
      <c r="F3171" t="s">
        <v>14</v>
      </c>
      <c r="H3171">
        <v>0</v>
      </c>
    </row>
    <row r="3172" spans="1:9" x14ac:dyDescent="0.2">
      <c r="A3172" t="str">
        <f t="shared" si="296"/>
        <v>38687Haapiti6134PocilloporidaeDessous</v>
      </c>
      <c r="B3172" s="1">
        <v>38687</v>
      </c>
      <c r="C3172" t="s">
        <v>25</v>
      </c>
      <c r="D3172" s="19">
        <v>6</v>
      </c>
      <c r="E3172">
        <v>134</v>
      </c>
      <c r="F3172" t="s">
        <v>10</v>
      </c>
      <c r="G3172" t="s">
        <v>8</v>
      </c>
      <c r="H3172">
        <v>1</v>
      </c>
      <c r="I3172" t="s">
        <v>27</v>
      </c>
    </row>
    <row r="3173" spans="1:9" x14ac:dyDescent="0.2">
      <c r="A3173" t="str">
        <f t="shared" si="296"/>
        <v>38687Haapiti6135PocilloporidaeDessous</v>
      </c>
      <c r="B3173" s="1">
        <v>38687</v>
      </c>
      <c r="C3173" t="s">
        <v>25</v>
      </c>
      <c r="D3173" s="19">
        <v>6</v>
      </c>
      <c r="E3173">
        <v>135</v>
      </c>
      <c r="F3173" t="s">
        <v>10</v>
      </c>
      <c r="G3173" t="s">
        <v>8</v>
      </c>
      <c r="H3173">
        <v>3</v>
      </c>
      <c r="I3173" t="s">
        <v>27</v>
      </c>
    </row>
    <row r="3174" spans="1:9" x14ac:dyDescent="0.2">
      <c r="A3174" t="str">
        <f t="shared" si="296"/>
        <v>38687Haapiti6136PocilloporidaeDessus</v>
      </c>
      <c r="B3174" s="1">
        <v>38687</v>
      </c>
      <c r="C3174" t="s">
        <v>25</v>
      </c>
      <c r="D3174" s="19">
        <v>6</v>
      </c>
      <c r="E3174">
        <v>136</v>
      </c>
      <c r="F3174" t="s">
        <v>10</v>
      </c>
      <c r="G3174" t="s">
        <v>11</v>
      </c>
      <c r="H3174">
        <v>1</v>
      </c>
      <c r="I3174" t="s">
        <v>27</v>
      </c>
    </row>
    <row r="3175" spans="1:9" x14ac:dyDescent="0.2">
      <c r="A3175" t="str">
        <f t="shared" si="296"/>
        <v>38687Haapiti6137Autres</v>
      </c>
      <c r="B3175" s="1">
        <v>38687</v>
      </c>
      <c r="C3175" t="s">
        <v>25</v>
      </c>
      <c r="D3175" s="19">
        <v>6</v>
      </c>
      <c r="E3175">
        <v>137</v>
      </c>
      <c r="F3175" t="s">
        <v>14</v>
      </c>
      <c r="H3175">
        <v>0</v>
      </c>
    </row>
    <row r="3176" spans="1:9" x14ac:dyDescent="0.2">
      <c r="A3176" t="str">
        <f t="shared" si="296"/>
        <v>38687Haapiti6138Autres</v>
      </c>
      <c r="B3176" s="1">
        <v>38687</v>
      </c>
      <c r="C3176" t="s">
        <v>25</v>
      </c>
      <c r="D3176" s="19">
        <v>6</v>
      </c>
      <c r="E3176">
        <v>138</v>
      </c>
      <c r="F3176" t="s">
        <v>14</v>
      </c>
      <c r="H3176">
        <v>0</v>
      </c>
    </row>
    <row r="3177" spans="1:9" x14ac:dyDescent="0.2">
      <c r="A3177" t="str">
        <f t="shared" si="296"/>
        <v>38687Haapiti6139Autres</v>
      </c>
      <c r="B3177" s="1">
        <v>38687</v>
      </c>
      <c r="C3177" t="s">
        <v>25</v>
      </c>
      <c r="D3177" s="19">
        <v>6</v>
      </c>
      <c r="E3177">
        <v>139</v>
      </c>
      <c r="F3177" t="s">
        <v>14</v>
      </c>
      <c r="H3177">
        <v>0</v>
      </c>
    </row>
    <row r="3178" spans="1:9" x14ac:dyDescent="0.2">
      <c r="A3178" t="str">
        <f t="shared" si="296"/>
        <v>38687Haapiti6140Autres</v>
      </c>
      <c r="B3178" s="1">
        <v>38687</v>
      </c>
      <c r="C3178" t="s">
        <v>25</v>
      </c>
      <c r="D3178" s="19">
        <v>6</v>
      </c>
      <c r="E3178">
        <v>140</v>
      </c>
      <c r="F3178" t="s">
        <v>14</v>
      </c>
      <c r="H3178">
        <v>0</v>
      </c>
    </row>
    <row r="3179" spans="1:9" x14ac:dyDescent="0.2">
      <c r="A3179" t="str">
        <f t="shared" si="296"/>
        <v>38687Haapiti12141PocilloporidaeDessous</v>
      </c>
      <c r="B3179" s="1">
        <v>38687</v>
      </c>
      <c r="C3179" t="s">
        <v>25</v>
      </c>
      <c r="D3179" s="19">
        <v>12</v>
      </c>
      <c r="E3179">
        <v>141</v>
      </c>
      <c r="F3179" t="s">
        <v>10</v>
      </c>
      <c r="G3179" t="s">
        <v>8</v>
      </c>
      <c r="H3179">
        <v>2</v>
      </c>
      <c r="I3179" t="s">
        <v>27</v>
      </c>
    </row>
    <row r="3180" spans="1:9" x14ac:dyDescent="0.2">
      <c r="A3180" t="str">
        <f t="shared" si="296"/>
        <v>38687Haapiti12142PocilloporidaeDessous</v>
      </c>
      <c r="B3180" s="1">
        <v>38687</v>
      </c>
      <c r="C3180" t="s">
        <v>25</v>
      </c>
      <c r="D3180" s="19">
        <v>12</v>
      </c>
      <c r="E3180">
        <v>142</v>
      </c>
      <c r="F3180" t="s">
        <v>10</v>
      </c>
      <c r="G3180" t="s">
        <v>8</v>
      </c>
      <c r="H3180">
        <v>1</v>
      </c>
      <c r="I3180" t="s">
        <v>27</v>
      </c>
    </row>
    <row r="3181" spans="1:9" x14ac:dyDescent="0.2">
      <c r="A3181" t="str">
        <f t="shared" si="296"/>
        <v>38687Haapiti12142PoritidaeDessous</v>
      </c>
      <c r="B3181" s="1">
        <v>38687</v>
      </c>
      <c r="C3181" t="s">
        <v>25</v>
      </c>
      <c r="D3181" s="19">
        <v>12</v>
      </c>
      <c r="E3181">
        <v>142</v>
      </c>
      <c r="F3181" t="s">
        <v>7</v>
      </c>
      <c r="G3181" t="s">
        <v>8</v>
      </c>
      <c r="H3181">
        <v>1</v>
      </c>
      <c r="I3181" t="s">
        <v>27</v>
      </c>
    </row>
    <row r="3182" spans="1:9" x14ac:dyDescent="0.2">
      <c r="A3182" t="str">
        <f t="shared" si="296"/>
        <v>38687Haapiti12143Autres</v>
      </c>
      <c r="B3182" s="1">
        <v>38687</v>
      </c>
      <c r="C3182" t="s">
        <v>25</v>
      </c>
      <c r="D3182" s="19">
        <v>12</v>
      </c>
      <c r="E3182">
        <v>143</v>
      </c>
      <c r="F3182" t="s">
        <v>14</v>
      </c>
      <c r="H3182">
        <v>0</v>
      </c>
    </row>
    <row r="3183" spans="1:9" x14ac:dyDescent="0.2">
      <c r="A3183" t="str">
        <f t="shared" si="296"/>
        <v>38687Haapiti12144PocilloporidaeDessous</v>
      </c>
      <c r="B3183" s="1">
        <v>38687</v>
      </c>
      <c r="C3183" t="s">
        <v>25</v>
      </c>
      <c r="D3183" s="19">
        <v>12</v>
      </c>
      <c r="E3183">
        <v>144</v>
      </c>
      <c r="F3183" t="s">
        <v>10</v>
      </c>
      <c r="G3183" t="s">
        <v>8</v>
      </c>
      <c r="H3183">
        <v>3</v>
      </c>
      <c r="I3183" t="s">
        <v>27</v>
      </c>
    </row>
    <row r="3184" spans="1:9" x14ac:dyDescent="0.2">
      <c r="A3184" t="str">
        <f t="shared" si="296"/>
        <v>38687Haapiti12145PocilloporidaeBords</v>
      </c>
      <c r="B3184" s="1">
        <v>38687</v>
      </c>
      <c r="C3184" t="s">
        <v>25</v>
      </c>
      <c r="D3184" s="19">
        <v>12</v>
      </c>
      <c r="E3184">
        <v>145</v>
      </c>
      <c r="F3184" t="s">
        <v>10</v>
      </c>
      <c r="G3184" t="s">
        <v>13</v>
      </c>
      <c r="H3184">
        <v>1</v>
      </c>
      <c r="I3184" t="s">
        <v>27</v>
      </c>
    </row>
    <row r="3185" spans="1:9" x14ac:dyDescent="0.2">
      <c r="A3185" t="str">
        <f t="shared" si="296"/>
        <v>38687Haapiti12145PoritidaeBords</v>
      </c>
      <c r="B3185" s="1">
        <v>38687</v>
      </c>
      <c r="C3185" t="s">
        <v>25</v>
      </c>
      <c r="D3185" s="19">
        <v>12</v>
      </c>
      <c r="E3185">
        <v>145</v>
      </c>
      <c r="F3185" t="s">
        <v>7</v>
      </c>
      <c r="G3185" t="s">
        <v>13</v>
      </c>
      <c r="H3185">
        <v>1</v>
      </c>
      <c r="I3185" t="s">
        <v>27</v>
      </c>
    </row>
    <row r="3186" spans="1:9" x14ac:dyDescent="0.2">
      <c r="A3186" t="str">
        <f t="shared" si="296"/>
        <v>38687Haapiti12146CassésDessus</v>
      </c>
      <c r="B3186" s="1">
        <v>38687</v>
      </c>
      <c r="C3186" t="s">
        <v>25</v>
      </c>
      <c r="D3186" s="19">
        <v>12</v>
      </c>
      <c r="E3186">
        <v>146</v>
      </c>
      <c r="F3186" t="s">
        <v>12</v>
      </c>
      <c r="G3186" t="s">
        <v>11</v>
      </c>
      <c r="H3186">
        <v>1</v>
      </c>
      <c r="I3186" t="s">
        <v>27</v>
      </c>
    </row>
    <row r="3187" spans="1:9" x14ac:dyDescent="0.2">
      <c r="A3187" t="str">
        <f t="shared" si="296"/>
        <v>38687Haapiti12146PocilloporidaeDessous</v>
      </c>
      <c r="B3187" s="1">
        <v>38687</v>
      </c>
      <c r="C3187" t="s">
        <v>25</v>
      </c>
      <c r="D3187" s="19">
        <v>12</v>
      </c>
      <c r="E3187">
        <v>146</v>
      </c>
      <c r="F3187" t="s">
        <v>10</v>
      </c>
      <c r="G3187" t="s">
        <v>8</v>
      </c>
      <c r="H3187">
        <v>1</v>
      </c>
      <c r="I3187" t="s">
        <v>27</v>
      </c>
    </row>
    <row r="3188" spans="1:9" x14ac:dyDescent="0.2">
      <c r="A3188" t="str">
        <f t="shared" si="296"/>
        <v>38687Haapiti12147PocilloporidaeBords</v>
      </c>
      <c r="B3188" s="1">
        <v>38687</v>
      </c>
      <c r="C3188" t="s">
        <v>25</v>
      </c>
      <c r="D3188" s="19">
        <v>12</v>
      </c>
      <c r="E3188">
        <v>147</v>
      </c>
      <c r="F3188" t="s">
        <v>10</v>
      </c>
      <c r="G3188" t="s">
        <v>13</v>
      </c>
      <c r="H3188">
        <v>1</v>
      </c>
      <c r="I3188" t="s">
        <v>27</v>
      </c>
    </row>
    <row r="3189" spans="1:9" x14ac:dyDescent="0.2">
      <c r="A3189" t="str">
        <f t="shared" si="296"/>
        <v>38687Haapiti12147PoritidaeDessous</v>
      </c>
      <c r="B3189" s="1">
        <v>38687</v>
      </c>
      <c r="C3189" t="s">
        <v>25</v>
      </c>
      <c r="D3189" s="19">
        <v>12</v>
      </c>
      <c r="E3189">
        <v>147</v>
      </c>
      <c r="F3189" t="s">
        <v>7</v>
      </c>
      <c r="G3189" t="s">
        <v>8</v>
      </c>
      <c r="H3189">
        <v>1</v>
      </c>
      <c r="I3189" t="s">
        <v>27</v>
      </c>
    </row>
    <row r="3190" spans="1:9" x14ac:dyDescent="0.2">
      <c r="A3190" t="str">
        <f t="shared" si="296"/>
        <v>38687Haapiti12148CassésDessous</v>
      </c>
      <c r="B3190" s="1">
        <v>38687</v>
      </c>
      <c r="C3190" t="s">
        <v>25</v>
      </c>
      <c r="D3190" s="19">
        <v>12</v>
      </c>
      <c r="E3190">
        <v>148</v>
      </c>
      <c r="F3190" t="s">
        <v>12</v>
      </c>
      <c r="G3190" t="s">
        <v>8</v>
      </c>
      <c r="H3190">
        <v>1</v>
      </c>
      <c r="I3190" t="s">
        <v>27</v>
      </c>
    </row>
    <row r="3191" spans="1:9" x14ac:dyDescent="0.2">
      <c r="A3191" t="str">
        <f t="shared" si="296"/>
        <v>38687Haapiti12148PoritidaeDessous</v>
      </c>
      <c r="B3191" s="1">
        <v>38687</v>
      </c>
      <c r="C3191" t="s">
        <v>25</v>
      </c>
      <c r="D3191" s="19">
        <v>12</v>
      </c>
      <c r="E3191">
        <v>148</v>
      </c>
      <c r="F3191" t="s">
        <v>7</v>
      </c>
      <c r="G3191" t="s">
        <v>8</v>
      </c>
      <c r="H3191">
        <v>1</v>
      </c>
      <c r="I3191" t="s">
        <v>27</v>
      </c>
    </row>
    <row r="3192" spans="1:9" x14ac:dyDescent="0.2">
      <c r="A3192" t="str">
        <f t="shared" si="296"/>
        <v>38687Haapiti12148PoritidaeDessus</v>
      </c>
      <c r="B3192" s="1">
        <v>38687</v>
      </c>
      <c r="C3192" t="s">
        <v>25</v>
      </c>
      <c r="D3192" s="19">
        <v>12</v>
      </c>
      <c r="E3192">
        <v>148</v>
      </c>
      <c r="F3192" t="s">
        <v>7</v>
      </c>
      <c r="G3192" t="s">
        <v>11</v>
      </c>
      <c r="H3192">
        <v>1</v>
      </c>
      <c r="I3192" t="s">
        <v>27</v>
      </c>
    </row>
    <row r="3193" spans="1:9" x14ac:dyDescent="0.2">
      <c r="A3193" t="str">
        <f t="shared" si="296"/>
        <v>38687Haapiti12149PocilloporidaeDessous</v>
      </c>
      <c r="B3193" s="1">
        <v>38687</v>
      </c>
      <c r="C3193" t="s">
        <v>25</v>
      </c>
      <c r="D3193" s="19">
        <v>12</v>
      </c>
      <c r="E3193">
        <v>149</v>
      </c>
      <c r="F3193" t="s">
        <v>10</v>
      </c>
      <c r="G3193" t="s">
        <v>8</v>
      </c>
      <c r="H3193">
        <v>3</v>
      </c>
      <c r="I3193" t="s">
        <v>27</v>
      </c>
    </row>
    <row r="3194" spans="1:9" x14ac:dyDescent="0.2">
      <c r="A3194" t="str">
        <f t="shared" si="296"/>
        <v>38687Haapiti12150PocilloporidaeBords</v>
      </c>
      <c r="B3194" s="1">
        <v>38687</v>
      </c>
      <c r="C3194" t="s">
        <v>25</v>
      </c>
      <c r="D3194" s="19">
        <v>12</v>
      </c>
      <c r="E3194">
        <v>150</v>
      </c>
      <c r="F3194" t="s">
        <v>10</v>
      </c>
      <c r="G3194" t="s">
        <v>13</v>
      </c>
      <c r="H3194">
        <v>1</v>
      </c>
      <c r="I3194" t="s">
        <v>27</v>
      </c>
    </row>
    <row r="3195" spans="1:9" x14ac:dyDescent="0.2">
      <c r="A3195" t="str">
        <f t="shared" si="296"/>
        <v>38687Haapiti12150PocilloporidaeDessous</v>
      </c>
      <c r="B3195" s="1">
        <v>38687</v>
      </c>
      <c r="C3195" t="s">
        <v>25</v>
      </c>
      <c r="D3195" s="19">
        <v>12</v>
      </c>
      <c r="E3195">
        <v>150</v>
      </c>
      <c r="F3195" t="s">
        <v>10</v>
      </c>
      <c r="G3195" t="s">
        <v>8</v>
      </c>
      <c r="H3195">
        <v>3</v>
      </c>
      <c r="I3195" t="s">
        <v>27</v>
      </c>
    </row>
    <row r="3196" spans="1:9" x14ac:dyDescent="0.2">
      <c r="A3196" t="str">
        <f t="shared" si="296"/>
        <v>38687Haapiti12151PocilloporidaeBords</v>
      </c>
      <c r="B3196" s="1">
        <v>38687</v>
      </c>
      <c r="C3196" t="s">
        <v>25</v>
      </c>
      <c r="D3196" s="19">
        <v>12</v>
      </c>
      <c r="E3196">
        <v>151</v>
      </c>
      <c r="F3196" t="s">
        <v>10</v>
      </c>
      <c r="G3196" t="s">
        <v>13</v>
      </c>
      <c r="H3196">
        <v>1</v>
      </c>
      <c r="I3196" t="s">
        <v>27</v>
      </c>
    </row>
    <row r="3197" spans="1:9" x14ac:dyDescent="0.2">
      <c r="A3197" t="str">
        <f t="shared" si="296"/>
        <v>38687Haapiti12151PoritidaeDessus</v>
      </c>
      <c r="B3197" s="1">
        <v>38687</v>
      </c>
      <c r="C3197" t="s">
        <v>25</v>
      </c>
      <c r="D3197" s="19">
        <v>12</v>
      </c>
      <c r="E3197">
        <v>151</v>
      </c>
      <c r="F3197" t="s">
        <v>7</v>
      </c>
      <c r="G3197" t="s">
        <v>11</v>
      </c>
      <c r="H3197">
        <v>1</v>
      </c>
      <c r="I3197" t="s">
        <v>27</v>
      </c>
    </row>
    <row r="3198" spans="1:9" x14ac:dyDescent="0.2">
      <c r="A3198" t="str">
        <f t="shared" si="296"/>
        <v>38687Haapiti12152PocilloporidaeDessous</v>
      </c>
      <c r="B3198" s="1">
        <v>38687</v>
      </c>
      <c r="C3198" t="s">
        <v>25</v>
      </c>
      <c r="D3198" s="19">
        <v>12</v>
      </c>
      <c r="E3198">
        <v>152</v>
      </c>
      <c r="F3198" t="s">
        <v>10</v>
      </c>
      <c r="G3198" t="s">
        <v>8</v>
      </c>
      <c r="H3198">
        <v>1</v>
      </c>
      <c r="I3198" t="s">
        <v>27</v>
      </c>
    </row>
    <row r="3199" spans="1:9" x14ac:dyDescent="0.2">
      <c r="A3199" t="str">
        <f t="shared" ref="A3199:A3262" si="297">B3199 &amp; C3199&amp; D3199&amp; E3199 &amp; F3199 &amp;G3199</f>
        <v>38687Haapiti12152PoritidaeDessous</v>
      </c>
      <c r="B3199" s="1">
        <v>38687</v>
      </c>
      <c r="C3199" t="s">
        <v>25</v>
      </c>
      <c r="D3199" s="19">
        <v>12</v>
      </c>
      <c r="E3199">
        <v>152</v>
      </c>
      <c r="F3199" t="s">
        <v>7</v>
      </c>
      <c r="G3199" t="s">
        <v>8</v>
      </c>
      <c r="H3199">
        <v>2</v>
      </c>
      <c r="I3199" t="s">
        <v>27</v>
      </c>
    </row>
    <row r="3200" spans="1:9" x14ac:dyDescent="0.2">
      <c r="A3200" t="str">
        <f t="shared" si="297"/>
        <v>38687Haapiti12153PocilloporidaeDessous</v>
      </c>
      <c r="B3200" s="1">
        <v>38687</v>
      </c>
      <c r="C3200" t="s">
        <v>25</v>
      </c>
      <c r="D3200" s="19">
        <v>12</v>
      </c>
      <c r="E3200">
        <v>153</v>
      </c>
      <c r="F3200" t="s">
        <v>10</v>
      </c>
      <c r="G3200" t="s">
        <v>8</v>
      </c>
      <c r="H3200">
        <v>2</v>
      </c>
      <c r="I3200" t="s">
        <v>27</v>
      </c>
    </row>
    <row r="3201" spans="1:9" x14ac:dyDescent="0.2">
      <c r="A3201" t="str">
        <f t="shared" si="297"/>
        <v>38687Haapiti12153PoritidaeDessus</v>
      </c>
      <c r="B3201" s="1">
        <v>38687</v>
      </c>
      <c r="C3201" t="s">
        <v>25</v>
      </c>
      <c r="D3201" s="19">
        <v>12</v>
      </c>
      <c r="E3201">
        <v>153</v>
      </c>
      <c r="F3201" t="s">
        <v>7</v>
      </c>
      <c r="G3201" t="s">
        <v>11</v>
      </c>
      <c r="H3201">
        <v>1</v>
      </c>
      <c r="I3201" t="s">
        <v>27</v>
      </c>
    </row>
    <row r="3202" spans="1:9" x14ac:dyDescent="0.2">
      <c r="A3202" t="str">
        <f t="shared" si="297"/>
        <v>38687Haapiti12154PocilloporidaeBords</v>
      </c>
      <c r="B3202" s="1">
        <v>38687</v>
      </c>
      <c r="C3202" t="s">
        <v>25</v>
      </c>
      <c r="D3202" s="19">
        <v>12</v>
      </c>
      <c r="E3202">
        <v>154</v>
      </c>
      <c r="F3202" t="s">
        <v>10</v>
      </c>
      <c r="G3202" t="s">
        <v>13</v>
      </c>
      <c r="H3202">
        <v>1</v>
      </c>
      <c r="I3202" t="s">
        <v>27</v>
      </c>
    </row>
    <row r="3203" spans="1:9" x14ac:dyDescent="0.2">
      <c r="A3203" t="str">
        <f t="shared" si="297"/>
        <v>38687Haapiti12155Autres</v>
      </c>
      <c r="B3203" s="1">
        <v>38687</v>
      </c>
      <c r="C3203" t="s">
        <v>25</v>
      </c>
      <c r="D3203" s="19">
        <v>12</v>
      </c>
      <c r="E3203">
        <v>155</v>
      </c>
      <c r="F3203" t="s">
        <v>14</v>
      </c>
      <c r="H3203">
        <v>0</v>
      </c>
    </row>
    <row r="3204" spans="1:9" x14ac:dyDescent="0.2">
      <c r="A3204" t="str">
        <f t="shared" si="297"/>
        <v>38687Haapiti12156Autres</v>
      </c>
      <c r="B3204" s="1">
        <v>38687</v>
      </c>
      <c r="C3204" t="s">
        <v>25</v>
      </c>
      <c r="D3204" s="19">
        <v>12</v>
      </c>
      <c r="E3204">
        <v>156</v>
      </c>
      <c r="F3204" t="s">
        <v>14</v>
      </c>
      <c r="H3204">
        <v>0</v>
      </c>
    </row>
    <row r="3205" spans="1:9" x14ac:dyDescent="0.2">
      <c r="A3205" t="str">
        <f t="shared" si="297"/>
        <v>38687Haapiti12157PocilloporidaeBords</v>
      </c>
      <c r="B3205" s="1">
        <v>38687</v>
      </c>
      <c r="C3205" t="s">
        <v>25</v>
      </c>
      <c r="D3205" s="19">
        <v>12</v>
      </c>
      <c r="E3205">
        <v>157</v>
      </c>
      <c r="F3205" t="s">
        <v>10</v>
      </c>
      <c r="G3205" t="s">
        <v>13</v>
      </c>
      <c r="H3205">
        <v>1</v>
      </c>
      <c r="I3205" t="s">
        <v>27</v>
      </c>
    </row>
    <row r="3206" spans="1:9" x14ac:dyDescent="0.2">
      <c r="A3206" t="str">
        <f t="shared" si="297"/>
        <v>38687Haapiti12157PocilloporidaeDessous</v>
      </c>
      <c r="B3206" s="1">
        <v>38687</v>
      </c>
      <c r="C3206" t="s">
        <v>25</v>
      </c>
      <c r="D3206" s="19">
        <v>12</v>
      </c>
      <c r="E3206">
        <v>157</v>
      </c>
      <c r="F3206" t="s">
        <v>10</v>
      </c>
      <c r="G3206" t="s">
        <v>8</v>
      </c>
      <c r="H3206">
        <v>3</v>
      </c>
      <c r="I3206" t="s">
        <v>27</v>
      </c>
    </row>
    <row r="3207" spans="1:9" x14ac:dyDescent="0.2">
      <c r="A3207" t="str">
        <f t="shared" si="297"/>
        <v>38687Haapiti12158Autres</v>
      </c>
      <c r="B3207" s="1">
        <v>38687</v>
      </c>
      <c r="C3207" t="s">
        <v>25</v>
      </c>
      <c r="D3207" s="19">
        <v>12</v>
      </c>
      <c r="E3207">
        <v>158</v>
      </c>
      <c r="F3207" t="s">
        <v>14</v>
      </c>
      <c r="H3207">
        <v>0</v>
      </c>
    </row>
    <row r="3208" spans="1:9" x14ac:dyDescent="0.2">
      <c r="A3208" t="str">
        <f t="shared" si="297"/>
        <v>38687Haapiti12159Autres</v>
      </c>
      <c r="B3208" s="1">
        <v>38687</v>
      </c>
      <c r="C3208" t="s">
        <v>25</v>
      </c>
      <c r="D3208" s="19">
        <v>12</v>
      </c>
      <c r="E3208">
        <v>159</v>
      </c>
      <c r="F3208" t="s">
        <v>14</v>
      </c>
      <c r="H3208">
        <v>0</v>
      </c>
    </row>
    <row r="3209" spans="1:9" x14ac:dyDescent="0.2">
      <c r="A3209" t="str">
        <f t="shared" si="297"/>
        <v>38687Haapiti12160Autres</v>
      </c>
      <c r="B3209" s="1">
        <v>38687</v>
      </c>
      <c r="C3209" t="s">
        <v>25</v>
      </c>
      <c r="D3209" s="19">
        <v>12</v>
      </c>
      <c r="E3209">
        <v>160</v>
      </c>
      <c r="F3209" t="s">
        <v>14</v>
      </c>
      <c r="H3209">
        <v>0</v>
      </c>
    </row>
    <row r="3210" spans="1:9" x14ac:dyDescent="0.2">
      <c r="A3210" t="str">
        <f t="shared" si="297"/>
        <v>38687Haapiti18161PocilloporidaeDessous</v>
      </c>
      <c r="B3210" s="1">
        <v>38687</v>
      </c>
      <c r="C3210" t="s">
        <v>25</v>
      </c>
      <c r="D3210" s="19">
        <v>18</v>
      </c>
      <c r="E3210">
        <v>161</v>
      </c>
      <c r="F3210" t="s">
        <v>10</v>
      </c>
      <c r="G3210" t="s">
        <v>8</v>
      </c>
      <c r="H3210">
        <v>1</v>
      </c>
      <c r="I3210" t="s">
        <v>27</v>
      </c>
    </row>
    <row r="3211" spans="1:9" x14ac:dyDescent="0.2">
      <c r="A3211" t="str">
        <f t="shared" si="297"/>
        <v>38687Haapiti18162Autres</v>
      </c>
      <c r="B3211" s="1">
        <v>38687</v>
      </c>
      <c r="C3211" t="s">
        <v>25</v>
      </c>
      <c r="D3211" s="19">
        <v>18</v>
      </c>
      <c r="E3211">
        <v>162</v>
      </c>
      <c r="F3211" t="s">
        <v>14</v>
      </c>
      <c r="H3211">
        <v>0</v>
      </c>
    </row>
    <row r="3212" spans="1:9" x14ac:dyDescent="0.2">
      <c r="A3212" t="str">
        <f t="shared" si="297"/>
        <v>38687Haapiti18163PocilloporidaeBords</v>
      </c>
      <c r="B3212" s="1">
        <v>38687</v>
      </c>
      <c r="C3212" t="s">
        <v>25</v>
      </c>
      <c r="D3212" s="19">
        <v>18</v>
      </c>
      <c r="E3212">
        <v>163</v>
      </c>
      <c r="F3212" t="s">
        <v>10</v>
      </c>
      <c r="G3212" t="s">
        <v>13</v>
      </c>
      <c r="H3212">
        <v>1</v>
      </c>
      <c r="I3212" t="s">
        <v>27</v>
      </c>
    </row>
    <row r="3213" spans="1:9" x14ac:dyDescent="0.2">
      <c r="A3213" t="str">
        <f t="shared" si="297"/>
        <v>38687Haapiti18164PocilloporidaeBords</v>
      </c>
      <c r="B3213" s="1">
        <v>38687</v>
      </c>
      <c r="C3213" t="s">
        <v>25</v>
      </c>
      <c r="D3213" s="19">
        <v>18</v>
      </c>
      <c r="E3213">
        <v>164</v>
      </c>
      <c r="F3213" t="s">
        <v>10</v>
      </c>
      <c r="G3213" t="s">
        <v>13</v>
      </c>
      <c r="H3213">
        <v>1</v>
      </c>
      <c r="I3213" t="s">
        <v>27</v>
      </c>
    </row>
    <row r="3214" spans="1:9" x14ac:dyDescent="0.2">
      <c r="A3214" t="str">
        <f t="shared" si="297"/>
        <v>38687Haapiti18165PocilloporidaeDessus</v>
      </c>
      <c r="B3214" s="1">
        <v>38687</v>
      </c>
      <c r="C3214" t="s">
        <v>25</v>
      </c>
      <c r="D3214" s="19">
        <v>18</v>
      </c>
      <c r="E3214">
        <v>165</v>
      </c>
      <c r="F3214" t="s">
        <v>10</v>
      </c>
      <c r="G3214" t="s">
        <v>11</v>
      </c>
      <c r="H3214">
        <v>3</v>
      </c>
      <c r="I3214" t="s">
        <v>27</v>
      </c>
    </row>
    <row r="3215" spans="1:9" x14ac:dyDescent="0.2">
      <c r="A3215" t="str">
        <f t="shared" si="297"/>
        <v>38687Haapiti18166PocilloporidaeBords</v>
      </c>
      <c r="B3215" s="1">
        <v>38687</v>
      </c>
      <c r="C3215" t="s">
        <v>25</v>
      </c>
      <c r="D3215" s="19">
        <v>18</v>
      </c>
      <c r="E3215">
        <v>166</v>
      </c>
      <c r="F3215" t="s">
        <v>10</v>
      </c>
      <c r="G3215" t="s">
        <v>13</v>
      </c>
      <c r="H3215">
        <v>4</v>
      </c>
      <c r="I3215" t="s">
        <v>27</v>
      </c>
    </row>
    <row r="3216" spans="1:9" x14ac:dyDescent="0.2">
      <c r="A3216" t="str">
        <f t="shared" si="297"/>
        <v>38687Haapiti18166PoritidaeBords</v>
      </c>
      <c r="B3216" s="1">
        <v>38687</v>
      </c>
      <c r="C3216" t="s">
        <v>25</v>
      </c>
      <c r="D3216" s="19">
        <v>18</v>
      </c>
      <c r="E3216">
        <v>166</v>
      </c>
      <c r="F3216" t="s">
        <v>7</v>
      </c>
      <c r="G3216" t="s">
        <v>13</v>
      </c>
      <c r="H3216">
        <v>1</v>
      </c>
      <c r="I3216" t="s">
        <v>27</v>
      </c>
    </row>
    <row r="3217" spans="1:9" x14ac:dyDescent="0.2">
      <c r="A3217" t="str">
        <f t="shared" si="297"/>
        <v>38687Haapiti18167PocilloporidaeDessus</v>
      </c>
      <c r="B3217" s="1">
        <v>38687</v>
      </c>
      <c r="C3217" t="s">
        <v>25</v>
      </c>
      <c r="D3217" s="19">
        <v>18</v>
      </c>
      <c r="E3217">
        <v>167</v>
      </c>
      <c r="F3217" t="s">
        <v>10</v>
      </c>
      <c r="G3217" t="s">
        <v>11</v>
      </c>
      <c r="H3217">
        <v>1</v>
      </c>
      <c r="I3217" t="s">
        <v>27</v>
      </c>
    </row>
    <row r="3218" spans="1:9" x14ac:dyDescent="0.2">
      <c r="A3218" t="str">
        <f t="shared" si="297"/>
        <v>38687Haapiti18168PocilloporidaeDessous</v>
      </c>
      <c r="B3218" s="1">
        <v>38687</v>
      </c>
      <c r="C3218" t="s">
        <v>25</v>
      </c>
      <c r="D3218" s="19">
        <v>18</v>
      </c>
      <c r="E3218">
        <v>168</v>
      </c>
      <c r="F3218" t="s">
        <v>10</v>
      </c>
      <c r="G3218" t="s">
        <v>8</v>
      </c>
      <c r="H3218">
        <v>2</v>
      </c>
      <c r="I3218" t="s">
        <v>27</v>
      </c>
    </row>
    <row r="3219" spans="1:9" x14ac:dyDescent="0.2">
      <c r="A3219" t="str">
        <f t="shared" si="297"/>
        <v>38687Haapiti18168PocilloporidaeDessus</v>
      </c>
      <c r="B3219" s="1">
        <v>38687</v>
      </c>
      <c r="C3219" t="s">
        <v>25</v>
      </c>
      <c r="D3219" s="19">
        <v>18</v>
      </c>
      <c r="E3219">
        <v>168</v>
      </c>
      <c r="F3219" t="s">
        <v>10</v>
      </c>
      <c r="G3219" t="s">
        <v>11</v>
      </c>
      <c r="H3219">
        <v>1</v>
      </c>
      <c r="I3219" t="s">
        <v>27</v>
      </c>
    </row>
    <row r="3220" spans="1:9" x14ac:dyDescent="0.2">
      <c r="A3220" t="str">
        <f t="shared" si="297"/>
        <v>38687Haapiti18169PocilloporidaeBords</v>
      </c>
      <c r="B3220" s="1">
        <v>38687</v>
      </c>
      <c r="C3220" t="s">
        <v>25</v>
      </c>
      <c r="D3220" s="19">
        <v>18</v>
      </c>
      <c r="E3220">
        <v>169</v>
      </c>
      <c r="F3220" t="s">
        <v>10</v>
      </c>
      <c r="G3220" t="s">
        <v>13</v>
      </c>
      <c r="H3220">
        <v>1</v>
      </c>
      <c r="I3220" t="s">
        <v>27</v>
      </c>
    </row>
    <row r="3221" spans="1:9" x14ac:dyDescent="0.2">
      <c r="A3221" t="str">
        <f t="shared" si="297"/>
        <v>38687Haapiti18169PocilloporidaeDessus</v>
      </c>
      <c r="B3221" s="1">
        <v>38687</v>
      </c>
      <c r="C3221" t="s">
        <v>25</v>
      </c>
      <c r="D3221" s="19">
        <v>18</v>
      </c>
      <c r="E3221">
        <v>169</v>
      </c>
      <c r="F3221" t="s">
        <v>10</v>
      </c>
      <c r="G3221" t="s">
        <v>11</v>
      </c>
      <c r="H3221">
        <v>1</v>
      </c>
      <c r="I3221" t="s">
        <v>27</v>
      </c>
    </row>
    <row r="3222" spans="1:9" x14ac:dyDescent="0.2">
      <c r="A3222" t="str">
        <f t="shared" si="297"/>
        <v>38687Haapiti18170PocilloporidaeDessus</v>
      </c>
      <c r="B3222" s="1">
        <v>38687</v>
      </c>
      <c r="C3222" t="s">
        <v>25</v>
      </c>
      <c r="D3222" s="19">
        <v>18</v>
      </c>
      <c r="E3222">
        <v>170</v>
      </c>
      <c r="F3222" t="s">
        <v>10</v>
      </c>
      <c r="G3222" t="s">
        <v>11</v>
      </c>
      <c r="H3222">
        <v>1</v>
      </c>
      <c r="I3222" t="s">
        <v>27</v>
      </c>
    </row>
    <row r="3223" spans="1:9" x14ac:dyDescent="0.2">
      <c r="A3223" t="str">
        <f t="shared" si="297"/>
        <v>38687Haapiti18171Autres</v>
      </c>
      <c r="B3223" s="1">
        <v>38687</v>
      </c>
      <c r="C3223" t="s">
        <v>25</v>
      </c>
      <c r="D3223" s="19">
        <v>18</v>
      </c>
      <c r="E3223">
        <v>171</v>
      </c>
      <c r="F3223" t="s">
        <v>14</v>
      </c>
      <c r="H3223">
        <v>0</v>
      </c>
    </row>
    <row r="3224" spans="1:9" x14ac:dyDescent="0.2">
      <c r="A3224" t="str">
        <f t="shared" si="297"/>
        <v>38687Haapiti18172Autres</v>
      </c>
      <c r="B3224" s="1">
        <v>38687</v>
      </c>
      <c r="C3224" t="s">
        <v>25</v>
      </c>
      <c r="D3224" s="19">
        <v>18</v>
      </c>
      <c r="E3224">
        <v>172</v>
      </c>
      <c r="F3224" t="s">
        <v>14</v>
      </c>
      <c r="H3224">
        <v>0</v>
      </c>
    </row>
    <row r="3225" spans="1:9" x14ac:dyDescent="0.2">
      <c r="A3225" t="str">
        <f t="shared" si="297"/>
        <v>38687Haapiti18173PocilloporidaeDessous</v>
      </c>
      <c r="B3225" s="1">
        <v>38687</v>
      </c>
      <c r="C3225" t="s">
        <v>25</v>
      </c>
      <c r="D3225" s="19">
        <v>18</v>
      </c>
      <c r="E3225">
        <v>173</v>
      </c>
      <c r="F3225" t="s">
        <v>10</v>
      </c>
      <c r="G3225" t="s">
        <v>8</v>
      </c>
      <c r="H3225">
        <v>3</v>
      </c>
      <c r="I3225" t="s">
        <v>27</v>
      </c>
    </row>
    <row r="3226" spans="1:9" x14ac:dyDescent="0.2">
      <c r="A3226" t="str">
        <f t="shared" si="297"/>
        <v>38687Haapiti18174Autres</v>
      </c>
      <c r="B3226" s="1">
        <v>38687</v>
      </c>
      <c r="C3226" t="s">
        <v>25</v>
      </c>
      <c r="D3226" s="19">
        <v>18</v>
      </c>
      <c r="E3226">
        <v>174</v>
      </c>
      <c r="F3226" t="s">
        <v>14</v>
      </c>
      <c r="H3226">
        <v>0</v>
      </c>
    </row>
    <row r="3227" spans="1:9" x14ac:dyDescent="0.2">
      <c r="A3227" t="str">
        <f t="shared" si="297"/>
        <v>38687Haapiti18175PocilloporidaeDessous</v>
      </c>
      <c r="B3227" s="1">
        <v>38687</v>
      </c>
      <c r="C3227" t="s">
        <v>25</v>
      </c>
      <c r="D3227" s="19">
        <v>18</v>
      </c>
      <c r="E3227">
        <v>175</v>
      </c>
      <c r="F3227" t="s">
        <v>10</v>
      </c>
      <c r="G3227" t="s">
        <v>8</v>
      </c>
      <c r="H3227">
        <v>7</v>
      </c>
      <c r="I3227" t="s">
        <v>27</v>
      </c>
    </row>
    <row r="3228" spans="1:9" x14ac:dyDescent="0.2">
      <c r="A3228" t="str">
        <f t="shared" si="297"/>
        <v>38687Haapiti18175PoritidaeDessous</v>
      </c>
      <c r="B3228" s="1">
        <v>38687</v>
      </c>
      <c r="C3228" t="s">
        <v>25</v>
      </c>
      <c r="D3228" s="19">
        <v>18</v>
      </c>
      <c r="E3228">
        <v>175</v>
      </c>
      <c r="F3228" t="s">
        <v>7</v>
      </c>
      <c r="G3228" t="s">
        <v>8</v>
      </c>
      <c r="H3228">
        <v>1</v>
      </c>
      <c r="I3228" t="s">
        <v>27</v>
      </c>
    </row>
    <row r="3229" spans="1:9" x14ac:dyDescent="0.2">
      <c r="A3229" t="str">
        <f t="shared" si="297"/>
        <v>38687Haapiti18176PocilloporidaeDessous</v>
      </c>
      <c r="B3229" s="1">
        <v>38687</v>
      </c>
      <c r="C3229" t="s">
        <v>25</v>
      </c>
      <c r="D3229" s="19">
        <v>18</v>
      </c>
      <c r="E3229">
        <v>176</v>
      </c>
      <c r="F3229" t="s">
        <v>10</v>
      </c>
      <c r="G3229" t="s">
        <v>8</v>
      </c>
      <c r="H3229">
        <v>5</v>
      </c>
      <c r="I3229" t="s">
        <v>27</v>
      </c>
    </row>
    <row r="3230" spans="1:9" x14ac:dyDescent="0.2">
      <c r="A3230" t="str">
        <f t="shared" si="297"/>
        <v>38687Haapiti18176PocilloporidaeDessus</v>
      </c>
      <c r="B3230" s="1">
        <v>38687</v>
      </c>
      <c r="C3230" t="s">
        <v>25</v>
      </c>
      <c r="D3230" s="19">
        <v>18</v>
      </c>
      <c r="E3230">
        <v>176</v>
      </c>
      <c r="F3230" t="s">
        <v>10</v>
      </c>
      <c r="G3230" t="s">
        <v>11</v>
      </c>
      <c r="H3230">
        <v>2</v>
      </c>
      <c r="I3230" t="s">
        <v>27</v>
      </c>
    </row>
    <row r="3231" spans="1:9" x14ac:dyDescent="0.2">
      <c r="A3231" t="str">
        <f t="shared" si="297"/>
        <v>38687Haapiti18176PoritidaeDessous</v>
      </c>
      <c r="B3231" s="1">
        <v>38687</v>
      </c>
      <c r="C3231" t="s">
        <v>25</v>
      </c>
      <c r="D3231" s="19">
        <v>18</v>
      </c>
      <c r="E3231">
        <v>176</v>
      </c>
      <c r="F3231" t="s">
        <v>7</v>
      </c>
      <c r="G3231" t="s">
        <v>8</v>
      </c>
      <c r="H3231">
        <v>3</v>
      </c>
      <c r="I3231" t="s">
        <v>27</v>
      </c>
    </row>
    <row r="3232" spans="1:9" x14ac:dyDescent="0.2">
      <c r="A3232" t="str">
        <f t="shared" si="297"/>
        <v>38687Haapiti18177PocilloporidaeBords</v>
      </c>
      <c r="B3232" s="1">
        <v>38687</v>
      </c>
      <c r="C3232" t="s">
        <v>25</v>
      </c>
      <c r="D3232" s="19">
        <v>18</v>
      </c>
      <c r="E3232">
        <v>177</v>
      </c>
      <c r="F3232" t="s">
        <v>10</v>
      </c>
      <c r="G3232" t="s">
        <v>13</v>
      </c>
      <c r="H3232">
        <v>2</v>
      </c>
      <c r="I3232" t="s">
        <v>27</v>
      </c>
    </row>
    <row r="3233" spans="1:9" x14ac:dyDescent="0.2">
      <c r="A3233" t="str">
        <f t="shared" si="297"/>
        <v>38687Haapiti18178Autres</v>
      </c>
      <c r="B3233" s="1">
        <v>38687</v>
      </c>
      <c r="C3233" t="s">
        <v>25</v>
      </c>
      <c r="D3233" s="19">
        <v>18</v>
      </c>
      <c r="E3233">
        <v>178</v>
      </c>
      <c r="F3233" t="s">
        <v>14</v>
      </c>
      <c r="H3233">
        <v>0</v>
      </c>
    </row>
    <row r="3234" spans="1:9" x14ac:dyDescent="0.2">
      <c r="A3234" t="str">
        <f t="shared" si="297"/>
        <v>38687Haapiti18179Autres</v>
      </c>
      <c r="B3234" s="1">
        <v>38687</v>
      </c>
      <c r="C3234" t="s">
        <v>25</v>
      </c>
      <c r="D3234" s="19">
        <v>18</v>
      </c>
      <c r="E3234">
        <v>179</v>
      </c>
      <c r="F3234" t="s">
        <v>14</v>
      </c>
      <c r="H3234">
        <v>0</v>
      </c>
    </row>
    <row r="3235" spans="1:9" x14ac:dyDescent="0.2">
      <c r="A3235" t="str">
        <f t="shared" si="297"/>
        <v>38687Haapiti18180Autres</v>
      </c>
      <c r="B3235" s="1">
        <v>38687</v>
      </c>
      <c r="C3235" t="s">
        <v>25</v>
      </c>
      <c r="D3235" s="19">
        <v>18</v>
      </c>
      <c r="E3235">
        <v>180</v>
      </c>
      <c r="F3235" t="s">
        <v>14</v>
      </c>
      <c r="H3235">
        <v>0</v>
      </c>
    </row>
    <row r="3236" spans="1:9" x14ac:dyDescent="0.2">
      <c r="A3236" t="str">
        <f t="shared" si="297"/>
        <v>38961Vaipahu61PocilloporidaeDessous</v>
      </c>
      <c r="B3236" s="1">
        <v>38961</v>
      </c>
      <c r="C3236" t="s">
        <v>23</v>
      </c>
      <c r="D3236" s="19">
        <v>6</v>
      </c>
      <c r="E3236">
        <v>1</v>
      </c>
      <c r="F3236" t="s">
        <v>10</v>
      </c>
      <c r="G3236" t="s">
        <v>8</v>
      </c>
      <c r="H3236">
        <v>2</v>
      </c>
      <c r="I3236" t="s">
        <v>27</v>
      </c>
    </row>
    <row r="3237" spans="1:9" x14ac:dyDescent="0.2">
      <c r="A3237" t="str">
        <f t="shared" si="297"/>
        <v>38961Vaipahu62Autres</v>
      </c>
      <c r="B3237" s="1">
        <v>38961</v>
      </c>
      <c r="C3237" t="s">
        <v>23</v>
      </c>
      <c r="D3237" s="19">
        <v>6</v>
      </c>
      <c r="E3237">
        <v>2</v>
      </c>
      <c r="F3237" t="s">
        <v>14</v>
      </c>
      <c r="H3237">
        <v>0</v>
      </c>
    </row>
    <row r="3238" spans="1:9" x14ac:dyDescent="0.2">
      <c r="A3238" t="str">
        <f t="shared" si="297"/>
        <v>38961Vaipahu63AcroporidaeDessous</v>
      </c>
      <c r="B3238" s="1">
        <v>38961</v>
      </c>
      <c r="C3238" t="s">
        <v>23</v>
      </c>
      <c r="D3238" s="19">
        <v>6</v>
      </c>
      <c r="E3238">
        <v>3</v>
      </c>
      <c r="F3238" t="s">
        <v>17</v>
      </c>
      <c r="G3238" t="s">
        <v>8</v>
      </c>
      <c r="H3238">
        <v>1</v>
      </c>
      <c r="I3238" t="s">
        <v>27</v>
      </c>
    </row>
    <row r="3239" spans="1:9" x14ac:dyDescent="0.2">
      <c r="A3239" t="str">
        <f t="shared" si="297"/>
        <v>38961Vaipahu64Autres</v>
      </c>
      <c r="B3239" s="1">
        <v>38961</v>
      </c>
      <c r="C3239" t="s">
        <v>23</v>
      </c>
      <c r="D3239" s="19">
        <v>6</v>
      </c>
      <c r="E3239">
        <v>4</v>
      </c>
      <c r="F3239" t="s">
        <v>14</v>
      </c>
      <c r="H3239">
        <v>0</v>
      </c>
    </row>
    <row r="3240" spans="1:9" x14ac:dyDescent="0.2">
      <c r="A3240" t="str">
        <f t="shared" si="297"/>
        <v>38961Vaipahu65AcroporidaeDessous</v>
      </c>
      <c r="B3240" s="1">
        <v>38961</v>
      </c>
      <c r="C3240" t="s">
        <v>23</v>
      </c>
      <c r="D3240" s="19">
        <v>6</v>
      </c>
      <c r="E3240">
        <v>5</v>
      </c>
      <c r="F3240" t="s">
        <v>17</v>
      </c>
      <c r="G3240" t="s">
        <v>8</v>
      </c>
      <c r="H3240">
        <v>2</v>
      </c>
      <c r="I3240" t="s">
        <v>27</v>
      </c>
    </row>
    <row r="3241" spans="1:9" x14ac:dyDescent="0.2">
      <c r="A3241" t="str">
        <f t="shared" si="297"/>
        <v>38961Vaipahu66AcroporidaeBords</v>
      </c>
      <c r="B3241" s="1">
        <v>38961</v>
      </c>
      <c r="C3241" t="s">
        <v>23</v>
      </c>
      <c r="D3241" s="19">
        <v>6</v>
      </c>
      <c r="E3241">
        <v>6</v>
      </c>
      <c r="F3241" t="s">
        <v>17</v>
      </c>
      <c r="G3241" t="s">
        <v>13</v>
      </c>
      <c r="H3241">
        <v>2</v>
      </c>
      <c r="I3241" t="s">
        <v>27</v>
      </c>
    </row>
    <row r="3242" spans="1:9" x14ac:dyDescent="0.2">
      <c r="A3242" t="str">
        <f t="shared" si="297"/>
        <v>38961Vaipahu66PocilloporidaeDessous</v>
      </c>
      <c r="B3242" s="1">
        <v>38961</v>
      </c>
      <c r="C3242" t="s">
        <v>23</v>
      </c>
      <c r="D3242" s="19">
        <v>6</v>
      </c>
      <c r="E3242">
        <v>6</v>
      </c>
      <c r="F3242" t="s">
        <v>10</v>
      </c>
      <c r="G3242" t="s">
        <v>8</v>
      </c>
      <c r="H3242">
        <v>1</v>
      </c>
      <c r="I3242" t="s">
        <v>27</v>
      </c>
    </row>
    <row r="3243" spans="1:9" x14ac:dyDescent="0.2">
      <c r="A3243" t="str">
        <f t="shared" si="297"/>
        <v>38961Vaipahu67Autres</v>
      </c>
      <c r="B3243" s="1">
        <v>38961</v>
      </c>
      <c r="C3243" t="s">
        <v>23</v>
      </c>
      <c r="D3243" s="19">
        <v>6</v>
      </c>
      <c r="E3243">
        <v>7</v>
      </c>
      <c r="F3243" t="s">
        <v>14</v>
      </c>
      <c r="H3243">
        <v>0</v>
      </c>
    </row>
    <row r="3244" spans="1:9" x14ac:dyDescent="0.2">
      <c r="A3244" t="str">
        <f t="shared" si="297"/>
        <v>38961Vaipahu68Autres</v>
      </c>
      <c r="B3244" s="1">
        <v>38961</v>
      </c>
      <c r="C3244" t="s">
        <v>23</v>
      </c>
      <c r="D3244" s="19">
        <v>6</v>
      </c>
      <c r="E3244">
        <v>8</v>
      </c>
      <c r="F3244" t="s">
        <v>14</v>
      </c>
      <c r="H3244">
        <v>0</v>
      </c>
    </row>
    <row r="3245" spans="1:9" x14ac:dyDescent="0.2">
      <c r="A3245" t="str">
        <f t="shared" si="297"/>
        <v>38961Vaipahu69Autres</v>
      </c>
      <c r="B3245" s="1">
        <v>38961</v>
      </c>
      <c r="C3245" t="s">
        <v>23</v>
      </c>
      <c r="D3245" s="19">
        <v>6</v>
      </c>
      <c r="E3245">
        <v>9</v>
      </c>
      <c r="F3245" t="s">
        <v>14</v>
      </c>
      <c r="H3245">
        <v>0</v>
      </c>
    </row>
    <row r="3246" spans="1:9" x14ac:dyDescent="0.2">
      <c r="A3246" t="str">
        <f t="shared" si="297"/>
        <v>38961Vaipahu610Autres</v>
      </c>
      <c r="B3246" s="1">
        <v>38961</v>
      </c>
      <c r="C3246" t="s">
        <v>23</v>
      </c>
      <c r="D3246" s="19">
        <v>6</v>
      </c>
      <c r="E3246">
        <v>10</v>
      </c>
      <c r="F3246" t="s">
        <v>14</v>
      </c>
      <c r="H3246">
        <v>0</v>
      </c>
    </row>
    <row r="3247" spans="1:9" x14ac:dyDescent="0.2">
      <c r="A3247" t="str">
        <f t="shared" si="297"/>
        <v>38961Vaipahu611AcroporidaeBords</v>
      </c>
      <c r="B3247" s="1">
        <v>38961</v>
      </c>
      <c r="C3247" t="s">
        <v>23</v>
      </c>
      <c r="D3247" s="19">
        <v>6</v>
      </c>
      <c r="E3247">
        <v>11</v>
      </c>
      <c r="F3247" t="s">
        <v>17</v>
      </c>
      <c r="G3247" t="s">
        <v>13</v>
      </c>
      <c r="H3247">
        <v>1</v>
      </c>
      <c r="I3247" t="s">
        <v>27</v>
      </c>
    </row>
    <row r="3248" spans="1:9" x14ac:dyDescent="0.2">
      <c r="A3248" t="str">
        <f t="shared" si="297"/>
        <v>38961Vaipahu611AcroporidaeDessous</v>
      </c>
      <c r="B3248" s="1">
        <v>38961</v>
      </c>
      <c r="C3248" t="s">
        <v>23</v>
      </c>
      <c r="D3248" s="19">
        <v>6</v>
      </c>
      <c r="E3248">
        <v>11</v>
      </c>
      <c r="F3248" t="s">
        <v>17</v>
      </c>
      <c r="G3248" t="s">
        <v>8</v>
      </c>
      <c r="H3248">
        <v>1</v>
      </c>
      <c r="I3248" t="s">
        <v>27</v>
      </c>
    </row>
    <row r="3249" spans="1:9" x14ac:dyDescent="0.2">
      <c r="A3249" t="str">
        <f t="shared" si="297"/>
        <v>38961Vaipahu611PocilloporidaeBords</v>
      </c>
      <c r="B3249" s="1">
        <v>38961</v>
      </c>
      <c r="C3249" t="s">
        <v>23</v>
      </c>
      <c r="D3249" s="19">
        <v>6</v>
      </c>
      <c r="E3249">
        <v>11</v>
      </c>
      <c r="F3249" t="s">
        <v>10</v>
      </c>
      <c r="G3249" t="s">
        <v>13</v>
      </c>
      <c r="H3249">
        <v>3</v>
      </c>
      <c r="I3249" t="s">
        <v>27</v>
      </c>
    </row>
    <row r="3250" spans="1:9" x14ac:dyDescent="0.2">
      <c r="A3250" t="str">
        <f t="shared" si="297"/>
        <v>38961Vaipahu612Autres</v>
      </c>
      <c r="B3250" s="1">
        <v>38961</v>
      </c>
      <c r="C3250" t="s">
        <v>23</v>
      </c>
      <c r="D3250" s="19">
        <v>6</v>
      </c>
      <c r="E3250">
        <v>12</v>
      </c>
      <c r="F3250" t="s">
        <v>14</v>
      </c>
      <c r="H3250">
        <v>0</v>
      </c>
    </row>
    <row r="3251" spans="1:9" x14ac:dyDescent="0.2">
      <c r="A3251" t="str">
        <f t="shared" si="297"/>
        <v>38961Vaipahu613AcroporidaeBords</v>
      </c>
      <c r="B3251" s="1">
        <v>38961</v>
      </c>
      <c r="C3251" t="s">
        <v>23</v>
      </c>
      <c r="D3251" s="19">
        <v>6</v>
      </c>
      <c r="E3251">
        <v>13</v>
      </c>
      <c r="F3251" t="s">
        <v>17</v>
      </c>
      <c r="G3251" t="s">
        <v>13</v>
      </c>
      <c r="H3251">
        <v>2</v>
      </c>
      <c r="I3251" t="s">
        <v>27</v>
      </c>
    </row>
    <row r="3252" spans="1:9" x14ac:dyDescent="0.2">
      <c r="A3252" t="str">
        <f t="shared" si="297"/>
        <v>38961Vaipahu614AcroporidaeDessous</v>
      </c>
      <c r="B3252" s="1">
        <v>38961</v>
      </c>
      <c r="C3252" t="s">
        <v>23</v>
      </c>
      <c r="D3252" s="19">
        <v>6</v>
      </c>
      <c r="E3252">
        <v>14</v>
      </c>
      <c r="F3252" t="s">
        <v>17</v>
      </c>
      <c r="G3252" t="s">
        <v>8</v>
      </c>
      <c r="H3252">
        <v>1</v>
      </c>
      <c r="I3252" t="s">
        <v>27</v>
      </c>
    </row>
    <row r="3253" spans="1:9" x14ac:dyDescent="0.2">
      <c r="A3253" t="str">
        <f t="shared" si="297"/>
        <v>38961Vaipahu615AcroporidaeDessous</v>
      </c>
      <c r="B3253" s="1">
        <v>38961</v>
      </c>
      <c r="C3253" t="s">
        <v>23</v>
      </c>
      <c r="D3253" s="19">
        <v>6</v>
      </c>
      <c r="E3253">
        <v>15</v>
      </c>
      <c r="F3253" t="s">
        <v>17</v>
      </c>
      <c r="G3253" t="s">
        <v>8</v>
      </c>
      <c r="H3253">
        <v>1</v>
      </c>
      <c r="I3253" t="s">
        <v>27</v>
      </c>
    </row>
    <row r="3254" spans="1:9" x14ac:dyDescent="0.2">
      <c r="A3254" t="str">
        <f t="shared" si="297"/>
        <v>38961Vaipahu615PocilloporidaeDessous</v>
      </c>
      <c r="B3254" s="1">
        <v>38961</v>
      </c>
      <c r="C3254" t="s">
        <v>23</v>
      </c>
      <c r="D3254" s="19">
        <v>6</v>
      </c>
      <c r="E3254">
        <v>15</v>
      </c>
      <c r="F3254" t="s">
        <v>10</v>
      </c>
      <c r="G3254" t="s">
        <v>8</v>
      </c>
      <c r="H3254">
        <v>2</v>
      </c>
      <c r="I3254" t="s">
        <v>27</v>
      </c>
    </row>
    <row r="3255" spans="1:9" x14ac:dyDescent="0.2">
      <c r="A3255" t="str">
        <f t="shared" si="297"/>
        <v>38961Vaipahu615PoritidaeDessous</v>
      </c>
      <c r="B3255" s="1">
        <v>38961</v>
      </c>
      <c r="C3255" t="s">
        <v>23</v>
      </c>
      <c r="D3255" s="19">
        <v>6</v>
      </c>
      <c r="E3255">
        <v>15</v>
      </c>
      <c r="F3255" t="s">
        <v>7</v>
      </c>
      <c r="G3255" t="s">
        <v>8</v>
      </c>
      <c r="H3255">
        <v>1</v>
      </c>
      <c r="I3255" t="s">
        <v>27</v>
      </c>
    </row>
    <row r="3256" spans="1:9" x14ac:dyDescent="0.2">
      <c r="A3256" t="str">
        <f t="shared" si="297"/>
        <v>38961Vaipahu616Autres</v>
      </c>
      <c r="B3256" s="1">
        <v>38961</v>
      </c>
      <c r="C3256" t="s">
        <v>23</v>
      </c>
      <c r="D3256" s="19">
        <v>6</v>
      </c>
      <c r="E3256">
        <v>16</v>
      </c>
      <c r="F3256" t="s">
        <v>14</v>
      </c>
      <c r="H3256">
        <v>0</v>
      </c>
    </row>
    <row r="3257" spans="1:9" x14ac:dyDescent="0.2">
      <c r="A3257" t="str">
        <f t="shared" si="297"/>
        <v>38961Vaipahu617PoritidaeDessous</v>
      </c>
      <c r="B3257" s="1">
        <v>38961</v>
      </c>
      <c r="C3257" t="s">
        <v>23</v>
      </c>
      <c r="D3257" s="19">
        <v>6</v>
      </c>
      <c r="E3257">
        <v>17</v>
      </c>
      <c r="F3257" t="s">
        <v>7</v>
      </c>
      <c r="G3257" t="s">
        <v>8</v>
      </c>
      <c r="H3257">
        <v>1</v>
      </c>
      <c r="I3257" t="s">
        <v>27</v>
      </c>
    </row>
    <row r="3258" spans="1:9" x14ac:dyDescent="0.2">
      <c r="A3258" t="str">
        <f t="shared" si="297"/>
        <v>38961Vaipahu618AcroporidaeDessus</v>
      </c>
      <c r="B3258" s="1">
        <v>38961</v>
      </c>
      <c r="C3258" t="s">
        <v>23</v>
      </c>
      <c r="D3258" s="19">
        <v>6</v>
      </c>
      <c r="E3258">
        <v>18</v>
      </c>
      <c r="F3258" t="s">
        <v>17</v>
      </c>
      <c r="G3258" t="s">
        <v>11</v>
      </c>
      <c r="H3258">
        <v>1</v>
      </c>
      <c r="I3258" t="s">
        <v>27</v>
      </c>
    </row>
    <row r="3259" spans="1:9" x14ac:dyDescent="0.2">
      <c r="A3259" t="str">
        <f t="shared" si="297"/>
        <v>38961Vaipahu619AcroporidaeBords</v>
      </c>
      <c r="B3259" s="1">
        <v>38961</v>
      </c>
      <c r="C3259" t="s">
        <v>23</v>
      </c>
      <c r="D3259" s="19">
        <v>6</v>
      </c>
      <c r="E3259">
        <v>19</v>
      </c>
      <c r="F3259" t="s">
        <v>17</v>
      </c>
      <c r="G3259" t="s">
        <v>13</v>
      </c>
      <c r="H3259">
        <v>1</v>
      </c>
      <c r="I3259" t="s">
        <v>27</v>
      </c>
    </row>
    <row r="3260" spans="1:9" x14ac:dyDescent="0.2">
      <c r="A3260" t="str">
        <f t="shared" si="297"/>
        <v>38961Vaipahu619AcroporidaeDessous</v>
      </c>
      <c r="B3260" s="1">
        <v>38961</v>
      </c>
      <c r="C3260" t="s">
        <v>23</v>
      </c>
      <c r="D3260" s="19">
        <v>6</v>
      </c>
      <c r="E3260">
        <v>19</v>
      </c>
      <c r="F3260" t="s">
        <v>17</v>
      </c>
      <c r="G3260" t="s">
        <v>8</v>
      </c>
      <c r="H3260">
        <v>1</v>
      </c>
      <c r="I3260" t="s">
        <v>27</v>
      </c>
    </row>
    <row r="3261" spans="1:9" x14ac:dyDescent="0.2">
      <c r="A3261" t="str">
        <f t="shared" si="297"/>
        <v>38961Vaipahu620AcroporidaeDessous</v>
      </c>
      <c r="B3261" s="1">
        <v>38961</v>
      </c>
      <c r="C3261" t="s">
        <v>23</v>
      </c>
      <c r="D3261" s="19">
        <v>6</v>
      </c>
      <c r="E3261">
        <v>20</v>
      </c>
      <c r="F3261" t="s">
        <v>17</v>
      </c>
      <c r="G3261" t="s">
        <v>8</v>
      </c>
      <c r="H3261">
        <v>1</v>
      </c>
      <c r="I3261" t="s">
        <v>27</v>
      </c>
    </row>
    <row r="3262" spans="1:9" x14ac:dyDescent="0.2">
      <c r="A3262" t="str">
        <f t="shared" si="297"/>
        <v>38961Vaipahu1221Autres</v>
      </c>
      <c r="B3262" s="1">
        <v>38961</v>
      </c>
      <c r="C3262" t="s">
        <v>23</v>
      </c>
      <c r="D3262" s="19">
        <v>12</v>
      </c>
      <c r="E3262">
        <v>21</v>
      </c>
      <c r="F3262" t="s">
        <v>14</v>
      </c>
      <c r="H3262">
        <v>0</v>
      </c>
    </row>
    <row r="3263" spans="1:9" x14ac:dyDescent="0.2">
      <c r="A3263" t="str">
        <f t="shared" ref="A3263:A3326" si="298">B3263 &amp; C3263&amp; D3263&amp; E3263 &amp; F3263 &amp;G3263</f>
        <v>38961Vaipahu1222AcroporidaeDessus</v>
      </c>
      <c r="B3263" s="1">
        <v>38961</v>
      </c>
      <c r="C3263" t="s">
        <v>23</v>
      </c>
      <c r="D3263" s="19">
        <v>12</v>
      </c>
      <c r="E3263">
        <v>22</v>
      </c>
      <c r="F3263" t="s">
        <v>17</v>
      </c>
      <c r="G3263" t="s">
        <v>11</v>
      </c>
      <c r="H3263">
        <v>1</v>
      </c>
      <c r="I3263" t="s">
        <v>27</v>
      </c>
    </row>
    <row r="3264" spans="1:9" x14ac:dyDescent="0.2">
      <c r="A3264" t="str">
        <f t="shared" si="298"/>
        <v>38961Vaipahu1222PoritidaeDessous</v>
      </c>
      <c r="B3264" s="1">
        <v>38961</v>
      </c>
      <c r="C3264" t="s">
        <v>23</v>
      </c>
      <c r="D3264" s="19">
        <v>12</v>
      </c>
      <c r="E3264">
        <v>22</v>
      </c>
      <c r="F3264" t="s">
        <v>7</v>
      </c>
      <c r="G3264" t="s">
        <v>8</v>
      </c>
      <c r="H3264">
        <v>1</v>
      </c>
      <c r="I3264" t="s">
        <v>27</v>
      </c>
    </row>
    <row r="3265" spans="1:9" x14ac:dyDescent="0.2">
      <c r="A3265" t="str">
        <f t="shared" si="298"/>
        <v>38961Vaipahu1223AcroporidaeDessous</v>
      </c>
      <c r="B3265" s="1">
        <v>38961</v>
      </c>
      <c r="C3265" t="s">
        <v>23</v>
      </c>
      <c r="D3265" s="19">
        <v>12</v>
      </c>
      <c r="E3265">
        <v>23</v>
      </c>
      <c r="F3265" t="s">
        <v>17</v>
      </c>
      <c r="G3265" t="s">
        <v>8</v>
      </c>
      <c r="H3265">
        <v>1</v>
      </c>
      <c r="I3265" t="s">
        <v>27</v>
      </c>
    </row>
    <row r="3266" spans="1:9" x14ac:dyDescent="0.2">
      <c r="A3266" t="str">
        <f t="shared" si="298"/>
        <v>38961Vaipahu1223PocilloporidaeDessous</v>
      </c>
      <c r="B3266" s="1">
        <v>38961</v>
      </c>
      <c r="C3266" t="s">
        <v>23</v>
      </c>
      <c r="D3266" s="19">
        <v>12</v>
      </c>
      <c r="E3266">
        <v>23</v>
      </c>
      <c r="F3266" t="s">
        <v>10</v>
      </c>
      <c r="G3266" t="s">
        <v>8</v>
      </c>
      <c r="H3266">
        <v>2</v>
      </c>
      <c r="I3266" t="s">
        <v>27</v>
      </c>
    </row>
    <row r="3267" spans="1:9" x14ac:dyDescent="0.2">
      <c r="A3267" t="str">
        <f t="shared" si="298"/>
        <v>38961Vaipahu1224PoritidaeDessous</v>
      </c>
      <c r="B3267" s="1">
        <v>38961</v>
      </c>
      <c r="C3267" t="s">
        <v>23</v>
      </c>
      <c r="D3267" s="19">
        <v>12</v>
      </c>
      <c r="E3267">
        <v>24</v>
      </c>
      <c r="F3267" t="s">
        <v>7</v>
      </c>
      <c r="G3267" t="s">
        <v>8</v>
      </c>
      <c r="H3267">
        <v>1</v>
      </c>
      <c r="I3267" t="s">
        <v>27</v>
      </c>
    </row>
    <row r="3268" spans="1:9" x14ac:dyDescent="0.2">
      <c r="A3268" t="str">
        <f t="shared" si="298"/>
        <v>38961Vaipahu1225AcroporidaeDessous</v>
      </c>
      <c r="B3268" s="1">
        <v>38961</v>
      </c>
      <c r="C3268" t="s">
        <v>23</v>
      </c>
      <c r="D3268" s="19">
        <v>12</v>
      </c>
      <c r="E3268">
        <v>25</v>
      </c>
      <c r="F3268" t="s">
        <v>17</v>
      </c>
      <c r="G3268" t="s">
        <v>8</v>
      </c>
      <c r="H3268">
        <v>1</v>
      </c>
      <c r="I3268" t="s">
        <v>27</v>
      </c>
    </row>
    <row r="3269" spans="1:9" x14ac:dyDescent="0.2">
      <c r="A3269" t="str">
        <f t="shared" si="298"/>
        <v>38961Vaipahu1226AcroporidaeBords</v>
      </c>
      <c r="B3269" s="1">
        <v>38961</v>
      </c>
      <c r="C3269" t="s">
        <v>23</v>
      </c>
      <c r="D3269" s="19">
        <v>12</v>
      </c>
      <c r="E3269">
        <v>26</v>
      </c>
      <c r="F3269" t="s">
        <v>17</v>
      </c>
      <c r="G3269" t="s">
        <v>13</v>
      </c>
      <c r="H3269">
        <v>1</v>
      </c>
      <c r="I3269" t="s">
        <v>27</v>
      </c>
    </row>
    <row r="3270" spans="1:9" x14ac:dyDescent="0.2">
      <c r="A3270" t="str">
        <f t="shared" si="298"/>
        <v>38961Vaipahu1226AcroporidaeDessous</v>
      </c>
      <c r="B3270" s="1">
        <v>38961</v>
      </c>
      <c r="C3270" t="s">
        <v>23</v>
      </c>
      <c r="D3270" s="19">
        <v>12</v>
      </c>
      <c r="E3270">
        <v>26</v>
      </c>
      <c r="F3270" t="s">
        <v>17</v>
      </c>
      <c r="G3270" t="s">
        <v>8</v>
      </c>
      <c r="H3270">
        <v>1</v>
      </c>
      <c r="I3270" t="s">
        <v>27</v>
      </c>
    </row>
    <row r="3271" spans="1:9" x14ac:dyDescent="0.2">
      <c r="A3271" t="str">
        <f t="shared" si="298"/>
        <v>38961Vaipahu1227Autres</v>
      </c>
      <c r="B3271" s="1">
        <v>38961</v>
      </c>
      <c r="C3271" t="s">
        <v>23</v>
      </c>
      <c r="D3271" s="19">
        <v>12</v>
      </c>
      <c r="E3271">
        <v>27</v>
      </c>
      <c r="F3271" t="s">
        <v>14</v>
      </c>
      <c r="H3271">
        <v>0</v>
      </c>
    </row>
    <row r="3272" spans="1:9" x14ac:dyDescent="0.2">
      <c r="A3272" t="str">
        <f t="shared" si="298"/>
        <v>38961Vaipahu1228PocilloporidaeDessous</v>
      </c>
      <c r="B3272" s="1">
        <v>38961</v>
      </c>
      <c r="C3272" t="s">
        <v>23</v>
      </c>
      <c r="D3272" s="19">
        <v>12</v>
      </c>
      <c r="E3272">
        <v>28</v>
      </c>
      <c r="F3272" t="s">
        <v>10</v>
      </c>
      <c r="G3272" t="s">
        <v>8</v>
      </c>
      <c r="H3272">
        <v>1</v>
      </c>
      <c r="I3272" t="s">
        <v>27</v>
      </c>
    </row>
    <row r="3273" spans="1:9" x14ac:dyDescent="0.2">
      <c r="A3273" t="str">
        <f t="shared" si="298"/>
        <v>38961Vaipahu1228PoritidaeDessous</v>
      </c>
      <c r="B3273" s="1">
        <v>38961</v>
      </c>
      <c r="C3273" t="s">
        <v>23</v>
      </c>
      <c r="D3273" s="19">
        <v>12</v>
      </c>
      <c r="E3273">
        <v>28</v>
      </c>
      <c r="F3273" t="s">
        <v>7</v>
      </c>
      <c r="G3273" t="s">
        <v>8</v>
      </c>
      <c r="H3273">
        <v>1</v>
      </c>
      <c r="I3273" t="s">
        <v>27</v>
      </c>
    </row>
    <row r="3274" spans="1:9" x14ac:dyDescent="0.2">
      <c r="A3274" t="str">
        <f t="shared" si="298"/>
        <v>38961Vaipahu1229AcroporidaeDessus</v>
      </c>
      <c r="B3274" s="1">
        <v>38961</v>
      </c>
      <c r="C3274" t="s">
        <v>23</v>
      </c>
      <c r="D3274" s="19">
        <v>12</v>
      </c>
      <c r="E3274">
        <v>29</v>
      </c>
      <c r="F3274" t="s">
        <v>17</v>
      </c>
      <c r="G3274" t="s">
        <v>11</v>
      </c>
      <c r="H3274">
        <v>1</v>
      </c>
      <c r="I3274" t="s">
        <v>27</v>
      </c>
    </row>
    <row r="3275" spans="1:9" x14ac:dyDescent="0.2">
      <c r="A3275" t="str">
        <f t="shared" si="298"/>
        <v>38961Vaipahu1230Autres</v>
      </c>
      <c r="B3275" s="1">
        <v>38961</v>
      </c>
      <c r="C3275" t="s">
        <v>23</v>
      </c>
      <c r="D3275" s="19">
        <v>12</v>
      </c>
      <c r="E3275">
        <v>30</v>
      </c>
      <c r="F3275" t="s">
        <v>14</v>
      </c>
      <c r="H3275">
        <v>0</v>
      </c>
    </row>
    <row r="3276" spans="1:9" x14ac:dyDescent="0.2">
      <c r="A3276" t="str">
        <f t="shared" si="298"/>
        <v>38961Vaipahu1231Autres</v>
      </c>
      <c r="B3276" s="1">
        <v>38961</v>
      </c>
      <c r="C3276" t="s">
        <v>23</v>
      </c>
      <c r="D3276" s="19">
        <v>12</v>
      </c>
      <c r="E3276">
        <v>31</v>
      </c>
      <c r="F3276" t="s">
        <v>14</v>
      </c>
      <c r="H3276">
        <v>0</v>
      </c>
    </row>
    <row r="3277" spans="1:9" x14ac:dyDescent="0.2">
      <c r="A3277" t="str">
        <f t="shared" si="298"/>
        <v>38961Vaipahu1232Autres</v>
      </c>
      <c r="B3277" s="1">
        <v>38961</v>
      </c>
      <c r="C3277" t="s">
        <v>23</v>
      </c>
      <c r="D3277" s="19">
        <v>12</v>
      </c>
      <c r="E3277">
        <v>32</v>
      </c>
      <c r="F3277" t="s">
        <v>14</v>
      </c>
      <c r="H3277">
        <v>0</v>
      </c>
    </row>
    <row r="3278" spans="1:9" x14ac:dyDescent="0.2">
      <c r="A3278" t="str">
        <f t="shared" si="298"/>
        <v>38961Vaipahu1233AcroporidaeDessus</v>
      </c>
      <c r="B3278" s="1">
        <v>38961</v>
      </c>
      <c r="C3278" t="s">
        <v>23</v>
      </c>
      <c r="D3278" s="19">
        <v>12</v>
      </c>
      <c r="E3278">
        <v>33</v>
      </c>
      <c r="F3278" t="s">
        <v>17</v>
      </c>
      <c r="G3278" t="s">
        <v>11</v>
      </c>
      <c r="H3278">
        <v>1</v>
      </c>
      <c r="I3278" t="s">
        <v>27</v>
      </c>
    </row>
    <row r="3279" spans="1:9" x14ac:dyDescent="0.2">
      <c r="A3279" t="str">
        <f t="shared" si="298"/>
        <v>38961Vaipahu1233PoritidaeDessous</v>
      </c>
      <c r="B3279" s="1">
        <v>38961</v>
      </c>
      <c r="C3279" t="s">
        <v>23</v>
      </c>
      <c r="D3279" s="19">
        <v>12</v>
      </c>
      <c r="E3279">
        <v>33</v>
      </c>
      <c r="F3279" t="s">
        <v>7</v>
      </c>
      <c r="G3279" t="s">
        <v>8</v>
      </c>
      <c r="H3279">
        <v>6</v>
      </c>
      <c r="I3279" t="s">
        <v>27</v>
      </c>
    </row>
    <row r="3280" spans="1:9" x14ac:dyDescent="0.2">
      <c r="A3280" t="str">
        <f t="shared" si="298"/>
        <v>38961Vaipahu1234AcroporidaeDessous</v>
      </c>
      <c r="B3280" s="1">
        <v>38961</v>
      </c>
      <c r="C3280" t="s">
        <v>23</v>
      </c>
      <c r="D3280" s="19">
        <v>12</v>
      </c>
      <c r="E3280">
        <v>34</v>
      </c>
      <c r="F3280" t="s">
        <v>17</v>
      </c>
      <c r="G3280" t="s">
        <v>8</v>
      </c>
      <c r="H3280">
        <v>1</v>
      </c>
      <c r="I3280" t="s">
        <v>27</v>
      </c>
    </row>
    <row r="3281" spans="1:9" x14ac:dyDescent="0.2">
      <c r="A3281" t="str">
        <f t="shared" si="298"/>
        <v>38961Vaipahu1235</v>
      </c>
      <c r="B3281" s="1">
        <v>38961</v>
      </c>
      <c r="C3281" t="s">
        <v>23</v>
      </c>
      <c r="D3281" s="19">
        <v>12</v>
      </c>
      <c r="E3281">
        <v>35</v>
      </c>
      <c r="F3281" t="s">
        <v>27</v>
      </c>
      <c r="G3281" t="s">
        <v>27</v>
      </c>
      <c r="H3281" t="s">
        <v>27</v>
      </c>
      <c r="I3281" t="s">
        <v>31</v>
      </c>
    </row>
    <row r="3282" spans="1:9" x14ac:dyDescent="0.2">
      <c r="A3282" t="str">
        <f t="shared" si="298"/>
        <v>38961Vaipahu1236</v>
      </c>
      <c r="B3282" s="1">
        <v>38961</v>
      </c>
      <c r="C3282" t="s">
        <v>23</v>
      </c>
      <c r="D3282" s="19">
        <v>12</v>
      </c>
      <c r="E3282">
        <v>36</v>
      </c>
      <c r="F3282" t="s">
        <v>27</v>
      </c>
      <c r="G3282" t="s">
        <v>27</v>
      </c>
      <c r="H3282" t="s">
        <v>27</v>
      </c>
      <c r="I3282" t="s">
        <v>31</v>
      </c>
    </row>
    <row r="3283" spans="1:9" x14ac:dyDescent="0.2">
      <c r="A3283" t="str">
        <f t="shared" si="298"/>
        <v>38961Vaipahu1237PoritidaeDessous</v>
      </c>
      <c r="B3283" s="1">
        <v>38961</v>
      </c>
      <c r="C3283" t="s">
        <v>23</v>
      </c>
      <c r="D3283" s="19">
        <v>12</v>
      </c>
      <c r="E3283">
        <v>37</v>
      </c>
      <c r="F3283" t="s">
        <v>7</v>
      </c>
      <c r="G3283" t="s">
        <v>8</v>
      </c>
      <c r="H3283">
        <v>2</v>
      </c>
      <c r="I3283" t="s">
        <v>27</v>
      </c>
    </row>
    <row r="3284" spans="1:9" x14ac:dyDescent="0.2">
      <c r="A3284" t="str">
        <f t="shared" si="298"/>
        <v>38961Vaipahu1238PoritidaeDessous</v>
      </c>
      <c r="B3284" s="1">
        <v>38961</v>
      </c>
      <c r="C3284" t="s">
        <v>23</v>
      </c>
      <c r="D3284" s="19">
        <v>12</v>
      </c>
      <c r="E3284">
        <v>38</v>
      </c>
      <c r="F3284" t="s">
        <v>7</v>
      </c>
      <c r="G3284" t="s">
        <v>8</v>
      </c>
      <c r="H3284">
        <v>12</v>
      </c>
      <c r="I3284" t="s">
        <v>27</v>
      </c>
    </row>
    <row r="3285" spans="1:9" x14ac:dyDescent="0.2">
      <c r="A3285" t="str">
        <f t="shared" si="298"/>
        <v>38961Vaipahu1239Autres</v>
      </c>
      <c r="B3285" s="1">
        <v>38961</v>
      </c>
      <c r="C3285" t="s">
        <v>23</v>
      </c>
      <c r="D3285" s="19">
        <v>12</v>
      </c>
      <c r="E3285">
        <v>39</v>
      </c>
      <c r="F3285" t="s">
        <v>14</v>
      </c>
      <c r="H3285">
        <v>0</v>
      </c>
    </row>
    <row r="3286" spans="1:9" x14ac:dyDescent="0.2">
      <c r="A3286" t="str">
        <f t="shared" si="298"/>
        <v>38961Vaipahu1240</v>
      </c>
      <c r="B3286" s="1">
        <v>38961</v>
      </c>
      <c r="C3286" t="s">
        <v>23</v>
      </c>
      <c r="D3286" s="19">
        <v>12</v>
      </c>
      <c r="E3286">
        <v>40</v>
      </c>
      <c r="F3286" t="s">
        <v>27</v>
      </c>
      <c r="G3286" t="s">
        <v>27</v>
      </c>
      <c r="H3286" t="s">
        <v>27</v>
      </c>
      <c r="I3286" t="s">
        <v>31</v>
      </c>
    </row>
    <row r="3287" spans="1:9" x14ac:dyDescent="0.2">
      <c r="A3287" t="str">
        <f t="shared" si="298"/>
        <v>38961Vaipahu1841Autres</v>
      </c>
      <c r="B3287" s="1">
        <v>38961</v>
      </c>
      <c r="C3287" t="s">
        <v>23</v>
      </c>
      <c r="D3287" s="19">
        <v>18</v>
      </c>
      <c r="E3287">
        <v>41</v>
      </c>
      <c r="F3287" t="s">
        <v>14</v>
      </c>
      <c r="H3287">
        <v>0</v>
      </c>
    </row>
    <row r="3288" spans="1:9" x14ac:dyDescent="0.2">
      <c r="A3288" t="str">
        <f t="shared" si="298"/>
        <v>38961Vaipahu1842Autres</v>
      </c>
      <c r="B3288" s="1">
        <v>38961</v>
      </c>
      <c r="C3288" t="s">
        <v>23</v>
      </c>
      <c r="D3288" s="19">
        <v>18</v>
      </c>
      <c r="E3288">
        <v>42</v>
      </c>
      <c r="F3288" t="s">
        <v>14</v>
      </c>
      <c r="H3288">
        <v>0</v>
      </c>
    </row>
    <row r="3289" spans="1:9" x14ac:dyDescent="0.2">
      <c r="A3289" t="str">
        <f t="shared" si="298"/>
        <v>38961Vaipahu1843Autres</v>
      </c>
      <c r="B3289" s="1">
        <v>38961</v>
      </c>
      <c r="C3289" t="s">
        <v>23</v>
      </c>
      <c r="D3289" s="19">
        <v>18</v>
      </c>
      <c r="E3289">
        <v>43</v>
      </c>
      <c r="F3289" t="s">
        <v>14</v>
      </c>
      <c r="H3289">
        <v>0</v>
      </c>
    </row>
    <row r="3290" spans="1:9" x14ac:dyDescent="0.2">
      <c r="A3290" t="str">
        <f t="shared" si="298"/>
        <v>38961Vaipahu1844AcroporidaeDessous</v>
      </c>
      <c r="B3290" s="1">
        <v>38961</v>
      </c>
      <c r="C3290" t="s">
        <v>23</v>
      </c>
      <c r="D3290" s="19">
        <v>18</v>
      </c>
      <c r="E3290">
        <v>44</v>
      </c>
      <c r="F3290" t="s">
        <v>17</v>
      </c>
      <c r="G3290" t="s">
        <v>8</v>
      </c>
      <c r="H3290">
        <v>1</v>
      </c>
      <c r="I3290" t="s">
        <v>27</v>
      </c>
    </row>
    <row r="3291" spans="1:9" x14ac:dyDescent="0.2">
      <c r="A3291" t="str">
        <f t="shared" si="298"/>
        <v>38961Vaipahu1844CassésDessous</v>
      </c>
      <c r="B3291" s="1">
        <v>38961</v>
      </c>
      <c r="C3291" t="s">
        <v>23</v>
      </c>
      <c r="D3291" s="19">
        <v>18</v>
      </c>
      <c r="E3291">
        <v>44</v>
      </c>
      <c r="F3291" t="s">
        <v>12</v>
      </c>
      <c r="G3291" t="s">
        <v>8</v>
      </c>
      <c r="H3291">
        <v>1</v>
      </c>
      <c r="I3291" t="s">
        <v>27</v>
      </c>
    </row>
    <row r="3292" spans="1:9" x14ac:dyDescent="0.2">
      <c r="A3292" t="str">
        <f t="shared" si="298"/>
        <v>38961Vaipahu1845Autres</v>
      </c>
      <c r="B3292" s="1">
        <v>38961</v>
      </c>
      <c r="C3292" t="s">
        <v>23</v>
      </c>
      <c r="D3292" s="19">
        <v>18</v>
      </c>
      <c r="E3292">
        <v>45</v>
      </c>
      <c r="F3292" t="s">
        <v>14</v>
      </c>
      <c r="H3292">
        <v>0</v>
      </c>
    </row>
    <row r="3293" spans="1:9" x14ac:dyDescent="0.2">
      <c r="A3293" t="str">
        <f t="shared" si="298"/>
        <v>38961Vaipahu1846AcroporidaeDessous</v>
      </c>
      <c r="B3293" s="1">
        <v>38961</v>
      </c>
      <c r="C3293" t="s">
        <v>23</v>
      </c>
      <c r="D3293" s="19">
        <v>18</v>
      </c>
      <c r="E3293">
        <v>46</v>
      </c>
      <c r="F3293" t="s">
        <v>17</v>
      </c>
      <c r="G3293" t="s">
        <v>8</v>
      </c>
      <c r="H3293">
        <v>1</v>
      </c>
      <c r="I3293" t="s">
        <v>27</v>
      </c>
    </row>
    <row r="3294" spans="1:9" x14ac:dyDescent="0.2">
      <c r="A3294" t="str">
        <f t="shared" si="298"/>
        <v>38961Vaipahu1846PoritidaeDessous</v>
      </c>
      <c r="B3294" s="1">
        <v>38961</v>
      </c>
      <c r="C3294" t="s">
        <v>23</v>
      </c>
      <c r="D3294" s="19">
        <v>18</v>
      </c>
      <c r="E3294">
        <v>46</v>
      </c>
      <c r="F3294" t="s">
        <v>7</v>
      </c>
      <c r="G3294" t="s">
        <v>8</v>
      </c>
      <c r="H3294">
        <v>1</v>
      </c>
      <c r="I3294" t="s">
        <v>27</v>
      </c>
    </row>
    <row r="3295" spans="1:9" x14ac:dyDescent="0.2">
      <c r="A3295" t="str">
        <f t="shared" si="298"/>
        <v>38961Vaipahu1847Autres</v>
      </c>
      <c r="B3295" s="1">
        <v>38961</v>
      </c>
      <c r="C3295" t="s">
        <v>23</v>
      </c>
      <c r="D3295" s="19">
        <v>18</v>
      </c>
      <c r="E3295">
        <v>47</v>
      </c>
      <c r="F3295" t="s">
        <v>14</v>
      </c>
      <c r="H3295">
        <v>0</v>
      </c>
    </row>
    <row r="3296" spans="1:9" x14ac:dyDescent="0.2">
      <c r="A3296" t="str">
        <f t="shared" si="298"/>
        <v>38961Vaipahu1848AcroporidaeDessous</v>
      </c>
      <c r="B3296" s="1">
        <v>38961</v>
      </c>
      <c r="C3296" t="s">
        <v>23</v>
      </c>
      <c r="D3296" s="19">
        <v>18</v>
      </c>
      <c r="E3296">
        <v>48</v>
      </c>
      <c r="F3296" t="s">
        <v>17</v>
      </c>
      <c r="G3296" t="s">
        <v>8</v>
      </c>
      <c r="H3296">
        <v>1</v>
      </c>
      <c r="I3296" t="s">
        <v>27</v>
      </c>
    </row>
    <row r="3297" spans="1:9" x14ac:dyDescent="0.2">
      <c r="A3297" t="str">
        <f t="shared" si="298"/>
        <v>38961Vaipahu1848PocilloporidaeDessous</v>
      </c>
      <c r="B3297" s="1">
        <v>38961</v>
      </c>
      <c r="C3297" t="s">
        <v>23</v>
      </c>
      <c r="D3297" s="19">
        <v>18</v>
      </c>
      <c r="E3297">
        <v>48</v>
      </c>
      <c r="F3297" t="s">
        <v>10</v>
      </c>
      <c r="G3297" t="s">
        <v>8</v>
      </c>
      <c r="H3297">
        <v>1</v>
      </c>
      <c r="I3297" t="s">
        <v>27</v>
      </c>
    </row>
    <row r="3298" spans="1:9" x14ac:dyDescent="0.2">
      <c r="A3298" t="str">
        <f t="shared" si="298"/>
        <v>38961Vaipahu1849AcroporidaeBords</v>
      </c>
      <c r="B3298" s="1">
        <v>38961</v>
      </c>
      <c r="C3298" t="s">
        <v>23</v>
      </c>
      <c r="D3298" s="19">
        <v>18</v>
      </c>
      <c r="E3298">
        <v>49</v>
      </c>
      <c r="F3298" t="s">
        <v>17</v>
      </c>
      <c r="G3298" t="s">
        <v>13</v>
      </c>
      <c r="H3298">
        <v>1</v>
      </c>
      <c r="I3298" t="s">
        <v>27</v>
      </c>
    </row>
    <row r="3299" spans="1:9" x14ac:dyDescent="0.2">
      <c r="A3299" t="str">
        <f t="shared" si="298"/>
        <v>38961Vaipahu1850Autres</v>
      </c>
      <c r="B3299" s="1">
        <v>38961</v>
      </c>
      <c r="C3299" t="s">
        <v>23</v>
      </c>
      <c r="D3299" s="19">
        <v>18</v>
      </c>
      <c r="E3299">
        <v>50</v>
      </c>
      <c r="F3299" t="s">
        <v>14</v>
      </c>
      <c r="H3299">
        <v>0</v>
      </c>
    </row>
    <row r="3300" spans="1:9" x14ac:dyDescent="0.2">
      <c r="A3300" t="str">
        <f t="shared" si="298"/>
        <v>38961Vaipahu1851Autres</v>
      </c>
      <c r="B3300" s="1">
        <v>38961</v>
      </c>
      <c r="C3300" t="s">
        <v>23</v>
      </c>
      <c r="D3300" s="19">
        <v>18</v>
      </c>
      <c r="E3300">
        <v>51</v>
      </c>
      <c r="F3300" t="s">
        <v>14</v>
      </c>
      <c r="H3300">
        <v>0</v>
      </c>
    </row>
    <row r="3301" spans="1:9" x14ac:dyDescent="0.2">
      <c r="A3301" t="str">
        <f t="shared" si="298"/>
        <v>38961Vaipahu1852PoritidaeDessous</v>
      </c>
      <c r="B3301" s="1">
        <v>38961</v>
      </c>
      <c r="C3301" t="s">
        <v>23</v>
      </c>
      <c r="D3301" s="19">
        <v>18</v>
      </c>
      <c r="E3301">
        <v>52</v>
      </c>
      <c r="F3301" t="s">
        <v>7</v>
      </c>
      <c r="G3301" t="s">
        <v>8</v>
      </c>
      <c r="H3301">
        <v>1</v>
      </c>
      <c r="I3301" t="s">
        <v>27</v>
      </c>
    </row>
    <row r="3302" spans="1:9" x14ac:dyDescent="0.2">
      <c r="A3302" t="str">
        <f t="shared" si="298"/>
        <v>38961Vaipahu1853PocilloporidaeDessous</v>
      </c>
      <c r="B3302" s="1">
        <v>38961</v>
      </c>
      <c r="C3302" t="s">
        <v>23</v>
      </c>
      <c r="D3302" s="19">
        <v>18</v>
      </c>
      <c r="E3302">
        <v>53</v>
      </c>
      <c r="F3302" t="s">
        <v>10</v>
      </c>
      <c r="G3302" t="s">
        <v>8</v>
      </c>
      <c r="H3302">
        <v>1</v>
      </c>
      <c r="I3302" t="s">
        <v>27</v>
      </c>
    </row>
    <row r="3303" spans="1:9" x14ac:dyDescent="0.2">
      <c r="A3303" t="str">
        <f t="shared" si="298"/>
        <v>38961Vaipahu1853PoritidaeDessous</v>
      </c>
      <c r="B3303" s="1">
        <v>38961</v>
      </c>
      <c r="C3303" t="s">
        <v>23</v>
      </c>
      <c r="D3303" s="19">
        <v>18</v>
      </c>
      <c r="E3303">
        <v>53</v>
      </c>
      <c r="F3303" t="s">
        <v>7</v>
      </c>
      <c r="G3303" t="s">
        <v>8</v>
      </c>
      <c r="H3303">
        <v>1</v>
      </c>
      <c r="I3303" t="s">
        <v>27</v>
      </c>
    </row>
    <row r="3304" spans="1:9" x14ac:dyDescent="0.2">
      <c r="A3304" t="str">
        <f t="shared" si="298"/>
        <v>38961Vaipahu1854Autres</v>
      </c>
      <c r="B3304" s="1">
        <v>38961</v>
      </c>
      <c r="C3304" t="s">
        <v>23</v>
      </c>
      <c r="D3304" s="19">
        <v>18</v>
      </c>
      <c r="E3304">
        <v>54</v>
      </c>
      <c r="F3304" t="s">
        <v>14</v>
      </c>
      <c r="H3304">
        <v>0</v>
      </c>
    </row>
    <row r="3305" spans="1:9" x14ac:dyDescent="0.2">
      <c r="A3305" t="str">
        <f t="shared" si="298"/>
        <v>38961Vaipahu1855AcroporidaeDessous</v>
      </c>
      <c r="B3305" s="1">
        <v>38961</v>
      </c>
      <c r="C3305" t="s">
        <v>23</v>
      </c>
      <c r="D3305" s="19">
        <v>18</v>
      </c>
      <c r="E3305">
        <v>55</v>
      </c>
      <c r="F3305" t="s">
        <v>17</v>
      </c>
      <c r="G3305" t="s">
        <v>8</v>
      </c>
      <c r="H3305">
        <v>1</v>
      </c>
      <c r="I3305" t="s">
        <v>27</v>
      </c>
    </row>
    <row r="3306" spans="1:9" x14ac:dyDescent="0.2">
      <c r="A3306" t="str">
        <f t="shared" si="298"/>
        <v>38961Vaipahu1855PocilloporidaeDessous</v>
      </c>
      <c r="B3306" s="1">
        <v>38961</v>
      </c>
      <c r="C3306" t="s">
        <v>23</v>
      </c>
      <c r="D3306" s="19">
        <v>18</v>
      </c>
      <c r="E3306">
        <v>55</v>
      </c>
      <c r="F3306" t="s">
        <v>10</v>
      </c>
      <c r="G3306" t="s">
        <v>8</v>
      </c>
      <c r="H3306">
        <v>1</v>
      </c>
      <c r="I3306" t="s">
        <v>27</v>
      </c>
    </row>
    <row r="3307" spans="1:9" x14ac:dyDescent="0.2">
      <c r="A3307" t="str">
        <f t="shared" si="298"/>
        <v>38961Vaipahu1856AcroporidaeDessous</v>
      </c>
      <c r="B3307" s="1">
        <v>38961</v>
      </c>
      <c r="C3307" t="s">
        <v>23</v>
      </c>
      <c r="D3307" s="19">
        <v>18</v>
      </c>
      <c r="E3307">
        <v>56</v>
      </c>
      <c r="F3307" t="s">
        <v>17</v>
      </c>
      <c r="G3307" t="s">
        <v>8</v>
      </c>
      <c r="H3307">
        <v>3</v>
      </c>
      <c r="I3307" t="s">
        <v>27</v>
      </c>
    </row>
    <row r="3308" spans="1:9" x14ac:dyDescent="0.2">
      <c r="A3308" t="str">
        <f t="shared" si="298"/>
        <v>38961Vaipahu1857AutresBords</v>
      </c>
      <c r="B3308" s="1">
        <v>38961</v>
      </c>
      <c r="C3308" t="s">
        <v>23</v>
      </c>
      <c r="D3308" s="19">
        <v>18</v>
      </c>
      <c r="E3308">
        <v>57</v>
      </c>
      <c r="F3308" t="s">
        <v>14</v>
      </c>
      <c r="G3308" t="s">
        <v>13</v>
      </c>
      <c r="H3308">
        <v>1</v>
      </c>
      <c r="I3308" t="s">
        <v>27</v>
      </c>
    </row>
    <row r="3309" spans="1:9" x14ac:dyDescent="0.2">
      <c r="A3309" t="str">
        <f t="shared" si="298"/>
        <v>38961Vaipahu1858</v>
      </c>
      <c r="B3309" s="1">
        <v>38961</v>
      </c>
      <c r="C3309" t="s">
        <v>23</v>
      </c>
      <c r="D3309" s="19">
        <v>18</v>
      </c>
      <c r="E3309">
        <v>58</v>
      </c>
      <c r="F3309" t="s">
        <v>27</v>
      </c>
      <c r="G3309" t="s">
        <v>27</v>
      </c>
      <c r="H3309" t="s">
        <v>27</v>
      </c>
      <c r="I3309" t="s">
        <v>31</v>
      </c>
    </row>
    <row r="3310" spans="1:9" x14ac:dyDescent="0.2">
      <c r="A3310" t="str">
        <f t="shared" si="298"/>
        <v>38961Vaipahu1859</v>
      </c>
      <c r="B3310" s="1">
        <v>38961</v>
      </c>
      <c r="C3310" t="s">
        <v>23</v>
      </c>
      <c r="D3310" s="19">
        <v>18</v>
      </c>
      <c r="E3310">
        <v>59</v>
      </c>
      <c r="F3310" t="s">
        <v>27</v>
      </c>
      <c r="G3310" t="s">
        <v>27</v>
      </c>
      <c r="H3310" t="s">
        <v>27</v>
      </c>
      <c r="I3310" t="s">
        <v>31</v>
      </c>
    </row>
    <row r="3311" spans="1:9" x14ac:dyDescent="0.2">
      <c r="A3311" t="str">
        <f t="shared" si="298"/>
        <v>38961Vaipahu1860Autres</v>
      </c>
      <c r="B3311" s="1">
        <v>38961</v>
      </c>
      <c r="C3311" t="s">
        <v>23</v>
      </c>
      <c r="D3311" s="19">
        <v>18</v>
      </c>
      <c r="E3311">
        <v>60</v>
      </c>
      <c r="F3311" t="s">
        <v>14</v>
      </c>
      <c r="H3311">
        <v>0</v>
      </c>
    </row>
    <row r="3312" spans="1:9" x14ac:dyDescent="0.2">
      <c r="A3312" t="str">
        <f t="shared" si="298"/>
        <v>38961Tiahura661PoritidaeDessous</v>
      </c>
      <c r="B3312" s="1">
        <v>38961</v>
      </c>
      <c r="C3312" t="s">
        <v>24</v>
      </c>
      <c r="D3312" s="19">
        <v>6</v>
      </c>
      <c r="E3312">
        <v>61</v>
      </c>
      <c r="F3312" t="s">
        <v>7</v>
      </c>
      <c r="G3312" t="s">
        <v>8</v>
      </c>
      <c r="H3312">
        <v>1</v>
      </c>
      <c r="I3312" t="s">
        <v>27</v>
      </c>
    </row>
    <row r="3313" spans="1:9" x14ac:dyDescent="0.2">
      <c r="A3313" t="str">
        <f t="shared" si="298"/>
        <v>38961Tiahura662AcroporidaeDessous</v>
      </c>
      <c r="B3313" s="1">
        <v>38961</v>
      </c>
      <c r="C3313" t="s">
        <v>24</v>
      </c>
      <c r="D3313" s="19">
        <v>6</v>
      </c>
      <c r="E3313">
        <v>62</v>
      </c>
      <c r="F3313" t="s">
        <v>17</v>
      </c>
      <c r="G3313" t="s">
        <v>8</v>
      </c>
      <c r="H3313">
        <v>1</v>
      </c>
      <c r="I3313" t="s">
        <v>27</v>
      </c>
    </row>
    <row r="3314" spans="1:9" x14ac:dyDescent="0.2">
      <c r="A3314" t="str">
        <f t="shared" si="298"/>
        <v>38961Tiahura662PoritidaeDessous</v>
      </c>
      <c r="B3314" s="1">
        <v>38961</v>
      </c>
      <c r="C3314" t="s">
        <v>24</v>
      </c>
      <c r="D3314" s="19">
        <v>6</v>
      </c>
      <c r="E3314">
        <v>62</v>
      </c>
      <c r="F3314" t="s">
        <v>7</v>
      </c>
      <c r="G3314" t="s">
        <v>8</v>
      </c>
      <c r="H3314">
        <v>1</v>
      </c>
      <c r="I3314" t="s">
        <v>27</v>
      </c>
    </row>
    <row r="3315" spans="1:9" x14ac:dyDescent="0.2">
      <c r="A3315" t="str">
        <f t="shared" si="298"/>
        <v>38961Tiahura663AcroporidaeDessous</v>
      </c>
      <c r="B3315" s="1">
        <v>38961</v>
      </c>
      <c r="C3315" t="s">
        <v>24</v>
      </c>
      <c r="D3315" s="19">
        <v>6</v>
      </c>
      <c r="E3315">
        <v>63</v>
      </c>
      <c r="F3315" t="s">
        <v>17</v>
      </c>
      <c r="G3315" t="s">
        <v>8</v>
      </c>
      <c r="H3315">
        <v>1</v>
      </c>
      <c r="I3315" t="s">
        <v>27</v>
      </c>
    </row>
    <row r="3316" spans="1:9" x14ac:dyDescent="0.2">
      <c r="A3316" t="str">
        <f t="shared" si="298"/>
        <v>38961Tiahura664AcroporidaeBords</v>
      </c>
      <c r="B3316" s="1">
        <v>38961</v>
      </c>
      <c r="C3316" t="s">
        <v>24</v>
      </c>
      <c r="D3316" s="19">
        <v>6</v>
      </c>
      <c r="E3316">
        <v>64</v>
      </c>
      <c r="F3316" t="s">
        <v>17</v>
      </c>
      <c r="G3316" t="s">
        <v>13</v>
      </c>
      <c r="H3316">
        <v>4</v>
      </c>
      <c r="I3316" t="s">
        <v>27</v>
      </c>
    </row>
    <row r="3317" spans="1:9" x14ac:dyDescent="0.2">
      <c r="A3317" t="str">
        <f t="shared" si="298"/>
        <v>38961Tiahura664AutresDessus</v>
      </c>
      <c r="B3317" s="1">
        <v>38961</v>
      </c>
      <c r="C3317" t="s">
        <v>24</v>
      </c>
      <c r="D3317" s="19">
        <v>6</v>
      </c>
      <c r="E3317">
        <v>64</v>
      </c>
      <c r="F3317" t="s">
        <v>14</v>
      </c>
      <c r="G3317" t="s">
        <v>11</v>
      </c>
      <c r="H3317">
        <v>1</v>
      </c>
      <c r="I3317" t="s">
        <v>27</v>
      </c>
    </row>
    <row r="3318" spans="1:9" x14ac:dyDescent="0.2">
      <c r="A3318" t="str">
        <f t="shared" si="298"/>
        <v>38961Tiahura665AcroporidaeDessous</v>
      </c>
      <c r="B3318" s="1">
        <v>38961</v>
      </c>
      <c r="C3318" t="s">
        <v>24</v>
      </c>
      <c r="D3318" s="19">
        <v>6</v>
      </c>
      <c r="E3318">
        <v>65</v>
      </c>
      <c r="F3318" t="s">
        <v>17</v>
      </c>
      <c r="G3318" t="s">
        <v>8</v>
      </c>
      <c r="H3318">
        <v>2</v>
      </c>
      <c r="I3318" t="s">
        <v>27</v>
      </c>
    </row>
    <row r="3319" spans="1:9" x14ac:dyDescent="0.2">
      <c r="A3319" t="str">
        <f t="shared" si="298"/>
        <v>38961Tiahura666AcroporidaeBords</v>
      </c>
      <c r="B3319" s="1">
        <v>38961</v>
      </c>
      <c r="C3319" t="s">
        <v>24</v>
      </c>
      <c r="D3319" s="19">
        <v>6</v>
      </c>
      <c r="E3319">
        <v>66</v>
      </c>
      <c r="F3319" t="s">
        <v>17</v>
      </c>
      <c r="G3319" t="s">
        <v>13</v>
      </c>
      <c r="H3319">
        <v>1</v>
      </c>
      <c r="I3319" t="s">
        <v>27</v>
      </c>
    </row>
    <row r="3320" spans="1:9" x14ac:dyDescent="0.2">
      <c r="A3320" t="str">
        <f t="shared" si="298"/>
        <v>38961Tiahura667Autres</v>
      </c>
      <c r="B3320" s="1">
        <v>38961</v>
      </c>
      <c r="C3320" t="s">
        <v>24</v>
      </c>
      <c r="D3320" s="19">
        <v>6</v>
      </c>
      <c r="E3320">
        <v>67</v>
      </c>
      <c r="F3320" t="s">
        <v>14</v>
      </c>
      <c r="H3320">
        <v>0</v>
      </c>
    </row>
    <row r="3321" spans="1:9" x14ac:dyDescent="0.2">
      <c r="A3321" t="str">
        <f t="shared" si="298"/>
        <v>38961Tiahura668AcroporidaeDessous</v>
      </c>
      <c r="B3321" s="1">
        <v>38961</v>
      </c>
      <c r="C3321" t="s">
        <v>24</v>
      </c>
      <c r="D3321" s="19">
        <v>6</v>
      </c>
      <c r="E3321">
        <v>68</v>
      </c>
      <c r="F3321" t="s">
        <v>17</v>
      </c>
      <c r="G3321" t="s">
        <v>8</v>
      </c>
      <c r="H3321">
        <v>2</v>
      </c>
      <c r="I3321" t="s">
        <v>27</v>
      </c>
    </row>
    <row r="3322" spans="1:9" x14ac:dyDescent="0.2">
      <c r="A3322" t="str">
        <f t="shared" si="298"/>
        <v>38961Tiahura668PoritidaeDessous</v>
      </c>
      <c r="B3322" s="1">
        <v>38961</v>
      </c>
      <c r="C3322" t="s">
        <v>24</v>
      </c>
      <c r="D3322" s="19">
        <v>6</v>
      </c>
      <c r="E3322">
        <v>68</v>
      </c>
      <c r="F3322" t="s">
        <v>7</v>
      </c>
      <c r="G3322" t="s">
        <v>8</v>
      </c>
      <c r="H3322">
        <v>1</v>
      </c>
      <c r="I3322" t="s">
        <v>27</v>
      </c>
    </row>
    <row r="3323" spans="1:9" x14ac:dyDescent="0.2">
      <c r="A3323" t="str">
        <f t="shared" si="298"/>
        <v>38961Tiahura669Autres</v>
      </c>
      <c r="B3323" s="1">
        <v>38961</v>
      </c>
      <c r="C3323" t="s">
        <v>24</v>
      </c>
      <c r="D3323" s="19">
        <v>6</v>
      </c>
      <c r="E3323">
        <v>69</v>
      </c>
      <c r="F3323" t="s">
        <v>14</v>
      </c>
      <c r="H3323">
        <v>0</v>
      </c>
    </row>
    <row r="3324" spans="1:9" x14ac:dyDescent="0.2">
      <c r="A3324" t="str">
        <f t="shared" si="298"/>
        <v>38961Tiahura670AcroporidaeDessous</v>
      </c>
      <c r="B3324" s="1">
        <v>38961</v>
      </c>
      <c r="C3324" t="s">
        <v>24</v>
      </c>
      <c r="D3324" s="19">
        <v>6</v>
      </c>
      <c r="E3324">
        <v>70</v>
      </c>
      <c r="F3324" t="s">
        <v>17</v>
      </c>
      <c r="G3324" t="s">
        <v>8</v>
      </c>
      <c r="H3324">
        <v>1</v>
      </c>
      <c r="I3324" t="s">
        <v>27</v>
      </c>
    </row>
    <row r="3325" spans="1:9" x14ac:dyDescent="0.2">
      <c r="A3325" t="str">
        <f t="shared" si="298"/>
        <v>38961Tiahura671Autres</v>
      </c>
      <c r="B3325" s="1">
        <v>38961</v>
      </c>
      <c r="C3325" t="s">
        <v>24</v>
      </c>
      <c r="D3325" s="19">
        <v>6</v>
      </c>
      <c r="E3325">
        <v>71</v>
      </c>
      <c r="F3325" t="s">
        <v>14</v>
      </c>
      <c r="H3325">
        <v>0</v>
      </c>
    </row>
    <row r="3326" spans="1:9" x14ac:dyDescent="0.2">
      <c r="A3326" t="str">
        <f t="shared" si="298"/>
        <v>38961Tiahura672Autres</v>
      </c>
      <c r="B3326" s="1">
        <v>38961</v>
      </c>
      <c r="C3326" t="s">
        <v>24</v>
      </c>
      <c r="D3326" s="19">
        <v>6</v>
      </c>
      <c r="E3326">
        <v>72</v>
      </c>
      <c r="F3326" t="s">
        <v>14</v>
      </c>
      <c r="H3326">
        <v>0</v>
      </c>
    </row>
    <row r="3327" spans="1:9" x14ac:dyDescent="0.2">
      <c r="A3327" t="str">
        <f t="shared" ref="A3327:A3390" si="299">B3327 &amp; C3327&amp; D3327&amp; E3327 &amp; F3327 &amp;G3327</f>
        <v>38961Tiahura673AcroporidaeBords</v>
      </c>
      <c r="B3327" s="1">
        <v>38961</v>
      </c>
      <c r="C3327" t="s">
        <v>24</v>
      </c>
      <c r="D3327" s="19">
        <v>6</v>
      </c>
      <c r="E3327">
        <v>73</v>
      </c>
      <c r="F3327" t="s">
        <v>17</v>
      </c>
      <c r="G3327" t="s">
        <v>13</v>
      </c>
      <c r="H3327">
        <v>1</v>
      </c>
      <c r="I3327" t="s">
        <v>27</v>
      </c>
    </row>
    <row r="3328" spans="1:9" x14ac:dyDescent="0.2">
      <c r="A3328" t="str">
        <f t="shared" si="299"/>
        <v>38961Tiahura673AcroporidaeDessous</v>
      </c>
      <c r="B3328" s="1">
        <v>38961</v>
      </c>
      <c r="C3328" t="s">
        <v>24</v>
      </c>
      <c r="D3328" s="19">
        <v>6</v>
      </c>
      <c r="E3328">
        <v>73</v>
      </c>
      <c r="F3328" t="s">
        <v>17</v>
      </c>
      <c r="G3328" t="s">
        <v>8</v>
      </c>
      <c r="H3328">
        <v>3</v>
      </c>
      <c r="I3328" t="s">
        <v>27</v>
      </c>
    </row>
    <row r="3329" spans="1:9" x14ac:dyDescent="0.2">
      <c r="A3329" t="str">
        <f t="shared" si="299"/>
        <v>38961Tiahura674AcroporidaeDessous</v>
      </c>
      <c r="B3329" s="1">
        <v>38961</v>
      </c>
      <c r="C3329" t="s">
        <v>24</v>
      </c>
      <c r="D3329" s="19">
        <v>6</v>
      </c>
      <c r="E3329">
        <v>74</v>
      </c>
      <c r="F3329" t="s">
        <v>17</v>
      </c>
      <c r="G3329" t="s">
        <v>8</v>
      </c>
      <c r="H3329">
        <v>2</v>
      </c>
      <c r="I3329" t="s">
        <v>27</v>
      </c>
    </row>
    <row r="3330" spans="1:9" x14ac:dyDescent="0.2">
      <c r="A3330" t="str">
        <f t="shared" si="299"/>
        <v>38961Tiahura675Autres</v>
      </c>
      <c r="B3330" s="1">
        <v>38961</v>
      </c>
      <c r="C3330" t="s">
        <v>24</v>
      </c>
      <c r="D3330" s="19">
        <v>6</v>
      </c>
      <c r="E3330">
        <v>75</v>
      </c>
      <c r="F3330" t="s">
        <v>14</v>
      </c>
      <c r="H3330">
        <v>0</v>
      </c>
    </row>
    <row r="3331" spans="1:9" x14ac:dyDescent="0.2">
      <c r="A3331" t="str">
        <f t="shared" si="299"/>
        <v>38961Tiahura676Autres</v>
      </c>
      <c r="B3331" s="1">
        <v>38961</v>
      </c>
      <c r="C3331" t="s">
        <v>24</v>
      </c>
      <c r="D3331" s="19">
        <v>6</v>
      </c>
      <c r="E3331">
        <v>76</v>
      </c>
      <c r="F3331" t="s">
        <v>14</v>
      </c>
      <c r="H3331">
        <v>0</v>
      </c>
    </row>
    <row r="3332" spans="1:9" x14ac:dyDescent="0.2">
      <c r="A3332" t="str">
        <f t="shared" si="299"/>
        <v>38961Tiahura677Autres</v>
      </c>
      <c r="B3332" s="1">
        <v>38961</v>
      </c>
      <c r="C3332" t="s">
        <v>24</v>
      </c>
      <c r="D3332" s="19">
        <v>6</v>
      </c>
      <c r="E3332">
        <v>77</v>
      </c>
      <c r="F3332" t="s">
        <v>14</v>
      </c>
      <c r="H3332">
        <v>0</v>
      </c>
    </row>
    <row r="3333" spans="1:9" x14ac:dyDescent="0.2">
      <c r="A3333" t="str">
        <f t="shared" si="299"/>
        <v>38961Tiahura678Autres</v>
      </c>
      <c r="B3333" s="1">
        <v>38961</v>
      </c>
      <c r="C3333" t="s">
        <v>24</v>
      </c>
      <c r="D3333" s="19">
        <v>6</v>
      </c>
      <c r="E3333">
        <v>78</v>
      </c>
      <c r="F3333" t="s">
        <v>14</v>
      </c>
      <c r="H3333">
        <v>0</v>
      </c>
    </row>
    <row r="3334" spans="1:9" x14ac:dyDescent="0.2">
      <c r="A3334" t="str">
        <f t="shared" si="299"/>
        <v>38961Tiahura679AcroporidaeDessous</v>
      </c>
      <c r="B3334" s="1">
        <v>38961</v>
      </c>
      <c r="C3334" t="s">
        <v>24</v>
      </c>
      <c r="D3334" s="19">
        <v>6</v>
      </c>
      <c r="E3334">
        <v>79</v>
      </c>
      <c r="F3334" t="s">
        <v>17</v>
      </c>
      <c r="G3334" t="s">
        <v>8</v>
      </c>
      <c r="H3334">
        <v>1</v>
      </c>
      <c r="I3334" t="s">
        <v>27</v>
      </c>
    </row>
    <row r="3335" spans="1:9" x14ac:dyDescent="0.2">
      <c r="A3335" t="str">
        <f t="shared" si="299"/>
        <v>38961Tiahura680PocilloporidaeDessous</v>
      </c>
      <c r="B3335" s="1">
        <v>38961</v>
      </c>
      <c r="C3335" t="s">
        <v>24</v>
      </c>
      <c r="D3335" s="19">
        <v>6</v>
      </c>
      <c r="E3335">
        <v>80</v>
      </c>
      <c r="F3335" t="s">
        <v>10</v>
      </c>
      <c r="G3335" t="s">
        <v>8</v>
      </c>
      <c r="H3335">
        <v>1</v>
      </c>
      <c r="I3335" t="s">
        <v>27</v>
      </c>
    </row>
    <row r="3336" spans="1:9" x14ac:dyDescent="0.2">
      <c r="A3336" t="str">
        <f t="shared" si="299"/>
        <v>38961Tiahura1281AcroporidaeDessus</v>
      </c>
      <c r="B3336" s="1">
        <v>38961</v>
      </c>
      <c r="C3336" t="s">
        <v>24</v>
      </c>
      <c r="D3336" s="19">
        <v>12</v>
      </c>
      <c r="E3336">
        <v>81</v>
      </c>
      <c r="F3336" t="s">
        <v>17</v>
      </c>
      <c r="G3336" t="s">
        <v>11</v>
      </c>
      <c r="H3336">
        <v>1</v>
      </c>
      <c r="I3336" t="s">
        <v>27</v>
      </c>
    </row>
    <row r="3337" spans="1:9" x14ac:dyDescent="0.2">
      <c r="A3337" t="str">
        <f t="shared" si="299"/>
        <v>38961Tiahura1281PoritidaeDessous</v>
      </c>
      <c r="B3337" s="1">
        <v>38961</v>
      </c>
      <c r="C3337" t="s">
        <v>24</v>
      </c>
      <c r="D3337" s="19">
        <v>12</v>
      </c>
      <c r="E3337">
        <v>81</v>
      </c>
      <c r="F3337" t="s">
        <v>7</v>
      </c>
      <c r="G3337" t="s">
        <v>8</v>
      </c>
      <c r="H3337">
        <v>1</v>
      </c>
      <c r="I3337" t="s">
        <v>27</v>
      </c>
    </row>
    <row r="3338" spans="1:9" x14ac:dyDescent="0.2">
      <c r="A3338" t="str">
        <f t="shared" si="299"/>
        <v>38961Tiahura1282AcroporidaeDessus</v>
      </c>
      <c r="B3338" s="1">
        <v>38961</v>
      </c>
      <c r="C3338" t="s">
        <v>24</v>
      </c>
      <c r="D3338" s="19">
        <v>12</v>
      </c>
      <c r="E3338">
        <v>82</v>
      </c>
      <c r="F3338" t="s">
        <v>17</v>
      </c>
      <c r="G3338" t="s">
        <v>11</v>
      </c>
      <c r="H3338">
        <v>1</v>
      </c>
      <c r="I3338" t="s">
        <v>27</v>
      </c>
    </row>
    <row r="3339" spans="1:9" x14ac:dyDescent="0.2">
      <c r="A3339" t="str">
        <f t="shared" si="299"/>
        <v>38961Tiahura1283PoritidaeDessous</v>
      </c>
      <c r="B3339" s="1">
        <v>38961</v>
      </c>
      <c r="C3339" t="s">
        <v>24</v>
      </c>
      <c r="D3339" s="19">
        <v>12</v>
      </c>
      <c r="E3339">
        <v>83</v>
      </c>
      <c r="F3339" t="s">
        <v>7</v>
      </c>
      <c r="G3339" t="s">
        <v>8</v>
      </c>
      <c r="H3339">
        <v>1</v>
      </c>
      <c r="I3339" t="s">
        <v>27</v>
      </c>
    </row>
    <row r="3340" spans="1:9" x14ac:dyDescent="0.2">
      <c r="A3340" t="str">
        <f t="shared" si="299"/>
        <v>38961Tiahura1284Autres</v>
      </c>
      <c r="B3340" s="1">
        <v>38961</v>
      </c>
      <c r="C3340" t="s">
        <v>24</v>
      </c>
      <c r="D3340" s="19">
        <v>12</v>
      </c>
      <c r="E3340">
        <v>84</v>
      </c>
      <c r="F3340" t="s">
        <v>14</v>
      </c>
      <c r="H3340">
        <v>0</v>
      </c>
    </row>
    <row r="3341" spans="1:9" x14ac:dyDescent="0.2">
      <c r="A3341" t="str">
        <f t="shared" si="299"/>
        <v>38961Tiahura1285AcroporidaeDessous</v>
      </c>
      <c r="B3341" s="1">
        <v>38961</v>
      </c>
      <c r="C3341" t="s">
        <v>24</v>
      </c>
      <c r="D3341" s="19">
        <v>12</v>
      </c>
      <c r="E3341">
        <v>85</v>
      </c>
      <c r="F3341" t="s">
        <v>17</v>
      </c>
      <c r="G3341" t="s">
        <v>8</v>
      </c>
      <c r="H3341">
        <v>1</v>
      </c>
      <c r="I3341" t="s">
        <v>27</v>
      </c>
    </row>
    <row r="3342" spans="1:9" x14ac:dyDescent="0.2">
      <c r="A3342" t="str">
        <f t="shared" si="299"/>
        <v>38961Tiahura1285PocilloporidaeDessous</v>
      </c>
      <c r="B3342" s="1">
        <v>38961</v>
      </c>
      <c r="C3342" t="s">
        <v>24</v>
      </c>
      <c r="D3342" s="19">
        <v>12</v>
      </c>
      <c r="E3342">
        <v>85</v>
      </c>
      <c r="F3342" t="s">
        <v>10</v>
      </c>
      <c r="G3342" t="s">
        <v>8</v>
      </c>
      <c r="H3342">
        <v>1</v>
      </c>
      <c r="I3342" t="s">
        <v>27</v>
      </c>
    </row>
    <row r="3343" spans="1:9" x14ac:dyDescent="0.2">
      <c r="A3343" t="str">
        <f t="shared" si="299"/>
        <v>38961Tiahura1286PocilloporidaeDessous</v>
      </c>
      <c r="B3343" s="1">
        <v>38961</v>
      </c>
      <c r="C3343" t="s">
        <v>24</v>
      </c>
      <c r="D3343" s="19">
        <v>12</v>
      </c>
      <c r="E3343">
        <v>86</v>
      </c>
      <c r="F3343" t="s">
        <v>10</v>
      </c>
      <c r="G3343" t="s">
        <v>8</v>
      </c>
      <c r="H3343">
        <v>1</v>
      </c>
      <c r="I3343" t="s">
        <v>27</v>
      </c>
    </row>
    <row r="3344" spans="1:9" x14ac:dyDescent="0.2">
      <c r="A3344" t="str">
        <f t="shared" si="299"/>
        <v>38961Tiahura1287Autres</v>
      </c>
      <c r="B3344" s="1">
        <v>38961</v>
      </c>
      <c r="C3344" t="s">
        <v>24</v>
      </c>
      <c r="D3344" s="19">
        <v>12</v>
      </c>
      <c r="E3344">
        <v>87</v>
      </c>
      <c r="F3344" t="s">
        <v>14</v>
      </c>
      <c r="H3344">
        <v>0</v>
      </c>
    </row>
    <row r="3345" spans="1:9" x14ac:dyDescent="0.2">
      <c r="A3345" t="str">
        <f t="shared" si="299"/>
        <v>38961Tiahura1288PoritidaeDessous</v>
      </c>
      <c r="B3345" s="1">
        <v>38961</v>
      </c>
      <c r="C3345" t="s">
        <v>24</v>
      </c>
      <c r="D3345" s="19">
        <v>12</v>
      </c>
      <c r="E3345">
        <v>88</v>
      </c>
      <c r="F3345" t="s">
        <v>7</v>
      </c>
      <c r="G3345" t="s">
        <v>8</v>
      </c>
      <c r="H3345">
        <v>2</v>
      </c>
      <c r="I3345" t="s">
        <v>27</v>
      </c>
    </row>
    <row r="3346" spans="1:9" x14ac:dyDescent="0.2">
      <c r="A3346" t="str">
        <f t="shared" si="299"/>
        <v>38961Tiahura1289AcroporidaeDessous</v>
      </c>
      <c r="B3346" s="1">
        <v>38961</v>
      </c>
      <c r="C3346" t="s">
        <v>24</v>
      </c>
      <c r="D3346" s="19">
        <v>12</v>
      </c>
      <c r="E3346">
        <v>89</v>
      </c>
      <c r="F3346" t="s">
        <v>17</v>
      </c>
      <c r="G3346" t="s">
        <v>8</v>
      </c>
      <c r="H3346">
        <v>1</v>
      </c>
      <c r="I3346" t="s">
        <v>27</v>
      </c>
    </row>
    <row r="3347" spans="1:9" x14ac:dyDescent="0.2">
      <c r="A3347" t="str">
        <f t="shared" si="299"/>
        <v>38961Tiahura1289PoritidaeBords</v>
      </c>
      <c r="B3347" s="1">
        <v>38961</v>
      </c>
      <c r="C3347" t="s">
        <v>24</v>
      </c>
      <c r="D3347" s="19">
        <v>12</v>
      </c>
      <c r="E3347">
        <v>89</v>
      </c>
      <c r="F3347" t="s">
        <v>7</v>
      </c>
      <c r="G3347" t="s">
        <v>13</v>
      </c>
      <c r="H3347">
        <v>1</v>
      </c>
      <c r="I3347" t="s">
        <v>27</v>
      </c>
    </row>
    <row r="3348" spans="1:9" x14ac:dyDescent="0.2">
      <c r="A3348" t="str">
        <f t="shared" si="299"/>
        <v>38961Tiahura1290AcroporidaeBords</v>
      </c>
      <c r="B3348" s="1">
        <v>38961</v>
      </c>
      <c r="C3348" t="s">
        <v>24</v>
      </c>
      <c r="D3348" s="19">
        <v>12</v>
      </c>
      <c r="E3348">
        <v>90</v>
      </c>
      <c r="F3348" t="s">
        <v>17</v>
      </c>
      <c r="G3348" t="s">
        <v>13</v>
      </c>
      <c r="H3348">
        <v>1</v>
      </c>
      <c r="I3348" t="s">
        <v>27</v>
      </c>
    </row>
    <row r="3349" spans="1:9" x14ac:dyDescent="0.2">
      <c r="A3349" t="str">
        <f t="shared" si="299"/>
        <v>38961Tiahura1291Autres</v>
      </c>
      <c r="B3349" s="1">
        <v>38961</v>
      </c>
      <c r="C3349" t="s">
        <v>24</v>
      </c>
      <c r="D3349" s="19">
        <v>12</v>
      </c>
      <c r="E3349">
        <v>91</v>
      </c>
      <c r="F3349" t="s">
        <v>14</v>
      </c>
      <c r="H3349">
        <v>0</v>
      </c>
    </row>
    <row r="3350" spans="1:9" x14ac:dyDescent="0.2">
      <c r="A3350" t="str">
        <f t="shared" si="299"/>
        <v>38961Tiahura1292AcroporidaeBords</v>
      </c>
      <c r="B3350" s="1">
        <v>38961</v>
      </c>
      <c r="C3350" t="s">
        <v>24</v>
      </c>
      <c r="D3350" s="19">
        <v>12</v>
      </c>
      <c r="E3350">
        <v>92</v>
      </c>
      <c r="F3350" t="s">
        <v>17</v>
      </c>
      <c r="G3350" t="s">
        <v>13</v>
      </c>
      <c r="H3350">
        <v>1</v>
      </c>
      <c r="I3350" t="s">
        <v>27</v>
      </c>
    </row>
    <row r="3351" spans="1:9" x14ac:dyDescent="0.2">
      <c r="A3351" t="str">
        <f t="shared" si="299"/>
        <v>38961Tiahura1292AcroporidaeDessous</v>
      </c>
      <c r="B3351" s="1">
        <v>38961</v>
      </c>
      <c r="C3351" t="s">
        <v>24</v>
      </c>
      <c r="D3351" s="19">
        <v>12</v>
      </c>
      <c r="E3351">
        <v>92</v>
      </c>
      <c r="F3351" t="s">
        <v>17</v>
      </c>
      <c r="G3351" t="s">
        <v>8</v>
      </c>
      <c r="H3351">
        <v>1</v>
      </c>
      <c r="I3351" t="s">
        <v>27</v>
      </c>
    </row>
    <row r="3352" spans="1:9" x14ac:dyDescent="0.2">
      <c r="A3352" t="str">
        <f t="shared" si="299"/>
        <v>38961Tiahura1292PoritidaeBords</v>
      </c>
      <c r="B3352" s="1">
        <v>38961</v>
      </c>
      <c r="C3352" t="s">
        <v>24</v>
      </c>
      <c r="D3352" s="19">
        <v>12</v>
      </c>
      <c r="E3352">
        <v>92</v>
      </c>
      <c r="F3352" t="s">
        <v>7</v>
      </c>
      <c r="G3352" t="s">
        <v>13</v>
      </c>
      <c r="H3352">
        <v>3</v>
      </c>
      <c r="I3352" t="s">
        <v>27</v>
      </c>
    </row>
    <row r="3353" spans="1:9" x14ac:dyDescent="0.2">
      <c r="A3353" t="str">
        <f t="shared" si="299"/>
        <v>38961Tiahura1292PoritidaeDessous</v>
      </c>
      <c r="B3353" s="1">
        <v>38961</v>
      </c>
      <c r="C3353" t="s">
        <v>24</v>
      </c>
      <c r="D3353" s="19">
        <v>12</v>
      </c>
      <c r="E3353">
        <v>92</v>
      </c>
      <c r="F3353" t="s">
        <v>7</v>
      </c>
      <c r="G3353" t="s">
        <v>8</v>
      </c>
      <c r="H3353">
        <v>7</v>
      </c>
      <c r="I3353" t="s">
        <v>27</v>
      </c>
    </row>
    <row r="3354" spans="1:9" x14ac:dyDescent="0.2">
      <c r="A3354" t="str">
        <f t="shared" si="299"/>
        <v>38961Tiahura1293AcroporidaeBords</v>
      </c>
      <c r="B3354" s="1">
        <v>38961</v>
      </c>
      <c r="C3354" t="s">
        <v>24</v>
      </c>
      <c r="D3354" s="19">
        <v>12</v>
      </c>
      <c r="E3354">
        <v>93</v>
      </c>
      <c r="F3354" t="s">
        <v>17</v>
      </c>
      <c r="G3354" t="s">
        <v>13</v>
      </c>
      <c r="H3354">
        <v>1</v>
      </c>
      <c r="I3354" t="s">
        <v>27</v>
      </c>
    </row>
    <row r="3355" spans="1:9" x14ac:dyDescent="0.2">
      <c r="A3355" t="str">
        <f t="shared" si="299"/>
        <v>38961Tiahura1294PocilloporidaeDessous</v>
      </c>
      <c r="B3355" s="1">
        <v>38961</v>
      </c>
      <c r="C3355" t="s">
        <v>24</v>
      </c>
      <c r="D3355" s="19">
        <v>12</v>
      </c>
      <c r="E3355">
        <v>94</v>
      </c>
      <c r="F3355" t="s">
        <v>10</v>
      </c>
      <c r="G3355" t="s">
        <v>8</v>
      </c>
      <c r="H3355">
        <v>1</v>
      </c>
      <c r="I3355" t="s">
        <v>27</v>
      </c>
    </row>
    <row r="3356" spans="1:9" x14ac:dyDescent="0.2">
      <c r="A3356" t="str">
        <f t="shared" si="299"/>
        <v>38961Tiahura1294PoritidaeDessous</v>
      </c>
      <c r="B3356" s="1">
        <v>38961</v>
      </c>
      <c r="C3356" t="s">
        <v>24</v>
      </c>
      <c r="D3356" s="19">
        <v>12</v>
      </c>
      <c r="E3356">
        <v>94</v>
      </c>
      <c r="F3356" t="s">
        <v>7</v>
      </c>
      <c r="G3356" t="s">
        <v>8</v>
      </c>
      <c r="H3356">
        <v>1</v>
      </c>
      <c r="I3356" t="s">
        <v>27</v>
      </c>
    </row>
    <row r="3357" spans="1:9" x14ac:dyDescent="0.2">
      <c r="A3357" t="str">
        <f t="shared" si="299"/>
        <v>38961Tiahura1295PoritidaeDessous</v>
      </c>
      <c r="B3357" s="1">
        <v>38961</v>
      </c>
      <c r="C3357" t="s">
        <v>24</v>
      </c>
      <c r="D3357" s="19">
        <v>12</v>
      </c>
      <c r="E3357">
        <v>95</v>
      </c>
      <c r="F3357" t="s">
        <v>7</v>
      </c>
      <c r="G3357" t="s">
        <v>8</v>
      </c>
      <c r="H3357">
        <v>1</v>
      </c>
      <c r="I3357" t="s">
        <v>27</v>
      </c>
    </row>
    <row r="3358" spans="1:9" x14ac:dyDescent="0.2">
      <c r="A3358" t="str">
        <f t="shared" si="299"/>
        <v>38961Tiahura1296AcroporidaeDessus</v>
      </c>
      <c r="B3358" s="1">
        <v>38961</v>
      </c>
      <c r="C3358" t="s">
        <v>24</v>
      </c>
      <c r="D3358" s="19">
        <v>12</v>
      </c>
      <c r="E3358">
        <v>96</v>
      </c>
      <c r="F3358" t="s">
        <v>17</v>
      </c>
      <c r="G3358" t="s">
        <v>11</v>
      </c>
      <c r="H3358">
        <v>1</v>
      </c>
      <c r="I3358" t="s">
        <v>27</v>
      </c>
    </row>
    <row r="3359" spans="1:9" x14ac:dyDescent="0.2">
      <c r="A3359" t="str">
        <f t="shared" si="299"/>
        <v>38961Tiahura1296PoritidaeDessous</v>
      </c>
      <c r="B3359" s="1">
        <v>38961</v>
      </c>
      <c r="C3359" t="s">
        <v>24</v>
      </c>
      <c r="D3359" s="19">
        <v>12</v>
      </c>
      <c r="E3359">
        <v>96</v>
      </c>
      <c r="F3359" t="s">
        <v>7</v>
      </c>
      <c r="G3359" t="s">
        <v>8</v>
      </c>
      <c r="H3359">
        <v>1</v>
      </c>
      <c r="I3359" t="s">
        <v>27</v>
      </c>
    </row>
    <row r="3360" spans="1:9" x14ac:dyDescent="0.2">
      <c r="A3360" t="str">
        <f t="shared" si="299"/>
        <v>38961Tiahura1297AcroporidaeBords</v>
      </c>
      <c r="B3360" s="1">
        <v>38961</v>
      </c>
      <c r="C3360" t="s">
        <v>24</v>
      </c>
      <c r="D3360" s="19">
        <v>12</v>
      </c>
      <c r="E3360">
        <v>97</v>
      </c>
      <c r="F3360" t="s">
        <v>17</v>
      </c>
      <c r="G3360" t="s">
        <v>13</v>
      </c>
      <c r="H3360">
        <v>1</v>
      </c>
      <c r="I3360" t="s">
        <v>27</v>
      </c>
    </row>
    <row r="3361" spans="1:9" x14ac:dyDescent="0.2">
      <c r="A3361" t="str">
        <f t="shared" si="299"/>
        <v>38961Tiahura1298Autres</v>
      </c>
      <c r="B3361" s="1">
        <v>38961</v>
      </c>
      <c r="C3361" t="s">
        <v>24</v>
      </c>
      <c r="D3361" s="19">
        <v>12</v>
      </c>
      <c r="E3361">
        <v>98</v>
      </c>
      <c r="F3361" t="s">
        <v>14</v>
      </c>
      <c r="H3361">
        <v>0</v>
      </c>
    </row>
    <row r="3362" spans="1:9" x14ac:dyDescent="0.2">
      <c r="A3362" t="str">
        <f t="shared" si="299"/>
        <v>38961Tiahura1299AcroporidaeDessous</v>
      </c>
      <c r="B3362" s="1">
        <v>38961</v>
      </c>
      <c r="C3362" t="s">
        <v>24</v>
      </c>
      <c r="D3362" s="19">
        <v>12</v>
      </c>
      <c r="E3362">
        <v>99</v>
      </c>
      <c r="F3362" t="s">
        <v>17</v>
      </c>
      <c r="G3362" t="s">
        <v>8</v>
      </c>
      <c r="H3362">
        <v>2</v>
      </c>
      <c r="I3362" t="s">
        <v>27</v>
      </c>
    </row>
    <row r="3363" spans="1:9" x14ac:dyDescent="0.2">
      <c r="A3363" t="str">
        <f t="shared" si="299"/>
        <v>38961Tiahura12100PocilloporidaeDessous</v>
      </c>
      <c r="B3363" s="1">
        <v>38961</v>
      </c>
      <c r="C3363" t="s">
        <v>24</v>
      </c>
      <c r="D3363" s="19">
        <v>12</v>
      </c>
      <c r="E3363">
        <v>100</v>
      </c>
      <c r="F3363" t="s">
        <v>10</v>
      </c>
      <c r="G3363" t="s">
        <v>8</v>
      </c>
      <c r="H3363">
        <v>1</v>
      </c>
      <c r="I3363" t="s">
        <v>27</v>
      </c>
    </row>
    <row r="3364" spans="1:9" x14ac:dyDescent="0.2">
      <c r="A3364" t="str">
        <f t="shared" si="299"/>
        <v>38961Tiahura18101Autres</v>
      </c>
      <c r="B3364" s="1">
        <v>38961</v>
      </c>
      <c r="C3364" t="s">
        <v>24</v>
      </c>
      <c r="D3364" s="19">
        <v>18</v>
      </c>
      <c r="E3364">
        <v>101</v>
      </c>
      <c r="F3364" t="s">
        <v>14</v>
      </c>
      <c r="H3364">
        <v>0</v>
      </c>
    </row>
    <row r="3365" spans="1:9" x14ac:dyDescent="0.2">
      <c r="A3365" t="str">
        <f t="shared" si="299"/>
        <v>38961Tiahura18102Autres</v>
      </c>
      <c r="B3365" s="1">
        <v>38961</v>
      </c>
      <c r="C3365" t="s">
        <v>24</v>
      </c>
      <c r="D3365" s="19">
        <v>18</v>
      </c>
      <c r="E3365">
        <v>102</v>
      </c>
      <c r="F3365" t="s">
        <v>14</v>
      </c>
      <c r="H3365">
        <v>0</v>
      </c>
    </row>
    <row r="3366" spans="1:9" x14ac:dyDescent="0.2">
      <c r="A3366" t="str">
        <f t="shared" si="299"/>
        <v>38961Tiahura18103AcroporidaeBords</v>
      </c>
      <c r="B3366" s="1">
        <v>38961</v>
      </c>
      <c r="C3366" t="s">
        <v>24</v>
      </c>
      <c r="D3366" s="19">
        <v>18</v>
      </c>
      <c r="E3366">
        <v>103</v>
      </c>
      <c r="F3366" t="s">
        <v>17</v>
      </c>
      <c r="G3366" t="s">
        <v>13</v>
      </c>
      <c r="H3366">
        <v>1</v>
      </c>
      <c r="I3366" t="s">
        <v>27</v>
      </c>
    </row>
    <row r="3367" spans="1:9" x14ac:dyDescent="0.2">
      <c r="A3367" t="str">
        <f t="shared" si="299"/>
        <v>38961Tiahura18104AcroporidaeDessous</v>
      </c>
      <c r="B3367" s="1">
        <v>38961</v>
      </c>
      <c r="C3367" t="s">
        <v>24</v>
      </c>
      <c r="D3367" s="19">
        <v>18</v>
      </c>
      <c r="E3367">
        <v>104</v>
      </c>
      <c r="F3367" t="s">
        <v>17</v>
      </c>
      <c r="G3367" t="s">
        <v>8</v>
      </c>
      <c r="H3367">
        <v>1</v>
      </c>
      <c r="I3367" t="s">
        <v>27</v>
      </c>
    </row>
    <row r="3368" spans="1:9" x14ac:dyDescent="0.2">
      <c r="A3368" t="str">
        <f t="shared" si="299"/>
        <v>38961Tiahura18104PoritidaeDessous</v>
      </c>
      <c r="B3368" s="1">
        <v>38961</v>
      </c>
      <c r="C3368" t="s">
        <v>24</v>
      </c>
      <c r="D3368" s="19">
        <v>18</v>
      </c>
      <c r="E3368">
        <v>104</v>
      </c>
      <c r="F3368" t="s">
        <v>7</v>
      </c>
      <c r="G3368" t="s">
        <v>8</v>
      </c>
      <c r="H3368">
        <v>1</v>
      </c>
      <c r="I3368" t="s">
        <v>27</v>
      </c>
    </row>
    <row r="3369" spans="1:9" x14ac:dyDescent="0.2">
      <c r="A3369" t="str">
        <f t="shared" si="299"/>
        <v>38961Tiahura18105Autres</v>
      </c>
      <c r="B3369" s="1">
        <v>38961</v>
      </c>
      <c r="C3369" t="s">
        <v>24</v>
      </c>
      <c r="D3369" s="19">
        <v>18</v>
      </c>
      <c r="E3369">
        <v>105</v>
      </c>
      <c r="F3369" t="s">
        <v>14</v>
      </c>
      <c r="H3369">
        <v>0</v>
      </c>
    </row>
    <row r="3370" spans="1:9" x14ac:dyDescent="0.2">
      <c r="A3370" t="str">
        <f t="shared" si="299"/>
        <v>38961Tiahura18106</v>
      </c>
      <c r="B3370" s="1">
        <v>38961</v>
      </c>
      <c r="C3370" t="s">
        <v>24</v>
      </c>
      <c r="D3370" s="19">
        <v>18</v>
      </c>
      <c r="E3370">
        <v>106</v>
      </c>
      <c r="F3370" t="s">
        <v>27</v>
      </c>
      <c r="G3370" t="s">
        <v>27</v>
      </c>
      <c r="H3370" t="s">
        <v>27</v>
      </c>
      <c r="I3370" t="s">
        <v>31</v>
      </c>
    </row>
    <row r="3371" spans="1:9" x14ac:dyDescent="0.2">
      <c r="A3371" t="str">
        <f t="shared" si="299"/>
        <v>38961Tiahura18107Autres</v>
      </c>
      <c r="B3371" s="1">
        <v>38961</v>
      </c>
      <c r="C3371" t="s">
        <v>24</v>
      </c>
      <c r="D3371" s="19">
        <v>18</v>
      </c>
      <c r="E3371">
        <v>107</v>
      </c>
      <c r="F3371" t="s">
        <v>14</v>
      </c>
      <c r="H3371">
        <v>0</v>
      </c>
    </row>
    <row r="3372" spans="1:9" x14ac:dyDescent="0.2">
      <c r="A3372" t="str">
        <f t="shared" si="299"/>
        <v>38961Tiahura18108AcroporidaeDessous</v>
      </c>
      <c r="B3372" s="1">
        <v>38961</v>
      </c>
      <c r="C3372" t="s">
        <v>24</v>
      </c>
      <c r="D3372" s="19">
        <v>18</v>
      </c>
      <c r="E3372">
        <v>108</v>
      </c>
      <c r="F3372" t="s">
        <v>17</v>
      </c>
      <c r="G3372" t="s">
        <v>8</v>
      </c>
      <c r="H3372">
        <v>3</v>
      </c>
      <c r="I3372" t="s">
        <v>27</v>
      </c>
    </row>
    <row r="3373" spans="1:9" x14ac:dyDescent="0.2">
      <c r="A3373" t="str">
        <f t="shared" si="299"/>
        <v>38961Tiahura18108PocilloporidaeDessous</v>
      </c>
      <c r="B3373" s="1">
        <v>38961</v>
      </c>
      <c r="C3373" t="s">
        <v>24</v>
      </c>
      <c r="D3373" s="19">
        <v>18</v>
      </c>
      <c r="E3373">
        <v>108</v>
      </c>
      <c r="F3373" t="s">
        <v>10</v>
      </c>
      <c r="G3373" t="s">
        <v>8</v>
      </c>
      <c r="H3373">
        <v>2</v>
      </c>
      <c r="I3373" t="s">
        <v>27</v>
      </c>
    </row>
    <row r="3374" spans="1:9" x14ac:dyDescent="0.2">
      <c r="A3374" t="str">
        <f t="shared" si="299"/>
        <v>38961Tiahura18109AcroporidaeDessous</v>
      </c>
      <c r="B3374" s="1">
        <v>38961</v>
      </c>
      <c r="C3374" t="s">
        <v>24</v>
      </c>
      <c r="D3374" s="19">
        <v>18</v>
      </c>
      <c r="E3374">
        <v>109</v>
      </c>
      <c r="F3374" t="s">
        <v>17</v>
      </c>
      <c r="G3374" t="s">
        <v>8</v>
      </c>
      <c r="H3374">
        <v>2</v>
      </c>
      <c r="I3374" t="s">
        <v>27</v>
      </c>
    </row>
    <row r="3375" spans="1:9" x14ac:dyDescent="0.2">
      <c r="A3375" t="str">
        <f t="shared" si="299"/>
        <v>38961Tiahura18109PoritidaeDessous</v>
      </c>
      <c r="B3375" s="1">
        <v>38961</v>
      </c>
      <c r="C3375" t="s">
        <v>24</v>
      </c>
      <c r="D3375" s="19">
        <v>18</v>
      </c>
      <c r="E3375">
        <v>109</v>
      </c>
      <c r="F3375" t="s">
        <v>7</v>
      </c>
      <c r="G3375" t="s">
        <v>8</v>
      </c>
      <c r="H3375">
        <v>1</v>
      </c>
      <c r="I3375" t="s">
        <v>27</v>
      </c>
    </row>
    <row r="3376" spans="1:9" x14ac:dyDescent="0.2">
      <c r="A3376" t="str">
        <f t="shared" si="299"/>
        <v>38961Tiahura18110Autres</v>
      </c>
      <c r="B3376" s="1">
        <v>38961</v>
      </c>
      <c r="C3376" t="s">
        <v>24</v>
      </c>
      <c r="D3376" s="19">
        <v>18</v>
      </c>
      <c r="E3376">
        <v>110</v>
      </c>
      <c r="F3376" t="s">
        <v>14</v>
      </c>
      <c r="H3376">
        <v>0</v>
      </c>
    </row>
    <row r="3377" spans="1:9" x14ac:dyDescent="0.2">
      <c r="A3377" t="str">
        <f t="shared" si="299"/>
        <v>38961Tiahura18111PocilloporidaeDessous</v>
      </c>
      <c r="B3377" s="1">
        <v>38961</v>
      </c>
      <c r="C3377" t="s">
        <v>24</v>
      </c>
      <c r="D3377" s="19">
        <v>18</v>
      </c>
      <c r="E3377">
        <v>111</v>
      </c>
      <c r="F3377" t="s">
        <v>10</v>
      </c>
      <c r="G3377" t="s">
        <v>8</v>
      </c>
      <c r="H3377">
        <v>1</v>
      </c>
      <c r="I3377" t="s">
        <v>27</v>
      </c>
    </row>
    <row r="3378" spans="1:9" x14ac:dyDescent="0.2">
      <c r="A3378" t="str">
        <f t="shared" si="299"/>
        <v>38961Tiahura18112Autres</v>
      </c>
      <c r="B3378" s="1">
        <v>38961</v>
      </c>
      <c r="C3378" t="s">
        <v>24</v>
      </c>
      <c r="D3378" s="19">
        <v>18</v>
      </c>
      <c r="E3378">
        <v>112</v>
      </c>
      <c r="F3378" t="s">
        <v>14</v>
      </c>
      <c r="H3378">
        <v>0</v>
      </c>
    </row>
    <row r="3379" spans="1:9" x14ac:dyDescent="0.2">
      <c r="A3379" t="str">
        <f t="shared" si="299"/>
        <v>38961Tiahura18113Autres</v>
      </c>
      <c r="B3379" s="1">
        <v>38961</v>
      </c>
      <c r="C3379" t="s">
        <v>24</v>
      </c>
      <c r="D3379" s="19">
        <v>18</v>
      </c>
      <c r="E3379">
        <v>113</v>
      </c>
      <c r="F3379" t="s">
        <v>14</v>
      </c>
      <c r="H3379">
        <v>0</v>
      </c>
    </row>
    <row r="3380" spans="1:9" x14ac:dyDescent="0.2">
      <c r="A3380" t="str">
        <f t="shared" si="299"/>
        <v>38961Tiahura18114AcroporidaeBords</v>
      </c>
      <c r="B3380" s="1">
        <v>38961</v>
      </c>
      <c r="C3380" t="s">
        <v>24</v>
      </c>
      <c r="D3380" s="19">
        <v>18</v>
      </c>
      <c r="E3380">
        <v>114</v>
      </c>
      <c r="F3380" t="s">
        <v>17</v>
      </c>
      <c r="G3380" t="s">
        <v>13</v>
      </c>
      <c r="H3380">
        <v>1</v>
      </c>
      <c r="I3380" t="s">
        <v>27</v>
      </c>
    </row>
    <row r="3381" spans="1:9" x14ac:dyDescent="0.2">
      <c r="A3381" t="str">
        <f t="shared" si="299"/>
        <v>38961Tiahura18114PoritidaeBords</v>
      </c>
      <c r="B3381" s="1">
        <v>38961</v>
      </c>
      <c r="C3381" t="s">
        <v>24</v>
      </c>
      <c r="D3381" s="19">
        <v>18</v>
      </c>
      <c r="E3381">
        <v>114</v>
      </c>
      <c r="F3381" t="s">
        <v>7</v>
      </c>
      <c r="G3381" t="s">
        <v>13</v>
      </c>
      <c r="H3381">
        <v>2</v>
      </c>
      <c r="I3381" t="s">
        <v>27</v>
      </c>
    </row>
    <row r="3382" spans="1:9" x14ac:dyDescent="0.2">
      <c r="A3382" t="str">
        <f t="shared" si="299"/>
        <v>38961Tiahura18115PoritidaeBords</v>
      </c>
      <c r="B3382" s="1">
        <v>38961</v>
      </c>
      <c r="C3382" t="s">
        <v>24</v>
      </c>
      <c r="D3382" s="19">
        <v>18</v>
      </c>
      <c r="E3382">
        <v>115</v>
      </c>
      <c r="F3382" t="s">
        <v>7</v>
      </c>
      <c r="G3382" t="s">
        <v>13</v>
      </c>
      <c r="H3382">
        <v>1</v>
      </c>
      <c r="I3382" t="s">
        <v>27</v>
      </c>
    </row>
    <row r="3383" spans="1:9" x14ac:dyDescent="0.2">
      <c r="A3383" t="str">
        <f t="shared" si="299"/>
        <v>38961Tiahura18115PoritidaeDessous</v>
      </c>
      <c r="B3383" s="1">
        <v>38961</v>
      </c>
      <c r="C3383" t="s">
        <v>24</v>
      </c>
      <c r="D3383" s="19">
        <v>18</v>
      </c>
      <c r="E3383">
        <v>115</v>
      </c>
      <c r="F3383" t="s">
        <v>7</v>
      </c>
      <c r="G3383" t="s">
        <v>8</v>
      </c>
      <c r="H3383">
        <v>1</v>
      </c>
      <c r="I3383" t="s">
        <v>27</v>
      </c>
    </row>
    <row r="3384" spans="1:9" x14ac:dyDescent="0.2">
      <c r="A3384" t="str">
        <f t="shared" si="299"/>
        <v>38961Tiahura18116PoritidaeDessous</v>
      </c>
      <c r="B3384" s="1">
        <v>38961</v>
      </c>
      <c r="C3384" t="s">
        <v>24</v>
      </c>
      <c r="D3384" s="19">
        <v>18</v>
      </c>
      <c r="E3384">
        <v>116</v>
      </c>
      <c r="F3384" t="s">
        <v>7</v>
      </c>
      <c r="G3384" t="s">
        <v>8</v>
      </c>
      <c r="H3384">
        <v>2</v>
      </c>
      <c r="I3384" t="s">
        <v>27</v>
      </c>
    </row>
    <row r="3385" spans="1:9" x14ac:dyDescent="0.2">
      <c r="A3385" t="str">
        <f t="shared" si="299"/>
        <v>38961Tiahura18117Autres</v>
      </c>
      <c r="B3385" s="1">
        <v>38961</v>
      </c>
      <c r="C3385" t="s">
        <v>24</v>
      </c>
      <c r="D3385" s="19">
        <v>18</v>
      </c>
      <c r="E3385">
        <v>117</v>
      </c>
      <c r="F3385" t="s">
        <v>14</v>
      </c>
      <c r="H3385">
        <v>0</v>
      </c>
    </row>
    <row r="3386" spans="1:9" x14ac:dyDescent="0.2">
      <c r="A3386" t="str">
        <f t="shared" si="299"/>
        <v>38961Tiahura18118AcroporidaeBords</v>
      </c>
      <c r="B3386" s="1">
        <v>38961</v>
      </c>
      <c r="C3386" t="s">
        <v>24</v>
      </c>
      <c r="D3386" s="19">
        <v>18</v>
      </c>
      <c r="E3386">
        <v>118</v>
      </c>
      <c r="F3386" t="s">
        <v>17</v>
      </c>
      <c r="G3386" t="s">
        <v>13</v>
      </c>
      <c r="H3386">
        <v>1</v>
      </c>
      <c r="I3386" t="s">
        <v>27</v>
      </c>
    </row>
    <row r="3387" spans="1:9" x14ac:dyDescent="0.2">
      <c r="A3387" t="str">
        <f t="shared" si="299"/>
        <v>38961Tiahura18119PocilloporidaeBords</v>
      </c>
      <c r="B3387" s="1">
        <v>38961</v>
      </c>
      <c r="C3387" t="s">
        <v>24</v>
      </c>
      <c r="D3387" s="19">
        <v>18</v>
      </c>
      <c r="E3387">
        <v>119</v>
      </c>
      <c r="F3387" t="s">
        <v>10</v>
      </c>
      <c r="G3387" t="s">
        <v>13</v>
      </c>
      <c r="H3387">
        <v>1</v>
      </c>
      <c r="I3387" t="s">
        <v>27</v>
      </c>
    </row>
    <row r="3388" spans="1:9" x14ac:dyDescent="0.2">
      <c r="A3388" t="str">
        <f t="shared" si="299"/>
        <v>38961Tiahura18120Autres</v>
      </c>
      <c r="B3388" s="1">
        <v>38961</v>
      </c>
      <c r="C3388" t="s">
        <v>24</v>
      </c>
      <c r="D3388" s="19">
        <v>18</v>
      </c>
      <c r="E3388">
        <v>120</v>
      </c>
      <c r="F3388" t="s">
        <v>14</v>
      </c>
      <c r="H3388">
        <v>0</v>
      </c>
    </row>
    <row r="3389" spans="1:9" x14ac:dyDescent="0.2">
      <c r="A3389" t="str">
        <f t="shared" si="299"/>
        <v>38961Haapiti6121Autres</v>
      </c>
      <c r="B3389" s="1">
        <v>38961</v>
      </c>
      <c r="C3389" t="s">
        <v>25</v>
      </c>
      <c r="D3389" s="19">
        <v>6</v>
      </c>
      <c r="E3389">
        <v>121</v>
      </c>
      <c r="F3389" t="s">
        <v>14</v>
      </c>
      <c r="H3389">
        <v>0</v>
      </c>
    </row>
    <row r="3390" spans="1:9" x14ac:dyDescent="0.2">
      <c r="A3390" t="str">
        <f t="shared" si="299"/>
        <v>38961Haapiti6122Autres</v>
      </c>
      <c r="B3390" s="1">
        <v>38961</v>
      </c>
      <c r="C3390" t="s">
        <v>25</v>
      </c>
      <c r="D3390" s="19">
        <v>6</v>
      </c>
      <c r="E3390">
        <v>122</v>
      </c>
      <c r="F3390" t="s">
        <v>14</v>
      </c>
      <c r="H3390">
        <v>0</v>
      </c>
    </row>
    <row r="3391" spans="1:9" x14ac:dyDescent="0.2">
      <c r="A3391" t="str">
        <f t="shared" ref="A3391:A3454" si="300">B3391 &amp; C3391&amp; D3391&amp; E3391 &amp; F3391 &amp;G3391</f>
        <v>38961Haapiti6123Autres</v>
      </c>
      <c r="B3391" s="1">
        <v>38961</v>
      </c>
      <c r="C3391" t="s">
        <v>25</v>
      </c>
      <c r="D3391" s="19">
        <v>6</v>
      </c>
      <c r="E3391">
        <v>123</v>
      </c>
      <c r="F3391" t="s">
        <v>14</v>
      </c>
      <c r="H3391">
        <v>0</v>
      </c>
    </row>
    <row r="3392" spans="1:9" x14ac:dyDescent="0.2">
      <c r="A3392" t="str">
        <f t="shared" si="300"/>
        <v>38961Haapiti6124</v>
      </c>
      <c r="B3392" s="1">
        <v>38961</v>
      </c>
      <c r="C3392" t="s">
        <v>25</v>
      </c>
      <c r="D3392" s="19">
        <v>6</v>
      </c>
      <c r="E3392">
        <v>124</v>
      </c>
      <c r="F3392" t="s">
        <v>27</v>
      </c>
      <c r="G3392" t="s">
        <v>27</v>
      </c>
      <c r="H3392" t="s">
        <v>27</v>
      </c>
      <c r="I3392" t="s">
        <v>31</v>
      </c>
    </row>
    <row r="3393" spans="1:9" x14ac:dyDescent="0.2">
      <c r="A3393" t="str">
        <f t="shared" si="300"/>
        <v>38961Haapiti6125AcroporidaeDessous</v>
      </c>
      <c r="B3393" s="1">
        <v>38961</v>
      </c>
      <c r="C3393" t="s">
        <v>25</v>
      </c>
      <c r="D3393" s="19">
        <v>6</v>
      </c>
      <c r="E3393">
        <v>125</v>
      </c>
      <c r="F3393" t="s">
        <v>17</v>
      </c>
      <c r="G3393" t="s">
        <v>8</v>
      </c>
      <c r="H3393">
        <v>1</v>
      </c>
      <c r="I3393" t="s">
        <v>27</v>
      </c>
    </row>
    <row r="3394" spans="1:9" x14ac:dyDescent="0.2">
      <c r="A3394" t="str">
        <f t="shared" si="300"/>
        <v>38961Haapiti6126Autres</v>
      </c>
      <c r="B3394" s="1">
        <v>38961</v>
      </c>
      <c r="C3394" t="s">
        <v>25</v>
      </c>
      <c r="D3394" s="19">
        <v>6</v>
      </c>
      <c r="E3394">
        <v>126</v>
      </c>
      <c r="F3394" t="s">
        <v>14</v>
      </c>
      <c r="H3394">
        <v>0</v>
      </c>
    </row>
    <row r="3395" spans="1:9" x14ac:dyDescent="0.2">
      <c r="A3395" t="str">
        <f t="shared" si="300"/>
        <v>38961Haapiti6127Autres</v>
      </c>
      <c r="B3395" s="1">
        <v>38961</v>
      </c>
      <c r="C3395" t="s">
        <v>25</v>
      </c>
      <c r="D3395" s="19">
        <v>6</v>
      </c>
      <c r="E3395">
        <v>127</v>
      </c>
      <c r="F3395" t="s">
        <v>14</v>
      </c>
      <c r="H3395">
        <v>0</v>
      </c>
    </row>
    <row r="3396" spans="1:9" x14ac:dyDescent="0.2">
      <c r="A3396" t="str">
        <f t="shared" si="300"/>
        <v>38961Haapiti6128Autres</v>
      </c>
      <c r="B3396" s="1">
        <v>38961</v>
      </c>
      <c r="C3396" t="s">
        <v>25</v>
      </c>
      <c r="D3396" s="19">
        <v>6</v>
      </c>
      <c r="E3396">
        <v>128</v>
      </c>
      <c r="F3396" t="s">
        <v>14</v>
      </c>
      <c r="H3396">
        <v>0</v>
      </c>
    </row>
    <row r="3397" spans="1:9" x14ac:dyDescent="0.2">
      <c r="A3397" t="str">
        <f t="shared" si="300"/>
        <v>38961Haapiti6129Autres</v>
      </c>
      <c r="B3397" s="1">
        <v>38961</v>
      </c>
      <c r="C3397" t="s">
        <v>25</v>
      </c>
      <c r="D3397" s="19">
        <v>6</v>
      </c>
      <c r="E3397">
        <v>129</v>
      </c>
      <c r="F3397" t="s">
        <v>14</v>
      </c>
      <c r="H3397">
        <v>0</v>
      </c>
    </row>
    <row r="3398" spans="1:9" x14ac:dyDescent="0.2">
      <c r="A3398" t="str">
        <f t="shared" si="300"/>
        <v>38961Haapiti6130Autres</v>
      </c>
      <c r="B3398" s="1">
        <v>38961</v>
      </c>
      <c r="C3398" t="s">
        <v>25</v>
      </c>
      <c r="D3398" s="19">
        <v>6</v>
      </c>
      <c r="E3398">
        <v>130</v>
      </c>
      <c r="F3398" t="s">
        <v>14</v>
      </c>
      <c r="H3398">
        <v>0</v>
      </c>
    </row>
    <row r="3399" spans="1:9" x14ac:dyDescent="0.2">
      <c r="A3399" t="str">
        <f t="shared" si="300"/>
        <v>38961Haapiti6131Autres</v>
      </c>
      <c r="B3399" s="1">
        <v>38961</v>
      </c>
      <c r="C3399" t="s">
        <v>25</v>
      </c>
      <c r="D3399" s="19">
        <v>6</v>
      </c>
      <c r="E3399">
        <v>131</v>
      </c>
      <c r="F3399" t="s">
        <v>14</v>
      </c>
      <c r="H3399">
        <v>0</v>
      </c>
    </row>
    <row r="3400" spans="1:9" x14ac:dyDescent="0.2">
      <c r="A3400" t="str">
        <f t="shared" si="300"/>
        <v>38961Haapiti6132Autres</v>
      </c>
      <c r="B3400" s="1">
        <v>38961</v>
      </c>
      <c r="C3400" t="s">
        <v>25</v>
      </c>
      <c r="D3400" s="19">
        <v>6</v>
      </c>
      <c r="E3400">
        <v>132</v>
      </c>
      <c r="F3400" t="s">
        <v>14</v>
      </c>
      <c r="H3400">
        <v>0</v>
      </c>
    </row>
    <row r="3401" spans="1:9" x14ac:dyDescent="0.2">
      <c r="A3401" t="str">
        <f t="shared" si="300"/>
        <v>38961Haapiti6133Autres</v>
      </c>
      <c r="B3401" s="1">
        <v>38961</v>
      </c>
      <c r="C3401" t="s">
        <v>25</v>
      </c>
      <c r="D3401" s="19">
        <v>6</v>
      </c>
      <c r="E3401">
        <v>133</v>
      </c>
      <c r="F3401" t="s">
        <v>14</v>
      </c>
      <c r="H3401">
        <v>0</v>
      </c>
    </row>
    <row r="3402" spans="1:9" x14ac:dyDescent="0.2">
      <c r="A3402" t="str">
        <f t="shared" si="300"/>
        <v>38961Haapiti6134AcroporidaeBords</v>
      </c>
      <c r="B3402" s="1">
        <v>38961</v>
      </c>
      <c r="C3402" t="s">
        <v>25</v>
      </c>
      <c r="D3402" s="19">
        <v>6</v>
      </c>
      <c r="E3402">
        <v>134</v>
      </c>
      <c r="F3402" t="s">
        <v>17</v>
      </c>
      <c r="G3402" t="s">
        <v>13</v>
      </c>
      <c r="H3402">
        <v>1</v>
      </c>
      <c r="I3402" t="s">
        <v>27</v>
      </c>
    </row>
    <row r="3403" spans="1:9" x14ac:dyDescent="0.2">
      <c r="A3403" t="str">
        <f t="shared" si="300"/>
        <v>38961Haapiti6135Autres</v>
      </c>
      <c r="B3403" s="1">
        <v>38961</v>
      </c>
      <c r="C3403" t="s">
        <v>25</v>
      </c>
      <c r="D3403" s="19">
        <v>6</v>
      </c>
      <c r="E3403">
        <v>135</v>
      </c>
      <c r="F3403" t="s">
        <v>14</v>
      </c>
      <c r="H3403">
        <v>0</v>
      </c>
    </row>
    <row r="3404" spans="1:9" x14ac:dyDescent="0.2">
      <c r="A3404" t="str">
        <f t="shared" si="300"/>
        <v>38961Haapiti6136Autres</v>
      </c>
      <c r="B3404" s="1">
        <v>38961</v>
      </c>
      <c r="C3404" t="s">
        <v>25</v>
      </c>
      <c r="D3404" s="19">
        <v>6</v>
      </c>
      <c r="E3404">
        <v>136</v>
      </c>
      <c r="F3404" t="s">
        <v>14</v>
      </c>
      <c r="H3404">
        <v>0</v>
      </c>
    </row>
    <row r="3405" spans="1:9" x14ac:dyDescent="0.2">
      <c r="A3405" t="str">
        <f t="shared" si="300"/>
        <v>38961Haapiti6137Autres</v>
      </c>
      <c r="B3405" s="1">
        <v>38961</v>
      </c>
      <c r="C3405" t="s">
        <v>25</v>
      </c>
      <c r="D3405" s="19">
        <v>6</v>
      </c>
      <c r="E3405">
        <v>137</v>
      </c>
      <c r="F3405" t="s">
        <v>14</v>
      </c>
      <c r="H3405">
        <v>0</v>
      </c>
    </row>
    <row r="3406" spans="1:9" x14ac:dyDescent="0.2">
      <c r="A3406" t="str">
        <f t="shared" si="300"/>
        <v>38961Haapiti6138Autres</v>
      </c>
      <c r="B3406" s="1">
        <v>38961</v>
      </c>
      <c r="C3406" t="s">
        <v>25</v>
      </c>
      <c r="D3406" s="19">
        <v>6</v>
      </c>
      <c r="E3406">
        <v>138</v>
      </c>
      <c r="F3406" t="s">
        <v>14</v>
      </c>
      <c r="H3406">
        <v>0</v>
      </c>
    </row>
    <row r="3407" spans="1:9" x14ac:dyDescent="0.2">
      <c r="A3407" t="str">
        <f t="shared" si="300"/>
        <v>38961Haapiti6139Autres</v>
      </c>
      <c r="B3407" s="1">
        <v>38961</v>
      </c>
      <c r="C3407" t="s">
        <v>25</v>
      </c>
      <c r="D3407" s="19">
        <v>6</v>
      </c>
      <c r="E3407">
        <v>139</v>
      </c>
      <c r="F3407" t="s">
        <v>14</v>
      </c>
      <c r="H3407">
        <v>0</v>
      </c>
    </row>
    <row r="3408" spans="1:9" x14ac:dyDescent="0.2">
      <c r="A3408" t="str">
        <f t="shared" si="300"/>
        <v>38961Haapiti6140</v>
      </c>
      <c r="B3408" s="1">
        <v>38961</v>
      </c>
      <c r="C3408" t="s">
        <v>25</v>
      </c>
      <c r="D3408" s="19">
        <v>6</v>
      </c>
      <c r="E3408">
        <v>140</v>
      </c>
      <c r="F3408" t="s">
        <v>27</v>
      </c>
      <c r="G3408" t="s">
        <v>27</v>
      </c>
      <c r="H3408" t="s">
        <v>27</v>
      </c>
      <c r="I3408" t="s">
        <v>31</v>
      </c>
    </row>
    <row r="3409" spans="1:9" x14ac:dyDescent="0.2">
      <c r="A3409" t="str">
        <f t="shared" si="300"/>
        <v>38961Haapiti12141Autres</v>
      </c>
      <c r="B3409" s="1">
        <v>38961</v>
      </c>
      <c r="C3409" t="s">
        <v>25</v>
      </c>
      <c r="D3409" s="19">
        <v>12</v>
      </c>
      <c r="E3409">
        <v>141</v>
      </c>
      <c r="F3409" t="s">
        <v>14</v>
      </c>
      <c r="H3409">
        <v>0</v>
      </c>
    </row>
    <row r="3410" spans="1:9" x14ac:dyDescent="0.2">
      <c r="A3410" t="str">
        <f t="shared" si="300"/>
        <v>38961Haapiti12142PoritidaeDessous</v>
      </c>
      <c r="B3410" s="1">
        <v>38961</v>
      </c>
      <c r="C3410" t="s">
        <v>25</v>
      </c>
      <c r="D3410" s="19">
        <v>12</v>
      </c>
      <c r="E3410">
        <v>142</v>
      </c>
      <c r="F3410" t="s">
        <v>7</v>
      </c>
      <c r="G3410" t="s">
        <v>8</v>
      </c>
      <c r="H3410">
        <v>1</v>
      </c>
      <c r="I3410" t="s">
        <v>27</v>
      </c>
    </row>
    <row r="3411" spans="1:9" x14ac:dyDescent="0.2">
      <c r="A3411" t="str">
        <f t="shared" si="300"/>
        <v>38961Haapiti12143Autres</v>
      </c>
      <c r="B3411" s="1">
        <v>38961</v>
      </c>
      <c r="C3411" t="s">
        <v>25</v>
      </c>
      <c r="D3411" s="19">
        <v>12</v>
      </c>
      <c r="E3411">
        <v>143</v>
      </c>
      <c r="F3411" t="s">
        <v>14</v>
      </c>
      <c r="H3411">
        <v>0</v>
      </c>
    </row>
    <row r="3412" spans="1:9" x14ac:dyDescent="0.2">
      <c r="A3412" t="str">
        <f t="shared" si="300"/>
        <v>38961Haapiti12144AcroporidaeDessus</v>
      </c>
      <c r="B3412" s="1">
        <v>38961</v>
      </c>
      <c r="C3412" t="s">
        <v>25</v>
      </c>
      <c r="D3412" s="19">
        <v>12</v>
      </c>
      <c r="E3412">
        <v>144</v>
      </c>
      <c r="F3412" t="s">
        <v>17</v>
      </c>
      <c r="G3412" t="s">
        <v>11</v>
      </c>
      <c r="H3412">
        <v>1</v>
      </c>
      <c r="I3412" t="s">
        <v>27</v>
      </c>
    </row>
    <row r="3413" spans="1:9" x14ac:dyDescent="0.2">
      <c r="A3413" t="str">
        <f t="shared" si="300"/>
        <v>38961Haapiti12144PocilloporidaeDessous</v>
      </c>
      <c r="B3413" s="1">
        <v>38961</v>
      </c>
      <c r="C3413" t="s">
        <v>25</v>
      </c>
      <c r="D3413" s="19">
        <v>12</v>
      </c>
      <c r="E3413">
        <v>144</v>
      </c>
      <c r="F3413" t="s">
        <v>10</v>
      </c>
      <c r="G3413" t="s">
        <v>8</v>
      </c>
      <c r="H3413">
        <v>1</v>
      </c>
      <c r="I3413" t="s">
        <v>27</v>
      </c>
    </row>
    <row r="3414" spans="1:9" x14ac:dyDescent="0.2">
      <c r="A3414" t="str">
        <f t="shared" si="300"/>
        <v>38961Haapiti12144PoritidaeDessous</v>
      </c>
      <c r="B3414" s="1">
        <v>38961</v>
      </c>
      <c r="C3414" t="s">
        <v>25</v>
      </c>
      <c r="D3414" s="19">
        <v>12</v>
      </c>
      <c r="E3414">
        <v>144</v>
      </c>
      <c r="F3414" t="s">
        <v>7</v>
      </c>
      <c r="G3414" t="s">
        <v>8</v>
      </c>
      <c r="H3414">
        <v>1</v>
      </c>
      <c r="I3414" t="s">
        <v>27</v>
      </c>
    </row>
    <row r="3415" spans="1:9" x14ac:dyDescent="0.2">
      <c r="A3415" t="str">
        <f t="shared" si="300"/>
        <v>38961Haapiti12145AcroporidaeBords</v>
      </c>
      <c r="B3415" s="1">
        <v>38961</v>
      </c>
      <c r="C3415" t="s">
        <v>25</v>
      </c>
      <c r="D3415" s="19">
        <v>12</v>
      </c>
      <c r="E3415">
        <v>145</v>
      </c>
      <c r="F3415" t="s">
        <v>17</v>
      </c>
      <c r="G3415" t="s">
        <v>13</v>
      </c>
      <c r="H3415">
        <v>1</v>
      </c>
      <c r="I3415" t="s">
        <v>27</v>
      </c>
    </row>
    <row r="3416" spans="1:9" x14ac:dyDescent="0.2">
      <c r="A3416" t="str">
        <f t="shared" si="300"/>
        <v>38961Haapiti12145PoritidaeBords</v>
      </c>
      <c r="B3416" s="1">
        <v>38961</v>
      </c>
      <c r="C3416" t="s">
        <v>25</v>
      </c>
      <c r="D3416" s="19">
        <v>12</v>
      </c>
      <c r="E3416">
        <v>145</v>
      </c>
      <c r="F3416" t="s">
        <v>7</v>
      </c>
      <c r="G3416" t="s">
        <v>13</v>
      </c>
      <c r="H3416">
        <v>2</v>
      </c>
      <c r="I3416" t="s">
        <v>27</v>
      </c>
    </row>
    <row r="3417" spans="1:9" x14ac:dyDescent="0.2">
      <c r="A3417" t="str">
        <f t="shared" si="300"/>
        <v>38961Haapiti12146Autres</v>
      </c>
      <c r="B3417" s="1">
        <v>38961</v>
      </c>
      <c r="C3417" t="s">
        <v>25</v>
      </c>
      <c r="D3417" s="19">
        <v>12</v>
      </c>
      <c r="E3417">
        <v>146</v>
      </c>
      <c r="F3417" t="s">
        <v>14</v>
      </c>
      <c r="H3417">
        <v>0</v>
      </c>
    </row>
    <row r="3418" spans="1:9" x14ac:dyDescent="0.2">
      <c r="A3418" t="str">
        <f t="shared" si="300"/>
        <v>38961Haapiti12147AcroporidaeDessous</v>
      </c>
      <c r="B3418" s="1">
        <v>38961</v>
      </c>
      <c r="C3418" t="s">
        <v>25</v>
      </c>
      <c r="D3418" s="19">
        <v>12</v>
      </c>
      <c r="E3418">
        <v>147</v>
      </c>
      <c r="F3418" t="s">
        <v>17</v>
      </c>
      <c r="G3418" t="s">
        <v>8</v>
      </c>
      <c r="H3418">
        <v>2</v>
      </c>
      <c r="I3418" t="s">
        <v>27</v>
      </c>
    </row>
    <row r="3419" spans="1:9" x14ac:dyDescent="0.2">
      <c r="A3419" t="str">
        <f t="shared" si="300"/>
        <v>38961Haapiti12148Autres</v>
      </c>
      <c r="B3419" s="1">
        <v>38961</v>
      </c>
      <c r="C3419" t="s">
        <v>25</v>
      </c>
      <c r="D3419" s="19">
        <v>12</v>
      </c>
      <c r="E3419">
        <v>148</v>
      </c>
      <c r="F3419" t="s">
        <v>14</v>
      </c>
      <c r="H3419">
        <v>0</v>
      </c>
    </row>
    <row r="3420" spans="1:9" x14ac:dyDescent="0.2">
      <c r="A3420" t="str">
        <f t="shared" si="300"/>
        <v>38961Haapiti12149CassésDessous</v>
      </c>
      <c r="B3420" s="1">
        <v>38961</v>
      </c>
      <c r="C3420" t="s">
        <v>25</v>
      </c>
      <c r="D3420" s="19">
        <v>12</v>
      </c>
      <c r="E3420">
        <v>149</v>
      </c>
      <c r="F3420" t="s">
        <v>12</v>
      </c>
      <c r="G3420" t="s">
        <v>8</v>
      </c>
      <c r="H3420">
        <v>1</v>
      </c>
      <c r="I3420" t="s">
        <v>27</v>
      </c>
    </row>
    <row r="3421" spans="1:9" x14ac:dyDescent="0.2">
      <c r="A3421" t="str">
        <f t="shared" si="300"/>
        <v>38961Haapiti12150Autres</v>
      </c>
      <c r="B3421" s="1">
        <v>38961</v>
      </c>
      <c r="C3421" t="s">
        <v>25</v>
      </c>
      <c r="D3421" s="19">
        <v>12</v>
      </c>
      <c r="E3421">
        <v>150</v>
      </c>
      <c r="F3421" t="s">
        <v>14</v>
      </c>
      <c r="H3421">
        <v>0</v>
      </c>
    </row>
    <row r="3422" spans="1:9" x14ac:dyDescent="0.2">
      <c r="A3422" t="str">
        <f t="shared" si="300"/>
        <v>38961Haapiti12151Autres</v>
      </c>
      <c r="B3422" s="1">
        <v>38961</v>
      </c>
      <c r="C3422" t="s">
        <v>25</v>
      </c>
      <c r="D3422" s="19">
        <v>12</v>
      </c>
      <c r="E3422">
        <v>151</v>
      </c>
      <c r="F3422" t="s">
        <v>14</v>
      </c>
      <c r="H3422">
        <v>0</v>
      </c>
    </row>
    <row r="3423" spans="1:9" x14ac:dyDescent="0.2">
      <c r="A3423" t="str">
        <f t="shared" si="300"/>
        <v>38961Haapiti12152Autres</v>
      </c>
      <c r="B3423" s="1">
        <v>38961</v>
      </c>
      <c r="C3423" t="s">
        <v>25</v>
      </c>
      <c r="D3423" s="19">
        <v>12</v>
      </c>
      <c r="E3423">
        <v>152</v>
      </c>
      <c r="F3423" t="s">
        <v>14</v>
      </c>
      <c r="H3423">
        <v>0</v>
      </c>
    </row>
    <row r="3424" spans="1:9" x14ac:dyDescent="0.2">
      <c r="A3424" t="str">
        <f t="shared" si="300"/>
        <v>38961Haapiti12153Autres</v>
      </c>
      <c r="B3424" s="1">
        <v>38961</v>
      </c>
      <c r="C3424" t="s">
        <v>25</v>
      </c>
      <c r="D3424" s="19">
        <v>12</v>
      </c>
      <c r="E3424">
        <v>153</v>
      </c>
      <c r="F3424" t="s">
        <v>14</v>
      </c>
      <c r="H3424">
        <v>0</v>
      </c>
    </row>
    <row r="3425" spans="1:9" x14ac:dyDescent="0.2">
      <c r="A3425" t="str">
        <f t="shared" si="300"/>
        <v>38961Haapiti12154AcroporidaeBords</v>
      </c>
      <c r="B3425" s="1">
        <v>38961</v>
      </c>
      <c r="C3425" t="s">
        <v>25</v>
      </c>
      <c r="D3425" s="19">
        <v>12</v>
      </c>
      <c r="E3425">
        <v>154</v>
      </c>
      <c r="F3425" t="s">
        <v>17</v>
      </c>
      <c r="G3425" t="s">
        <v>13</v>
      </c>
      <c r="H3425">
        <v>1</v>
      </c>
      <c r="I3425" t="s">
        <v>27</v>
      </c>
    </row>
    <row r="3426" spans="1:9" x14ac:dyDescent="0.2">
      <c r="A3426" t="str">
        <f t="shared" si="300"/>
        <v>38961Haapiti12155PocilloporidaeDessous</v>
      </c>
      <c r="B3426" s="1">
        <v>38961</v>
      </c>
      <c r="C3426" t="s">
        <v>25</v>
      </c>
      <c r="D3426" s="19">
        <v>12</v>
      </c>
      <c r="E3426">
        <v>155</v>
      </c>
      <c r="F3426" t="s">
        <v>10</v>
      </c>
      <c r="G3426" t="s">
        <v>8</v>
      </c>
      <c r="H3426">
        <v>2</v>
      </c>
      <c r="I3426" t="s">
        <v>27</v>
      </c>
    </row>
    <row r="3427" spans="1:9" x14ac:dyDescent="0.2">
      <c r="A3427" t="str">
        <f t="shared" si="300"/>
        <v>38961Haapiti12155PoritidaeDessous</v>
      </c>
      <c r="B3427" s="1">
        <v>38961</v>
      </c>
      <c r="C3427" t="s">
        <v>25</v>
      </c>
      <c r="D3427" s="19">
        <v>12</v>
      </c>
      <c r="E3427">
        <v>155</v>
      </c>
      <c r="F3427" t="s">
        <v>7</v>
      </c>
      <c r="G3427" t="s">
        <v>8</v>
      </c>
      <c r="H3427">
        <v>1</v>
      </c>
      <c r="I3427" t="s">
        <v>27</v>
      </c>
    </row>
    <row r="3428" spans="1:9" x14ac:dyDescent="0.2">
      <c r="A3428" t="str">
        <f t="shared" si="300"/>
        <v>38961Haapiti12156Autres</v>
      </c>
      <c r="B3428" s="1">
        <v>38961</v>
      </c>
      <c r="C3428" t="s">
        <v>25</v>
      </c>
      <c r="D3428" s="19">
        <v>12</v>
      </c>
      <c r="E3428">
        <v>156</v>
      </c>
      <c r="F3428" t="s">
        <v>14</v>
      </c>
      <c r="H3428">
        <v>0</v>
      </c>
    </row>
    <row r="3429" spans="1:9" x14ac:dyDescent="0.2">
      <c r="A3429" t="str">
        <f t="shared" si="300"/>
        <v>38961Haapiti12157Autres</v>
      </c>
      <c r="B3429" s="1">
        <v>38961</v>
      </c>
      <c r="C3429" t="s">
        <v>25</v>
      </c>
      <c r="D3429" s="19">
        <v>12</v>
      </c>
      <c r="E3429">
        <v>157</v>
      </c>
      <c r="F3429" t="s">
        <v>14</v>
      </c>
      <c r="H3429">
        <v>0</v>
      </c>
    </row>
    <row r="3430" spans="1:9" x14ac:dyDescent="0.2">
      <c r="A3430" t="str">
        <f t="shared" si="300"/>
        <v>38961Haapiti12158Autres</v>
      </c>
      <c r="B3430" s="1">
        <v>38961</v>
      </c>
      <c r="C3430" t="s">
        <v>25</v>
      </c>
      <c r="D3430" s="19">
        <v>12</v>
      </c>
      <c r="E3430">
        <v>158</v>
      </c>
      <c r="F3430" t="s">
        <v>14</v>
      </c>
      <c r="H3430">
        <v>0</v>
      </c>
    </row>
    <row r="3431" spans="1:9" x14ac:dyDescent="0.2">
      <c r="A3431" t="str">
        <f t="shared" si="300"/>
        <v>38961Haapiti12159PoritidaeDessous</v>
      </c>
      <c r="B3431" s="1">
        <v>38961</v>
      </c>
      <c r="C3431" t="s">
        <v>25</v>
      </c>
      <c r="D3431" s="19">
        <v>12</v>
      </c>
      <c r="E3431">
        <v>159</v>
      </c>
      <c r="F3431" t="s">
        <v>7</v>
      </c>
      <c r="G3431" t="s">
        <v>8</v>
      </c>
      <c r="H3431">
        <v>2</v>
      </c>
      <c r="I3431" t="s">
        <v>27</v>
      </c>
    </row>
    <row r="3432" spans="1:9" x14ac:dyDescent="0.2">
      <c r="A3432" t="str">
        <f t="shared" si="300"/>
        <v>38961Haapiti12160</v>
      </c>
      <c r="B3432" s="1">
        <v>38961</v>
      </c>
      <c r="C3432" t="s">
        <v>25</v>
      </c>
      <c r="D3432" s="19">
        <v>12</v>
      </c>
      <c r="E3432">
        <v>160</v>
      </c>
      <c r="F3432" t="s">
        <v>27</v>
      </c>
      <c r="G3432" t="s">
        <v>27</v>
      </c>
      <c r="H3432" t="s">
        <v>27</v>
      </c>
      <c r="I3432" t="s">
        <v>31</v>
      </c>
    </row>
    <row r="3433" spans="1:9" x14ac:dyDescent="0.2">
      <c r="A3433" t="str">
        <f t="shared" si="300"/>
        <v>38961Haapiti18161PocilloporidaeDessous</v>
      </c>
      <c r="B3433" s="1">
        <v>38961</v>
      </c>
      <c r="C3433" t="s">
        <v>25</v>
      </c>
      <c r="D3433" s="19">
        <v>18</v>
      </c>
      <c r="E3433">
        <v>161</v>
      </c>
      <c r="F3433" t="s">
        <v>10</v>
      </c>
      <c r="G3433" t="s">
        <v>8</v>
      </c>
      <c r="H3433">
        <v>1</v>
      </c>
      <c r="I3433" t="s">
        <v>27</v>
      </c>
    </row>
    <row r="3434" spans="1:9" x14ac:dyDescent="0.2">
      <c r="A3434" t="str">
        <f t="shared" si="300"/>
        <v>38961Haapiti18162Autres</v>
      </c>
      <c r="B3434" s="1">
        <v>38961</v>
      </c>
      <c r="C3434" t="s">
        <v>25</v>
      </c>
      <c r="D3434" s="19">
        <v>18</v>
      </c>
      <c r="E3434">
        <v>162</v>
      </c>
      <c r="F3434" t="s">
        <v>14</v>
      </c>
      <c r="H3434">
        <v>0</v>
      </c>
    </row>
    <row r="3435" spans="1:9" x14ac:dyDescent="0.2">
      <c r="A3435" t="str">
        <f t="shared" si="300"/>
        <v>38961Haapiti18163Autres</v>
      </c>
      <c r="B3435" s="1">
        <v>38961</v>
      </c>
      <c r="C3435" t="s">
        <v>25</v>
      </c>
      <c r="D3435" s="19">
        <v>18</v>
      </c>
      <c r="E3435">
        <v>163</v>
      </c>
      <c r="F3435" t="s">
        <v>14</v>
      </c>
      <c r="H3435">
        <v>0</v>
      </c>
    </row>
    <row r="3436" spans="1:9" x14ac:dyDescent="0.2">
      <c r="A3436" t="str">
        <f t="shared" si="300"/>
        <v>38961Haapiti18164Autres</v>
      </c>
      <c r="B3436" s="1">
        <v>38961</v>
      </c>
      <c r="C3436" t="s">
        <v>25</v>
      </c>
      <c r="D3436" s="19">
        <v>18</v>
      </c>
      <c r="E3436">
        <v>164</v>
      </c>
      <c r="F3436" t="s">
        <v>14</v>
      </c>
      <c r="H3436">
        <v>0</v>
      </c>
    </row>
    <row r="3437" spans="1:9" x14ac:dyDescent="0.2">
      <c r="A3437" t="str">
        <f t="shared" si="300"/>
        <v>38961Haapiti18165PocilloporidaeBords</v>
      </c>
      <c r="B3437" s="1">
        <v>38961</v>
      </c>
      <c r="C3437" t="s">
        <v>25</v>
      </c>
      <c r="D3437" s="19">
        <v>18</v>
      </c>
      <c r="E3437">
        <v>165</v>
      </c>
      <c r="F3437" t="s">
        <v>10</v>
      </c>
      <c r="G3437" t="s">
        <v>13</v>
      </c>
      <c r="H3437">
        <v>1</v>
      </c>
      <c r="I3437" t="s">
        <v>27</v>
      </c>
    </row>
    <row r="3438" spans="1:9" x14ac:dyDescent="0.2">
      <c r="A3438" t="str">
        <f t="shared" si="300"/>
        <v>38961Haapiti18166Autres</v>
      </c>
      <c r="B3438" s="1">
        <v>38961</v>
      </c>
      <c r="C3438" t="s">
        <v>25</v>
      </c>
      <c r="D3438" s="19">
        <v>18</v>
      </c>
      <c r="E3438">
        <v>166</v>
      </c>
      <c r="F3438" t="s">
        <v>14</v>
      </c>
      <c r="H3438">
        <v>0</v>
      </c>
    </row>
    <row r="3439" spans="1:9" x14ac:dyDescent="0.2">
      <c r="A3439" t="str">
        <f t="shared" si="300"/>
        <v>38961Haapiti18167Autres</v>
      </c>
      <c r="B3439" s="1">
        <v>38961</v>
      </c>
      <c r="C3439" t="s">
        <v>25</v>
      </c>
      <c r="D3439" s="19">
        <v>18</v>
      </c>
      <c r="E3439">
        <v>167</v>
      </c>
      <c r="F3439" t="s">
        <v>14</v>
      </c>
      <c r="H3439">
        <v>0</v>
      </c>
    </row>
    <row r="3440" spans="1:9" x14ac:dyDescent="0.2">
      <c r="A3440" t="str">
        <f t="shared" si="300"/>
        <v>38961Haapiti18168Autres</v>
      </c>
      <c r="B3440" s="1">
        <v>38961</v>
      </c>
      <c r="C3440" t="s">
        <v>25</v>
      </c>
      <c r="D3440" s="19">
        <v>18</v>
      </c>
      <c r="E3440">
        <v>168</v>
      </c>
      <c r="F3440" t="s">
        <v>14</v>
      </c>
      <c r="H3440">
        <v>0</v>
      </c>
    </row>
    <row r="3441" spans="1:9" x14ac:dyDescent="0.2">
      <c r="A3441" t="str">
        <f t="shared" si="300"/>
        <v>38961Haapiti18169PoritidaeDessus</v>
      </c>
      <c r="B3441" s="1">
        <v>38961</v>
      </c>
      <c r="C3441" t="s">
        <v>25</v>
      </c>
      <c r="D3441" s="19">
        <v>18</v>
      </c>
      <c r="E3441">
        <v>169</v>
      </c>
      <c r="F3441" t="s">
        <v>7</v>
      </c>
      <c r="G3441" t="s">
        <v>11</v>
      </c>
      <c r="H3441">
        <v>1</v>
      </c>
      <c r="I3441" t="s">
        <v>27</v>
      </c>
    </row>
    <row r="3442" spans="1:9" x14ac:dyDescent="0.2">
      <c r="A3442" t="str">
        <f t="shared" si="300"/>
        <v>38961Haapiti18170Autres</v>
      </c>
      <c r="B3442" s="1">
        <v>38961</v>
      </c>
      <c r="C3442" t="s">
        <v>25</v>
      </c>
      <c r="D3442" s="19">
        <v>18</v>
      </c>
      <c r="E3442">
        <v>170</v>
      </c>
      <c r="F3442" t="s">
        <v>14</v>
      </c>
      <c r="H3442">
        <v>0</v>
      </c>
    </row>
    <row r="3443" spans="1:9" x14ac:dyDescent="0.2">
      <c r="A3443" t="str">
        <f t="shared" si="300"/>
        <v>38961Haapiti18171PocilloporidaeDessous</v>
      </c>
      <c r="B3443" s="1">
        <v>38961</v>
      </c>
      <c r="C3443" t="s">
        <v>25</v>
      </c>
      <c r="D3443" s="19">
        <v>18</v>
      </c>
      <c r="E3443">
        <v>171</v>
      </c>
      <c r="F3443" t="s">
        <v>10</v>
      </c>
      <c r="G3443" t="s">
        <v>8</v>
      </c>
      <c r="H3443">
        <v>1</v>
      </c>
      <c r="I3443" t="s">
        <v>27</v>
      </c>
    </row>
    <row r="3444" spans="1:9" x14ac:dyDescent="0.2">
      <c r="A3444" t="str">
        <f t="shared" si="300"/>
        <v>38961Haapiti18172Autres</v>
      </c>
      <c r="B3444" s="1">
        <v>38961</v>
      </c>
      <c r="C3444" t="s">
        <v>25</v>
      </c>
      <c r="D3444" s="19">
        <v>18</v>
      </c>
      <c r="E3444">
        <v>172</v>
      </c>
      <c r="F3444" t="s">
        <v>14</v>
      </c>
      <c r="H3444">
        <v>0</v>
      </c>
    </row>
    <row r="3445" spans="1:9" x14ac:dyDescent="0.2">
      <c r="A3445" t="str">
        <f t="shared" si="300"/>
        <v>38961Haapiti18173Autres</v>
      </c>
      <c r="B3445" s="1">
        <v>38961</v>
      </c>
      <c r="C3445" t="s">
        <v>25</v>
      </c>
      <c r="D3445" s="19">
        <v>18</v>
      </c>
      <c r="E3445">
        <v>173</v>
      </c>
      <c r="F3445" t="s">
        <v>14</v>
      </c>
      <c r="H3445">
        <v>0</v>
      </c>
    </row>
    <row r="3446" spans="1:9" x14ac:dyDescent="0.2">
      <c r="A3446" t="str">
        <f t="shared" si="300"/>
        <v>38961Haapiti18174Autres</v>
      </c>
      <c r="B3446" s="1">
        <v>38961</v>
      </c>
      <c r="C3446" t="s">
        <v>25</v>
      </c>
      <c r="D3446" s="19">
        <v>18</v>
      </c>
      <c r="E3446">
        <v>174</v>
      </c>
      <c r="F3446" t="s">
        <v>14</v>
      </c>
      <c r="H3446">
        <v>0</v>
      </c>
    </row>
    <row r="3447" spans="1:9" x14ac:dyDescent="0.2">
      <c r="A3447" t="str">
        <f t="shared" si="300"/>
        <v>38961Haapiti18175Autres</v>
      </c>
      <c r="B3447" s="1">
        <v>38961</v>
      </c>
      <c r="C3447" t="s">
        <v>25</v>
      </c>
      <c r="D3447" s="19">
        <v>18</v>
      </c>
      <c r="E3447">
        <v>175</v>
      </c>
      <c r="F3447" t="s">
        <v>14</v>
      </c>
      <c r="H3447">
        <v>0</v>
      </c>
    </row>
    <row r="3448" spans="1:9" x14ac:dyDescent="0.2">
      <c r="A3448" t="str">
        <f t="shared" si="300"/>
        <v>38961Haapiti18176PocilloporidaeBords</v>
      </c>
      <c r="B3448" s="1">
        <v>38961</v>
      </c>
      <c r="C3448" t="s">
        <v>25</v>
      </c>
      <c r="D3448" s="19">
        <v>18</v>
      </c>
      <c r="E3448">
        <v>176</v>
      </c>
      <c r="F3448" t="s">
        <v>10</v>
      </c>
      <c r="G3448" t="s">
        <v>13</v>
      </c>
      <c r="H3448">
        <v>1</v>
      </c>
      <c r="I3448" t="s">
        <v>27</v>
      </c>
    </row>
    <row r="3449" spans="1:9" x14ac:dyDescent="0.2">
      <c r="A3449" t="str">
        <f t="shared" si="300"/>
        <v>38961Haapiti18177AcroporidaeDessous</v>
      </c>
      <c r="B3449" s="1">
        <v>38961</v>
      </c>
      <c r="C3449" t="s">
        <v>25</v>
      </c>
      <c r="D3449" s="19">
        <v>18</v>
      </c>
      <c r="E3449">
        <v>177</v>
      </c>
      <c r="F3449" t="s">
        <v>17</v>
      </c>
      <c r="G3449" t="s">
        <v>8</v>
      </c>
      <c r="H3449">
        <v>2</v>
      </c>
      <c r="I3449" t="s">
        <v>27</v>
      </c>
    </row>
    <row r="3450" spans="1:9" x14ac:dyDescent="0.2">
      <c r="A3450" t="str">
        <f t="shared" si="300"/>
        <v>38961Haapiti18178PocilloporidaeDessous</v>
      </c>
      <c r="B3450" s="1">
        <v>38961</v>
      </c>
      <c r="C3450" t="s">
        <v>25</v>
      </c>
      <c r="D3450" s="19">
        <v>18</v>
      </c>
      <c r="E3450">
        <v>178</v>
      </c>
      <c r="F3450" t="s">
        <v>10</v>
      </c>
      <c r="G3450" t="s">
        <v>8</v>
      </c>
      <c r="H3450">
        <v>1</v>
      </c>
      <c r="I3450" t="s">
        <v>27</v>
      </c>
    </row>
    <row r="3451" spans="1:9" x14ac:dyDescent="0.2">
      <c r="A3451" t="str">
        <f t="shared" si="300"/>
        <v>38961Haapiti18179</v>
      </c>
      <c r="B3451" s="1">
        <v>38961</v>
      </c>
      <c r="C3451" t="s">
        <v>25</v>
      </c>
      <c r="D3451" s="19">
        <v>18</v>
      </c>
      <c r="E3451">
        <v>179</v>
      </c>
      <c r="F3451" t="s">
        <v>27</v>
      </c>
      <c r="G3451" t="s">
        <v>27</v>
      </c>
      <c r="H3451" t="s">
        <v>27</v>
      </c>
      <c r="I3451" t="s">
        <v>31</v>
      </c>
    </row>
    <row r="3452" spans="1:9" x14ac:dyDescent="0.2">
      <c r="A3452" t="str">
        <f t="shared" si="300"/>
        <v>38961Haapiti18180</v>
      </c>
      <c r="B3452" s="1">
        <v>38961</v>
      </c>
      <c r="C3452" t="s">
        <v>25</v>
      </c>
      <c r="D3452" s="19">
        <v>18</v>
      </c>
      <c r="E3452">
        <v>180</v>
      </c>
      <c r="F3452" t="s">
        <v>27</v>
      </c>
      <c r="G3452" t="s">
        <v>27</v>
      </c>
      <c r="H3452" t="s">
        <v>27</v>
      </c>
      <c r="I3452" t="s">
        <v>31</v>
      </c>
    </row>
    <row r="3453" spans="1:9" x14ac:dyDescent="0.2">
      <c r="A3453" t="str">
        <f t="shared" si="300"/>
        <v>39052Vaipahu61AcroporidaeDessous</v>
      </c>
      <c r="B3453" s="1">
        <v>39052</v>
      </c>
      <c r="C3453" t="s">
        <v>23</v>
      </c>
      <c r="D3453" s="19">
        <v>6</v>
      </c>
      <c r="E3453">
        <v>1</v>
      </c>
      <c r="F3453" t="s">
        <v>17</v>
      </c>
      <c r="G3453" t="s">
        <v>8</v>
      </c>
      <c r="H3453">
        <v>1</v>
      </c>
      <c r="I3453" t="s">
        <v>27</v>
      </c>
    </row>
    <row r="3454" spans="1:9" x14ac:dyDescent="0.2">
      <c r="A3454" t="str">
        <f t="shared" si="300"/>
        <v>39052Vaipahu61PocilloporidaeDessous</v>
      </c>
      <c r="B3454" s="1">
        <v>39052</v>
      </c>
      <c r="C3454" t="s">
        <v>23</v>
      </c>
      <c r="D3454" s="19">
        <v>6</v>
      </c>
      <c r="E3454">
        <v>1</v>
      </c>
      <c r="F3454" t="s">
        <v>10</v>
      </c>
      <c r="G3454" t="s">
        <v>8</v>
      </c>
      <c r="H3454">
        <v>11</v>
      </c>
      <c r="I3454" t="s">
        <v>27</v>
      </c>
    </row>
    <row r="3455" spans="1:9" x14ac:dyDescent="0.2">
      <c r="A3455" t="str">
        <f t="shared" ref="A3455:A3518" si="301">B3455 &amp; C3455&amp; D3455&amp; E3455 &amp; F3455 &amp;G3455</f>
        <v>39052Vaipahu62PocilloporidaeDessous</v>
      </c>
      <c r="B3455" s="1">
        <v>39052</v>
      </c>
      <c r="C3455" t="s">
        <v>23</v>
      </c>
      <c r="D3455" s="19">
        <v>6</v>
      </c>
      <c r="E3455">
        <v>2</v>
      </c>
      <c r="F3455" t="s">
        <v>10</v>
      </c>
      <c r="G3455" t="s">
        <v>8</v>
      </c>
      <c r="H3455">
        <v>3</v>
      </c>
      <c r="I3455" t="s">
        <v>27</v>
      </c>
    </row>
    <row r="3456" spans="1:9" x14ac:dyDescent="0.2">
      <c r="A3456" t="str">
        <f t="shared" si="301"/>
        <v>39052Vaipahu63PocilloporidaeDessus</v>
      </c>
      <c r="B3456" s="1">
        <v>39052</v>
      </c>
      <c r="C3456" t="s">
        <v>23</v>
      </c>
      <c r="D3456" s="19">
        <v>6</v>
      </c>
      <c r="E3456">
        <v>3</v>
      </c>
      <c r="F3456" t="s">
        <v>10</v>
      </c>
      <c r="G3456" t="s">
        <v>11</v>
      </c>
      <c r="H3456">
        <v>1</v>
      </c>
      <c r="I3456" t="s">
        <v>27</v>
      </c>
    </row>
    <row r="3457" spans="1:9" x14ac:dyDescent="0.2">
      <c r="A3457" t="str">
        <f t="shared" si="301"/>
        <v>39052Vaipahu64Autres</v>
      </c>
      <c r="B3457" s="1">
        <v>39052</v>
      </c>
      <c r="C3457" t="s">
        <v>23</v>
      </c>
      <c r="D3457" s="19">
        <v>6</v>
      </c>
      <c r="E3457">
        <v>4</v>
      </c>
      <c r="F3457" t="s">
        <v>14</v>
      </c>
      <c r="H3457">
        <v>0</v>
      </c>
    </row>
    <row r="3458" spans="1:9" x14ac:dyDescent="0.2">
      <c r="A3458" t="str">
        <f t="shared" si="301"/>
        <v>39052Vaipahu65PocilloporidaeBords</v>
      </c>
      <c r="B3458" s="1">
        <v>39052</v>
      </c>
      <c r="C3458" t="s">
        <v>23</v>
      </c>
      <c r="D3458" s="19">
        <v>6</v>
      </c>
      <c r="E3458">
        <v>5</v>
      </c>
      <c r="F3458" t="s">
        <v>10</v>
      </c>
      <c r="G3458" t="s">
        <v>13</v>
      </c>
      <c r="H3458">
        <v>2</v>
      </c>
      <c r="I3458" t="s">
        <v>27</v>
      </c>
    </row>
    <row r="3459" spans="1:9" x14ac:dyDescent="0.2">
      <c r="A3459" t="str">
        <f t="shared" si="301"/>
        <v>39052Vaipahu65PocilloporidaeDessous</v>
      </c>
      <c r="B3459" s="1">
        <v>39052</v>
      </c>
      <c r="C3459" t="s">
        <v>23</v>
      </c>
      <c r="D3459" s="19">
        <v>6</v>
      </c>
      <c r="E3459">
        <v>5</v>
      </c>
      <c r="F3459" t="s">
        <v>10</v>
      </c>
      <c r="G3459" t="s">
        <v>8</v>
      </c>
      <c r="H3459">
        <v>1</v>
      </c>
      <c r="I3459" t="s">
        <v>27</v>
      </c>
    </row>
    <row r="3460" spans="1:9" x14ac:dyDescent="0.2">
      <c r="A3460" t="str">
        <f t="shared" si="301"/>
        <v>39052Vaipahu65PoritidaeDessous</v>
      </c>
      <c r="B3460" s="1">
        <v>39052</v>
      </c>
      <c r="C3460" t="s">
        <v>23</v>
      </c>
      <c r="D3460" s="19">
        <v>6</v>
      </c>
      <c r="E3460">
        <v>5</v>
      </c>
      <c r="F3460" t="s">
        <v>7</v>
      </c>
      <c r="G3460" t="s">
        <v>8</v>
      </c>
      <c r="H3460">
        <v>2</v>
      </c>
      <c r="I3460" t="s">
        <v>27</v>
      </c>
    </row>
    <row r="3461" spans="1:9" x14ac:dyDescent="0.2">
      <c r="A3461" t="str">
        <f t="shared" si="301"/>
        <v>39052Vaipahu66</v>
      </c>
      <c r="B3461" s="1">
        <v>39052</v>
      </c>
      <c r="C3461" t="s">
        <v>23</v>
      </c>
      <c r="D3461" s="19">
        <v>6</v>
      </c>
      <c r="E3461">
        <v>6</v>
      </c>
      <c r="F3461" t="s">
        <v>27</v>
      </c>
      <c r="G3461" t="s">
        <v>27</v>
      </c>
      <c r="H3461" t="s">
        <v>27</v>
      </c>
      <c r="I3461" t="s">
        <v>31</v>
      </c>
    </row>
    <row r="3462" spans="1:9" x14ac:dyDescent="0.2">
      <c r="A3462" t="str">
        <f t="shared" si="301"/>
        <v>39052Vaipahu67PocilloporidaeDessous</v>
      </c>
      <c r="B3462" s="1">
        <v>39052</v>
      </c>
      <c r="C3462" t="s">
        <v>23</v>
      </c>
      <c r="D3462" s="19">
        <v>6</v>
      </c>
      <c r="E3462">
        <v>7</v>
      </c>
      <c r="F3462" t="s">
        <v>10</v>
      </c>
      <c r="G3462" t="s">
        <v>8</v>
      </c>
      <c r="H3462">
        <v>1</v>
      </c>
      <c r="I3462" t="s">
        <v>27</v>
      </c>
    </row>
    <row r="3463" spans="1:9" x14ac:dyDescent="0.2">
      <c r="A3463" t="str">
        <f t="shared" si="301"/>
        <v>39052Vaipahu67PocilloporidaeDessus</v>
      </c>
      <c r="B3463" s="1">
        <v>39052</v>
      </c>
      <c r="C3463" t="s">
        <v>23</v>
      </c>
      <c r="D3463" s="19">
        <v>6</v>
      </c>
      <c r="E3463">
        <v>7</v>
      </c>
      <c r="F3463" t="s">
        <v>10</v>
      </c>
      <c r="G3463" t="s">
        <v>11</v>
      </c>
      <c r="H3463">
        <v>1</v>
      </c>
      <c r="I3463" t="s">
        <v>27</v>
      </c>
    </row>
    <row r="3464" spans="1:9" x14ac:dyDescent="0.2">
      <c r="A3464" t="str">
        <f t="shared" si="301"/>
        <v>39052Vaipahu68Autres</v>
      </c>
      <c r="B3464" s="1">
        <v>39052</v>
      </c>
      <c r="C3464" t="s">
        <v>23</v>
      </c>
      <c r="D3464" s="19">
        <v>6</v>
      </c>
      <c r="E3464">
        <v>8</v>
      </c>
      <c r="F3464" t="s">
        <v>14</v>
      </c>
      <c r="H3464">
        <v>0</v>
      </c>
    </row>
    <row r="3465" spans="1:9" x14ac:dyDescent="0.2">
      <c r="A3465" t="str">
        <f t="shared" si="301"/>
        <v>39052Vaipahu69PocilloporidaeDessous</v>
      </c>
      <c r="B3465" s="1">
        <v>39052</v>
      </c>
      <c r="C3465" t="s">
        <v>23</v>
      </c>
      <c r="D3465" s="19">
        <v>6</v>
      </c>
      <c r="E3465">
        <v>9</v>
      </c>
      <c r="F3465" t="s">
        <v>10</v>
      </c>
      <c r="G3465" t="s">
        <v>8</v>
      </c>
      <c r="H3465">
        <v>1</v>
      </c>
      <c r="I3465" t="s">
        <v>27</v>
      </c>
    </row>
    <row r="3466" spans="1:9" x14ac:dyDescent="0.2">
      <c r="A3466" t="str">
        <f t="shared" si="301"/>
        <v>39052Vaipahu610CassésDessous</v>
      </c>
      <c r="B3466" s="1">
        <v>39052</v>
      </c>
      <c r="C3466" t="s">
        <v>23</v>
      </c>
      <c r="D3466" s="19">
        <v>6</v>
      </c>
      <c r="E3466">
        <v>10</v>
      </c>
      <c r="F3466" t="s">
        <v>12</v>
      </c>
      <c r="G3466" t="s">
        <v>8</v>
      </c>
      <c r="H3466">
        <v>1</v>
      </c>
      <c r="I3466" t="s">
        <v>27</v>
      </c>
    </row>
    <row r="3467" spans="1:9" x14ac:dyDescent="0.2">
      <c r="A3467" t="str">
        <f t="shared" si="301"/>
        <v>39052Vaipahu610PocilloporidaeBords</v>
      </c>
      <c r="B3467" s="1">
        <v>39052</v>
      </c>
      <c r="C3467" t="s">
        <v>23</v>
      </c>
      <c r="D3467" s="19">
        <v>6</v>
      </c>
      <c r="E3467">
        <v>10</v>
      </c>
      <c r="F3467" t="s">
        <v>10</v>
      </c>
      <c r="G3467" t="s">
        <v>13</v>
      </c>
      <c r="H3467">
        <v>1</v>
      </c>
      <c r="I3467" t="s">
        <v>27</v>
      </c>
    </row>
    <row r="3468" spans="1:9" x14ac:dyDescent="0.2">
      <c r="A3468" t="str">
        <f t="shared" si="301"/>
        <v>39052Vaipahu610PocilloporidaeDessus</v>
      </c>
      <c r="B3468" s="1">
        <v>39052</v>
      </c>
      <c r="C3468" t="s">
        <v>23</v>
      </c>
      <c r="D3468" s="19">
        <v>6</v>
      </c>
      <c r="E3468">
        <v>10</v>
      </c>
      <c r="F3468" t="s">
        <v>10</v>
      </c>
      <c r="G3468" t="s">
        <v>11</v>
      </c>
      <c r="H3468">
        <v>1</v>
      </c>
      <c r="I3468" t="s">
        <v>27</v>
      </c>
    </row>
    <row r="3469" spans="1:9" x14ac:dyDescent="0.2">
      <c r="A3469" t="str">
        <f t="shared" si="301"/>
        <v>39052Vaipahu611PocilloporidaeBords</v>
      </c>
      <c r="B3469" s="1">
        <v>39052</v>
      </c>
      <c r="C3469" t="s">
        <v>23</v>
      </c>
      <c r="D3469" s="19">
        <v>6</v>
      </c>
      <c r="E3469">
        <v>11</v>
      </c>
      <c r="F3469" t="s">
        <v>10</v>
      </c>
      <c r="G3469" t="s">
        <v>13</v>
      </c>
      <c r="H3469">
        <v>4</v>
      </c>
      <c r="I3469" t="s">
        <v>27</v>
      </c>
    </row>
    <row r="3470" spans="1:9" x14ac:dyDescent="0.2">
      <c r="A3470" t="str">
        <f t="shared" si="301"/>
        <v>39052Vaipahu612PocilloporidaeDessous</v>
      </c>
      <c r="B3470" s="1">
        <v>39052</v>
      </c>
      <c r="C3470" t="s">
        <v>23</v>
      </c>
      <c r="D3470" s="19">
        <v>6</v>
      </c>
      <c r="E3470">
        <v>12</v>
      </c>
      <c r="F3470" t="s">
        <v>10</v>
      </c>
      <c r="G3470" t="s">
        <v>8</v>
      </c>
      <c r="H3470">
        <v>1</v>
      </c>
      <c r="I3470" t="s">
        <v>27</v>
      </c>
    </row>
    <row r="3471" spans="1:9" x14ac:dyDescent="0.2">
      <c r="A3471" t="str">
        <f t="shared" si="301"/>
        <v>39052Vaipahu613PocilloporidaeDessus</v>
      </c>
      <c r="B3471" s="1">
        <v>39052</v>
      </c>
      <c r="C3471" t="s">
        <v>23</v>
      </c>
      <c r="D3471" s="19">
        <v>6</v>
      </c>
      <c r="E3471">
        <v>13</v>
      </c>
      <c r="F3471" t="s">
        <v>10</v>
      </c>
      <c r="G3471" t="s">
        <v>11</v>
      </c>
      <c r="H3471">
        <v>1</v>
      </c>
      <c r="I3471" t="s">
        <v>27</v>
      </c>
    </row>
    <row r="3472" spans="1:9" x14ac:dyDescent="0.2">
      <c r="A3472" t="str">
        <f t="shared" si="301"/>
        <v>39052Vaipahu614AcroporidaeDessus</v>
      </c>
      <c r="B3472" s="1">
        <v>39052</v>
      </c>
      <c r="C3472" t="s">
        <v>23</v>
      </c>
      <c r="D3472" s="19">
        <v>6</v>
      </c>
      <c r="E3472">
        <v>14</v>
      </c>
      <c r="F3472" t="s">
        <v>17</v>
      </c>
      <c r="G3472" t="s">
        <v>11</v>
      </c>
      <c r="H3472">
        <v>1</v>
      </c>
      <c r="I3472" t="s">
        <v>27</v>
      </c>
    </row>
    <row r="3473" spans="1:9" x14ac:dyDescent="0.2">
      <c r="A3473" t="str">
        <f t="shared" si="301"/>
        <v>39052Vaipahu614CassésDessous</v>
      </c>
      <c r="B3473" s="1">
        <v>39052</v>
      </c>
      <c r="C3473" t="s">
        <v>23</v>
      </c>
      <c r="D3473" s="19">
        <v>6</v>
      </c>
      <c r="E3473">
        <v>14</v>
      </c>
      <c r="F3473" t="s">
        <v>12</v>
      </c>
      <c r="G3473" t="s">
        <v>8</v>
      </c>
      <c r="H3473">
        <v>1</v>
      </c>
      <c r="I3473" t="s">
        <v>27</v>
      </c>
    </row>
    <row r="3474" spans="1:9" x14ac:dyDescent="0.2">
      <c r="A3474" t="str">
        <f t="shared" si="301"/>
        <v>39052Vaipahu614PocilloporidaeBords</v>
      </c>
      <c r="B3474" s="1">
        <v>39052</v>
      </c>
      <c r="C3474" t="s">
        <v>23</v>
      </c>
      <c r="D3474" s="19">
        <v>6</v>
      </c>
      <c r="E3474">
        <v>14</v>
      </c>
      <c r="F3474" t="s">
        <v>10</v>
      </c>
      <c r="G3474" t="s">
        <v>13</v>
      </c>
      <c r="H3474">
        <v>1</v>
      </c>
      <c r="I3474" t="s">
        <v>27</v>
      </c>
    </row>
    <row r="3475" spans="1:9" x14ac:dyDescent="0.2">
      <c r="A3475" t="str">
        <f t="shared" si="301"/>
        <v>39052Vaipahu614PocilloporidaeDessous</v>
      </c>
      <c r="B3475" s="1">
        <v>39052</v>
      </c>
      <c r="C3475" t="s">
        <v>23</v>
      </c>
      <c r="D3475" s="19">
        <v>6</v>
      </c>
      <c r="E3475">
        <v>14</v>
      </c>
      <c r="F3475" t="s">
        <v>10</v>
      </c>
      <c r="G3475" t="s">
        <v>8</v>
      </c>
      <c r="H3475">
        <v>1</v>
      </c>
      <c r="I3475" t="s">
        <v>27</v>
      </c>
    </row>
    <row r="3476" spans="1:9" x14ac:dyDescent="0.2">
      <c r="A3476" t="str">
        <f t="shared" si="301"/>
        <v>39052Vaipahu614PocilloporidaeDessus</v>
      </c>
      <c r="B3476" s="1">
        <v>39052</v>
      </c>
      <c r="C3476" t="s">
        <v>23</v>
      </c>
      <c r="D3476" s="19">
        <v>6</v>
      </c>
      <c r="E3476">
        <v>14</v>
      </c>
      <c r="F3476" t="s">
        <v>10</v>
      </c>
      <c r="G3476" t="s">
        <v>11</v>
      </c>
      <c r="H3476">
        <v>2</v>
      </c>
      <c r="I3476" t="s">
        <v>27</v>
      </c>
    </row>
    <row r="3477" spans="1:9" x14ac:dyDescent="0.2">
      <c r="A3477" t="str">
        <f t="shared" si="301"/>
        <v>39052Vaipahu615PocilloporidaeDessous</v>
      </c>
      <c r="B3477" s="1">
        <v>39052</v>
      </c>
      <c r="C3477" t="s">
        <v>23</v>
      </c>
      <c r="D3477" s="19">
        <v>6</v>
      </c>
      <c r="E3477">
        <v>15</v>
      </c>
      <c r="F3477" t="s">
        <v>10</v>
      </c>
      <c r="G3477" t="s">
        <v>8</v>
      </c>
      <c r="H3477">
        <v>1</v>
      </c>
      <c r="I3477" t="s">
        <v>27</v>
      </c>
    </row>
    <row r="3478" spans="1:9" x14ac:dyDescent="0.2">
      <c r="A3478" t="str">
        <f t="shared" si="301"/>
        <v>39052Vaipahu615PocilloporidaeDessus</v>
      </c>
      <c r="B3478" s="1">
        <v>39052</v>
      </c>
      <c r="C3478" t="s">
        <v>23</v>
      </c>
      <c r="D3478" s="19">
        <v>6</v>
      </c>
      <c r="E3478">
        <v>15</v>
      </c>
      <c r="F3478" t="s">
        <v>10</v>
      </c>
      <c r="G3478" t="s">
        <v>11</v>
      </c>
      <c r="H3478">
        <v>1</v>
      </c>
      <c r="I3478" t="s">
        <v>27</v>
      </c>
    </row>
    <row r="3479" spans="1:9" x14ac:dyDescent="0.2">
      <c r="A3479" t="str">
        <f t="shared" si="301"/>
        <v>39052Vaipahu616PocilloporidaeBords</v>
      </c>
      <c r="B3479" s="1">
        <v>39052</v>
      </c>
      <c r="C3479" t="s">
        <v>23</v>
      </c>
      <c r="D3479" s="19">
        <v>6</v>
      </c>
      <c r="E3479">
        <v>16</v>
      </c>
      <c r="F3479" t="s">
        <v>10</v>
      </c>
      <c r="G3479" t="s">
        <v>13</v>
      </c>
      <c r="H3479">
        <v>1</v>
      </c>
      <c r="I3479" t="s">
        <v>27</v>
      </c>
    </row>
    <row r="3480" spans="1:9" x14ac:dyDescent="0.2">
      <c r="A3480" t="str">
        <f t="shared" si="301"/>
        <v>39052Vaipahu616PocilloporidaeDessous</v>
      </c>
      <c r="B3480" s="1">
        <v>39052</v>
      </c>
      <c r="C3480" t="s">
        <v>23</v>
      </c>
      <c r="D3480" s="19">
        <v>6</v>
      </c>
      <c r="E3480">
        <v>16</v>
      </c>
      <c r="F3480" t="s">
        <v>10</v>
      </c>
      <c r="G3480" t="s">
        <v>8</v>
      </c>
      <c r="H3480">
        <v>1</v>
      </c>
      <c r="I3480" t="s">
        <v>27</v>
      </c>
    </row>
    <row r="3481" spans="1:9" x14ac:dyDescent="0.2">
      <c r="A3481" t="str">
        <f t="shared" si="301"/>
        <v>39052Vaipahu616PocilloporidaeDessus</v>
      </c>
      <c r="B3481" s="1">
        <v>39052</v>
      </c>
      <c r="C3481" t="s">
        <v>23</v>
      </c>
      <c r="D3481" s="19">
        <v>6</v>
      </c>
      <c r="E3481">
        <v>16</v>
      </c>
      <c r="F3481" t="s">
        <v>10</v>
      </c>
      <c r="G3481" t="s">
        <v>11</v>
      </c>
      <c r="H3481">
        <v>2</v>
      </c>
      <c r="I3481" t="s">
        <v>27</v>
      </c>
    </row>
    <row r="3482" spans="1:9" x14ac:dyDescent="0.2">
      <c r="A3482" t="str">
        <f t="shared" si="301"/>
        <v>39052Vaipahu617PocilloporidaeBords</v>
      </c>
      <c r="B3482" s="1">
        <v>39052</v>
      </c>
      <c r="C3482" t="s">
        <v>23</v>
      </c>
      <c r="D3482" s="19">
        <v>6</v>
      </c>
      <c r="E3482">
        <v>17</v>
      </c>
      <c r="F3482" t="s">
        <v>10</v>
      </c>
      <c r="G3482" t="s">
        <v>13</v>
      </c>
      <c r="H3482">
        <v>1</v>
      </c>
      <c r="I3482" t="s">
        <v>27</v>
      </c>
    </row>
    <row r="3483" spans="1:9" x14ac:dyDescent="0.2">
      <c r="A3483" t="str">
        <f t="shared" si="301"/>
        <v>39052Vaipahu617PocilloporidaeDessous</v>
      </c>
      <c r="B3483" s="1">
        <v>39052</v>
      </c>
      <c r="C3483" t="s">
        <v>23</v>
      </c>
      <c r="D3483" s="19">
        <v>6</v>
      </c>
      <c r="E3483">
        <v>17</v>
      </c>
      <c r="F3483" t="s">
        <v>10</v>
      </c>
      <c r="G3483" t="s">
        <v>8</v>
      </c>
      <c r="H3483">
        <v>2</v>
      </c>
      <c r="I3483" t="s">
        <v>27</v>
      </c>
    </row>
    <row r="3484" spans="1:9" x14ac:dyDescent="0.2">
      <c r="A3484" t="str">
        <f t="shared" si="301"/>
        <v>39052Vaipahu618AcroporidaeDessous</v>
      </c>
      <c r="B3484" s="1">
        <v>39052</v>
      </c>
      <c r="C3484" t="s">
        <v>23</v>
      </c>
      <c r="D3484" s="19">
        <v>6</v>
      </c>
      <c r="E3484">
        <v>18</v>
      </c>
      <c r="F3484" t="s">
        <v>17</v>
      </c>
      <c r="G3484" t="s">
        <v>8</v>
      </c>
      <c r="H3484">
        <v>1</v>
      </c>
      <c r="I3484" t="s">
        <v>27</v>
      </c>
    </row>
    <row r="3485" spans="1:9" x14ac:dyDescent="0.2">
      <c r="A3485" t="str">
        <f t="shared" si="301"/>
        <v>39052Vaipahu618PocilloporidaeDessous</v>
      </c>
      <c r="B3485" s="1">
        <v>39052</v>
      </c>
      <c r="C3485" t="s">
        <v>23</v>
      </c>
      <c r="D3485" s="19">
        <v>6</v>
      </c>
      <c r="E3485">
        <v>18</v>
      </c>
      <c r="F3485" t="s">
        <v>10</v>
      </c>
      <c r="G3485" t="s">
        <v>8</v>
      </c>
      <c r="H3485">
        <v>2</v>
      </c>
      <c r="I3485" t="s">
        <v>27</v>
      </c>
    </row>
    <row r="3486" spans="1:9" x14ac:dyDescent="0.2">
      <c r="A3486" t="str">
        <f t="shared" si="301"/>
        <v>39052Vaipahu619PocilloporidaeDessus</v>
      </c>
      <c r="B3486" s="1">
        <v>39052</v>
      </c>
      <c r="C3486" t="s">
        <v>23</v>
      </c>
      <c r="D3486" s="19">
        <v>6</v>
      </c>
      <c r="E3486">
        <v>19</v>
      </c>
      <c r="F3486" t="s">
        <v>10</v>
      </c>
      <c r="G3486" t="s">
        <v>11</v>
      </c>
      <c r="H3486">
        <v>1</v>
      </c>
      <c r="I3486" t="s">
        <v>27</v>
      </c>
    </row>
    <row r="3487" spans="1:9" x14ac:dyDescent="0.2">
      <c r="A3487" t="str">
        <f t="shared" si="301"/>
        <v>39052Vaipahu620</v>
      </c>
      <c r="B3487" s="1">
        <v>39052</v>
      </c>
      <c r="C3487" t="s">
        <v>23</v>
      </c>
      <c r="D3487" s="19">
        <v>6</v>
      </c>
      <c r="E3487">
        <v>20</v>
      </c>
      <c r="F3487" t="s">
        <v>27</v>
      </c>
      <c r="G3487" t="s">
        <v>27</v>
      </c>
      <c r="H3487" t="s">
        <v>27</v>
      </c>
      <c r="I3487" t="s">
        <v>31</v>
      </c>
    </row>
    <row r="3488" spans="1:9" x14ac:dyDescent="0.2">
      <c r="A3488" t="str">
        <f t="shared" si="301"/>
        <v>39052Vaipahu1221</v>
      </c>
      <c r="B3488" s="1">
        <v>39052</v>
      </c>
      <c r="C3488" t="s">
        <v>23</v>
      </c>
      <c r="D3488" s="19">
        <v>12</v>
      </c>
      <c r="E3488">
        <v>21</v>
      </c>
      <c r="F3488" t="s">
        <v>27</v>
      </c>
      <c r="G3488" t="s">
        <v>27</v>
      </c>
      <c r="H3488" t="s">
        <v>27</v>
      </c>
      <c r="I3488" t="s">
        <v>31</v>
      </c>
    </row>
    <row r="3489" spans="1:9" x14ac:dyDescent="0.2">
      <c r="A3489" t="str">
        <f t="shared" si="301"/>
        <v>39052Vaipahu1222</v>
      </c>
      <c r="B3489" s="1">
        <v>39052</v>
      </c>
      <c r="C3489" t="s">
        <v>23</v>
      </c>
      <c r="D3489" s="19">
        <v>12</v>
      </c>
      <c r="E3489">
        <v>22</v>
      </c>
      <c r="F3489" t="s">
        <v>27</v>
      </c>
      <c r="G3489" t="s">
        <v>27</v>
      </c>
      <c r="H3489" t="s">
        <v>27</v>
      </c>
      <c r="I3489" t="s">
        <v>31</v>
      </c>
    </row>
    <row r="3490" spans="1:9" x14ac:dyDescent="0.2">
      <c r="A3490" t="str">
        <f t="shared" si="301"/>
        <v>39052Vaipahu1223PocilloporidaeDessous</v>
      </c>
      <c r="B3490" s="1">
        <v>39052</v>
      </c>
      <c r="C3490" t="s">
        <v>23</v>
      </c>
      <c r="D3490" s="19">
        <v>12</v>
      </c>
      <c r="E3490">
        <v>23</v>
      </c>
      <c r="F3490" t="s">
        <v>10</v>
      </c>
      <c r="G3490" t="s">
        <v>8</v>
      </c>
      <c r="H3490">
        <v>7</v>
      </c>
      <c r="I3490" t="s">
        <v>27</v>
      </c>
    </row>
    <row r="3491" spans="1:9" x14ac:dyDescent="0.2">
      <c r="A3491" t="str">
        <f t="shared" si="301"/>
        <v>39052Vaipahu1224PocilloporidaeBords</v>
      </c>
      <c r="B3491" s="1">
        <v>39052</v>
      </c>
      <c r="C3491" t="s">
        <v>23</v>
      </c>
      <c r="D3491" s="19">
        <v>12</v>
      </c>
      <c r="E3491">
        <v>24</v>
      </c>
      <c r="F3491" t="s">
        <v>10</v>
      </c>
      <c r="G3491" t="s">
        <v>13</v>
      </c>
      <c r="H3491">
        <v>2</v>
      </c>
      <c r="I3491" t="s">
        <v>27</v>
      </c>
    </row>
    <row r="3492" spans="1:9" x14ac:dyDescent="0.2">
      <c r="A3492" t="str">
        <f t="shared" si="301"/>
        <v>39052Vaipahu1225Autres</v>
      </c>
      <c r="B3492" s="1">
        <v>39052</v>
      </c>
      <c r="C3492" t="s">
        <v>23</v>
      </c>
      <c r="D3492" s="19">
        <v>12</v>
      </c>
      <c r="E3492">
        <v>25</v>
      </c>
      <c r="F3492" t="s">
        <v>14</v>
      </c>
      <c r="H3492">
        <v>0</v>
      </c>
    </row>
    <row r="3493" spans="1:9" x14ac:dyDescent="0.2">
      <c r="A3493" t="str">
        <f t="shared" si="301"/>
        <v>39052Vaipahu1226PocilloporidaeDessus</v>
      </c>
      <c r="B3493" s="1">
        <v>39052</v>
      </c>
      <c r="C3493" t="s">
        <v>23</v>
      </c>
      <c r="D3493" s="19">
        <v>12</v>
      </c>
      <c r="E3493">
        <v>26</v>
      </c>
      <c r="F3493" t="s">
        <v>10</v>
      </c>
      <c r="G3493" t="s">
        <v>11</v>
      </c>
      <c r="H3493">
        <v>2</v>
      </c>
      <c r="I3493" t="s">
        <v>27</v>
      </c>
    </row>
    <row r="3494" spans="1:9" x14ac:dyDescent="0.2">
      <c r="A3494" t="str">
        <f t="shared" si="301"/>
        <v>39052Vaipahu1227</v>
      </c>
      <c r="B3494" s="1">
        <v>39052</v>
      </c>
      <c r="C3494" t="s">
        <v>23</v>
      </c>
      <c r="D3494" s="19">
        <v>12</v>
      </c>
      <c r="E3494">
        <v>27</v>
      </c>
      <c r="F3494" t="s">
        <v>27</v>
      </c>
      <c r="G3494" t="s">
        <v>27</v>
      </c>
      <c r="H3494" t="s">
        <v>27</v>
      </c>
      <c r="I3494" t="s">
        <v>31</v>
      </c>
    </row>
    <row r="3495" spans="1:9" x14ac:dyDescent="0.2">
      <c r="A3495" t="str">
        <f t="shared" si="301"/>
        <v>39052Vaipahu1228AcroporidaeDessous</v>
      </c>
      <c r="B3495" s="1">
        <v>39052</v>
      </c>
      <c r="C3495" t="s">
        <v>23</v>
      </c>
      <c r="D3495" s="19">
        <v>12</v>
      </c>
      <c r="E3495">
        <v>28</v>
      </c>
      <c r="F3495" t="s">
        <v>17</v>
      </c>
      <c r="G3495" t="s">
        <v>8</v>
      </c>
      <c r="H3495">
        <v>1</v>
      </c>
      <c r="I3495" t="s">
        <v>27</v>
      </c>
    </row>
    <row r="3496" spans="1:9" x14ac:dyDescent="0.2">
      <c r="A3496" t="str">
        <f t="shared" si="301"/>
        <v>39052Vaipahu1228PocilloporidaeDessous</v>
      </c>
      <c r="B3496" s="1">
        <v>39052</v>
      </c>
      <c r="C3496" t="s">
        <v>23</v>
      </c>
      <c r="D3496" s="19">
        <v>12</v>
      </c>
      <c r="E3496">
        <v>28</v>
      </c>
      <c r="F3496" t="s">
        <v>10</v>
      </c>
      <c r="G3496" t="s">
        <v>8</v>
      </c>
      <c r="H3496">
        <v>3</v>
      </c>
      <c r="I3496" t="s">
        <v>27</v>
      </c>
    </row>
    <row r="3497" spans="1:9" x14ac:dyDescent="0.2">
      <c r="A3497" t="str">
        <f t="shared" si="301"/>
        <v>39052Vaipahu1228PocilloporidaeDessus</v>
      </c>
      <c r="B3497" s="1">
        <v>39052</v>
      </c>
      <c r="C3497" t="s">
        <v>23</v>
      </c>
      <c r="D3497" s="19">
        <v>12</v>
      </c>
      <c r="E3497">
        <v>28</v>
      </c>
      <c r="F3497" t="s">
        <v>10</v>
      </c>
      <c r="G3497" t="s">
        <v>11</v>
      </c>
      <c r="H3497">
        <v>1</v>
      </c>
      <c r="I3497" t="s">
        <v>27</v>
      </c>
    </row>
    <row r="3498" spans="1:9" x14ac:dyDescent="0.2">
      <c r="A3498" t="str">
        <f t="shared" si="301"/>
        <v>39052Vaipahu1229PocilloporidaeBords</v>
      </c>
      <c r="B3498" s="1">
        <v>39052</v>
      </c>
      <c r="C3498" t="s">
        <v>23</v>
      </c>
      <c r="D3498" s="19">
        <v>12</v>
      </c>
      <c r="E3498">
        <v>29</v>
      </c>
      <c r="F3498" t="s">
        <v>10</v>
      </c>
      <c r="G3498" t="s">
        <v>13</v>
      </c>
      <c r="H3498">
        <v>2</v>
      </c>
      <c r="I3498" t="s">
        <v>27</v>
      </c>
    </row>
    <row r="3499" spans="1:9" x14ac:dyDescent="0.2">
      <c r="A3499" t="str">
        <f t="shared" si="301"/>
        <v>39052Vaipahu1229PocilloporidaeDessous</v>
      </c>
      <c r="B3499" s="1">
        <v>39052</v>
      </c>
      <c r="C3499" t="s">
        <v>23</v>
      </c>
      <c r="D3499" s="19">
        <v>12</v>
      </c>
      <c r="E3499">
        <v>29</v>
      </c>
      <c r="F3499" t="s">
        <v>10</v>
      </c>
      <c r="G3499" t="s">
        <v>8</v>
      </c>
      <c r="H3499">
        <v>1</v>
      </c>
      <c r="I3499" t="s">
        <v>27</v>
      </c>
    </row>
    <row r="3500" spans="1:9" x14ac:dyDescent="0.2">
      <c r="A3500" t="str">
        <f t="shared" si="301"/>
        <v>39052Vaipahu1230AutresDessous</v>
      </c>
      <c r="B3500" s="1">
        <v>39052</v>
      </c>
      <c r="C3500" t="s">
        <v>23</v>
      </c>
      <c r="D3500" s="19">
        <v>12</v>
      </c>
      <c r="E3500">
        <v>30</v>
      </c>
      <c r="F3500" t="s">
        <v>14</v>
      </c>
      <c r="G3500" t="s">
        <v>8</v>
      </c>
      <c r="H3500">
        <v>1</v>
      </c>
      <c r="I3500" t="s">
        <v>27</v>
      </c>
    </row>
    <row r="3501" spans="1:9" x14ac:dyDescent="0.2">
      <c r="A3501" t="str">
        <f t="shared" si="301"/>
        <v>39052Vaipahu1230PocilloporidaeDessous</v>
      </c>
      <c r="B3501" s="1">
        <v>39052</v>
      </c>
      <c r="C3501" t="s">
        <v>23</v>
      </c>
      <c r="D3501" s="19">
        <v>12</v>
      </c>
      <c r="E3501">
        <v>30</v>
      </c>
      <c r="F3501" t="s">
        <v>10</v>
      </c>
      <c r="G3501" t="s">
        <v>8</v>
      </c>
      <c r="H3501">
        <v>3</v>
      </c>
      <c r="I3501" t="s">
        <v>27</v>
      </c>
    </row>
    <row r="3502" spans="1:9" x14ac:dyDescent="0.2">
      <c r="A3502" t="str">
        <f t="shared" si="301"/>
        <v>39052Vaipahu1231PocilloporidaeDessous</v>
      </c>
      <c r="B3502" s="1">
        <v>39052</v>
      </c>
      <c r="C3502" t="s">
        <v>23</v>
      </c>
      <c r="D3502" s="19">
        <v>12</v>
      </c>
      <c r="E3502">
        <v>31</v>
      </c>
      <c r="F3502" t="s">
        <v>10</v>
      </c>
      <c r="G3502" t="s">
        <v>8</v>
      </c>
      <c r="H3502">
        <v>2</v>
      </c>
      <c r="I3502" t="s">
        <v>27</v>
      </c>
    </row>
    <row r="3503" spans="1:9" x14ac:dyDescent="0.2">
      <c r="A3503" t="str">
        <f t="shared" si="301"/>
        <v>39052Vaipahu1231PoritidaeDessous</v>
      </c>
      <c r="B3503" s="1">
        <v>39052</v>
      </c>
      <c r="C3503" t="s">
        <v>23</v>
      </c>
      <c r="D3503" s="19">
        <v>12</v>
      </c>
      <c r="E3503">
        <v>31</v>
      </c>
      <c r="F3503" t="s">
        <v>7</v>
      </c>
      <c r="G3503" t="s">
        <v>8</v>
      </c>
      <c r="H3503">
        <v>1</v>
      </c>
      <c r="I3503" t="s">
        <v>27</v>
      </c>
    </row>
    <row r="3504" spans="1:9" x14ac:dyDescent="0.2">
      <c r="A3504" t="str">
        <f t="shared" si="301"/>
        <v>39052Vaipahu1232PocilloporidaeBords</v>
      </c>
      <c r="B3504" s="1">
        <v>39052</v>
      </c>
      <c r="C3504" t="s">
        <v>23</v>
      </c>
      <c r="D3504" s="19">
        <v>12</v>
      </c>
      <c r="E3504">
        <v>32</v>
      </c>
      <c r="F3504" t="s">
        <v>10</v>
      </c>
      <c r="G3504" t="s">
        <v>13</v>
      </c>
      <c r="H3504">
        <v>1</v>
      </c>
      <c r="I3504" t="s">
        <v>27</v>
      </c>
    </row>
    <row r="3505" spans="1:9" x14ac:dyDescent="0.2">
      <c r="A3505" t="str">
        <f t="shared" si="301"/>
        <v>39052Vaipahu1232PocilloporidaeDessous</v>
      </c>
      <c r="B3505" s="1">
        <v>39052</v>
      </c>
      <c r="C3505" t="s">
        <v>23</v>
      </c>
      <c r="D3505" s="19">
        <v>12</v>
      </c>
      <c r="E3505">
        <v>32</v>
      </c>
      <c r="F3505" t="s">
        <v>10</v>
      </c>
      <c r="G3505" t="s">
        <v>8</v>
      </c>
      <c r="H3505">
        <v>3</v>
      </c>
      <c r="I3505" t="s">
        <v>27</v>
      </c>
    </row>
    <row r="3506" spans="1:9" x14ac:dyDescent="0.2">
      <c r="A3506" t="str">
        <f t="shared" si="301"/>
        <v>39052Vaipahu1233Autres</v>
      </c>
      <c r="B3506" s="1">
        <v>39052</v>
      </c>
      <c r="C3506" t="s">
        <v>23</v>
      </c>
      <c r="D3506" s="19">
        <v>12</v>
      </c>
      <c r="E3506">
        <v>33</v>
      </c>
      <c r="F3506" t="s">
        <v>14</v>
      </c>
      <c r="H3506">
        <v>0</v>
      </c>
    </row>
    <row r="3507" spans="1:9" x14ac:dyDescent="0.2">
      <c r="A3507" t="str">
        <f t="shared" si="301"/>
        <v>39052Vaipahu1234Autres</v>
      </c>
      <c r="B3507" s="1">
        <v>39052</v>
      </c>
      <c r="C3507" t="s">
        <v>23</v>
      </c>
      <c r="D3507" s="19">
        <v>12</v>
      </c>
      <c r="E3507">
        <v>34</v>
      </c>
      <c r="F3507" t="s">
        <v>14</v>
      </c>
      <c r="H3507">
        <v>0</v>
      </c>
    </row>
    <row r="3508" spans="1:9" x14ac:dyDescent="0.2">
      <c r="A3508" t="str">
        <f t="shared" si="301"/>
        <v>39052Vaipahu1235PoritidaeBords</v>
      </c>
      <c r="B3508" s="1">
        <v>39052</v>
      </c>
      <c r="C3508" t="s">
        <v>23</v>
      </c>
      <c r="D3508" s="19">
        <v>12</v>
      </c>
      <c r="E3508">
        <v>35</v>
      </c>
      <c r="F3508" t="s">
        <v>7</v>
      </c>
      <c r="G3508" t="s">
        <v>13</v>
      </c>
      <c r="H3508">
        <v>1</v>
      </c>
      <c r="I3508" t="s">
        <v>27</v>
      </c>
    </row>
    <row r="3509" spans="1:9" x14ac:dyDescent="0.2">
      <c r="A3509" t="str">
        <f t="shared" si="301"/>
        <v>39052Vaipahu1236PocilloporidaeBords</v>
      </c>
      <c r="B3509" s="1">
        <v>39052</v>
      </c>
      <c r="C3509" t="s">
        <v>23</v>
      </c>
      <c r="D3509" s="19">
        <v>12</v>
      </c>
      <c r="E3509">
        <v>36</v>
      </c>
      <c r="F3509" t="s">
        <v>10</v>
      </c>
      <c r="G3509" t="s">
        <v>13</v>
      </c>
      <c r="H3509">
        <v>1</v>
      </c>
      <c r="I3509" t="s">
        <v>27</v>
      </c>
    </row>
    <row r="3510" spans="1:9" x14ac:dyDescent="0.2">
      <c r="A3510" t="str">
        <f t="shared" si="301"/>
        <v>39052Vaipahu1236PoritidaeDessus</v>
      </c>
      <c r="B3510" s="1">
        <v>39052</v>
      </c>
      <c r="C3510" t="s">
        <v>23</v>
      </c>
      <c r="D3510" s="19">
        <v>12</v>
      </c>
      <c r="E3510">
        <v>36</v>
      </c>
      <c r="F3510" t="s">
        <v>7</v>
      </c>
      <c r="G3510" t="s">
        <v>11</v>
      </c>
      <c r="H3510">
        <v>1</v>
      </c>
      <c r="I3510" t="s">
        <v>27</v>
      </c>
    </row>
    <row r="3511" spans="1:9" x14ac:dyDescent="0.2">
      <c r="A3511" t="str">
        <f t="shared" si="301"/>
        <v>39052Vaipahu1237PocilloporidaeBords</v>
      </c>
      <c r="B3511" s="1">
        <v>39052</v>
      </c>
      <c r="C3511" t="s">
        <v>23</v>
      </c>
      <c r="D3511" s="19">
        <v>12</v>
      </c>
      <c r="E3511">
        <v>37</v>
      </c>
      <c r="F3511" t="s">
        <v>10</v>
      </c>
      <c r="G3511" t="s">
        <v>13</v>
      </c>
      <c r="H3511">
        <v>3</v>
      </c>
      <c r="I3511" t="s">
        <v>27</v>
      </c>
    </row>
    <row r="3512" spans="1:9" x14ac:dyDescent="0.2">
      <c r="A3512" t="str">
        <f t="shared" si="301"/>
        <v>39052Vaipahu1237PocilloporidaeDessus</v>
      </c>
      <c r="B3512" s="1">
        <v>39052</v>
      </c>
      <c r="C3512" t="s">
        <v>23</v>
      </c>
      <c r="D3512" s="19">
        <v>12</v>
      </c>
      <c r="E3512">
        <v>37</v>
      </c>
      <c r="F3512" t="s">
        <v>10</v>
      </c>
      <c r="G3512" t="s">
        <v>11</v>
      </c>
      <c r="H3512">
        <v>2</v>
      </c>
      <c r="I3512" t="s">
        <v>27</v>
      </c>
    </row>
    <row r="3513" spans="1:9" x14ac:dyDescent="0.2">
      <c r="A3513" t="str">
        <f t="shared" si="301"/>
        <v>39052Vaipahu1238PocilloporidaeDessous</v>
      </c>
      <c r="B3513" s="1">
        <v>39052</v>
      </c>
      <c r="C3513" t="s">
        <v>23</v>
      </c>
      <c r="D3513" s="19">
        <v>12</v>
      </c>
      <c r="E3513">
        <v>38</v>
      </c>
      <c r="F3513" t="s">
        <v>10</v>
      </c>
      <c r="G3513" t="s">
        <v>8</v>
      </c>
      <c r="H3513">
        <v>3</v>
      </c>
      <c r="I3513" t="s">
        <v>27</v>
      </c>
    </row>
    <row r="3514" spans="1:9" x14ac:dyDescent="0.2">
      <c r="A3514" t="str">
        <f t="shared" si="301"/>
        <v>39052Vaipahu1239</v>
      </c>
      <c r="B3514" s="1">
        <v>39052</v>
      </c>
      <c r="C3514" t="s">
        <v>23</v>
      </c>
      <c r="D3514" s="19">
        <v>12</v>
      </c>
      <c r="E3514">
        <v>39</v>
      </c>
      <c r="F3514" t="s">
        <v>27</v>
      </c>
      <c r="G3514" t="s">
        <v>27</v>
      </c>
      <c r="H3514" t="s">
        <v>27</v>
      </c>
      <c r="I3514" t="s">
        <v>31</v>
      </c>
    </row>
    <row r="3515" spans="1:9" x14ac:dyDescent="0.2">
      <c r="A3515" t="str">
        <f t="shared" si="301"/>
        <v>39052Vaipahu1240</v>
      </c>
      <c r="B3515" s="1">
        <v>39052</v>
      </c>
      <c r="C3515" t="s">
        <v>23</v>
      </c>
      <c r="D3515" s="19">
        <v>12</v>
      </c>
      <c r="E3515">
        <v>40</v>
      </c>
      <c r="F3515" t="s">
        <v>27</v>
      </c>
      <c r="G3515" t="s">
        <v>27</v>
      </c>
      <c r="H3515" t="s">
        <v>27</v>
      </c>
      <c r="I3515" t="s">
        <v>31</v>
      </c>
    </row>
    <row r="3516" spans="1:9" x14ac:dyDescent="0.2">
      <c r="A3516" t="str">
        <f t="shared" si="301"/>
        <v>39052Vaipahu1841</v>
      </c>
      <c r="B3516" s="1">
        <v>39052</v>
      </c>
      <c r="C3516" t="s">
        <v>23</v>
      </c>
      <c r="D3516" s="19">
        <v>18</v>
      </c>
      <c r="E3516">
        <v>41</v>
      </c>
      <c r="F3516" t="s">
        <v>27</v>
      </c>
      <c r="G3516" t="s">
        <v>27</v>
      </c>
      <c r="H3516" t="s">
        <v>27</v>
      </c>
      <c r="I3516" t="s">
        <v>31</v>
      </c>
    </row>
    <row r="3517" spans="1:9" x14ac:dyDescent="0.2">
      <c r="A3517" t="str">
        <f t="shared" si="301"/>
        <v>39052Vaipahu1842Autres</v>
      </c>
      <c r="B3517" s="1">
        <v>39052</v>
      </c>
      <c r="C3517" t="s">
        <v>23</v>
      </c>
      <c r="D3517" s="19">
        <v>18</v>
      </c>
      <c r="E3517">
        <v>42</v>
      </c>
      <c r="F3517" t="s">
        <v>14</v>
      </c>
      <c r="H3517">
        <v>0</v>
      </c>
    </row>
    <row r="3518" spans="1:9" x14ac:dyDescent="0.2">
      <c r="A3518" t="str">
        <f t="shared" si="301"/>
        <v>39052Vaipahu1843Autres</v>
      </c>
      <c r="B3518" s="1">
        <v>39052</v>
      </c>
      <c r="C3518" t="s">
        <v>23</v>
      </c>
      <c r="D3518" s="19">
        <v>18</v>
      </c>
      <c r="E3518">
        <v>43</v>
      </c>
      <c r="F3518" t="s">
        <v>14</v>
      </c>
      <c r="H3518">
        <v>0</v>
      </c>
    </row>
    <row r="3519" spans="1:9" x14ac:dyDescent="0.2">
      <c r="A3519" t="str">
        <f t="shared" ref="A3519:A3582" si="302">B3519 &amp; C3519&amp; D3519&amp; E3519 &amp; F3519 &amp;G3519</f>
        <v>39052Vaipahu1844Autres</v>
      </c>
      <c r="B3519" s="1">
        <v>39052</v>
      </c>
      <c r="C3519" t="s">
        <v>23</v>
      </c>
      <c r="D3519" s="19">
        <v>18</v>
      </c>
      <c r="E3519">
        <v>44</v>
      </c>
      <c r="F3519" t="s">
        <v>14</v>
      </c>
      <c r="H3519">
        <v>0</v>
      </c>
    </row>
    <row r="3520" spans="1:9" x14ac:dyDescent="0.2">
      <c r="A3520" t="str">
        <f t="shared" si="302"/>
        <v>39052Vaipahu1845PocilloporidaeBords</v>
      </c>
      <c r="B3520" s="1">
        <v>39052</v>
      </c>
      <c r="C3520" t="s">
        <v>23</v>
      </c>
      <c r="D3520" s="19">
        <v>18</v>
      </c>
      <c r="E3520">
        <v>45</v>
      </c>
      <c r="F3520" t="s">
        <v>10</v>
      </c>
      <c r="G3520" t="s">
        <v>13</v>
      </c>
      <c r="H3520">
        <v>1</v>
      </c>
      <c r="I3520" t="s">
        <v>27</v>
      </c>
    </row>
    <row r="3521" spans="1:9" x14ac:dyDescent="0.2">
      <c r="A3521" t="str">
        <f t="shared" si="302"/>
        <v>39052Vaipahu1846Autres</v>
      </c>
      <c r="B3521" s="1">
        <v>39052</v>
      </c>
      <c r="C3521" t="s">
        <v>23</v>
      </c>
      <c r="D3521" s="19">
        <v>18</v>
      </c>
      <c r="E3521">
        <v>46</v>
      </c>
      <c r="F3521" t="s">
        <v>14</v>
      </c>
      <c r="H3521">
        <v>0</v>
      </c>
    </row>
    <row r="3522" spans="1:9" x14ac:dyDescent="0.2">
      <c r="A3522" t="str">
        <f t="shared" si="302"/>
        <v>39052Vaipahu1847PocilloporidaeDessous</v>
      </c>
      <c r="B3522" s="1">
        <v>39052</v>
      </c>
      <c r="C3522" t="s">
        <v>23</v>
      </c>
      <c r="D3522" s="19">
        <v>18</v>
      </c>
      <c r="E3522">
        <v>47</v>
      </c>
      <c r="F3522" t="s">
        <v>10</v>
      </c>
      <c r="G3522" t="s">
        <v>8</v>
      </c>
      <c r="H3522">
        <v>1</v>
      </c>
      <c r="I3522" t="s">
        <v>27</v>
      </c>
    </row>
    <row r="3523" spans="1:9" x14ac:dyDescent="0.2">
      <c r="A3523" t="str">
        <f t="shared" si="302"/>
        <v>39052Vaipahu1848PocilloporidaeDessous</v>
      </c>
      <c r="B3523" s="1">
        <v>39052</v>
      </c>
      <c r="C3523" t="s">
        <v>23</v>
      </c>
      <c r="D3523" s="19">
        <v>18</v>
      </c>
      <c r="E3523">
        <v>48</v>
      </c>
      <c r="F3523" t="s">
        <v>10</v>
      </c>
      <c r="G3523" t="s">
        <v>8</v>
      </c>
      <c r="H3523">
        <v>5</v>
      </c>
      <c r="I3523" t="s">
        <v>27</v>
      </c>
    </row>
    <row r="3524" spans="1:9" x14ac:dyDescent="0.2">
      <c r="A3524" t="str">
        <f t="shared" si="302"/>
        <v>39052Vaipahu1849Autres</v>
      </c>
      <c r="B3524" s="1">
        <v>39052</v>
      </c>
      <c r="C3524" t="s">
        <v>23</v>
      </c>
      <c r="D3524" s="19">
        <v>18</v>
      </c>
      <c r="E3524">
        <v>49</v>
      </c>
      <c r="F3524" t="s">
        <v>14</v>
      </c>
      <c r="H3524">
        <v>0</v>
      </c>
    </row>
    <row r="3525" spans="1:9" x14ac:dyDescent="0.2">
      <c r="A3525" t="str">
        <f t="shared" si="302"/>
        <v>39052Vaipahu1850PocilloporidaeDessus</v>
      </c>
      <c r="B3525" s="1">
        <v>39052</v>
      </c>
      <c r="C3525" t="s">
        <v>23</v>
      </c>
      <c r="D3525" s="19">
        <v>18</v>
      </c>
      <c r="E3525">
        <v>50</v>
      </c>
      <c r="F3525" t="s">
        <v>10</v>
      </c>
      <c r="G3525" t="s">
        <v>11</v>
      </c>
      <c r="H3525">
        <v>2</v>
      </c>
      <c r="I3525" t="s">
        <v>27</v>
      </c>
    </row>
    <row r="3526" spans="1:9" x14ac:dyDescent="0.2">
      <c r="A3526" t="str">
        <f t="shared" si="302"/>
        <v>39052Vaipahu1850PoritidaeDessus</v>
      </c>
      <c r="B3526" s="1">
        <v>39052</v>
      </c>
      <c r="C3526" t="s">
        <v>23</v>
      </c>
      <c r="D3526" s="19">
        <v>18</v>
      </c>
      <c r="E3526">
        <v>50</v>
      </c>
      <c r="F3526" t="s">
        <v>7</v>
      </c>
      <c r="G3526" t="s">
        <v>11</v>
      </c>
      <c r="H3526">
        <v>1</v>
      </c>
      <c r="I3526" t="s">
        <v>27</v>
      </c>
    </row>
    <row r="3527" spans="1:9" x14ac:dyDescent="0.2">
      <c r="A3527" t="str">
        <f t="shared" si="302"/>
        <v>39052Vaipahu1851Autres</v>
      </c>
      <c r="B3527" s="1">
        <v>39052</v>
      </c>
      <c r="C3527" t="s">
        <v>23</v>
      </c>
      <c r="D3527" s="19">
        <v>18</v>
      </c>
      <c r="E3527">
        <v>51</v>
      </c>
      <c r="F3527" t="s">
        <v>14</v>
      </c>
      <c r="H3527">
        <v>0</v>
      </c>
    </row>
    <row r="3528" spans="1:9" x14ac:dyDescent="0.2">
      <c r="A3528" t="str">
        <f t="shared" si="302"/>
        <v>39052Vaipahu1852PocilloporidaeBords</v>
      </c>
      <c r="B3528" s="1">
        <v>39052</v>
      </c>
      <c r="C3528" t="s">
        <v>23</v>
      </c>
      <c r="D3528" s="19">
        <v>18</v>
      </c>
      <c r="E3528">
        <v>52</v>
      </c>
      <c r="F3528" t="s">
        <v>10</v>
      </c>
      <c r="G3528" t="s">
        <v>13</v>
      </c>
      <c r="H3528">
        <v>1</v>
      </c>
      <c r="I3528" t="s">
        <v>27</v>
      </c>
    </row>
    <row r="3529" spans="1:9" x14ac:dyDescent="0.2">
      <c r="A3529" t="str">
        <f t="shared" si="302"/>
        <v>39052Vaipahu1852PocilloporidaeDessus</v>
      </c>
      <c r="B3529" s="1">
        <v>39052</v>
      </c>
      <c r="C3529" t="s">
        <v>23</v>
      </c>
      <c r="D3529" s="19">
        <v>18</v>
      </c>
      <c r="E3529">
        <v>52</v>
      </c>
      <c r="F3529" t="s">
        <v>10</v>
      </c>
      <c r="G3529" t="s">
        <v>11</v>
      </c>
      <c r="H3529">
        <v>1</v>
      </c>
      <c r="I3529" t="s">
        <v>27</v>
      </c>
    </row>
    <row r="3530" spans="1:9" x14ac:dyDescent="0.2">
      <c r="A3530" t="str">
        <f t="shared" si="302"/>
        <v>39052Vaipahu1852PoritidaeDessous</v>
      </c>
      <c r="B3530" s="1">
        <v>39052</v>
      </c>
      <c r="C3530" t="s">
        <v>23</v>
      </c>
      <c r="D3530" s="19">
        <v>18</v>
      </c>
      <c r="E3530">
        <v>52</v>
      </c>
      <c r="F3530" t="s">
        <v>7</v>
      </c>
      <c r="G3530" t="s">
        <v>8</v>
      </c>
      <c r="H3530">
        <v>1</v>
      </c>
      <c r="I3530" t="s">
        <v>27</v>
      </c>
    </row>
    <row r="3531" spans="1:9" x14ac:dyDescent="0.2">
      <c r="A3531" t="str">
        <f t="shared" si="302"/>
        <v>39052Vaipahu1853AutresBords</v>
      </c>
      <c r="B3531" s="1">
        <v>39052</v>
      </c>
      <c r="C3531" t="s">
        <v>23</v>
      </c>
      <c r="D3531" s="19">
        <v>18</v>
      </c>
      <c r="E3531">
        <v>53</v>
      </c>
      <c r="F3531" t="s">
        <v>14</v>
      </c>
      <c r="G3531" t="s">
        <v>13</v>
      </c>
      <c r="H3531">
        <v>1</v>
      </c>
      <c r="I3531" t="s">
        <v>27</v>
      </c>
    </row>
    <row r="3532" spans="1:9" x14ac:dyDescent="0.2">
      <c r="A3532" t="str">
        <f t="shared" si="302"/>
        <v>39052Vaipahu1854PocilloporidaeDessous</v>
      </c>
      <c r="B3532" s="1">
        <v>39052</v>
      </c>
      <c r="C3532" t="s">
        <v>23</v>
      </c>
      <c r="D3532" s="19">
        <v>18</v>
      </c>
      <c r="E3532">
        <v>54</v>
      </c>
      <c r="F3532" t="s">
        <v>10</v>
      </c>
      <c r="G3532" t="s">
        <v>8</v>
      </c>
      <c r="H3532">
        <v>1</v>
      </c>
      <c r="I3532" t="s">
        <v>27</v>
      </c>
    </row>
    <row r="3533" spans="1:9" x14ac:dyDescent="0.2">
      <c r="A3533" t="str">
        <f t="shared" si="302"/>
        <v>39052Vaipahu1855AcroporidaeDessous</v>
      </c>
      <c r="B3533" s="1">
        <v>39052</v>
      </c>
      <c r="C3533" t="s">
        <v>23</v>
      </c>
      <c r="D3533" s="19">
        <v>18</v>
      </c>
      <c r="E3533">
        <v>55</v>
      </c>
      <c r="F3533" t="s">
        <v>17</v>
      </c>
      <c r="G3533" t="s">
        <v>8</v>
      </c>
      <c r="H3533">
        <v>1</v>
      </c>
      <c r="I3533" t="s">
        <v>27</v>
      </c>
    </row>
    <row r="3534" spans="1:9" x14ac:dyDescent="0.2">
      <c r="A3534" t="str">
        <f t="shared" si="302"/>
        <v>39052Vaipahu1855PocilloporidaeBords</v>
      </c>
      <c r="B3534" s="1">
        <v>39052</v>
      </c>
      <c r="C3534" t="s">
        <v>23</v>
      </c>
      <c r="D3534" s="19">
        <v>18</v>
      </c>
      <c r="E3534">
        <v>55</v>
      </c>
      <c r="F3534" t="s">
        <v>10</v>
      </c>
      <c r="G3534" t="s">
        <v>13</v>
      </c>
      <c r="H3534">
        <v>2</v>
      </c>
      <c r="I3534" t="s">
        <v>27</v>
      </c>
    </row>
    <row r="3535" spans="1:9" x14ac:dyDescent="0.2">
      <c r="A3535" t="str">
        <f t="shared" si="302"/>
        <v>39052Vaipahu1855PocilloporidaeDessous</v>
      </c>
      <c r="B3535" s="1">
        <v>39052</v>
      </c>
      <c r="C3535" t="s">
        <v>23</v>
      </c>
      <c r="D3535" s="19">
        <v>18</v>
      </c>
      <c r="E3535">
        <v>55</v>
      </c>
      <c r="F3535" t="s">
        <v>10</v>
      </c>
      <c r="G3535" t="s">
        <v>8</v>
      </c>
      <c r="H3535">
        <v>2</v>
      </c>
      <c r="I3535" t="s">
        <v>27</v>
      </c>
    </row>
    <row r="3536" spans="1:9" x14ac:dyDescent="0.2">
      <c r="A3536" t="str">
        <f t="shared" si="302"/>
        <v>39052Vaipahu1856PocilloporidaeDessous</v>
      </c>
      <c r="B3536" s="1">
        <v>39052</v>
      </c>
      <c r="C3536" t="s">
        <v>23</v>
      </c>
      <c r="D3536" s="19">
        <v>18</v>
      </c>
      <c r="E3536">
        <v>56</v>
      </c>
      <c r="F3536" t="s">
        <v>10</v>
      </c>
      <c r="G3536" t="s">
        <v>8</v>
      </c>
      <c r="H3536">
        <v>2</v>
      </c>
      <c r="I3536" t="s">
        <v>27</v>
      </c>
    </row>
    <row r="3537" spans="1:9" x14ac:dyDescent="0.2">
      <c r="A3537" t="str">
        <f t="shared" si="302"/>
        <v>39052Vaipahu1856PoritidaeDessous</v>
      </c>
      <c r="B3537" s="1">
        <v>39052</v>
      </c>
      <c r="C3537" t="s">
        <v>23</v>
      </c>
      <c r="D3537" s="19">
        <v>18</v>
      </c>
      <c r="E3537">
        <v>56</v>
      </c>
      <c r="F3537" t="s">
        <v>7</v>
      </c>
      <c r="G3537" t="s">
        <v>8</v>
      </c>
      <c r="H3537">
        <v>1</v>
      </c>
      <c r="I3537" t="s">
        <v>27</v>
      </c>
    </row>
    <row r="3538" spans="1:9" x14ac:dyDescent="0.2">
      <c r="A3538" t="str">
        <f t="shared" si="302"/>
        <v>39052Vaipahu1857Autres</v>
      </c>
      <c r="B3538" s="1">
        <v>39052</v>
      </c>
      <c r="C3538" t="s">
        <v>23</v>
      </c>
      <c r="D3538" s="19">
        <v>18</v>
      </c>
      <c r="E3538">
        <v>57</v>
      </c>
      <c r="F3538" t="s">
        <v>14</v>
      </c>
      <c r="H3538">
        <v>0</v>
      </c>
    </row>
    <row r="3539" spans="1:9" x14ac:dyDescent="0.2">
      <c r="A3539" t="str">
        <f t="shared" si="302"/>
        <v>39052Vaipahu1858</v>
      </c>
      <c r="B3539" s="1">
        <v>39052</v>
      </c>
      <c r="C3539" t="s">
        <v>23</v>
      </c>
      <c r="D3539" s="19">
        <v>18</v>
      </c>
      <c r="E3539">
        <v>58</v>
      </c>
      <c r="F3539" t="s">
        <v>27</v>
      </c>
      <c r="G3539" t="s">
        <v>27</v>
      </c>
      <c r="H3539" t="s">
        <v>27</v>
      </c>
      <c r="I3539" t="s">
        <v>31</v>
      </c>
    </row>
    <row r="3540" spans="1:9" x14ac:dyDescent="0.2">
      <c r="A3540" t="str">
        <f t="shared" si="302"/>
        <v>39052Vaipahu1859Autres</v>
      </c>
      <c r="B3540" s="1">
        <v>39052</v>
      </c>
      <c r="C3540" t="s">
        <v>23</v>
      </c>
      <c r="D3540" s="19">
        <v>18</v>
      </c>
      <c r="E3540">
        <v>59</v>
      </c>
      <c r="F3540" t="s">
        <v>14</v>
      </c>
      <c r="H3540">
        <v>0</v>
      </c>
    </row>
    <row r="3541" spans="1:9" x14ac:dyDescent="0.2">
      <c r="A3541" t="str">
        <f t="shared" si="302"/>
        <v>39052Vaipahu1860PocilloporidaeBords</v>
      </c>
      <c r="B3541" s="1">
        <v>39052</v>
      </c>
      <c r="C3541" t="s">
        <v>23</v>
      </c>
      <c r="D3541" s="19">
        <v>18</v>
      </c>
      <c r="E3541">
        <v>60</v>
      </c>
      <c r="F3541" t="s">
        <v>10</v>
      </c>
      <c r="G3541" t="s">
        <v>13</v>
      </c>
      <c r="H3541">
        <v>1</v>
      </c>
      <c r="I3541" t="s">
        <v>27</v>
      </c>
    </row>
    <row r="3542" spans="1:9" x14ac:dyDescent="0.2">
      <c r="A3542" t="str">
        <f t="shared" si="302"/>
        <v>39052Tiahura661PocilloporidaeDessous</v>
      </c>
      <c r="B3542" s="1">
        <v>39052</v>
      </c>
      <c r="C3542" t="s">
        <v>24</v>
      </c>
      <c r="D3542" s="19">
        <v>6</v>
      </c>
      <c r="E3542">
        <v>61</v>
      </c>
      <c r="F3542" t="s">
        <v>10</v>
      </c>
      <c r="G3542" t="s">
        <v>8</v>
      </c>
      <c r="H3542">
        <v>1</v>
      </c>
      <c r="I3542" t="s">
        <v>27</v>
      </c>
    </row>
    <row r="3543" spans="1:9" x14ac:dyDescent="0.2">
      <c r="A3543" t="str">
        <f t="shared" si="302"/>
        <v>39052Tiahura662PocilloporidaeBords</v>
      </c>
      <c r="B3543" s="1">
        <v>39052</v>
      </c>
      <c r="C3543" t="s">
        <v>24</v>
      </c>
      <c r="D3543" s="19">
        <v>6</v>
      </c>
      <c r="E3543">
        <v>62</v>
      </c>
      <c r="F3543" t="s">
        <v>10</v>
      </c>
      <c r="G3543" t="s">
        <v>13</v>
      </c>
      <c r="H3543">
        <v>1</v>
      </c>
      <c r="I3543" t="s">
        <v>27</v>
      </c>
    </row>
    <row r="3544" spans="1:9" x14ac:dyDescent="0.2">
      <c r="A3544" t="str">
        <f t="shared" si="302"/>
        <v>39052Tiahura662PocilloporidaeDessous</v>
      </c>
      <c r="B3544" s="1">
        <v>39052</v>
      </c>
      <c r="C3544" t="s">
        <v>24</v>
      </c>
      <c r="D3544" s="19">
        <v>6</v>
      </c>
      <c r="E3544">
        <v>62</v>
      </c>
      <c r="F3544" t="s">
        <v>10</v>
      </c>
      <c r="G3544" t="s">
        <v>8</v>
      </c>
      <c r="H3544">
        <v>2</v>
      </c>
      <c r="I3544" t="s">
        <v>27</v>
      </c>
    </row>
    <row r="3545" spans="1:9" x14ac:dyDescent="0.2">
      <c r="A3545" t="str">
        <f t="shared" si="302"/>
        <v>39052Tiahura663PocilloporidaeDessous</v>
      </c>
      <c r="B3545" s="1">
        <v>39052</v>
      </c>
      <c r="C3545" t="s">
        <v>24</v>
      </c>
      <c r="D3545" s="19">
        <v>6</v>
      </c>
      <c r="E3545">
        <v>63</v>
      </c>
      <c r="F3545" t="s">
        <v>10</v>
      </c>
      <c r="G3545" t="s">
        <v>8</v>
      </c>
      <c r="H3545">
        <v>3</v>
      </c>
      <c r="I3545" t="s">
        <v>27</v>
      </c>
    </row>
    <row r="3546" spans="1:9" x14ac:dyDescent="0.2">
      <c r="A3546" t="str">
        <f t="shared" si="302"/>
        <v>39052Tiahura664PocilloporidaeBords</v>
      </c>
      <c r="B3546" s="1">
        <v>39052</v>
      </c>
      <c r="C3546" t="s">
        <v>24</v>
      </c>
      <c r="D3546" s="19">
        <v>6</v>
      </c>
      <c r="E3546">
        <v>64</v>
      </c>
      <c r="F3546" t="s">
        <v>10</v>
      </c>
      <c r="G3546" t="s">
        <v>13</v>
      </c>
      <c r="H3546">
        <v>3</v>
      </c>
      <c r="I3546" t="s">
        <v>27</v>
      </c>
    </row>
    <row r="3547" spans="1:9" x14ac:dyDescent="0.2">
      <c r="A3547" t="str">
        <f t="shared" si="302"/>
        <v>39052Tiahura665PocilloporidaeBords</v>
      </c>
      <c r="B3547" s="1">
        <v>39052</v>
      </c>
      <c r="C3547" t="s">
        <v>24</v>
      </c>
      <c r="D3547" s="19">
        <v>6</v>
      </c>
      <c r="E3547">
        <v>65</v>
      </c>
      <c r="F3547" t="s">
        <v>10</v>
      </c>
      <c r="G3547" t="s">
        <v>13</v>
      </c>
      <c r="H3547">
        <v>1</v>
      </c>
      <c r="I3547" t="s">
        <v>27</v>
      </c>
    </row>
    <row r="3548" spans="1:9" x14ac:dyDescent="0.2">
      <c r="A3548" t="str">
        <f t="shared" si="302"/>
        <v>39052Tiahura665PocilloporidaeDessous</v>
      </c>
      <c r="B3548" s="1">
        <v>39052</v>
      </c>
      <c r="C3548" t="s">
        <v>24</v>
      </c>
      <c r="D3548" s="19">
        <v>6</v>
      </c>
      <c r="E3548">
        <v>65</v>
      </c>
      <c r="F3548" t="s">
        <v>10</v>
      </c>
      <c r="G3548" t="s">
        <v>8</v>
      </c>
      <c r="H3548">
        <v>2</v>
      </c>
      <c r="I3548" t="s">
        <v>27</v>
      </c>
    </row>
    <row r="3549" spans="1:9" x14ac:dyDescent="0.2">
      <c r="A3549" t="str">
        <f t="shared" si="302"/>
        <v>39052Tiahura666</v>
      </c>
      <c r="B3549" s="1">
        <v>39052</v>
      </c>
      <c r="C3549" t="s">
        <v>24</v>
      </c>
      <c r="D3549" s="19">
        <v>6</v>
      </c>
      <c r="E3549">
        <v>66</v>
      </c>
      <c r="F3549" t="s">
        <v>27</v>
      </c>
      <c r="G3549" t="s">
        <v>27</v>
      </c>
      <c r="H3549" t="s">
        <v>27</v>
      </c>
      <c r="I3549" t="s">
        <v>31</v>
      </c>
    </row>
    <row r="3550" spans="1:9" x14ac:dyDescent="0.2">
      <c r="A3550" t="str">
        <f t="shared" si="302"/>
        <v>39052Tiahura667</v>
      </c>
      <c r="B3550" s="1">
        <v>39052</v>
      </c>
      <c r="C3550" t="s">
        <v>24</v>
      </c>
      <c r="D3550" s="19">
        <v>6</v>
      </c>
      <c r="E3550">
        <v>67</v>
      </c>
      <c r="F3550" t="s">
        <v>27</v>
      </c>
      <c r="G3550" t="s">
        <v>27</v>
      </c>
      <c r="H3550" t="s">
        <v>27</v>
      </c>
      <c r="I3550" t="s">
        <v>31</v>
      </c>
    </row>
    <row r="3551" spans="1:9" x14ac:dyDescent="0.2">
      <c r="A3551" t="str">
        <f t="shared" si="302"/>
        <v>39052Tiahura668Autres</v>
      </c>
      <c r="B3551" s="1">
        <v>39052</v>
      </c>
      <c r="C3551" t="s">
        <v>24</v>
      </c>
      <c r="D3551" s="19">
        <v>6</v>
      </c>
      <c r="E3551">
        <v>68</v>
      </c>
      <c r="F3551" t="s">
        <v>14</v>
      </c>
      <c r="H3551">
        <v>0</v>
      </c>
    </row>
    <row r="3552" spans="1:9" x14ac:dyDescent="0.2">
      <c r="A3552" t="str">
        <f t="shared" si="302"/>
        <v>39052Tiahura669PocilloporidaeDessous</v>
      </c>
      <c r="B3552" s="1">
        <v>39052</v>
      </c>
      <c r="C3552" t="s">
        <v>24</v>
      </c>
      <c r="D3552" s="19">
        <v>6</v>
      </c>
      <c r="E3552">
        <v>69</v>
      </c>
      <c r="F3552" t="s">
        <v>10</v>
      </c>
      <c r="G3552" t="s">
        <v>8</v>
      </c>
      <c r="H3552">
        <v>1</v>
      </c>
      <c r="I3552" t="s">
        <v>27</v>
      </c>
    </row>
    <row r="3553" spans="1:9" x14ac:dyDescent="0.2">
      <c r="A3553" t="str">
        <f t="shared" si="302"/>
        <v>39052Tiahura670PocilloporidaeDessous</v>
      </c>
      <c r="B3553" s="1">
        <v>39052</v>
      </c>
      <c r="C3553" t="s">
        <v>24</v>
      </c>
      <c r="D3553" s="19">
        <v>6</v>
      </c>
      <c r="E3553">
        <v>70</v>
      </c>
      <c r="F3553" t="s">
        <v>10</v>
      </c>
      <c r="G3553" t="s">
        <v>8</v>
      </c>
      <c r="H3553">
        <v>5</v>
      </c>
      <c r="I3553" t="s">
        <v>27</v>
      </c>
    </row>
    <row r="3554" spans="1:9" x14ac:dyDescent="0.2">
      <c r="A3554" t="str">
        <f t="shared" si="302"/>
        <v>39052Tiahura671CassésDessous</v>
      </c>
      <c r="B3554" s="1">
        <v>39052</v>
      </c>
      <c r="C3554" t="s">
        <v>24</v>
      </c>
      <c r="D3554" s="19">
        <v>6</v>
      </c>
      <c r="E3554">
        <v>71</v>
      </c>
      <c r="F3554" t="s">
        <v>12</v>
      </c>
      <c r="G3554" t="s">
        <v>8</v>
      </c>
      <c r="H3554">
        <v>1</v>
      </c>
      <c r="I3554" t="s">
        <v>27</v>
      </c>
    </row>
    <row r="3555" spans="1:9" x14ac:dyDescent="0.2">
      <c r="A3555" t="str">
        <f t="shared" si="302"/>
        <v>39052Tiahura671PocilloporidaeDessous</v>
      </c>
      <c r="B3555" s="1">
        <v>39052</v>
      </c>
      <c r="C3555" t="s">
        <v>24</v>
      </c>
      <c r="D3555" s="19">
        <v>6</v>
      </c>
      <c r="E3555">
        <v>71</v>
      </c>
      <c r="F3555" t="s">
        <v>10</v>
      </c>
      <c r="G3555" t="s">
        <v>8</v>
      </c>
      <c r="H3555">
        <v>2</v>
      </c>
      <c r="I3555" t="s">
        <v>27</v>
      </c>
    </row>
    <row r="3556" spans="1:9" x14ac:dyDescent="0.2">
      <c r="A3556" t="str">
        <f t="shared" si="302"/>
        <v>39052Tiahura672</v>
      </c>
      <c r="B3556" s="1">
        <v>39052</v>
      </c>
      <c r="C3556" t="s">
        <v>24</v>
      </c>
      <c r="D3556" s="19">
        <v>6</v>
      </c>
      <c r="E3556">
        <v>72</v>
      </c>
      <c r="F3556" t="s">
        <v>27</v>
      </c>
      <c r="G3556" t="s">
        <v>27</v>
      </c>
      <c r="H3556" t="s">
        <v>27</v>
      </c>
      <c r="I3556" t="s">
        <v>31</v>
      </c>
    </row>
    <row r="3557" spans="1:9" x14ac:dyDescent="0.2">
      <c r="A3557" t="str">
        <f t="shared" si="302"/>
        <v>39052Tiahura673PocilloporidaeDessous</v>
      </c>
      <c r="B3557" s="1">
        <v>39052</v>
      </c>
      <c r="C3557" t="s">
        <v>24</v>
      </c>
      <c r="D3557" s="19">
        <v>6</v>
      </c>
      <c r="E3557">
        <v>73</v>
      </c>
      <c r="F3557" t="s">
        <v>10</v>
      </c>
      <c r="G3557" t="s">
        <v>8</v>
      </c>
      <c r="H3557">
        <v>3</v>
      </c>
      <c r="I3557" t="s">
        <v>27</v>
      </c>
    </row>
    <row r="3558" spans="1:9" x14ac:dyDescent="0.2">
      <c r="A3558" t="str">
        <f t="shared" si="302"/>
        <v>39052Tiahura674</v>
      </c>
      <c r="B3558" s="1">
        <v>39052</v>
      </c>
      <c r="C3558" t="s">
        <v>24</v>
      </c>
      <c r="D3558" s="19">
        <v>6</v>
      </c>
      <c r="E3558">
        <v>74</v>
      </c>
      <c r="F3558" t="s">
        <v>27</v>
      </c>
      <c r="G3558" t="s">
        <v>27</v>
      </c>
      <c r="H3558" t="s">
        <v>27</v>
      </c>
      <c r="I3558" t="s">
        <v>31</v>
      </c>
    </row>
    <row r="3559" spans="1:9" x14ac:dyDescent="0.2">
      <c r="A3559" t="str">
        <f t="shared" si="302"/>
        <v>39052Tiahura675PocilloporidaeBords</v>
      </c>
      <c r="B3559" s="1">
        <v>39052</v>
      </c>
      <c r="C3559" t="s">
        <v>24</v>
      </c>
      <c r="D3559" s="19">
        <v>6</v>
      </c>
      <c r="E3559">
        <v>75</v>
      </c>
      <c r="F3559" t="s">
        <v>10</v>
      </c>
      <c r="G3559" t="s">
        <v>13</v>
      </c>
      <c r="H3559">
        <v>1</v>
      </c>
      <c r="I3559" t="s">
        <v>27</v>
      </c>
    </row>
    <row r="3560" spans="1:9" x14ac:dyDescent="0.2">
      <c r="A3560" t="str">
        <f t="shared" si="302"/>
        <v>39052Tiahura675PocilloporidaeDessous</v>
      </c>
      <c r="B3560" s="1">
        <v>39052</v>
      </c>
      <c r="C3560" t="s">
        <v>24</v>
      </c>
      <c r="D3560" s="19">
        <v>6</v>
      </c>
      <c r="E3560">
        <v>75</v>
      </c>
      <c r="F3560" t="s">
        <v>10</v>
      </c>
      <c r="G3560" t="s">
        <v>8</v>
      </c>
      <c r="H3560">
        <v>2</v>
      </c>
      <c r="I3560" t="s">
        <v>27</v>
      </c>
    </row>
    <row r="3561" spans="1:9" x14ac:dyDescent="0.2">
      <c r="A3561" t="str">
        <f t="shared" si="302"/>
        <v>39052Tiahura676PocilloporidaeDessus</v>
      </c>
      <c r="B3561" s="1">
        <v>39052</v>
      </c>
      <c r="C3561" t="s">
        <v>24</v>
      </c>
      <c r="D3561" s="19">
        <v>6</v>
      </c>
      <c r="E3561">
        <v>76</v>
      </c>
      <c r="F3561" t="s">
        <v>10</v>
      </c>
      <c r="G3561" t="s">
        <v>11</v>
      </c>
      <c r="H3561">
        <v>1</v>
      </c>
      <c r="I3561" t="s">
        <v>27</v>
      </c>
    </row>
    <row r="3562" spans="1:9" x14ac:dyDescent="0.2">
      <c r="A3562" t="str">
        <f t="shared" si="302"/>
        <v>39052Tiahura677PocilloporidaeBords</v>
      </c>
      <c r="B3562" s="1">
        <v>39052</v>
      </c>
      <c r="C3562" t="s">
        <v>24</v>
      </c>
      <c r="D3562" s="19">
        <v>6</v>
      </c>
      <c r="E3562">
        <v>77</v>
      </c>
      <c r="F3562" t="s">
        <v>10</v>
      </c>
      <c r="G3562" t="s">
        <v>13</v>
      </c>
      <c r="H3562">
        <v>1</v>
      </c>
      <c r="I3562" t="s">
        <v>27</v>
      </c>
    </row>
    <row r="3563" spans="1:9" x14ac:dyDescent="0.2">
      <c r="A3563" t="str">
        <f t="shared" si="302"/>
        <v>39052Tiahura678PocilloporidaeDessous</v>
      </c>
      <c r="B3563" s="1">
        <v>39052</v>
      </c>
      <c r="C3563" t="s">
        <v>24</v>
      </c>
      <c r="D3563" s="19">
        <v>6</v>
      </c>
      <c r="E3563">
        <v>78</v>
      </c>
      <c r="F3563" t="s">
        <v>10</v>
      </c>
      <c r="G3563" t="s">
        <v>8</v>
      </c>
      <c r="H3563">
        <v>1</v>
      </c>
      <c r="I3563" t="s">
        <v>27</v>
      </c>
    </row>
    <row r="3564" spans="1:9" x14ac:dyDescent="0.2">
      <c r="A3564" t="str">
        <f t="shared" si="302"/>
        <v>39052Tiahura679Autres</v>
      </c>
      <c r="B3564" s="1">
        <v>39052</v>
      </c>
      <c r="C3564" t="s">
        <v>24</v>
      </c>
      <c r="D3564" s="19">
        <v>6</v>
      </c>
      <c r="E3564">
        <v>79</v>
      </c>
      <c r="F3564" t="s">
        <v>14</v>
      </c>
      <c r="H3564">
        <v>0</v>
      </c>
    </row>
    <row r="3565" spans="1:9" x14ac:dyDescent="0.2">
      <c r="A3565" t="str">
        <f t="shared" si="302"/>
        <v>39052Tiahura680PocilloporidaeDessous</v>
      </c>
      <c r="B3565" s="1">
        <v>39052</v>
      </c>
      <c r="C3565" t="s">
        <v>24</v>
      </c>
      <c r="D3565" s="19">
        <v>6</v>
      </c>
      <c r="E3565">
        <v>80</v>
      </c>
      <c r="F3565" t="s">
        <v>10</v>
      </c>
      <c r="G3565" t="s">
        <v>8</v>
      </c>
      <c r="H3565">
        <v>18</v>
      </c>
      <c r="I3565" t="s">
        <v>27</v>
      </c>
    </row>
    <row r="3566" spans="1:9" x14ac:dyDescent="0.2">
      <c r="A3566" t="str">
        <f t="shared" si="302"/>
        <v>39052Tiahura1281PocilloporidaeDessous</v>
      </c>
      <c r="B3566" s="1">
        <v>39052</v>
      </c>
      <c r="C3566" t="s">
        <v>24</v>
      </c>
      <c r="D3566" s="19">
        <v>12</v>
      </c>
      <c r="E3566">
        <v>81</v>
      </c>
      <c r="F3566" t="s">
        <v>10</v>
      </c>
      <c r="G3566" t="s">
        <v>8</v>
      </c>
      <c r="H3566">
        <v>1</v>
      </c>
      <c r="I3566" t="s">
        <v>27</v>
      </c>
    </row>
    <row r="3567" spans="1:9" x14ac:dyDescent="0.2">
      <c r="A3567" t="str">
        <f t="shared" si="302"/>
        <v>39052Tiahura1282AcroporidaeBords</v>
      </c>
      <c r="B3567" s="1">
        <v>39052</v>
      </c>
      <c r="C3567" t="s">
        <v>24</v>
      </c>
      <c r="D3567" s="19">
        <v>12</v>
      </c>
      <c r="E3567">
        <v>82</v>
      </c>
      <c r="F3567" t="s">
        <v>17</v>
      </c>
      <c r="G3567" t="s">
        <v>13</v>
      </c>
      <c r="H3567">
        <v>1</v>
      </c>
      <c r="I3567" t="s">
        <v>27</v>
      </c>
    </row>
    <row r="3568" spans="1:9" x14ac:dyDescent="0.2">
      <c r="A3568" t="str">
        <f t="shared" si="302"/>
        <v>39052Tiahura1283PoritidaeDessous</v>
      </c>
      <c r="B3568" s="1">
        <v>39052</v>
      </c>
      <c r="C3568" t="s">
        <v>24</v>
      </c>
      <c r="D3568" s="19">
        <v>12</v>
      </c>
      <c r="E3568">
        <v>83</v>
      </c>
      <c r="F3568" t="s">
        <v>7</v>
      </c>
      <c r="G3568" t="s">
        <v>8</v>
      </c>
      <c r="H3568">
        <v>1</v>
      </c>
      <c r="I3568" t="s">
        <v>27</v>
      </c>
    </row>
    <row r="3569" spans="1:9" x14ac:dyDescent="0.2">
      <c r="A3569" t="str">
        <f t="shared" si="302"/>
        <v>39052Tiahura1284Autres</v>
      </c>
      <c r="B3569" s="1">
        <v>39052</v>
      </c>
      <c r="C3569" t="s">
        <v>24</v>
      </c>
      <c r="D3569" s="19">
        <v>12</v>
      </c>
      <c r="E3569">
        <v>84</v>
      </c>
      <c r="F3569" t="s">
        <v>14</v>
      </c>
      <c r="H3569">
        <v>0</v>
      </c>
    </row>
    <row r="3570" spans="1:9" x14ac:dyDescent="0.2">
      <c r="A3570" t="str">
        <f t="shared" si="302"/>
        <v>39052Tiahura1285PocilloporidaeDessous</v>
      </c>
      <c r="B3570" s="1">
        <v>39052</v>
      </c>
      <c r="C3570" t="s">
        <v>24</v>
      </c>
      <c r="D3570" s="19">
        <v>12</v>
      </c>
      <c r="E3570">
        <v>85</v>
      </c>
      <c r="F3570" t="s">
        <v>10</v>
      </c>
      <c r="G3570" t="s">
        <v>8</v>
      </c>
      <c r="H3570">
        <v>4</v>
      </c>
      <c r="I3570" t="s">
        <v>27</v>
      </c>
    </row>
    <row r="3571" spans="1:9" x14ac:dyDescent="0.2">
      <c r="A3571" t="str">
        <f t="shared" si="302"/>
        <v>39052Tiahura1285PoritidaeDessous</v>
      </c>
      <c r="B3571" s="1">
        <v>39052</v>
      </c>
      <c r="C3571" t="s">
        <v>24</v>
      </c>
      <c r="D3571" s="19">
        <v>12</v>
      </c>
      <c r="E3571">
        <v>85</v>
      </c>
      <c r="F3571" t="s">
        <v>7</v>
      </c>
      <c r="G3571" t="s">
        <v>8</v>
      </c>
      <c r="H3571">
        <v>4</v>
      </c>
      <c r="I3571" t="s">
        <v>27</v>
      </c>
    </row>
    <row r="3572" spans="1:9" x14ac:dyDescent="0.2">
      <c r="A3572" t="str">
        <f t="shared" si="302"/>
        <v>39052Tiahura1286</v>
      </c>
      <c r="B3572" s="1">
        <v>39052</v>
      </c>
      <c r="C3572" t="s">
        <v>24</v>
      </c>
      <c r="D3572" s="19">
        <v>12</v>
      </c>
      <c r="E3572">
        <v>86</v>
      </c>
      <c r="F3572" t="s">
        <v>27</v>
      </c>
      <c r="G3572" t="s">
        <v>27</v>
      </c>
      <c r="H3572" t="s">
        <v>27</v>
      </c>
      <c r="I3572" t="s">
        <v>31</v>
      </c>
    </row>
    <row r="3573" spans="1:9" x14ac:dyDescent="0.2">
      <c r="A3573" t="str">
        <f t="shared" si="302"/>
        <v>39052Tiahura1287PoritidaeDessus</v>
      </c>
      <c r="B3573" s="1">
        <v>39052</v>
      </c>
      <c r="C3573" t="s">
        <v>24</v>
      </c>
      <c r="D3573" s="19">
        <v>12</v>
      </c>
      <c r="E3573">
        <v>87</v>
      </c>
      <c r="F3573" t="s">
        <v>7</v>
      </c>
      <c r="G3573" t="s">
        <v>11</v>
      </c>
      <c r="H3573">
        <v>1</v>
      </c>
      <c r="I3573" t="s">
        <v>27</v>
      </c>
    </row>
    <row r="3574" spans="1:9" x14ac:dyDescent="0.2">
      <c r="A3574" t="str">
        <f t="shared" si="302"/>
        <v>39052Tiahura1288Autres</v>
      </c>
      <c r="B3574" s="1">
        <v>39052</v>
      </c>
      <c r="C3574" t="s">
        <v>24</v>
      </c>
      <c r="D3574" s="19">
        <v>12</v>
      </c>
      <c r="E3574">
        <v>88</v>
      </c>
      <c r="F3574" t="s">
        <v>14</v>
      </c>
      <c r="H3574">
        <v>0</v>
      </c>
    </row>
    <row r="3575" spans="1:9" x14ac:dyDescent="0.2">
      <c r="A3575" t="str">
        <f t="shared" si="302"/>
        <v>39052Tiahura1289</v>
      </c>
      <c r="B3575" s="1">
        <v>39052</v>
      </c>
      <c r="C3575" t="s">
        <v>24</v>
      </c>
      <c r="D3575" s="19">
        <v>12</v>
      </c>
      <c r="E3575">
        <v>89</v>
      </c>
      <c r="F3575" t="s">
        <v>27</v>
      </c>
      <c r="G3575" t="s">
        <v>27</v>
      </c>
      <c r="H3575" t="s">
        <v>27</v>
      </c>
      <c r="I3575" t="s">
        <v>31</v>
      </c>
    </row>
    <row r="3576" spans="1:9" x14ac:dyDescent="0.2">
      <c r="A3576" t="str">
        <f t="shared" si="302"/>
        <v>39052Tiahura1290PocilloporidaeDessous</v>
      </c>
      <c r="B3576" s="1">
        <v>39052</v>
      </c>
      <c r="C3576" t="s">
        <v>24</v>
      </c>
      <c r="D3576" s="19">
        <v>12</v>
      </c>
      <c r="E3576">
        <v>90</v>
      </c>
      <c r="F3576" t="s">
        <v>10</v>
      </c>
      <c r="G3576" t="s">
        <v>8</v>
      </c>
      <c r="H3576">
        <v>1</v>
      </c>
      <c r="I3576" t="s">
        <v>27</v>
      </c>
    </row>
    <row r="3577" spans="1:9" x14ac:dyDescent="0.2">
      <c r="A3577" t="str">
        <f t="shared" si="302"/>
        <v>39052Tiahura1291</v>
      </c>
      <c r="B3577" s="1">
        <v>39052</v>
      </c>
      <c r="C3577" t="s">
        <v>24</v>
      </c>
      <c r="D3577" s="19">
        <v>12</v>
      </c>
      <c r="E3577">
        <v>91</v>
      </c>
      <c r="F3577" t="s">
        <v>27</v>
      </c>
      <c r="G3577" t="s">
        <v>27</v>
      </c>
      <c r="H3577" t="s">
        <v>27</v>
      </c>
      <c r="I3577" t="s">
        <v>31</v>
      </c>
    </row>
    <row r="3578" spans="1:9" x14ac:dyDescent="0.2">
      <c r="A3578" t="str">
        <f t="shared" si="302"/>
        <v>39052Tiahura1292PocilloporidaeBords</v>
      </c>
      <c r="B3578" s="1">
        <v>39052</v>
      </c>
      <c r="C3578" t="s">
        <v>24</v>
      </c>
      <c r="D3578" s="19">
        <v>12</v>
      </c>
      <c r="E3578">
        <v>92</v>
      </c>
      <c r="F3578" t="s">
        <v>10</v>
      </c>
      <c r="G3578" t="s">
        <v>13</v>
      </c>
      <c r="H3578">
        <v>2</v>
      </c>
      <c r="I3578" t="s">
        <v>27</v>
      </c>
    </row>
    <row r="3579" spans="1:9" x14ac:dyDescent="0.2">
      <c r="A3579" t="str">
        <f t="shared" si="302"/>
        <v>39052Tiahura1292PocilloporidaeDessous</v>
      </c>
      <c r="B3579" s="1">
        <v>39052</v>
      </c>
      <c r="C3579" t="s">
        <v>24</v>
      </c>
      <c r="D3579" s="19">
        <v>12</v>
      </c>
      <c r="E3579">
        <v>92</v>
      </c>
      <c r="F3579" t="s">
        <v>10</v>
      </c>
      <c r="G3579" t="s">
        <v>8</v>
      </c>
      <c r="H3579">
        <v>1</v>
      </c>
      <c r="I3579" t="s">
        <v>27</v>
      </c>
    </row>
    <row r="3580" spans="1:9" x14ac:dyDescent="0.2">
      <c r="A3580" t="str">
        <f t="shared" si="302"/>
        <v>39052Tiahura1293AcroporidaeBords</v>
      </c>
      <c r="B3580" s="1">
        <v>39052</v>
      </c>
      <c r="C3580" t="s">
        <v>24</v>
      </c>
      <c r="D3580" s="19">
        <v>12</v>
      </c>
      <c r="E3580">
        <v>93</v>
      </c>
      <c r="F3580" t="s">
        <v>17</v>
      </c>
      <c r="G3580" t="s">
        <v>13</v>
      </c>
      <c r="H3580">
        <v>1</v>
      </c>
      <c r="I3580" t="s">
        <v>27</v>
      </c>
    </row>
    <row r="3581" spans="1:9" x14ac:dyDescent="0.2">
      <c r="A3581" t="str">
        <f t="shared" si="302"/>
        <v>39052Tiahura1293PocilloporidaeBords</v>
      </c>
      <c r="B3581" s="1">
        <v>39052</v>
      </c>
      <c r="C3581" t="s">
        <v>24</v>
      </c>
      <c r="D3581" s="19">
        <v>12</v>
      </c>
      <c r="E3581">
        <v>93</v>
      </c>
      <c r="F3581" t="s">
        <v>10</v>
      </c>
      <c r="G3581" t="s">
        <v>13</v>
      </c>
      <c r="H3581">
        <v>9</v>
      </c>
      <c r="I3581" t="s">
        <v>27</v>
      </c>
    </row>
    <row r="3582" spans="1:9" x14ac:dyDescent="0.2">
      <c r="A3582" t="str">
        <f t="shared" si="302"/>
        <v>39052Tiahura1294</v>
      </c>
      <c r="B3582" s="1">
        <v>39052</v>
      </c>
      <c r="C3582" t="s">
        <v>24</v>
      </c>
      <c r="D3582" s="19">
        <v>12</v>
      </c>
      <c r="E3582">
        <v>94</v>
      </c>
      <c r="F3582" t="s">
        <v>27</v>
      </c>
      <c r="G3582" t="s">
        <v>27</v>
      </c>
      <c r="H3582" t="s">
        <v>27</v>
      </c>
      <c r="I3582" t="s">
        <v>31</v>
      </c>
    </row>
    <row r="3583" spans="1:9" x14ac:dyDescent="0.2">
      <c r="A3583" t="str">
        <f t="shared" ref="A3583:A3646" si="303">B3583 &amp; C3583&amp; D3583&amp; E3583 &amp; F3583 &amp;G3583</f>
        <v>39052Tiahura1295</v>
      </c>
      <c r="B3583" s="1">
        <v>39052</v>
      </c>
      <c r="C3583" t="s">
        <v>24</v>
      </c>
      <c r="D3583" s="19">
        <v>12</v>
      </c>
      <c r="E3583">
        <v>95</v>
      </c>
      <c r="F3583" t="s">
        <v>27</v>
      </c>
      <c r="G3583" t="s">
        <v>27</v>
      </c>
      <c r="H3583" t="s">
        <v>27</v>
      </c>
      <c r="I3583" t="s">
        <v>31</v>
      </c>
    </row>
    <row r="3584" spans="1:9" x14ac:dyDescent="0.2">
      <c r="A3584" t="str">
        <f t="shared" si="303"/>
        <v>39052Tiahura1296PocilloporidaeBords</v>
      </c>
      <c r="B3584" s="1">
        <v>39052</v>
      </c>
      <c r="C3584" t="s">
        <v>24</v>
      </c>
      <c r="D3584" s="19">
        <v>12</v>
      </c>
      <c r="E3584">
        <v>96</v>
      </c>
      <c r="F3584" t="s">
        <v>10</v>
      </c>
      <c r="G3584" t="s">
        <v>13</v>
      </c>
      <c r="H3584">
        <v>1</v>
      </c>
      <c r="I3584" t="s">
        <v>27</v>
      </c>
    </row>
    <row r="3585" spans="1:9" x14ac:dyDescent="0.2">
      <c r="A3585" t="str">
        <f t="shared" si="303"/>
        <v>39052Tiahura1296PoritidaeBords</v>
      </c>
      <c r="B3585" s="1">
        <v>39052</v>
      </c>
      <c r="C3585" t="s">
        <v>24</v>
      </c>
      <c r="D3585" s="19">
        <v>12</v>
      </c>
      <c r="E3585">
        <v>96</v>
      </c>
      <c r="F3585" t="s">
        <v>7</v>
      </c>
      <c r="G3585" t="s">
        <v>13</v>
      </c>
      <c r="H3585">
        <v>1</v>
      </c>
      <c r="I3585" t="s">
        <v>27</v>
      </c>
    </row>
    <row r="3586" spans="1:9" x14ac:dyDescent="0.2">
      <c r="A3586" t="str">
        <f t="shared" si="303"/>
        <v>39052Tiahura1297Autres</v>
      </c>
      <c r="B3586" s="1">
        <v>39052</v>
      </c>
      <c r="C3586" t="s">
        <v>24</v>
      </c>
      <c r="D3586" s="19">
        <v>12</v>
      </c>
      <c r="E3586">
        <v>97</v>
      </c>
      <c r="F3586" t="s">
        <v>14</v>
      </c>
      <c r="H3586">
        <v>0</v>
      </c>
    </row>
    <row r="3587" spans="1:9" x14ac:dyDescent="0.2">
      <c r="A3587" t="str">
        <f t="shared" si="303"/>
        <v>39052Tiahura1298PocilloporidaeDessous</v>
      </c>
      <c r="B3587" s="1">
        <v>39052</v>
      </c>
      <c r="C3587" t="s">
        <v>24</v>
      </c>
      <c r="D3587" s="19">
        <v>12</v>
      </c>
      <c r="E3587">
        <v>98</v>
      </c>
      <c r="F3587" t="s">
        <v>10</v>
      </c>
      <c r="G3587" t="s">
        <v>8</v>
      </c>
      <c r="H3587">
        <v>1</v>
      </c>
      <c r="I3587" t="s">
        <v>27</v>
      </c>
    </row>
    <row r="3588" spans="1:9" x14ac:dyDescent="0.2">
      <c r="A3588" t="str">
        <f t="shared" si="303"/>
        <v>39052Tiahura1299PocilloporidaeDessous</v>
      </c>
      <c r="B3588" s="1">
        <v>39052</v>
      </c>
      <c r="C3588" t="s">
        <v>24</v>
      </c>
      <c r="D3588" s="19">
        <v>12</v>
      </c>
      <c r="E3588">
        <v>99</v>
      </c>
      <c r="F3588" t="s">
        <v>10</v>
      </c>
      <c r="G3588" t="s">
        <v>8</v>
      </c>
      <c r="H3588">
        <v>1</v>
      </c>
      <c r="I3588" t="s">
        <v>27</v>
      </c>
    </row>
    <row r="3589" spans="1:9" x14ac:dyDescent="0.2">
      <c r="A3589" t="str">
        <f t="shared" si="303"/>
        <v>39052Tiahura12100Autres</v>
      </c>
      <c r="B3589" s="1">
        <v>39052</v>
      </c>
      <c r="C3589" t="s">
        <v>24</v>
      </c>
      <c r="D3589" s="19">
        <v>12</v>
      </c>
      <c r="E3589">
        <v>100</v>
      </c>
      <c r="F3589" t="s">
        <v>14</v>
      </c>
      <c r="H3589">
        <v>0</v>
      </c>
    </row>
    <row r="3590" spans="1:9" x14ac:dyDescent="0.2">
      <c r="A3590" t="str">
        <f t="shared" si="303"/>
        <v>39052Tiahura18101PocilloporidaeBords</v>
      </c>
      <c r="B3590" s="1">
        <v>39052</v>
      </c>
      <c r="C3590" t="s">
        <v>24</v>
      </c>
      <c r="D3590" s="19">
        <v>18</v>
      </c>
      <c r="E3590">
        <v>101</v>
      </c>
      <c r="F3590" t="s">
        <v>10</v>
      </c>
      <c r="G3590" t="s">
        <v>13</v>
      </c>
      <c r="H3590">
        <v>4</v>
      </c>
      <c r="I3590" t="s">
        <v>27</v>
      </c>
    </row>
    <row r="3591" spans="1:9" x14ac:dyDescent="0.2">
      <c r="A3591" t="str">
        <f t="shared" si="303"/>
        <v>39052Tiahura18101PoritidaeBords</v>
      </c>
      <c r="B3591" s="1">
        <v>39052</v>
      </c>
      <c r="C3591" t="s">
        <v>24</v>
      </c>
      <c r="D3591" s="19">
        <v>18</v>
      </c>
      <c r="E3591">
        <v>101</v>
      </c>
      <c r="F3591" t="s">
        <v>7</v>
      </c>
      <c r="G3591" t="s">
        <v>13</v>
      </c>
      <c r="H3591">
        <v>1</v>
      </c>
      <c r="I3591" t="s">
        <v>27</v>
      </c>
    </row>
    <row r="3592" spans="1:9" x14ac:dyDescent="0.2">
      <c r="A3592" t="str">
        <f t="shared" si="303"/>
        <v>39052Tiahura18101PoritidaeDessous</v>
      </c>
      <c r="B3592" s="1">
        <v>39052</v>
      </c>
      <c r="C3592" t="s">
        <v>24</v>
      </c>
      <c r="D3592" s="19">
        <v>18</v>
      </c>
      <c r="E3592">
        <v>101</v>
      </c>
      <c r="F3592" t="s">
        <v>7</v>
      </c>
      <c r="G3592" t="s">
        <v>8</v>
      </c>
      <c r="H3592">
        <v>1</v>
      </c>
      <c r="I3592" t="s">
        <v>27</v>
      </c>
    </row>
    <row r="3593" spans="1:9" x14ac:dyDescent="0.2">
      <c r="A3593" t="str">
        <f t="shared" si="303"/>
        <v>39052Tiahura18102PocilloporidaeBords</v>
      </c>
      <c r="B3593" s="1">
        <v>39052</v>
      </c>
      <c r="C3593" t="s">
        <v>24</v>
      </c>
      <c r="D3593" s="19">
        <v>18</v>
      </c>
      <c r="E3593">
        <v>102</v>
      </c>
      <c r="F3593" t="s">
        <v>10</v>
      </c>
      <c r="G3593" t="s">
        <v>13</v>
      </c>
      <c r="H3593">
        <v>1</v>
      </c>
      <c r="I3593" t="s">
        <v>27</v>
      </c>
    </row>
    <row r="3594" spans="1:9" x14ac:dyDescent="0.2">
      <c r="A3594" t="str">
        <f t="shared" si="303"/>
        <v>39052Tiahura18102PocilloporidaeDessous</v>
      </c>
      <c r="B3594" s="1">
        <v>39052</v>
      </c>
      <c r="C3594" t="s">
        <v>24</v>
      </c>
      <c r="D3594" s="19">
        <v>18</v>
      </c>
      <c r="E3594">
        <v>102</v>
      </c>
      <c r="F3594" t="s">
        <v>10</v>
      </c>
      <c r="G3594" t="s">
        <v>8</v>
      </c>
      <c r="H3594">
        <v>1</v>
      </c>
      <c r="I3594" t="s">
        <v>27</v>
      </c>
    </row>
    <row r="3595" spans="1:9" x14ac:dyDescent="0.2">
      <c r="A3595" t="str">
        <f t="shared" si="303"/>
        <v>39052Tiahura18102PocilloporidaeDessus</v>
      </c>
      <c r="B3595" s="1">
        <v>39052</v>
      </c>
      <c r="C3595" t="s">
        <v>24</v>
      </c>
      <c r="D3595" s="19">
        <v>18</v>
      </c>
      <c r="E3595">
        <v>102</v>
      </c>
      <c r="F3595" t="s">
        <v>10</v>
      </c>
      <c r="G3595" t="s">
        <v>11</v>
      </c>
      <c r="H3595">
        <v>1</v>
      </c>
      <c r="I3595" t="s">
        <v>27</v>
      </c>
    </row>
    <row r="3596" spans="1:9" x14ac:dyDescent="0.2">
      <c r="A3596" t="str">
        <f t="shared" si="303"/>
        <v>39052Tiahura18103AutresBords</v>
      </c>
      <c r="B3596" s="1">
        <v>39052</v>
      </c>
      <c r="C3596" t="s">
        <v>24</v>
      </c>
      <c r="D3596" s="19">
        <v>18</v>
      </c>
      <c r="E3596">
        <v>103</v>
      </c>
      <c r="F3596" t="s">
        <v>14</v>
      </c>
      <c r="G3596" t="s">
        <v>13</v>
      </c>
      <c r="H3596">
        <v>1</v>
      </c>
      <c r="I3596" t="s">
        <v>27</v>
      </c>
    </row>
    <row r="3597" spans="1:9" x14ac:dyDescent="0.2">
      <c r="A3597" t="str">
        <f t="shared" si="303"/>
        <v>39052Tiahura18103PocilloporidaeBords</v>
      </c>
      <c r="B3597" s="1">
        <v>39052</v>
      </c>
      <c r="C3597" t="s">
        <v>24</v>
      </c>
      <c r="D3597" s="19">
        <v>18</v>
      </c>
      <c r="E3597">
        <v>103</v>
      </c>
      <c r="F3597" t="s">
        <v>10</v>
      </c>
      <c r="G3597" t="s">
        <v>13</v>
      </c>
      <c r="H3597">
        <v>1</v>
      </c>
      <c r="I3597" t="s">
        <v>27</v>
      </c>
    </row>
    <row r="3598" spans="1:9" x14ac:dyDescent="0.2">
      <c r="A3598" t="str">
        <f t="shared" si="303"/>
        <v>39052Tiahura18103PoritidaeBords</v>
      </c>
      <c r="B3598" s="1">
        <v>39052</v>
      </c>
      <c r="C3598" t="s">
        <v>24</v>
      </c>
      <c r="D3598" s="19">
        <v>18</v>
      </c>
      <c r="E3598">
        <v>103</v>
      </c>
      <c r="F3598" t="s">
        <v>7</v>
      </c>
      <c r="G3598" t="s">
        <v>13</v>
      </c>
      <c r="H3598">
        <v>1</v>
      </c>
      <c r="I3598" t="s">
        <v>27</v>
      </c>
    </row>
    <row r="3599" spans="1:9" x14ac:dyDescent="0.2">
      <c r="A3599" t="str">
        <f t="shared" si="303"/>
        <v>39052Tiahura18104PocilloporidaeDessous</v>
      </c>
      <c r="B3599" s="1">
        <v>39052</v>
      </c>
      <c r="C3599" t="s">
        <v>24</v>
      </c>
      <c r="D3599" s="19">
        <v>18</v>
      </c>
      <c r="E3599">
        <v>104</v>
      </c>
      <c r="F3599" t="s">
        <v>10</v>
      </c>
      <c r="G3599" t="s">
        <v>8</v>
      </c>
      <c r="H3599">
        <v>1</v>
      </c>
      <c r="I3599" t="s">
        <v>27</v>
      </c>
    </row>
    <row r="3600" spans="1:9" x14ac:dyDescent="0.2">
      <c r="A3600" t="str">
        <f t="shared" si="303"/>
        <v>39052Tiahura18105Autres</v>
      </c>
      <c r="B3600" s="1">
        <v>39052</v>
      </c>
      <c r="C3600" t="s">
        <v>24</v>
      </c>
      <c r="D3600" s="19">
        <v>18</v>
      </c>
      <c r="E3600">
        <v>105</v>
      </c>
      <c r="F3600" t="s">
        <v>14</v>
      </c>
      <c r="H3600">
        <v>0</v>
      </c>
    </row>
    <row r="3601" spans="1:9" x14ac:dyDescent="0.2">
      <c r="A3601" t="str">
        <f t="shared" si="303"/>
        <v>39052Tiahura18106PoritidaeDessous</v>
      </c>
      <c r="B3601" s="1">
        <v>39052</v>
      </c>
      <c r="C3601" t="s">
        <v>24</v>
      </c>
      <c r="D3601" s="19">
        <v>18</v>
      </c>
      <c r="E3601">
        <v>106</v>
      </c>
      <c r="F3601" t="s">
        <v>7</v>
      </c>
      <c r="G3601" t="s">
        <v>8</v>
      </c>
      <c r="H3601">
        <v>1</v>
      </c>
      <c r="I3601" t="s">
        <v>27</v>
      </c>
    </row>
    <row r="3602" spans="1:9" x14ac:dyDescent="0.2">
      <c r="A3602" t="str">
        <f t="shared" si="303"/>
        <v>39052Tiahura18107PoritidaeDessus</v>
      </c>
      <c r="B3602" s="1">
        <v>39052</v>
      </c>
      <c r="C3602" t="s">
        <v>24</v>
      </c>
      <c r="D3602" s="19">
        <v>18</v>
      </c>
      <c r="E3602">
        <v>107</v>
      </c>
      <c r="F3602" t="s">
        <v>7</v>
      </c>
      <c r="G3602" t="s">
        <v>11</v>
      </c>
      <c r="H3602">
        <v>1</v>
      </c>
      <c r="I3602" t="s">
        <v>27</v>
      </c>
    </row>
    <row r="3603" spans="1:9" x14ac:dyDescent="0.2">
      <c r="A3603" t="str">
        <f t="shared" si="303"/>
        <v>39052Tiahura18108PoritidaeDessous</v>
      </c>
      <c r="B3603" s="1">
        <v>39052</v>
      </c>
      <c r="C3603" t="s">
        <v>24</v>
      </c>
      <c r="D3603" s="19">
        <v>18</v>
      </c>
      <c r="E3603">
        <v>108</v>
      </c>
      <c r="F3603" t="s">
        <v>7</v>
      </c>
      <c r="G3603" t="s">
        <v>8</v>
      </c>
      <c r="H3603">
        <v>2</v>
      </c>
      <c r="I3603" t="s">
        <v>27</v>
      </c>
    </row>
    <row r="3604" spans="1:9" x14ac:dyDescent="0.2">
      <c r="A3604" t="str">
        <f t="shared" si="303"/>
        <v>39052Tiahura18109PocilloporidaeDessous</v>
      </c>
      <c r="B3604" s="1">
        <v>39052</v>
      </c>
      <c r="C3604" t="s">
        <v>24</v>
      </c>
      <c r="D3604" s="19">
        <v>18</v>
      </c>
      <c r="E3604">
        <v>109</v>
      </c>
      <c r="F3604" t="s">
        <v>10</v>
      </c>
      <c r="G3604" t="s">
        <v>8</v>
      </c>
      <c r="H3604">
        <v>6</v>
      </c>
      <c r="I3604" t="s">
        <v>27</v>
      </c>
    </row>
    <row r="3605" spans="1:9" x14ac:dyDescent="0.2">
      <c r="A3605" t="str">
        <f t="shared" si="303"/>
        <v>39052Tiahura18110PocilloporidaeDessous</v>
      </c>
      <c r="B3605" s="1">
        <v>39052</v>
      </c>
      <c r="C3605" t="s">
        <v>24</v>
      </c>
      <c r="D3605" s="19">
        <v>18</v>
      </c>
      <c r="E3605">
        <v>110</v>
      </c>
      <c r="F3605" t="s">
        <v>10</v>
      </c>
      <c r="G3605" t="s">
        <v>8</v>
      </c>
      <c r="H3605">
        <v>4</v>
      </c>
      <c r="I3605" t="s">
        <v>27</v>
      </c>
    </row>
    <row r="3606" spans="1:9" x14ac:dyDescent="0.2">
      <c r="A3606" t="str">
        <f t="shared" si="303"/>
        <v>39052Tiahura18110PocilloporidaeDessus</v>
      </c>
      <c r="B3606" s="1">
        <v>39052</v>
      </c>
      <c r="C3606" t="s">
        <v>24</v>
      </c>
      <c r="D3606" s="19">
        <v>18</v>
      </c>
      <c r="E3606">
        <v>110</v>
      </c>
      <c r="F3606" t="s">
        <v>10</v>
      </c>
      <c r="G3606" t="s">
        <v>11</v>
      </c>
      <c r="H3606">
        <v>1</v>
      </c>
      <c r="I3606" t="s">
        <v>27</v>
      </c>
    </row>
    <row r="3607" spans="1:9" x14ac:dyDescent="0.2">
      <c r="A3607" t="str">
        <f t="shared" si="303"/>
        <v>39052Tiahura18111PocilloporidaeBords</v>
      </c>
      <c r="B3607" s="1">
        <v>39052</v>
      </c>
      <c r="C3607" t="s">
        <v>24</v>
      </c>
      <c r="D3607" s="19">
        <v>18</v>
      </c>
      <c r="E3607">
        <v>111</v>
      </c>
      <c r="F3607" t="s">
        <v>10</v>
      </c>
      <c r="G3607" t="s">
        <v>13</v>
      </c>
      <c r="H3607">
        <v>1</v>
      </c>
      <c r="I3607" t="s">
        <v>27</v>
      </c>
    </row>
    <row r="3608" spans="1:9" x14ac:dyDescent="0.2">
      <c r="A3608" t="str">
        <f t="shared" si="303"/>
        <v>39052Tiahura18112Autres</v>
      </c>
      <c r="B3608" s="1">
        <v>39052</v>
      </c>
      <c r="C3608" t="s">
        <v>24</v>
      </c>
      <c r="D3608" s="19">
        <v>18</v>
      </c>
      <c r="E3608">
        <v>112</v>
      </c>
      <c r="F3608" t="s">
        <v>14</v>
      </c>
      <c r="H3608">
        <v>0</v>
      </c>
    </row>
    <row r="3609" spans="1:9" x14ac:dyDescent="0.2">
      <c r="A3609" t="str">
        <f t="shared" si="303"/>
        <v>39052Tiahura18113PocilloporidaeDessous</v>
      </c>
      <c r="B3609" s="1">
        <v>39052</v>
      </c>
      <c r="C3609" t="s">
        <v>24</v>
      </c>
      <c r="D3609" s="19">
        <v>18</v>
      </c>
      <c r="E3609">
        <v>113</v>
      </c>
      <c r="F3609" t="s">
        <v>10</v>
      </c>
      <c r="G3609" t="s">
        <v>8</v>
      </c>
      <c r="H3609">
        <v>2</v>
      </c>
      <c r="I3609" t="s">
        <v>27</v>
      </c>
    </row>
    <row r="3610" spans="1:9" x14ac:dyDescent="0.2">
      <c r="A3610" t="str">
        <f t="shared" si="303"/>
        <v>39052Tiahura18114PocilloporidaeBords</v>
      </c>
      <c r="B3610" s="1">
        <v>39052</v>
      </c>
      <c r="C3610" t="s">
        <v>24</v>
      </c>
      <c r="D3610" s="19">
        <v>18</v>
      </c>
      <c r="E3610">
        <v>114</v>
      </c>
      <c r="F3610" t="s">
        <v>10</v>
      </c>
      <c r="G3610" t="s">
        <v>13</v>
      </c>
      <c r="H3610">
        <v>3</v>
      </c>
      <c r="I3610" t="s">
        <v>27</v>
      </c>
    </row>
    <row r="3611" spans="1:9" x14ac:dyDescent="0.2">
      <c r="A3611" t="str">
        <f t="shared" si="303"/>
        <v>39052Tiahura18114PocilloporidaeDessus</v>
      </c>
      <c r="B3611" s="1">
        <v>39052</v>
      </c>
      <c r="C3611" t="s">
        <v>24</v>
      </c>
      <c r="D3611" s="19">
        <v>18</v>
      </c>
      <c r="E3611">
        <v>114</v>
      </c>
      <c r="F3611" t="s">
        <v>10</v>
      </c>
      <c r="G3611" t="s">
        <v>11</v>
      </c>
      <c r="H3611">
        <v>2</v>
      </c>
      <c r="I3611" t="s">
        <v>27</v>
      </c>
    </row>
    <row r="3612" spans="1:9" x14ac:dyDescent="0.2">
      <c r="A3612" t="str">
        <f t="shared" si="303"/>
        <v>39052Tiahura18115PoritidaeBords</v>
      </c>
      <c r="B3612" s="1">
        <v>39052</v>
      </c>
      <c r="C3612" t="s">
        <v>24</v>
      </c>
      <c r="D3612" s="19">
        <v>18</v>
      </c>
      <c r="E3612">
        <v>115</v>
      </c>
      <c r="F3612" t="s">
        <v>7</v>
      </c>
      <c r="G3612" t="s">
        <v>13</v>
      </c>
      <c r="H3612">
        <v>1</v>
      </c>
      <c r="I3612" t="s">
        <v>27</v>
      </c>
    </row>
    <row r="3613" spans="1:9" x14ac:dyDescent="0.2">
      <c r="A3613" t="str">
        <f t="shared" si="303"/>
        <v>39052Tiahura18115PoritidaeDessous</v>
      </c>
      <c r="B3613" s="1">
        <v>39052</v>
      </c>
      <c r="C3613" t="s">
        <v>24</v>
      </c>
      <c r="D3613" s="19">
        <v>18</v>
      </c>
      <c r="E3613">
        <v>115</v>
      </c>
      <c r="F3613" t="s">
        <v>7</v>
      </c>
      <c r="G3613" t="s">
        <v>8</v>
      </c>
      <c r="H3613">
        <v>1</v>
      </c>
      <c r="I3613" t="s">
        <v>27</v>
      </c>
    </row>
    <row r="3614" spans="1:9" x14ac:dyDescent="0.2">
      <c r="A3614" t="str">
        <f t="shared" si="303"/>
        <v>39052Tiahura18116PocilloporidaeDessus</v>
      </c>
      <c r="B3614" s="1">
        <v>39052</v>
      </c>
      <c r="C3614" t="s">
        <v>24</v>
      </c>
      <c r="D3614" s="19">
        <v>18</v>
      </c>
      <c r="E3614">
        <v>116</v>
      </c>
      <c r="F3614" t="s">
        <v>10</v>
      </c>
      <c r="G3614" t="s">
        <v>11</v>
      </c>
      <c r="H3614">
        <v>1</v>
      </c>
      <c r="I3614" t="s">
        <v>27</v>
      </c>
    </row>
    <row r="3615" spans="1:9" x14ac:dyDescent="0.2">
      <c r="A3615" t="str">
        <f t="shared" si="303"/>
        <v>39052Tiahura18117Autres</v>
      </c>
      <c r="B3615" s="1">
        <v>39052</v>
      </c>
      <c r="C3615" t="s">
        <v>24</v>
      </c>
      <c r="D3615" s="19">
        <v>18</v>
      </c>
      <c r="E3615">
        <v>117</v>
      </c>
      <c r="F3615" t="s">
        <v>14</v>
      </c>
      <c r="H3615">
        <v>0</v>
      </c>
    </row>
    <row r="3616" spans="1:9" x14ac:dyDescent="0.2">
      <c r="A3616" t="str">
        <f t="shared" si="303"/>
        <v>39052Tiahura18118Autres</v>
      </c>
      <c r="B3616" s="1">
        <v>39052</v>
      </c>
      <c r="C3616" t="s">
        <v>24</v>
      </c>
      <c r="D3616" s="19">
        <v>18</v>
      </c>
      <c r="E3616">
        <v>118</v>
      </c>
      <c r="F3616" t="s">
        <v>14</v>
      </c>
      <c r="H3616">
        <v>0</v>
      </c>
    </row>
    <row r="3617" spans="1:9" x14ac:dyDescent="0.2">
      <c r="A3617" t="str">
        <f t="shared" si="303"/>
        <v>39052Tiahura18119</v>
      </c>
      <c r="B3617" s="1">
        <v>39052</v>
      </c>
      <c r="C3617" t="s">
        <v>24</v>
      </c>
      <c r="D3617" s="19">
        <v>18</v>
      </c>
      <c r="E3617">
        <v>119</v>
      </c>
      <c r="F3617" t="s">
        <v>27</v>
      </c>
      <c r="G3617" t="s">
        <v>27</v>
      </c>
      <c r="H3617" t="s">
        <v>27</v>
      </c>
      <c r="I3617" t="s">
        <v>31</v>
      </c>
    </row>
    <row r="3618" spans="1:9" x14ac:dyDescent="0.2">
      <c r="A3618" t="str">
        <f t="shared" si="303"/>
        <v>39052Tiahura18120AcroporidaeBords</v>
      </c>
      <c r="B3618" s="1">
        <v>39052</v>
      </c>
      <c r="C3618" t="s">
        <v>24</v>
      </c>
      <c r="D3618" s="19">
        <v>18</v>
      </c>
      <c r="E3618">
        <v>120</v>
      </c>
      <c r="F3618" t="s">
        <v>17</v>
      </c>
      <c r="G3618" t="s">
        <v>13</v>
      </c>
      <c r="H3618">
        <v>1</v>
      </c>
      <c r="I3618" t="s">
        <v>27</v>
      </c>
    </row>
    <row r="3619" spans="1:9" x14ac:dyDescent="0.2">
      <c r="A3619" t="str">
        <f t="shared" si="303"/>
        <v>39052Tiahura18120PocilloporidaeBords</v>
      </c>
      <c r="B3619" s="1">
        <v>39052</v>
      </c>
      <c r="C3619" t="s">
        <v>24</v>
      </c>
      <c r="D3619" s="19">
        <v>18</v>
      </c>
      <c r="E3619">
        <v>120</v>
      </c>
      <c r="F3619" t="s">
        <v>10</v>
      </c>
      <c r="G3619" t="s">
        <v>13</v>
      </c>
      <c r="H3619">
        <v>13</v>
      </c>
      <c r="I3619" t="s">
        <v>27</v>
      </c>
    </row>
    <row r="3620" spans="1:9" x14ac:dyDescent="0.2">
      <c r="A3620" t="str">
        <f t="shared" si="303"/>
        <v>39052Tiahura18120PocilloporidaeDessous</v>
      </c>
      <c r="B3620" s="1">
        <v>39052</v>
      </c>
      <c r="C3620" t="s">
        <v>24</v>
      </c>
      <c r="D3620" s="19">
        <v>18</v>
      </c>
      <c r="E3620">
        <v>120</v>
      </c>
      <c r="F3620" t="s">
        <v>10</v>
      </c>
      <c r="G3620" t="s">
        <v>8</v>
      </c>
      <c r="H3620">
        <v>5</v>
      </c>
      <c r="I3620" t="s">
        <v>27</v>
      </c>
    </row>
    <row r="3621" spans="1:9" x14ac:dyDescent="0.2">
      <c r="A3621" t="str">
        <f t="shared" si="303"/>
        <v>39052Tiahura18120PoritidaeBords</v>
      </c>
      <c r="B3621" s="1">
        <v>39052</v>
      </c>
      <c r="C3621" t="s">
        <v>24</v>
      </c>
      <c r="D3621" s="19">
        <v>18</v>
      </c>
      <c r="E3621">
        <v>120</v>
      </c>
      <c r="F3621" t="s">
        <v>7</v>
      </c>
      <c r="G3621" t="s">
        <v>13</v>
      </c>
      <c r="H3621">
        <v>2</v>
      </c>
      <c r="I3621" t="s">
        <v>27</v>
      </c>
    </row>
    <row r="3622" spans="1:9" x14ac:dyDescent="0.2">
      <c r="A3622" t="str">
        <f t="shared" si="303"/>
        <v>39052Haapiti6121PocilloporidaeDessous</v>
      </c>
      <c r="B3622" s="1">
        <v>39052</v>
      </c>
      <c r="C3622" t="s">
        <v>25</v>
      </c>
      <c r="D3622" s="19">
        <v>6</v>
      </c>
      <c r="E3622">
        <v>121</v>
      </c>
      <c r="F3622" t="s">
        <v>10</v>
      </c>
      <c r="G3622" t="s">
        <v>8</v>
      </c>
      <c r="H3622">
        <v>1</v>
      </c>
      <c r="I3622" t="s">
        <v>27</v>
      </c>
    </row>
    <row r="3623" spans="1:9" x14ac:dyDescent="0.2">
      <c r="A3623" t="str">
        <f t="shared" si="303"/>
        <v>39052Haapiti6122</v>
      </c>
      <c r="B3623" s="1">
        <v>39052</v>
      </c>
      <c r="C3623" t="s">
        <v>25</v>
      </c>
      <c r="D3623" s="19">
        <v>6</v>
      </c>
      <c r="E3623">
        <v>122</v>
      </c>
      <c r="F3623" t="s">
        <v>27</v>
      </c>
      <c r="G3623" t="s">
        <v>27</v>
      </c>
      <c r="H3623" t="s">
        <v>27</v>
      </c>
      <c r="I3623" t="s">
        <v>31</v>
      </c>
    </row>
    <row r="3624" spans="1:9" x14ac:dyDescent="0.2">
      <c r="A3624" t="str">
        <f t="shared" si="303"/>
        <v>39052Haapiti6123</v>
      </c>
      <c r="B3624" s="1">
        <v>39052</v>
      </c>
      <c r="C3624" t="s">
        <v>25</v>
      </c>
      <c r="D3624" s="19">
        <v>6</v>
      </c>
      <c r="E3624">
        <v>123</v>
      </c>
      <c r="F3624" t="s">
        <v>27</v>
      </c>
      <c r="G3624" t="s">
        <v>27</v>
      </c>
      <c r="H3624" t="s">
        <v>27</v>
      </c>
      <c r="I3624" t="s">
        <v>31</v>
      </c>
    </row>
    <row r="3625" spans="1:9" x14ac:dyDescent="0.2">
      <c r="A3625" t="str">
        <f t="shared" si="303"/>
        <v>39052Haapiti6124</v>
      </c>
      <c r="B3625" s="1">
        <v>39052</v>
      </c>
      <c r="C3625" t="s">
        <v>25</v>
      </c>
      <c r="D3625" s="19">
        <v>6</v>
      </c>
      <c r="E3625">
        <v>124</v>
      </c>
      <c r="F3625" t="s">
        <v>27</v>
      </c>
      <c r="G3625" t="s">
        <v>27</v>
      </c>
      <c r="H3625" t="s">
        <v>27</v>
      </c>
      <c r="I3625" t="s">
        <v>31</v>
      </c>
    </row>
    <row r="3626" spans="1:9" x14ac:dyDescent="0.2">
      <c r="A3626" t="str">
        <f t="shared" si="303"/>
        <v>39052Haapiti6125PocilloporidaeBords</v>
      </c>
      <c r="B3626" s="1">
        <v>39052</v>
      </c>
      <c r="C3626" t="s">
        <v>25</v>
      </c>
      <c r="D3626" s="19">
        <v>6</v>
      </c>
      <c r="E3626">
        <v>125</v>
      </c>
      <c r="F3626" t="s">
        <v>10</v>
      </c>
      <c r="G3626" t="s">
        <v>13</v>
      </c>
      <c r="H3626">
        <v>1</v>
      </c>
      <c r="I3626" t="s">
        <v>27</v>
      </c>
    </row>
    <row r="3627" spans="1:9" x14ac:dyDescent="0.2">
      <c r="A3627" t="str">
        <f t="shared" si="303"/>
        <v>39052Haapiti6125PocilloporidaeDessus</v>
      </c>
      <c r="B3627" s="1">
        <v>39052</v>
      </c>
      <c r="C3627" t="s">
        <v>25</v>
      </c>
      <c r="D3627" s="19">
        <v>6</v>
      </c>
      <c r="E3627">
        <v>125</v>
      </c>
      <c r="F3627" t="s">
        <v>10</v>
      </c>
      <c r="G3627" t="s">
        <v>11</v>
      </c>
      <c r="H3627">
        <v>1</v>
      </c>
      <c r="I3627" t="s">
        <v>27</v>
      </c>
    </row>
    <row r="3628" spans="1:9" x14ac:dyDescent="0.2">
      <c r="A3628" t="str">
        <f t="shared" si="303"/>
        <v>39052Haapiti6126PocilloporidaeBords</v>
      </c>
      <c r="B3628" s="1">
        <v>39052</v>
      </c>
      <c r="C3628" t="s">
        <v>25</v>
      </c>
      <c r="D3628" s="19">
        <v>6</v>
      </c>
      <c r="E3628">
        <v>126</v>
      </c>
      <c r="F3628" t="s">
        <v>10</v>
      </c>
      <c r="G3628" t="s">
        <v>13</v>
      </c>
      <c r="H3628">
        <v>1</v>
      </c>
      <c r="I3628" t="s">
        <v>27</v>
      </c>
    </row>
    <row r="3629" spans="1:9" x14ac:dyDescent="0.2">
      <c r="A3629" t="str">
        <f t="shared" si="303"/>
        <v>39052Haapiti6126PocilloporidaeDessous</v>
      </c>
      <c r="B3629" s="1">
        <v>39052</v>
      </c>
      <c r="C3629" t="s">
        <v>25</v>
      </c>
      <c r="D3629" s="19">
        <v>6</v>
      </c>
      <c r="E3629">
        <v>126</v>
      </c>
      <c r="F3629" t="s">
        <v>10</v>
      </c>
      <c r="G3629" t="s">
        <v>8</v>
      </c>
      <c r="H3629">
        <v>1</v>
      </c>
      <c r="I3629" t="s">
        <v>27</v>
      </c>
    </row>
    <row r="3630" spans="1:9" x14ac:dyDescent="0.2">
      <c r="A3630" t="str">
        <f t="shared" si="303"/>
        <v>39052Haapiti6127PocilloporidaeBords</v>
      </c>
      <c r="B3630" s="1">
        <v>39052</v>
      </c>
      <c r="C3630" t="s">
        <v>25</v>
      </c>
      <c r="D3630" s="19">
        <v>6</v>
      </c>
      <c r="E3630">
        <v>127</v>
      </c>
      <c r="F3630" t="s">
        <v>10</v>
      </c>
      <c r="G3630" t="s">
        <v>13</v>
      </c>
      <c r="H3630">
        <v>2</v>
      </c>
      <c r="I3630" t="s">
        <v>27</v>
      </c>
    </row>
    <row r="3631" spans="1:9" x14ac:dyDescent="0.2">
      <c r="A3631" t="str">
        <f t="shared" si="303"/>
        <v>39052Haapiti6127PocilloporidaeDessous</v>
      </c>
      <c r="B3631" s="1">
        <v>39052</v>
      </c>
      <c r="C3631" t="s">
        <v>25</v>
      </c>
      <c r="D3631" s="19">
        <v>6</v>
      </c>
      <c r="E3631">
        <v>127</v>
      </c>
      <c r="F3631" t="s">
        <v>10</v>
      </c>
      <c r="G3631" t="s">
        <v>8</v>
      </c>
      <c r="H3631">
        <v>9</v>
      </c>
      <c r="I3631" t="s">
        <v>27</v>
      </c>
    </row>
    <row r="3632" spans="1:9" x14ac:dyDescent="0.2">
      <c r="A3632" t="str">
        <f t="shared" si="303"/>
        <v>39052Haapiti6128PocilloporidaeBords</v>
      </c>
      <c r="B3632" s="1">
        <v>39052</v>
      </c>
      <c r="C3632" t="s">
        <v>25</v>
      </c>
      <c r="D3632" s="19">
        <v>6</v>
      </c>
      <c r="E3632">
        <v>128</v>
      </c>
      <c r="F3632" t="s">
        <v>10</v>
      </c>
      <c r="G3632" t="s">
        <v>13</v>
      </c>
      <c r="H3632">
        <v>2</v>
      </c>
      <c r="I3632" t="s">
        <v>27</v>
      </c>
    </row>
    <row r="3633" spans="1:9" x14ac:dyDescent="0.2">
      <c r="A3633" t="str">
        <f t="shared" si="303"/>
        <v>39052Haapiti6128PocilloporidaeDessous</v>
      </c>
      <c r="B3633" s="1">
        <v>39052</v>
      </c>
      <c r="C3633" t="s">
        <v>25</v>
      </c>
      <c r="D3633" s="19">
        <v>6</v>
      </c>
      <c r="E3633">
        <v>128</v>
      </c>
      <c r="F3633" t="s">
        <v>10</v>
      </c>
      <c r="G3633" t="s">
        <v>8</v>
      </c>
      <c r="H3633">
        <v>9</v>
      </c>
      <c r="I3633" t="s">
        <v>27</v>
      </c>
    </row>
    <row r="3634" spans="1:9" x14ac:dyDescent="0.2">
      <c r="A3634" t="str">
        <f t="shared" si="303"/>
        <v>39052Haapiti6129Autres</v>
      </c>
      <c r="B3634" s="1">
        <v>39052</v>
      </c>
      <c r="C3634" t="s">
        <v>25</v>
      </c>
      <c r="D3634" s="19">
        <v>6</v>
      </c>
      <c r="E3634">
        <v>129</v>
      </c>
      <c r="F3634" t="s">
        <v>14</v>
      </c>
      <c r="H3634">
        <v>0</v>
      </c>
    </row>
    <row r="3635" spans="1:9" x14ac:dyDescent="0.2">
      <c r="A3635" t="str">
        <f t="shared" si="303"/>
        <v>39052Haapiti6130PocilloporidaeBords</v>
      </c>
      <c r="B3635" s="1">
        <v>39052</v>
      </c>
      <c r="C3635" t="s">
        <v>25</v>
      </c>
      <c r="D3635" s="19">
        <v>6</v>
      </c>
      <c r="E3635">
        <v>130</v>
      </c>
      <c r="F3635" t="s">
        <v>10</v>
      </c>
      <c r="G3635" t="s">
        <v>13</v>
      </c>
      <c r="H3635">
        <v>5</v>
      </c>
      <c r="I3635" t="s">
        <v>27</v>
      </c>
    </row>
    <row r="3636" spans="1:9" x14ac:dyDescent="0.2">
      <c r="A3636" t="str">
        <f t="shared" si="303"/>
        <v>39052Haapiti6130PocilloporidaeDessous</v>
      </c>
      <c r="B3636" s="1">
        <v>39052</v>
      </c>
      <c r="C3636" t="s">
        <v>25</v>
      </c>
      <c r="D3636" s="19">
        <v>6</v>
      </c>
      <c r="E3636">
        <v>130</v>
      </c>
      <c r="F3636" t="s">
        <v>10</v>
      </c>
      <c r="G3636" t="s">
        <v>8</v>
      </c>
      <c r="H3636">
        <v>1</v>
      </c>
      <c r="I3636" t="s">
        <v>27</v>
      </c>
    </row>
    <row r="3637" spans="1:9" x14ac:dyDescent="0.2">
      <c r="A3637" t="str">
        <f t="shared" si="303"/>
        <v>39052Haapiti6131</v>
      </c>
      <c r="B3637" s="1">
        <v>39052</v>
      </c>
      <c r="C3637" t="s">
        <v>25</v>
      </c>
      <c r="D3637" s="19">
        <v>6</v>
      </c>
      <c r="E3637">
        <v>131</v>
      </c>
      <c r="F3637" t="s">
        <v>27</v>
      </c>
      <c r="G3637" t="s">
        <v>27</v>
      </c>
      <c r="H3637" t="s">
        <v>27</v>
      </c>
      <c r="I3637" t="s">
        <v>31</v>
      </c>
    </row>
    <row r="3638" spans="1:9" x14ac:dyDescent="0.2">
      <c r="A3638" t="str">
        <f t="shared" si="303"/>
        <v>39052Haapiti6132PocilloporidaeBords</v>
      </c>
      <c r="B3638" s="1">
        <v>39052</v>
      </c>
      <c r="C3638" t="s">
        <v>25</v>
      </c>
      <c r="D3638" s="19">
        <v>6</v>
      </c>
      <c r="E3638">
        <v>132</v>
      </c>
      <c r="F3638" t="s">
        <v>10</v>
      </c>
      <c r="G3638" t="s">
        <v>13</v>
      </c>
      <c r="H3638">
        <v>1</v>
      </c>
      <c r="I3638" t="s">
        <v>27</v>
      </c>
    </row>
    <row r="3639" spans="1:9" x14ac:dyDescent="0.2">
      <c r="A3639" t="str">
        <f t="shared" si="303"/>
        <v>39052Haapiti6132PocilloporidaeDessus</v>
      </c>
      <c r="B3639" s="1">
        <v>39052</v>
      </c>
      <c r="C3639" t="s">
        <v>25</v>
      </c>
      <c r="D3639" s="19">
        <v>6</v>
      </c>
      <c r="E3639">
        <v>132</v>
      </c>
      <c r="F3639" t="s">
        <v>10</v>
      </c>
      <c r="G3639" t="s">
        <v>11</v>
      </c>
      <c r="H3639">
        <v>2</v>
      </c>
      <c r="I3639" t="s">
        <v>27</v>
      </c>
    </row>
    <row r="3640" spans="1:9" x14ac:dyDescent="0.2">
      <c r="A3640" t="str">
        <f t="shared" si="303"/>
        <v>39052Haapiti6133Autres</v>
      </c>
      <c r="B3640" s="1">
        <v>39052</v>
      </c>
      <c r="C3640" t="s">
        <v>25</v>
      </c>
      <c r="D3640" s="19">
        <v>6</v>
      </c>
      <c r="E3640">
        <v>133</v>
      </c>
      <c r="F3640" t="s">
        <v>14</v>
      </c>
      <c r="H3640">
        <v>0</v>
      </c>
    </row>
    <row r="3641" spans="1:9" x14ac:dyDescent="0.2">
      <c r="A3641" t="str">
        <f t="shared" si="303"/>
        <v>39052Haapiti6134PocilloporidaeBords</v>
      </c>
      <c r="B3641" s="1">
        <v>39052</v>
      </c>
      <c r="C3641" t="s">
        <v>25</v>
      </c>
      <c r="D3641" s="19">
        <v>6</v>
      </c>
      <c r="E3641">
        <v>134</v>
      </c>
      <c r="F3641" t="s">
        <v>10</v>
      </c>
      <c r="G3641" t="s">
        <v>13</v>
      </c>
      <c r="H3641">
        <v>1</v>
      </c>
      <c r="I3641" t="s">
        <v>27</v>
      </c>
    </row>
    <row r="3642" spans="1:9" x14ac:dyDescent="0.2">
      <c r="A3642" t="str">
        <f t="shared" si="303"/>
        <v>39052Haapiti6135Autres</v>
      </c>
      <c r="B3642" s="1">
        <v>39052</v>
      </c>
      <c r="C3642" t="s">
        <v>25</v>
      </c>
      <c r="D3642" s="19">
        <v>6</v>
      </c>
      <c r="E3642">
        <v>135</v>
      </c>
      <c r="F3642" t="s">
        <v>14</v>
      </c>
      <c r="H3642">
        <v>0</v>
      </c>
    </row>
    <row r="3643" spans="1:9" x14ac:dyDescent="0.2">
      <c r="A3643" t="str">
        <f t="shared" si="303"/>
        <v>39052Haapiti6136PocilloporidaeBords</v>
      </c>
      <c r="B3643" s="1">
        <v>39052</v>
      </c>
      <c r="C3643" t="s">
        <v>25</v>
      </c>
      <c r="D3643" s="19">
        <v>6</v>
      </c>
      <c r="E3643">
        <v>136</v>
      </c>
      <c r="F3643" t="s">
        <v>10</v>
      </c>
      <c r="G3643" t="s">
        <v>13</v>
      </c>
      <c r="H3643">
        <v>1</v>
      </c>
      <c r="I3643" t="s">
        <v>27</v>
      </c>
    </row>
    <row r="3644" spans="1:9" x14ac:dyDescent="0.2">
      <c r="A3644" t="str">
        <f t="shared" si="303"/>
        <v>39052Haapiti6136PocilloporidaeDessous</v>
      </c>
      <c r="B3644" s="1">
        <v>39052</v>
      </c>
      <c r="C3644" t="s">
        <v>25</v>
      </c>
      <c r="D3644" s="19">
        <v>6</v>
      </c>
      <c r="E3644">
        <v>136</v>
      </c>
      <c r="F3644" t="s">
        <v>10</v>
      </c>
      <c r="G3644" t="s">
        <v>8</v>
      </c>
      <c r="H3644">
        <v>2</v>
      </c>
      <c r="I3644" t="s">
        <v>27</v>
      </c>
    </row>
    <row r="3645" spans="1:9" x14ac:dyDescent="0.2">
      <c r="A3645" t="str">
        <f t="shared" si="303"/>
        <v>39052Haapiti6136PocilloporidaeDessus</v>
      </c>
      <c r="B3645" s="1">
        <v>39052</v>
      </c>
      <c r="C3645" t="s">
        <v>25</v>
      </c>
      <c r="D3645" s="19">
        <v>6</v>
      </c>
      <c r="E3645">
        <v>136</v>
      </c>
      <c r="F3645" t="s">
        <v>10</v>
      </c>
      <c r="G3645" t="s">
        <v>11</v>
      </c>
      <c r="H3645">
        <v>2</v>
      </c>
      <c r="I3645" t="s">
        <v>27</v>
      </c>
    </row>
    <row r="3646" spans="1:9" x14ac:dyDescent="0.2">
      <c r="A3646" t="str">
        <f t="shared" si="303"/>
        <v>39052Haapiti6137Autres</v>
      </c>
      <c r="B3646" s="1">
        <v>39052</v>
      </c>
      <c r="C3646" t="s">
        <v>25</v>
      </c>
      <c r="D3646" s="19">
        <v>6</v>
      </c>
      <c r="E3646">
        <v>137</v>
      </c>
      <c r="F3646" t="s">
        <v>14</v>
      </c>
      <c r="H3646">
        <v>0</v>
      </c>
    </row>
    <row r="3647" spans="1:9" x14ac:dyDescent="0.2">
      <c r="A3647" t="str">
        <f t="shared" ref="A3647:A3710" si="304">B3647 &amp; C3647&amp; D3647&amp; E3647 &amp; F3647 &amp;G3647</f>
        <v>39052Haapiti6138PocilloporidaeDessous</v>
      </c>
      <c r="B3647" s="1">
        <v>39052</v>
      </c>
      <c r="C3647" t="s">
        <v>25</v>
      </c>
      <c r="D3647" s="19">
        <v>6</v>
      </c>
      <c r="E3647">
        <v>138</v>
      </c>
      <c r="F3647" t="s">
        <v>10</v>
      </c>
      <c r="G3647" t="s">
        <v>8</v>
      </c>
      <c r="H3647">
        <v>1</v>
      </c>
      <c r="I3647" t="s">
        <v>27</v>
      </c>
    </row>
    <row r="3648" spans="1:9" x14ac:dyDescent="0.2">
      <c r="A3648" t="str">
        <f t="shared" si="304"/>
        <v>39052Haapiti6138PocilloporidaeDessus</v>
      </c>
      <c r="B3648" s="1">
        <v>39052</v>
      </c>
      <c r="C3648" t="s">
        <v>25</v>
      </c>
      <c r="D3648" s="19">
        <v>6</v>
      </c>
      <c r="E3648">
        <v>138</v>
      </c>
      <c r="F3648" t="s">
        <v>10</v>
      </c>
      <c r="G3648" t="s">
        <v>11</v>
      </c>
      <c r="H3648">
        <v>1</v>
      </c>
      <c r="I3648" t="s">
        <v>27</v>
      </c>
    </row>
    <row r="3649" spans="1:9" x14ac:dyDescent="0.2">
      <c r="A3649" t="str">
        <f t="shared" si="304"/>
        <v>39052Haapiti6139PocilloporidaeDessous</v>
      </c>
      <c r="B3649" s="1">
        <v>39052</v>
      </c>
      <c r="C3649" t="s">
        <v>25</v>
      </c>
      <c r="D3649" s="19">
        <v>6</v>
      </c>
      <c r="E3649">
        <v>139</v>
      </c>
      <c r="F3649" t="s">
        <v>10</v>
      </c>
      <c r="G3649" t="s">
        <v>8</v>
      </c>
      <c r="H3649">
        <v>1</v>
      </c>
      <c r="I3649" t="s">
        <v>27</v>
      </c>
    </row>
    <row r="3650" spans="1:9" x14ac:dyDescent="0.2">
      <c r="A3650" t="str">
        <f t="shared" si="304"/>
        <v>39052Haapiti6140</v>
      </c>
      <c r="B3650" s="1">
        <v>39052</v>
      </c>
      <c r="C3650" t="s">
        <v>25</v>
      </c>
      <c r="D3650" s="19">
        <v>6</v>
      </c>
      <c r="E3650">
        <v>140</v>
      </c>
      <c r="F3650" t="s">
        <v>27</v>
      </c>
      <c r="G3650" t="s">
        <v>27</v>
      </c>
      <c r="H3650" t="s">
        <v>27</v>
      </c>
      <c r="I3650" t="s">
        <v>31</v>
      </c>
    </row>
    <row r="3651" spans="1:9" x14ac:dyDescent="0.2">
      <c r="A3651" t="str">
        <f t="shared" si="304"/>
        <v>39052Haapiti12141PocilloporidaeDessous</v>
      </c>
      <c r="B3651" s="1">
        <v>39052</v>
      </c>
      <c r="C3651" t="s">
        <v>25</v>
      </c>
      <c r="D3651" s="19">
        <v>12</v>
      </c>
      <c r="E3651">
        <v>141</v>
      </c>
      <c r="F3651" t="s">
        <v>10</v>
      </c>
      <c r="G3651" t="s">
        <v>8</v>
      </c>
      <c r="H3651">
        <v>1</v>
      </c>
      <c r="I3651" t="s">
        <v>27</v>
      </c>
    </row>
    <row r="3652" spans="1:9" x14ac:dyDescent="0.2">
      <c r="A3652" t="str">
        <f t="shared" si="304"/>
        <v>39052Haapiti12142AutresDessous</v>
      </c>
      <c r="B3652" s="1">
        <v>39052</v>
      </c>
      <c r="C3652" t="s">
        <v>25</v>
      </c>
      <c r="D3652" s="19">
        <v>12</v>
      </c>
      <c r="E3652">
        <v>142</v>
      </c>
      <c r="F3652" t="s">
        <v>14</v>
      </c>
      <c r="G3652" t="s">
        <v>8</v>
      </c>
      <c r="H3652">
        <v>1</v>
      </c>
      <c r="I3652" t="s">
        <v>27</v>
      </c>
    </row>
    <row r="3653" spans="1:9" x14ac:dyDescent="0.2">
      <c r="A3653" t="str">
        <f t="shared" si="304"/>
        <v>39052Haapiti12142PocilloporidaeDessous</v>
      </c>
      <c r="B3653" s="1">
        <v>39052</v>
      </c>
      <c r="C3653" t="s">
        <v>25</v>
      </c>
      <c r="D3653" s="19">
        <v>12</v>
      </c>
      <c r="E3653">
        <v>142</v>
      </c>
      <c r="F3653" t="s">
        <v>10</v>
      </c>
      <c r="G3653" t="s">
        <v>8</v>
      </c>
      <c r="H3653">
        <v>3</v>
      </c>
      <c r="I3653" t="s">
        <v>27</v>
      </c>
    </row>
    <row r="3654" spans="1:9" x14ac:dyDescent="0.2">
      <c r="A3654" t="str">
        <f t="shared" si="304"/>
        <v>39052Haapiti12142PocilloporidaeDessus</v>
      </c>
      <c r="B3654" s="1">
        <v>39052</v>
      </c>
      <c r="C3654" t="s">
        <v>25</v>
      </c>
      <c r="D3654" s="19">
        <v>12</v>
      </c>
      <c r="E3654">
        <v>142</v>
      </c>
      <c r="F3654" t="s">
        <v>10</v>
      </c>
      <c r="G3654" t="s">
        <v>11</v>
      </c>
      <c r="H3654" t="s">
        <v>32</v>
      </c>
      <c r="I3654" t="s">
        <v>27</v>
      </c>
    </row>
    <row r="3655" spans="1:9" x14ac:dyDescent="0.2">
      <c r="A3655" t="str">
        <f t="shared" si="304"/>
        <v>39052Haapiti12143AcroporidaeDessous</v>
      </c>
      <c r="B3655" s="1">
        <v>39052</v>
      </c>
      <c r="C3655" t="s">
        <v>25</v>
      </c>
      <c r="D3655" s="19">
        <v>12</v>
      </c>
      <c r="E3655">
        <v>143</v>
      </c>
      <c r="F3655" t="s">
        <v>17</v>
      </c>
      <c r="G3655" t="s">
        <v>8</v>
      </c>
      <c r="H3655">
        <v>1</v>
      </c>
      <c r="I3655" t="s">
        <v>27</v>
      </c>
    </row>
    <row r="3656" spans="1:9" x14ac:dyDescent="0.2">
      <c r="A3656" t="str">
        <f t="shared" si="304"/>
        <v>39052Haapiti12143PocilloporidaeDessous</v>
      </c>
      <c r="B3656" s="1">
        <v>39052</v>
      </c>
      <c r="C3656" t="s">
        <v>25</v>
      </c>
      <c r="D3656" s="19">
        <v>12</v>
      </c>
      <c r="E3656">
        <v>143</v>
      </c>
      <c r="F3656" t="s">
        <v>10</v>
      </c>
      <c r="G3656" t="s">
        <v>8</v>
      </c>
      <c r="H3656">
        <v>1</v>
      </c>
      <c r="I3656" t="s">
        <v>27</v>
      </c>
    </row>
    <row r="3657" spans="1:9" x14ac:dyDescent="0.2">
      <c r="A3657" t="str">
        <f t="shared" si="304"/>
        <v>39052Haapiti12143PoritidaeDessous</v>
      </c>
      <c r="B3657" s="1">
        <v>39052</v>
      </c>
      <c r="C3657" t="s">
        <v>25</v>
      </c>
      <c r="D3657" s="19">
        <v>12</v>
      </c>
      <c r="E3657">
        <v>143</v>
      </c>
      <c r="F3657" t="s">
        <v>7</v>
      </c>
      <c r="G3657" t="s">
        <v>8</v>
      </c>
      <c r="H3657">
        <v>1</v>
      </c>
      <c r="I3657" t="s">
        <v>27</v>
      </c>
    </row>
    <row r="3658" spans="1:9" x14ac:dyDescent="0.2">
      <c r="A3658" t="str">
        <f t="shared" si="304"/>
        <v>39052Haapiti12144Autres</v>
      </c>
      <c r="B3658" s="1">
        <v>39052</v>
      </c>
      <c r="C3658" t="s">
        <v>25</v>
      </c>
      <c r="D3658" s="19">
        <v>12</v>
      </c>
      <c r="E3658">
        <v>144</v>
      </c>
      <c r="F3658" t="s">
        <v>14</v>
      </c>
      <c r="H3658">
        <v>0</v>
      </c>
    </row>
    <row r="3659" spans="1:9" x14ac:dyDescent="0.2">
      <c r="A3659" t="str">
        <f t="shared" si="304"/>
        <v>39052Haapiti12145PocilloporidaeBords</v>
      </c>
      <c r="B3659" s="1">
        <v>39052</v>
      </c>
      <c r="C3659" t="s">
        <v>25</v>
      </c>
      <c r="D3659" s="19">
        <v>12</v>
      </c>
      <c r="E3659">
        <v>145</v>
      </c>
      <c r="F3659" t="s">
        <v>10</v>
      </c>
      <c r="G3659" t="s">
        <v>13</v>
      </c>
      <c r="H3659">
        <v>2</v>
      </c>
      <c r="I3659" t="s">
        <v>27</v>
      </c>
    </row>
    <row r="3660" spans="1:9" x14ac:dyDescent="0.2">
      <c r="A3660" t="str">
        <f t="shared" si="304"/>
        <v>39052Haapiti12146PocilloporidaeBords</v>
      </c>
      <c r="B3660" s="1">
        <v>39052</v>
      </c>
      <c r="C3660" t="s">
        <v>25</v>
      </c>
      <c r="D3660" s="19">
        <v>12</v>
      </c>
      <c r="E3660">
        <v>146</v>
      </c>
      <c r="F3660" t="s">
        <v>10</v>
      </c>
      <c r="G3660" t="s">
        <v>13</v>
      </c>
      <c r="H3660">
        <v>1</v>
      </c>
      <c r="I3660" t="s">
        <v>27</v>
      </c>
    </row>
    <row r="3661" spans="1:9" x14ac:dyDescent="0.2">
      <c r="A3661" t="str">
        <f t="shared" si="304"/>
        <v>39052Haapiti12147PocilloporidaeDessous</v>
      </c>
      <c r="B3661" s="1">
        <v>39052</v>
      </c>
      <c r="C3661" t="s">
        <v>25</v>
      </c>
      <c r="D3661" s="19">
        <v>12</v>
      </c>
      <c r="E3661">
        <v>147</v>
      </c>
      <c r="F3661" t="s">
        <v>10</v>
      </c>
      <c r="G3661" t="s">
        <v>8</v>
      </c>
      <c r="H3661">
        <v>2</v>
      </c>
      <c r="I3661" t="s">
        <v>27</v>
      </c>
    </row>
    <row r="3662" spans="1:9" x14ac:dyDescent="0.2">
      <c r="A3662" t="str">
        <f t="shared" si="304"/>
        <v>39052Haapiti12148PocilloporidaeBords</v>
      </c>
      <c r="B3662" s="1">
        <v>39052</v>
      </c>
      <c r="C3662" t="s">
        <v>25</v>
      </c>
      <c r="D3662" s="19">
        <v>12</v>
      </c>
      <c r="E3662">
        <v>148</v>
      </c>
      <c r="F3662" t="s">
        <v>10</v>
      </c>
      <c r="G3662" t="s">
        <v>13</v>
      </c>
      <c r="H3662">
        <v>1</v>
      </c>
      <c r="I3662" t="s">
        <v>27</v>
      </c>
    </row>
    <row r="3663" spans="1:9" x14ac:dyDescent="0.2">
      <c r="A3663" t="str">
        <f t="shared" si="304"/>
        <v>39052Haapiti12148PocilloporidaeDessous</v>
      </c>
      <c r="B3663" s="1">
        <v>39052</v>
      </c>
      <c r="C3663" t="s">
        <v>25</v>
      </c>
      <c r="D3663" s="19">
        <v>12</v>
      </c>
      <c r="E3663">
        <v>148</v>
      </c>
      <c r="F3663" t="s">
        <v>10</v>
      </c>
      <c r="G3663" t="s">
        <v>8</v>
      </c>
      <c r="H3663">
        <v>2</v>
      </c>
      <c r="I3663" t="s">
        <v>27</v>
      </c>
    </row>
    <row r="3664" spans="1:9" x14ac:dyDescent="0.2">
      <c r="A3664" t="str">
        <f t="shared" si="304"/>
        <v>39052Haapiti12149PocilloporidaeBords</v>
      </c>
      <c r="B3664" s="1">
        <v>39052</v>
      </c>
      <c r="C3664" t="s">
        <v>25</v>
      </c>
      <c r="D3664" s="19">
        <v>12</v>
      </c>
      <c r="E3664">
        <v>149</v>
      </c>
      <c r="F3664" t="s">
        <v>10</v>
      </c>
      <c r="G3664" t="s">
        <v>13</v>
      </c>
      <c r="H3664">
        <v>1</v>
      </c>
      <c r="I3664" t="s">
        <v>27</v>
      </c>
    </row>
    <row r="3665" spans="1:9" x14ac:dyDescent="0.2">
      <c r="A3665" t="str">
        <f t="shared" si="304"/>
        <v>39052Haapiti12149PocilloporidaeDessous</v>
      </c>
      <c r="B3665" s="1">
        <v>39052</v>
      </c>
      <c r="C3665" t="s">
        <v>25</v>
      </c>
      <c r="D3665" s="19">
        <v>12</v>
      </c>
      <c r="E3665">
        <v>149</v>
      </c>
      <c r="F3665" t="s">
        <v>10</v>
      </c>
      <c r="G3665" t="s">
        <v>8</v>
      </c>
      <c r="H3665">
        <v>1</v>
      </c>
      <c r="I3665" t="s">
        <v>27</v>
      </c>
    </row>
    <row r="3666" spans="1:9" x14ac:dyDescent="0.2">
      <c r="A3666" t="str">
        <f t="shared" si="304"/>
        <v>39052Haapiti12150Autres</v>
      </c>
      <c r="B3666" s="1">
        <v>39052</v>
      </c>
      <c r="C3666" t="s">
        <v>25</v>
      </c>
      <c r="D3666" s="19">
        <v>12</v>
      </c>
      <c r="E3666">
        <v>150</v>
      </c>
      <c r="F3666" t="s">
        <v>14</v>
      </c>
      <c r="H3666">
        <v>0</v>
      </c>
    </row>
    <row r="3667" spans="1:9" x14ac:dyDescent="0.2">
      <c r="A3667" t="str">
        <f t="shared" si="304"/>
        <v>39052Haapiti12151PocilloporidaeBords</v>
      </c>
      <c r="B3667" s="1">
        <v>39052</v>
      </c>
      <c r="C3667" t="s">
        <v>25</v>
      </c>
      <c r="D3667" s="19">
        <v>12</v>
      </c>
      <c r="E3667">
        <v>151</v>
      </c>
      <c r="F3667" t="s">
        <v>10</v>
      </c>
      <c r="G3667" t="s">
        <v>13</v>
      </c>
      <c r="H3667">
        <v>2</v>
      </c>
      <c r="I3667" t="s">
        <v>27</v>
      </c>
    </row>
    <row r="3668" spans="1:9" x14ac:dyDescent="0.2">
      <c r="A3668" t="str">
        <f t="shared" si="304"/>
        <v>39052Haapiti12151PocilloporidaeDessous</v>
      </c>
      <c r="B3668" s="1">
        <v>39052</v>
      </c>
      <c r="C3668" t="s">
        <v>25</v>
      </c>
      <c r="D3668" s="19">
        <v>12</v>
      </c>
      <c r="E3668">
        <v>151</v>
      </c>
      <c r="F3668" t="s">
        <v>10</v>
      </c>
      <c r="G3668" t="s">
        <v>8</v>
      </c>
      <c r="H3668">
        <v>2</v>
      </c>
      <c r="I3668" t="s">
        <v>27</v>
      </c>
    </row>
    <row r="3669" spans="1:9" x14ac:dyDescent="0.2">
      <c r="A3669" t="str">
        <f t="shared" si="304"/>
        <v>39052Haapiti12152Autres</v>
      </c>
      <c r="B3669" s="1">
        <v>39052</v>
      </c>
      <c r="C3669" t="s">
        <v>25</v>
      </c>
      <c r="D3669" s="19">
        <v>12</v>
      </c>
      <c r="E3669">
        <v>152</v>
      </c>
      <c r="F3669" t="s">
        <v>14</v>
      </c>
      <c r="H3669">
        <v>0</v>
      </c>
    </row>
    <row r="3670" spans="1:9" x14ac:dyDescent="0.2">
      <c r="A3670" t="str">
        <f t="shared" si="304"/>
        <v>39052Haapiti12153PocilloporidaeDessous</v>
      </c>
      <c r="B3670" s="1">
        <v>39052</v>
      </c>
      <c r="C3670" t="s">
        <v>25</v>
      </c>
      <c r="D3670" s="19">
        <v>12</v>
      </c>
      <c r="E3670">
        <v>153</v>
      </c>
      <c r="F3670" t="s">
        <v>10</v>
      </c>
      <c r="G3670" t="s">
        <v>8</v>
      </c>
      <c r="H3670">
        <v>1</v>
      </c>
      <c r="I3670" t="s">
        <v>27</v>
      </c>
    </row>
    <row r="3671" spans="1:9" x14ac:dyDescent="0.2">
      <c r="A3671" t="str">
        <f t="shared" si="304"/>
        <v>39052Haapiti12154PocilloporidaeBords</v>
      </c>
      <c r="B3671" s="1">
        <v>39052</v>
      </c>
      <c r="C3671" t="s">
        <v>25</v>
      </c>
      <c r="D3671" s="19">
        <v>12</v>
      </c>
      <c r="E3671">
        <v>154</v>
      </c>
      <c r="F3671" t="s">
        <v>10</v>
      </c>
      <c r="G3671" t="s">
        <v>13</v>
      </c>
      <c r="H3671">
        <v>2</v>
      </c>
      <c r="I3671" t="s">
        <v>27</v>
      </c>
    </row>
    <row r="3672" spans="1:9" x14ac:dyDescent="0.2">
      <c r="A3672" t="str">
        <f t="shared" si="304"/>
        <v>39052Haapiti12155Autres</v>
      </c>
      <c r="B3672" s="1">
        <v>39052</v>
      </c>
      <c r="C3672" t="s">
        <v>25</v>
      </c>
      <c r="D3672" s="19">
        <v>12</v>
      </c>
      <c r="E3672">
        <v>155</v>
      </c>
      <c r="F3672" t="s">
        <v>14</v>
      </c>
      <c r="H3672">
        <v>0</v>
      </c>
    </row>
    <row r="3673" spans="1:9" x14ac:dyDescent="0.2">
      <c r="A3673" t="str">
        <f t="shared" si="304"/>
        <v>39052Haapiti12156</v>
      </c>
      <c r="B3673" s="1">
        <v>39052</v>
      </c>
      <c r="C3673" t="s">
        <v>25</v>
      </c>
      <c r="D3673" s="19">
        <v>12</v>
      </c>
      <c r="E3673">
        <v>156</v>
      </c>
      <c r="F3673" t="s">
        <v>27</v>
      </c>
      <c r="G3673" t="s">
        <v>27</v>
      </c>
      <c r="H3673" t="s">
        <v>27</v>
      </c>
      <c r="I3673" t="s">
        <v>31</v>
      </c>
    </row>
    <row r="3674" spans="1:9" x14ac:dyDescent="0.2">
      <c r="A3674" t="str">
        <f t="shared" si="304"/>
        <v>39052Haapiti12157</v>
      </c>
      <c r="B3674" s="1">
        <v>39052</v>
      </c>
      <c r="C3674" t="s">
        <v>25</v>
      </c>
      <c r="D3674" s="19">
        <v>12</v>
      </c>
      <c r="E3674">
        <v>157</v>
      </c>
      <c r="F3674" t="s">
        <v>27</v>
      </c>
      <c r="G3674" t="s">
        <v>27</v>
      </c>
      <c r="H3674" t="s">
        <v>27</v>
      </c>
      <c r="I3674" t="s">
        <v>31</v>
      </c>
    </row>
    <row r="3675" spans="1:9" x14ac:dyDescent="0.2">
      <c r="A3675" t="str">
        <f t="shared" si="304"/>
        <v>39052Haapiti12158PocilloporidaeBords</v>
      </c>
      <c r="B3675" s="1">
        <v>39052</v>
      </c>
      <c r="C3675" t="s">
        <v>25</v>
      </c>
      <c r="D3675" s="19">
        <v>12</v>
      </c>
      <c r="E3675">
        <v>158</v>
      </c>
      <c r="F3675" t="s">
        <v>10</v>
      </c>
      <c r="G3675" t="s">
        <v>13</v>
      </c>
      <c r="H3675">
        <v>1</v>
      </c>
      <c r="I3675" t="s">
        <v>27</v>
      </c>
    </row>
    <row r="3676" spans="1:9" x14ac:dyDescent="0.2">
      <c r="A3676" t="str">
        <f t="shared" si="304"/>
        <v>39052Haapiti12159AcroporidaeDessous</v>
      </c>
      <c r="B3676" s="1">
        <v>39052</v>
      </c>
      <c r="C3676" t="s">
        <v>25</v>
      </c>
      <c r="D3676" s="19">
        <v>12</v>
      </c>
      <c r="E3676">
        <v>159</v>
      </c>
      <c r="F3676" t="s">
        <v>17</v>
      </c>
      <c r="G3676" t="s">
        <v>8</v>
      </c>
      <c r="H3676">
        <v>1</v>
      </c>
      <c r="I3676" t="s">
        <v>27</v>
      </c>
    </row>
    <row r="3677" spans="1:9" x14ac:dyDescent="0.2">
      <c r="A3677" t="str">
        <f t="shared" si="304"/>
        <v>39052Haapiti12159PocilloporidaeDessous</v>
      </c>
      <c r="B3677" s="1">
        <v>39052</v>
      </c>
      <c r="C3677" t="s">
        <v>25</v>
      </c>
      <c r="D3677" s="19">
        <v>12</v>
      </c>
      <c r="E3677">
        <v>159</v>
      </c>
      <c r="F3677" t="s">
        <v>10</v>
      </c>
      <c r="G3677" t="s">
        <v>8</v>
      </c>
      <c r="H3677">
        <v>6</v>
      </c>
      <c r="I3677" t="s">
        <v>27</v>
      </c>
    </row>
    <row r="3678" spans="1:9" x14ac:dyDescent="0.2">
      <c r="A3678" t="str">
        <f t="shared" si="304"/>
        <v>39052Haapiti12160Autres</v>
      </c>
      <c r="B3678" s="1">
        <v>39052</v>
      </c>
      <c r="C3678" t="s">
        <v>25</v>
      </c>
      <c r="D3678" s="19">
        <v>12</v>
      </c>
      <c r="E3678">
        <v>160</v>
      </c>
      <c r="F3678" t="s">
        <v>14</v>
      </c>
      <c r="H3678">
        <v>0</v>
      </c>
    </row>
    <row r="3679" spans="1:9" x14ac:dyDescent="0.2">
      <c r="A3679" t="str">
        <f t="shared" si="304"/>
        <v>39052Haapiti18161</v>
      </c>
      <c r="B3679" s="1">
        <v>39052</v>
      </c>
      <c r="C3679" t="s">
        <v>25</v>
      </c>
      <c r="D3679" s="19">
        <v>18</v>
      </c>
      <c r="E3679">
        <v>161</v>
      </c>
      <c r="F3679" t="s">
        <v>27</v>
      </c>
      <c r="G3679" t="s">
        <v>27</v>
      </c>
      <c r="H3679" t="s">
        <v>27</v>
      </c>
      <c r="I3679" t="s">
        <v>31</v>
      </c>
    </row>
    <row r="3680" spans="1:9" x14ac:dyDescent="0.2">
      <c r="A3680" t="str">
        <f t="shared" si="304"/>
        <v>39052Haapiti18162</v>
      </c>
      <c r="B3680" s="1">
        <v>39052</v>
      </c>
      <c r="C3680" t="s">
        <v>25</v>
      </c>
      <c r="D3680" s="19">
        <v>18</v>
      </c>
      <c r="E3680">
        <v>162</v>
      </c>
      <c r="F3680" t="s">
        <v>27</v>
      </c>
      <c r="G3680" t="s">
        <v>27</v>
      </c>
      <c r="H3680" t="s">
        <v>27</v>
      </c>
      <c r="I3680" t="s">
        <v>30</v>
      </c>
    </row>
    <row r="3681" spans="1:9" x14ac:dyDescent="0.2">
      <c r="A3681" t="str">
        <f t="shared" si="304"/>
        <v>39052Haapiti18163Autres</v>
      </c>
      <c r="B3681" s="1">
        <v>39052</v>
      </c>
      <c r="C3681" t="s">
        <v>25</v>
      </c>
      <c r="D3681" s="19">
        <v>18</v>
      </c>
      <c r="E3681">
        <v>163</v>
      </c>
      <c r="F3681" t="s">
        <v>14</v>
      </c>
      <c r="H3681">
        <v>0</v>
      </c>
    </row>
    <row r="3682" spans="1:9" x14ac:dyDescent="0.2">
      <c r="A3682" t="str">
        <f t="shared" si="304"/>
        <v>39052Haapiti18164PocilloporidaeDessous</v>
      </c>
      <c r="B3682" s="1">
        <v>39052</v>
      </c>
      <c r="C3682" t="s">
        <v>25</v>
      </c>
      <c r="D3682" s="19">
        <v>18</v>
      </c>
      <c r="E3682">
        <v>164</v>
      </c>
      <c r="F3682" t="s">
        <v>10</v>
      </c>
      <c r="G3682" t="s">
        <v>8</v>
      </c>
      <c r="H3682">
        <v>1</v>
      </c>
      <c r="I3682" t="s">
        <v>27</v>
      </c>
    </row>
    <row r="3683" spans="1:9" x14ac:dyDescent="0.2">
      <c r="A3683" t="str">
        <f t="shared" si="304"/>
        <v>39052Haapiti18164PoritidaeDessus</v>
      </c>
      <c r="B3683" s="1">
        <v>39052</v>
      </c>
      <c r="C3683" t="s">
        <v>25</v>
      </c>
      <c r="D3683" s="19">
        <v>18</v>
      </c>
      <c r="E3683">
        <v>164</v>
      </c>
      <c r="F3683" t="s">
        <v>7</v>
      </c>
      <c r="G3683" t="s">
        <v>11</v>
      </c>
      <c r="H3683">
        <v>2</v>
      </c>
      <c r="I3683" t="s">
        <v>27</v>
      </c>
    </row>
    <row r="3684" spans="1:9" x14ac:dyDescent="0.2">
      <c r="A3684" t="str">
        <f t="shared" si="304"/>
        <v>39052Haapiti18165PocilloporidaeBords</v>
      </c>
      <c r="B3684" s="1">
        <v>39052</v>
      </c>
      <c r="C3684" t="s">
        <v>25</v>
      </c>
      <c r="D3684" s="19">
        <v>18</v>
      </c>
      <c r="E3684">
        <v>165</v>
      </c>
      <c r="F3684" t="s">
        <v>10</v>
      </c>
      <c r="G3684" t="s">
        <v>13</v>
      </c>
      <c r="H3684">
        <v>1</v>
      </c>
      <c r="I3684" t="s">
        <v>27</v>
      </c>
    </row>
    <row r="3685" spans="1:9" x14ac:dyDescent="0.2">
      <c r="A3685" t="str">
        <f t="shared" si="304"/>
        <v>39052Haapiti18165PocilloporidaeDessus</v>
      </c>
      <c r="B3685" s="1">
        <v>39052</v>
      </c>
      <c r="C3685" t="s">
        <v>25</v>
      </c>
      <c r="D3685" s="19">
        <v>18</v>
      </c>
      <c r="E3685">
        <v>165</v>
      </c>
      <c r="F3685" t="s">
        <v>10</v>
      </c>
      <c r="G3685" t="s">
        <v>11</v>
      </c>
      <c r="H3685">
        <v>6</v>
      </c>
      <c r="I3685" t="s">
        <v>27</v>
      </c>
    </row>
    <row r="3686" spans="1:9" x14ac:dyDescent="0.2">
      <c r="A3686" t="str">
        <f t="shared" si="304"/>
        <v>39052Haapiti18166PocilloporidaeDessous</v>
      </c>
      <c r="B3686" s="1">
        <v>39052</v>
      </c>
      <c r="C3686" t="s">
        <v>25</v>
      </c>
      <c r="D3686" s="19">
        <v>18</v>
      </c>
      <c r="E3686">
        <v>166</v>
      </c>
      <c r="F3686" t="s">
        <v>10</v>
      </c>
      <c r="G3686" t="s">
        <v>8</v>
      </c>
      <c r="H3686">
        <v>1</v>
      </c>
      <c r="I3686" t="s">
        <v>27</v>
      </c>
    </row>
    <row r="3687" spans="1:9" x14ac:dyDescent="0.2">
      <c r="A3687" t="str">
        <f t="shared" si="304"/>
        <v>39052Haapiti18167PocilloporidaeBords</v>
      </c>
      <c r="B3687" s="1">
        <v>39052</v>
      </c>
      <c r="C3687" t="s">
        <v>25</v>
      </c>
      <c r="D3687" s="19">
        <v>18</v>
      </c>
      <c r="E3687">
        <v>167</v>
      </c>
      <c r="F3687" t="s">
        <v>10</v>
      </c>
      <c r="G3687" t="s">
        <v>13</v>
      </c>
      <c r="H3687">
        <v>1</v>
      </c>
      <c r="I3687" t="s">
        <v>27</v>
      </c>
    </row>
    <row r="3688" spans="1:9" x14ac:dyDescent="0.2">
      <c r="A3688" t="str">
        <f t="shared" si="304"/>
        <v>39052Haapiti18167PocilloporidaeDessus</v>
      </c>
      <c r="B3688" s="1">
        <v>39052</v>
      </c>
      <c r="C3688" t="s">
        <v>25</v>
      </c>
      <c r="D3688" s="19">
        <v>18</v>
      </c>
      <c r="E3688">
        <v>167</v>
      </c>
      <c r="F3688" t="s">
        <v>10</v>
      </c>
      <c r="G3688" t="s">
        <v>11</v>
      </c>
      <c r="H3688">
        <v>1</v>
      </c>
      <c r="I3688" t="s">
        <v>27</v>
      </c>
    </row>
    <row r="3689" spans="1:9" x14ac:dyDescent="0.2">
      <c r="A3689" t="str">
        <f t="shared" si="304"/>
        <v>39052Haapiti18168Autres</v>
      </c>
      <c r="B3689" s="1">
        <v>39052</v>
      </c>
      <c r="C3689" t="s">
        <v>25</v>
      </c>
      <c r="D3689" s="19">
        <v>18</v>
      </c>
      <c r="E3689">
        <v>168</v>
      </c>
      <c r="F3689" t="s">
        <v>14</v>
      </c>
      <c r="H3689">
        <v>0</v>
      </c>
    </row>
    <row r="3690" spans="1:9" x14ac:dyDescent="0.2">
      <c r="A3690" t="str">
        <f t="shared" si="304"/>
        <v>39052Haapiti18169Autres</v>
      </c>
      <c r="B3690" s="1">
        <v>39052</v>
      </c>
      <c r="C3690" t="s">
        <v>25</v>
      </c>
      <c r="D3690" s="19">
        <v>18</v>
      </c>
      <c r="E3690">
        <v>169</v>
      </c>
      <c r="F3690" t="s">
        <v>14</v>
      </c>
      <c r="H3690">
        <v>0</v>
      </c>
    </row>
    <row r="3691" spans="1:9" x14ac:dyDescent="0.2">
      <c r="A3691" t="str">
        <f t="shared" si="304"/>
        <v>39052Haapiti18170PocilloporidaeDessus</v>
      </c>
      <c r="B3691" s="1">
        <v>39052</v>
      </c>
      <c r="C3691" t="s">
        <v>25</v>
      </c>
      <c r="D3691" s="19">
        <v>18</v>
      </c>
      <c r="E3691">
        <v>170</v>
      </c>
      <c r="F3691" t="s">
        <v>10</v>
      </c>
      <c r="G3691" t="s">
        <v>11</v>
      </c>
      <c r="H3691">
        <v>1</v>
      </c>
      <c r="I3691" t="s">
        <v>27</v>
      </c>
    </row>
    <row r="3692" spans="1:9" x14ac:dyDescent="0.2">
      <c r="A3692" t="str">
        <f t="shared" si="304"/>
        <v>39052Haapiti18171PocilloporidaeBords</v>
      </c>
      <c r="B3692" s="1">
        <v>39052</v>
      </c>
      <c r="C3692" t="s">
        <v>25</v>
      </c>
      <c r="D3692" s="19">
        <v>18</v>
      </c>
      <c r="E3692">
        <v>171</v>
      </c>
      <c r="F3692" t="s">
        <v>10</v>
      </c>
      <c r="G3692" t="s">
        <v>13</v>
      </c>
      <c r="H3692">
        <v>2</v>
      </c>
      <c r="I3692" t="s">
        <v>27</v>
      </c>
    </row>
    <row r="3693" spans="1:9" x14ac:dyDescent="0.2">
      <c r="A3693" t="str">
        <f t="shared" si="304"/>
        <v>39052Haapiti18171PocilloporidaeDessus</v>
      </c>
      <c r="B3693" s="1">
        <v>39052</v>
      </c>
      <c r="C3693" t="s">
        <v>25</v>
      </c>
      <c r="D3693" s="19">
        <v>18</v>
      </c>
      <c r="E3693">
        <v>171</v>
      </c>
      <c r="F3693" t="s">
        <v>10</v>
      </c>
      <c r="G3693" t="s">
        <v>11</v>
      </c>
      <c r="H3693">
        <v>1</v>
      </c>
      <c r="I3693" t="s">
        <v>27</v>
      </c>
    </row>
    <row r="3694" spans="1:9" x14ac:dyDescent="0.2">
      <c r="A3694" t="str">
        <f t="shared" si="304"/>
        <v>39052Haapiti18172PocilloporidaeBords</v>
      </c>
      <c r="B3694" s="1">
        <v>39052</v>
      </c>
      <c r="C3694" t="s">
        <v>25</v>
      </c>
      <c r="D3694" s="19">
        <v>18</v>
      </c>
      <c r="E3694">
        <v>172</v>
      </c>
      <c r="F3694" t="s">
        <v>10</v>
      </c>
      <c r="G3694" t="s">
        <v>13</v>
      </c>
      <c r="H3694">
        <v>1</v>
      </c>
      <c r="I3694" t="s">
        <v>27</v>
      </c>
    </row>
    <row r="3695" spans="1:9" x14ac:dyDescent="0.2">
      <c r="A3695" t="str">
        <f t="shared" si="304"/>
        <v>39052Haapiti18173PocilloporidaeBords</v>
      </c>
      <c r="B3695" s="1">
        <v>39052</v>
      </c>
      <c r="C3695" t="s">
        <v>25</v>
      </c>
      <c r="D3695" s="19">
        <v>18</v>
      </c>
      <c r="E3695">
        <v>173</v>
      </c>
      <c r="F3695" t="s">
        <v>10</v>
      </c>
      <c r="G3695" t="s">
        <v>13</v>
      </c>
      <c r="H3695">
        <v>2</v>
      </c>
      <c r="I3695" t="s">
        <v>27</v>
      </c>
    </row>
    <row r="3696" spans="1:9" x14ac:dyDescent="0.2">
      <c r="A3696" t="str">
        <f t="shared" si="304"/>
        <v>39052Haapiti18173PocilloporidaeDessous</v>
      </c>
      <c r="B3696" s="1">
        <v>39052</v>
      </c>
      <c r="C3696" t="s">
        <v>25</v>
      </c>
      <c r="D3696" s="19">
        <v>18</v>
      </c>
      <c r="E3696">
        <v>173</v>
      </c>
      <c r="F3696" t="s">
        <v>10</v>
      </c>
      <c r="G3696" t="s">
        <v>8</v>
      </c>
      <c r="H3696">
        <v>1</v>
      </c>
      <c r="I3696" t="s">
        <v>27</v>
      </c>
    </row>
    <row r="3697" spans="1:9" x14ac:dyDescent="0.2">
      <c r="A3697" t="str">
        <f t="shared" si="304"/>
        <v>39052Haapiti18174Autres</v>
      </c>
      <c r="B3697" s="1">
        <v>39052</v>
      </c>
      <c r="C3697" t="s">
        <v>25</v>
      </c>
      <c r="D3697" s="19">
        <v>18</v>
      </c>
      <c r="E3697">
        <v>174</v>
      </c>
      <c r="F3697" t="s">
        <v>14</v>
      </c>
      <c r="H3697">
        <v>0</v>
      </c>
    </row>
    <row r="3698" spans="1:9" x14ac:dyDescent="0.2">
      <c r="A3698" t="str">
        <f t="shared" si="304"/>
        <v>39052Haapiti18175PocilloporidaeDessous</v>
      </c>
      <c r="B3698" s="1">
        <v>39052</v>
      </c>
      <c r="C3698" t="s">
        <v>25</v>
      </c>
      <c r="D3698" s="19">
        <v>18</v>
      </c>
      <c r="E3698">
        <v>175</v>
      </c>
      <c r="F3698" t="s">
        <v>10</v>
      </c>
      <c r="G3698" t="s">
        <v>8</v>
      </c>
      <c r="H3698">
        <v>1</v>
      </c>
      <c r="I3698" t="s">
        <v>27</v>
      </c>
    </row>
    <row r="3699" spans="1:9" x14ac:dyDescent="0.2">
      <c r="A3699" t="str">
        <f t="shared" si="304"/>
        <v>39052Haapiti18176PocilloporidaeDessous</v>
      </c>
      <c r="B3699" s="1">
        <v>39052</v>
      </c>
      <c r="C3699" t="s">
        <v>25</v>
      </c>
      <c r="D3699" s="19">
        <v>18</v>
      </c>
      <c r="E3699">
        <v>176</v>
      </c>
      <c r="F3699" t="s">
        <v>10</v>
      </c>
      <c r="G3699" t="s">
        <v>8</v>
      </c>
      <c r="H3699">
        <v>3</v>
      </c>
      <c r="I3699" t="s">
        <v>27</v>
      </c>
    </row>
    <row r="3700" spans="1:9" x14ac:dyDescent="0.2">
      <c r="A3700" t="str">
        <f t="shared" si="304"/>
        <v>39052Haapiti18177Autres</v>
      </c>
      <c r="B3700" s="1">
        <v>39052</v>
      </c>
      <c r="C3700" t="s">
        <v>25</v>
      </c>
      <c r="D3700" s="19">
        <v>18</v>
      </c>
      <c r="E3700">
        <v>177</v>
      </c>
      <c r="F3700" t="s">
        <v>14</v>
      </c>
      <c r="H3700">
        <v>0</v>
      </c>
    </row>
    <row r="3701" spans="1:9" x14ac:dyDescent="0.2">
      <c r="A3701" t="str">
        <f t="shared" si="304"/>
        <v>39052Haapiti18178PocilloporidaeDessous</v>
      </c>
      <c r="B3701" s="1">
        <v>39052</v>
      </c>
      <c r="C3701" t="s">
        <v>25</v>
      </c>
      <c r="D3701" s="19">
        <v>18</v>
      </c>
      <c r="E3701">
        <v>178</v>
      </c>
      <c r="F3701" t="s">
        <v>10</v>
      </c>
      <c r="G3701" t="s">
        <v>8</v>
      </c>
      <c r="H3701">
        <v>1</v>
      </c>
      <c r="I3701" t="s">
        <v>27</v>
      </c>
    </row>
    <row r="3702" spans="1:9" x14ac:dyDescent="0.2">
      <c r="A3702" t="str">
        <f t="shared" si="304"/>
        <v>39052Haapiti18178PoritidaeBords</v>
      </c>
      <c r="B3702" s="1">
        <v>39052</v>
      </c>
      <c r="C3702" t="s">
        <v>25</v>
      </c>
      <c r="D3702" s="19">
        <v>18</v>
      </c>
      <c r="E3702">
        <v>178</v>
      </c>
      <c r="F3702" t="s">
        <v>7</v>
      </c>
      <c r="G3702" t="s">
        <v>13</v>
      </c>
      <c r="H3702">
        <v>1</v>
      </c>
      <c r="I3702" t="s">
        <v>27</v>
      </c>
    </row>
    <row r="3703" spans="1:9" x14ac:dyDescent="0.2">
      <c r="A3703" t="str">
        <f t="shared" si="304"/>
        <v>39052Haapiti18179PocilloporidaeDessous</v>
      </c>
      <c r="B3703" s="1">
        <v>39052</v>
      </c>
      <c r="C3703" t="s">
        <v>25</v>
      </c>
      <c r="D3703" s="19">
        <v>18</v>
      </c>
      <c r="E3703">
        <v>179</v>
      </c>
      <c r="F3703" t="s">
        <v>10</v>
      </c>
      <c r="G3703" t="s">
        <v>8</v>
      </c>
      <c r="H3703">
        <v>9</v>
      </c>
      <c r="I3703" t="s">
        <v>27</v>
      </c>
    </row>
    <row r="3704" spans="1:9" x14ac:dyDescent="0.2">
      <c r="A3704" t="str">
        <f t="shared" si="304"/>
        <v>39052Haapiti18179PocilloporidaeDessus</v>
      </c>
      <c r="B3704" s="1">
        <v>39052</v>
      </c>
      <c r="C3704" t="s">
        <v>25</v>
      </c>
      <c r="D3704" s="19">
        <v>18</v>
      </c>
      <c r="E3704">
        <v>179</v>
      </c>
      <c r="F3704" t="s">
        <v>10</v>
      </c>
      <c r="G3704" t="s">
        <v>11</v>
      </c>
      <c r="H3704">
        <v>1</v>
      </c>
      <c r="I3704" t="s">
        <v>27</v>
      </c>
    </row>
    <row r="3705" spans="1:9" x14ac:dyDescent="0.2">
      <c r="A3705" t="str">
        <f t="shared" si="304"/>
        <v>39052Haapiti18180PocilloporidaeDessous</v>
      </c>
      <c r="B3705" s="1">
        <v>39052</v>
      </c>
      <c r="C3705" t="s">
        <v>25</v>
      </c>
      <c r="D3705" s="19">
        <v>18</v>
      </c>
      <c r="E3705">
        <v>180</v>
      </c>
      <c r="F3705" t="s">
        <v>10</v>
      </c>
      <c r="G3705" t="s">
        <v>8</v>
      </c>
      <c r="H3705">
        <v>1</v>
      </c>
      <c r="I3705" t="s">
        <v>27</v>
      </c>
    </row>
    <row r="3706" spans="1:9" x14ac:dyDescent="0.2">
      <c r="A3706" t="str">
        <f t="shared" si="304"/>
        <v>39326Vaipahu61AcroporidaeDessous</v>
      </c>
      <c r="B3706" s="1">
        <v>39326</v>
      </c>
      <c r="C3706" t="s">
        <v>23</v>
      </c>
      <c r="D3706" s="19">
        <v>6</v>
      </c>
      <c r="E3706">
        <v>1</v>
      </c>
      <c r="F3706" t="s">
        <v>17</v>
      </c>
      <c r="G3706" t="s">
        <v>8</v>
      </c>
      <c r="H3706">
        <v>2</v>
      </c>
      <c r="I3706" t="s">
        <v>27</v>
      </c>
    </row>
    <row r="3707" spans="1:9" x14ac:dyDescent="0.2">
      <c r="A3707" t="str">
        <f t="shared" si="304"/>
        <v>39326Vaipahu62Autres</v>
      </c>
      <c r="B3707" s="1">
        <v>39326</v>
      </c>
      <c r="C3707" t="s">
        <v>23</v>
      </c>
      <c r="D3707" s="19">
        <v>6</v>
      </c>
      <c r="E3707">
        <v>2</v>
      </c>
      <c r="F3707" t="s">
        <v>14</v>
      </c>
      <c r="H3707">
        <v>0</v>
      </c>
    </row>
    <row r="3708" spans="1:9" x14ac:dyDescent="0.2">
      <c r="A3708" t="str">
        <f t="shared" si="304"/>
        <v>39326Vaipahu63PocilloporidaeDessous</v>
      </c>
      <c r="B3708" s="1">
        <v>39326</v>
      </c>
      <c r="C3708" t="s">
        <v>23</v>
      </c>
      <c r="D3708" s="19">
        <v>6</v>
      </c>
      <c r="E3708">
        <v>3</v>
      </c>
      <c r="F3708" t="s">
        <v>10</v>
      </c>
      <c r="G3708" t="s">
        <v>8</v>
      </c>
      <c r="H3708">
        <v>1</v>
      </c>
      <c r="I3708" t="s">
        <v>27</v>
      </c>
    </row>
    <row r="3709" spans="1:9" x14ac:dyDescent="0.2">
      <c r="A3709" t="str">
        <f t="shared" si="304"/>
        <v>39326Vaipahu64Autres</v>
      </c>
      <c r="B3709" s="1">
        <v>39326</v>
      </c>
      <c r="C3709" t="s">
        <v>23</v>
      </c>
      <c r="D3709" s="19">
        <v>6</v>
      </c>
      <c r="E3709">
        <v>4</v>
      </c>
      <c r="F3709" t="s">
        <v>14</v>
      </c>
      <c r="H3709">
        <v>0</v>
      </c>
    </row>
    <row r="3710" spans="1:9" x14ac:dyDescent="0.2">
      <c r="A3710" t="str">
        <f t="shared" si="304"/>
        <v>39326Vaipahu65Autres</v>
      </c>
      <c r="B3710" s="1">
        <v>39326</v>
      </c>
      <c r="C3710" t="s">
        <v>23</v>
      </c>
      <c r="D3710" s="19">
        <v>6</v>
      </c>
      <c r="E3710">
        <v>5</v>
      </c>
      <c r="F3710" t="s">
        <v>14</v>
      </c>
      <c r="H3710">
        <v>0</v>
      </c>
    </row>
    <row r="3711" spans="1:9" x14ac:dyDescent="0.2">
      <c r="A3711" t="str">
        <f t="shared" ref="A3711:A3774" si="305">B3711 &amp; C3711&amp; D3711&amp; E3711 &amp; F3711 &amp;G3711</f>
        <v>39326Vaipahu66AcroporidaeBords</v>
      </c>
      <c r="B3711" s="1">
        <v>39326</v>
      </c>
      <c r="C3711" t="s">
        <v>23</v>
      </c>
      <c r="D3711" s="19">
        <v>6</v>
      </c>
      <c r="E3711">
        <v>6</v>
      </c>
      <c r="F3711" t="s">
        <v>17</v>
      </c>
      <c r="G3711" t="s">
        <v>13</v>
      </c>
      <c r="H3711">
        <v>1</v>
      </c>
      <c r="I3711" t="s">
        <v>27</v>
      </c>
    </row>
    <row r="3712" spans="1:9" x14ac:dyDescent="0.2">
      <c r="A3712" t="str">
        <f t="shared" si="305"/>
        <v>39326Vaipahu67Autres</v>
      </c>
      <c r="B3712" s="1">
        <v>39326</v>
      </c>
      <c r="C3712" t="s">
        <v>23</v>
      </c>
      <c r="D3712" s="19">
        <v>6</v>
      </c>
      <c r="E3712">
        <v>7</v>
      </c>
      <c r="F3712" t="s">
        <v>14</v>
      </c>
      <c r="H3712">
        <v>0</v>
      </c>
    </row>
    <row r="3713" spans="1:9" x14ac:dyDescent="0.2">
      <c r="A3713" t="str">
        <f t="shared" si="305"/>
        <v>39326Vaipahu68Autres</v>
      </c>
      <c r="B3713" s="1">
        <v>39326</v>
      </c>
      <c r="C3713" t="s">
        <v>23</v>
      </c>
      <c r="D3713" s="19">
        <v>6</v>
      </c>
      <c r="E3713">
        <v>8</v>
      </c>
      <c r="F3713" t="s">
        <v>14</v>
      </c>
      <c r="H3713">
        <v>0</v>
      </c>
    </row>
    <row r="3714" spans="1:9" x14ac:dyDescent="0.2">
      <c r="A3714" t="str">
        <f t="shared" si="305"/>
        <v>39326Vaipahu69Autres</v>
      </c>
      <c r="B3714" s="1">
        <v>39326</v>
      </c>
      <c r="C3714" t="s">
        <v>23</v>
      </c>
      <c r="D3714" s="19">
        <v>6</v>
      </c>
      <c r="E3714">
        <v>9</v>
      </c>
      <c r="F3714" t="s">
        <v>14</v>
      </c>
      <c r="H3714">
        <v>0</v>
      </c>
    </row>
    <row r="3715" spans="1:9" x14ac:dyDescent="0.2">
      <c r="A3715" t="str">
        <f t="shared" si="305"/>
        <v>39326Vaipahu610Autres</v>
      </c>
      <c r="B3715" s="1">
        <v>39326</v>
      </c>
      <c r="C3715" t="s">
        <v>23</v>
      </c>
      <c r="D3715" s="19">
        <v>6</v>
      </c>
      <c r="E3715">
        <v>10</v>
      </c>
      <c r="F3715" t="s">
        <v>14</v>
      </c>
      <c r="H3715">
        <v>0</v>
      </c>
    </row>
    <row r="3716" spans="1:9" x14ac:dyDescent="0.2">
      <c r="A3716" t="str">
        <f t="shared" si="305"/>
        <v>39326Vaipahu611</v>
      </c>
      <c r="B3716" s="1">
        <v>39326</v>
      </c>
      <c r="C3716" t="s">
        <v>23</v>
      </c>
      <c r="D3716" s="19">
        <v>6</v>
      </c>
      <c r="E3716">
        <v>11</v>
      </c>
      <c r="F3716" t="s">
        <v>27</v>
      </c>
      <c r="G3716" t="s">
        <v>27</v>
      </c>
      <c r="H3716" t="s">
        <v>27</v>
      </c>
      <c r="I3716" t="s">
        <v>31</v>
      </c>
    </row>
    <row r="3717" spans="1:9" x14ac:dyDescent="0.2">
      <c r="A3717" t="str">
        <f t="shared" si="305"/>
        <v>39326Vaipahu612</v>
      </c>
      <c r="B3717" s="1">
        <v>39326</v>
      </c>
      <c r="C3717" t="s">
        <v>23</v>
      </c>
      <c r="D3717" s="19">
        <v>6</v>
      </c>
      <c r="E3717">
        <v>12</v>
      </c>
      <c r="F3717" t="s">
        <v>27</v>
      </c>
      <c r="G3717" t="s">
        <v>27</v>
      </c>
      <c r="H3717" t="s">
        <v>27</v>
      </c>
      <c r="I3717" t="s">
        <v>31</v>
      </c>
    </row>
    <row r="3718" spans="1:9" x14ac:dyDescent="0.2">
      <c r="A3718" t="str">
        <f t="shared" si="305"/>
        <v>39326Vaipahu613</v>
      </c>
      <c r="B3718" s="1">
        <v>39326</v>
      </c>
      <c r="C3718" t="s">
        <v>23</v>
      </c>
      <c r="D3718" s="19">
        <v>6</v>
      </c>
      <c r="E3718">
        <v>13</v>
      </c>
      <c r="F3718" t="s">
        <v>27</v>
      </c>
      <c r="G3718" t="s">
        <v>27</v>
      </c>
      <c r="H3718" t="s">
        <v>27</v>
      </c>
      <c r="I3718" t="s">
        <v>31</v>
      </c>
    </row>
    <row r="3719" spans="1:9" x14ac:dyDescent="0.2">
      <c r="A3719" t="str">
        <f t="shared" si="305"/>
        <v>39326Vaipahu614</v>
      </c>
      <c r="B3719" s="1">
        <v>39326</v>
      </c>
      <c r="C3719" t="s">
        <v>23</v>
      </c>
      <c r="D3719" s="19">
        <v>6</v>
      </c>
      <c r="E3719">
        <v>14</v>
      </c>
      <c r="F3719" t="s">
        <v>27</v>
      </c>
      <c r="G3719" t="s">
        <v>27</v>
      </c>
      <c r="H3719" t="s">
        <v>27</v>
      </c>
      <c r="I3719" t="s">
        <v>31</v>
      </c>
    </row>
    <row r="3720" spans="1:9" x14ac:dyDescent="0.2">
      <c r="A3720" t="str">
        <f t="shared" si="305"/>
        <v>39326Vaipahu615</v>
      </c>
      <c r="B3720" s="1">
        <v>39326</v>
      </c>
      <c r="C3720" t="s">
        <v>23</v>
      </c>
      <c r="D3720" s="19">
        <v>6</v>
      </c>
      <c r="E3720">
        <v>15</v>
      </c>
      <c r="F3720" t="s">
        <v>27</v>
      </c>
      <c r="G3720" t="s">
        <v>27</v>
      </c>
      <c r="H3720" t="s">
        <v>27</v>
      </c>
      <c r="I3720" t="s">
        <v>31</v>
      </c>
    </row>
    <row r="3721" spans="1:9" x14ac:dyDescent="0.2">
      <c r="A3721" t="str">
        <f t="shared" si="305"/>
        <v>39326Vaipahu616</v>
      </c>
      <c r="B3721" s="1">
        <v>39326</v>
      </c>
      <c r="C3721" t="s">
        <v>23</v>
      </c>
      <c r="D3721" s="19">
        <v>6</v>
      </c>
      <c r="E3721">
        <v>16</v>
      </c>
      <c r="F3721" t="s">
        <v>27</v>
      </c>
      <c r="G3721" t="s">
        <v>27</v>
      </c>
      <c r="H3721" t="s">
        <v>27</v>
      </c>
      <c r="I3721" t="s">
        <v>31</v>
      </c>
    </row>
    <row r="3722" spans="1:9" x14ac:dyDescent="0.2">
      <c r="A3722" t="str">
        <f t="shared" si="305"/>
        <v>39326Vaipahu617</v>
      </c>
      <c r="B3722" s="1">
        <v>39326</v>
      </c>
      <c r="C3722" t="s">
        <v>23</v>
      </c>
      <c r="D3722" s="19">
        <v>6</v>
      </c>
      <c r="E3722">
        <v>17</v>
      </c>
      <c r="F3722" t="s">
        <v>27</v>
      </c>
      <c r="G3722" t="s">
        <v>27</v>
      </c>
      <c r="H3722" t="s">
        <v>27</v>
      </c>
      <c r="I3722" t="s">
        <v>31</v>
      </c>
    </row>
    <row r="3723" spans="1:9" x14ac:dyDescent="0.2">
      <c r="A3723" t="str">
        <f t="shared" si="305"/>
        <v>39326Vaipahu618</v>
      </c>
      <c r="B3723" s="1">
        <v>39326</v>
      </c>
      <c r="C3723" t="s">
        <v>23</v>
      </c>
      <c r="D3723" s="19">
        <v>6</v>
      </c>
      <c r="E3723">
        <v>18</v>
      </c>
      <c r="F3723" t="s">
        <v>27</v>
      </c>
      <c r="G3723" t="s">
        <v>27</v>
      </c>
      <c r="H3723" t="s">
        <v>27</v>
      </c>
      <c r="I3723" t="s">
        <v>31</v>
      </c>
    </row>
    <row r="3724" spans="1:9" x14ac:dyDescent="0.2">
      <c r="A3724" t="str">
        <f t="shared" si="305"/>
        <v>39326Vaipahu619</v>
      </c>
      <c r="B3724" s="1">
        <v>39326</v>
      </c>
      <c r="C3724" t="s">
        <v>23</v>
      </c>
      <c r="D3724" s="19">
        <v>6</v>
      </c>
      <c r="E3724">
        <v>19</v>
      </c>
      <c r="F3724" t="s">
        <v>27</v>
      </c>
      <c r="G3724" t="s">
        <v>27</v>
      </c>
      <c r="H3724" t="s">
        <v>27</v>
      </c>
      <c r="I3724" t="s">
        <v>31</v>
      </c>
    </row>
    <row r="3725" spans="1:9" x14ac:dyDescent="0.2">
      <c r="A3725" t="str">
        <f t="shared" si="305"/>
        <v>39326Vaipahu620</v>
      </c>
      <c r="B3725" s="1">
        <v>39326</v>
      </c>
      <c r="C3725" t="s">
        <v>23</v>
      </c>
      <c r="D3725" s="19">
        <v>6</v>
      </c>
      <c r="E3725">
        <v>20</v>
      </c>
      <c r="F3725" t="s">
        <v>27</v>
      </c>
      <c r="G3725" t="s">
        <v>27</v>
      </c>
      <c r="H3725" t="s">
        <v>27</v>
      </c>
      <c r="I3725" t="s">
        <v>31</v>
      </c>
    </row>
    <row r="3726" spans="1:9" x14ac:dyDescent="0.2">
      <c r="A3726" t="str">
        <f t="shared" si="305"/>
        <v>39326Vaipahu1221PocilloporidaeDessous</v>
      </c>
      <c r="B3726" s="1">
        <v>39326</v>
      </c>
      <c r="C3726" t="s">
        <v>23</v>
      </c>
      <c r="D3726" s="19">
        <v>12</v>
      </c>
      <c r="E3726">
        <v>21</v>
      </c>
      <c r="F3726" t="s">
        <v>10</v>
      </c>
      <c r="G3726" t="s">
        <v>8</v>
      </c>
      <c r="H3726">
        <v>1</v>
      </c>
      <c r="I3726" t="s">
        <v>27</v>
      </c>
    </row>
    <row r="3727" spans="1:9" x14ac:dyDescent="0.2">
      <c r="A3727" t="str">
        <f t="shared" si="305"/>
        <v>39326Vaipahu1222Autres</v>
      </c>
      <c r="B3727" s="1">
        <v>39326</v>
      </c>
      <c r="C3727" t="s">
        <v>23</v>
      </c>
      <c r="D3727" s="19">
        <v>12</v>
      </c>
      <c r="E3727">
        <v>22</v>
      </c>
      <c r="F3727" t="s">
        <v>14</v>
      </c>
      <c r="H3727">
        <v>0</v>
      </c>
    </row>
    <row r="3728" spans="1:9" x14ac:dyDescent="0.2">
      <c r="A3728" t="str">
        <f t="shared" si="305"/>
        <v>39326Vaipahu1223Autres</v>
      </c>
      <c r="B3728" s="1">
        <v>39326</v>
      </c>
      <c r="C3728" t="s">
        <v>23</v>
      </c>
      <c r="D3728" s="19">
        <v>12</v>
      </c>
      <c r="E3728">
        <v>23</v>
      </c>
      <c r="F3728" t="s">
        <v>14</v>
      </c>
      <c r="H3728">
        <v>0</v>
      </c>
    </row>
    <row r="3729" spans="1:9" x14ac:dyDescent="0.2">
      <c r="A3729" t="str">
        <f t="shared" si="305"/>
        <v>39326Vaipahu1224AcroporidaeDessous</v>
      </c>
      <c r="B3729" s="1">
        <v>39326</v>
      </c>
      <c r="C3729" t="s">
        <v>23</v>
      </c>
      <c r="D3729" s="19">
        <v>12</v>
      </c>
      <c r="E3729">
        <v>24</v>
      </c>
      <c r="F3729" t="s">
        <v>17</v>
      </c>
      <c r="G3729" t="s">
        <v>8</v>
      </c>
      <c r="H3729">
        <v>2</v>
      </c>
      <c r="I3729" t="s">
        <v>27</v>
      </c>
    </row>
    <row r="3730" spans="1:9" x14ac:dyDescent="0.2">
      <c r="A3730" t="str">
        <f t="shared" si="305"/>
        <v>39326Vaipahu1225Autres</v>
      </c>
      <c r="B3730" s="1">
        <v>39326</v>
      </c>
      <c r="C3730" t="s">
        <v>23</v>
      </c>
      <c r="D3730" s="19">
        <v>12</v>
      </c>
      <c r="E3730">
        <v>25</v>
      </c>
      <c r="F3730" t="s">
        <v>14</v>
      </c>
      <c r="H3730">
        <v>0</v>
      </c>
    </row>
    <row r="3731" spans="1:9" x14ac:dyDescent="0.2">
      <c r="A3731" t="str">
        <f t="shared" si="305"/>
        <v>39326Vaipahu1226Autres</v>
      </c>
      <c r="B3731" s="1">
        <v>39326</v>
      </c>
      <c r="C3731" t="s">
        <v>23</v>
      </c>
      <c r="D3731" s="19">
        <v>12</v>
      </c>
      <c r="E3731">
        <v>26</v>
      </c>
      <c r="F3731" t="s">
        <v>14</v>
      </c>
      <c r="H3731">
        <v>0</v>
      </c>
    </row>
    <row r="3732" spans="1:9" x14ac:dyDescent="0.2">
      <c r="A3732" t="str">
        <f t="shared" si="305"/>
        <v>39326Vaipahu1227Autres</v>
      </c>
      <c r="B3732" s="1">
        <v>39326</v>
      </c>
      <c r="C3732" t="s">
        <v>23</v>
      </c>
      <c r="D3732" s="19">
        <v>12</v>
      </c>
      <c r="E3732">
        <v>27</v>
      </c>
      <c r="F3732" t="s">
        <v>14</v>
      </c>
      <c r="H3732">
        <v>0</v>
      </c>
    </row>
    <row r="3733" spans="1:9" x14ac:dyDescent="0.2">
      <c r="A3733" t="str">
        <f t="shared" si="305"/>
        <v>39326Vaipahu1228Autres</v>
      </c>
      <c r="B3733" s="1">
        <v>39326</v>
      </c>
      <c r="C3733" t="s">
        <v>23</v>
      </c>
      <c r="D3733" s="19">
        <v>12</v>
      </c>
      <c r="E3733">
        <v>28</v>
      </c>
      <c r="F3733" t="s">
        <v>14</v>
      </c>
      <c r="H3733">
        <v>0</v>
      </c>
    </row>
    <row r="3734" spans="1:9" x14ac:dyDescent="0.2">
      <c r="A3734" t="str">
        <f t="shared" si="305"/>
        <v>39326Vaipahu1229Autres</v>
      </c>
      <c r="B3734" s="1">
        <v>39326</v>
      </c>
      <c r="C3734" t="s">
        <v>23</v>
      </c>
      <c r="D3734" s="19">
        <v>12</v>
      </c>
      <c r="E3734">
        <v>29</v>
      </c>
      <c r="F3734" t="s">
        <v>14</v>
      </c>
      <c r="H3734">
        <v>0</v>
      </c>
    </row>
    <row r="3735" spans="1:9" x14ac:dyDescent="0.2">
      <c r="A3735" t="str">
        <f t="shared" si="305"/>
        <v>39326Vaipahu1230Autres</v>
      </c>
      <c r="B3735" s="1">
        <v>39326</v>
      </c>
      <c r="C3735" t="s">
        <v>23</v>
      </c>
      <c r="D3735" s="19">
        <v>12</v>
      </c>
      <c r="E3735">
        <v>30</v>
      </c>
      <c r="F3735" t="s">
        <v>14</v>
      </c>
      <c r="H3735">
        <v>0</v>
      </c>
    </row>
    <row r="3736" spans="1:9" x14ac:dyDescent="0.2">
      <c r="A3736" t="str">
        <f t="shared" si="305"/>
        <v>39326Vaipahu1231</v>
      </c>
      <c r="B3736" s="1">
        <v>39326</v>
      </c>
      <c r="C3736" t="s">
        <v>23</v>
      </c>
      <c r="D3736" s="19">
        <v>12</v>
      </c>
      <c r="E3736">
        <v>31</v>
      </c>
      <c r="F3736" t="s">
        <v>27</v>
      </c>
      <c r="G3736" t="s">
        <v>27</v>
      </c>
      <c r="H3736" t="s">
        <v>27</v>
      </c>
      <c r="I3736" t="s">
        <v>31</v>
      </c>
    </row>
    <row r="3737" spans="1:9" x14ac:dyDescent="0.2">
      <c r="A3737" t="str">
        <f t="shared" si="305"/>
        <v>39326Vaipahu1232</v>
      </c>
      <c r="B3737" s="1">
        <v>39326</v>
      </c>
      <c r="C3737" t="s">
        <v>23</v>
      </c>
      <c r="D3737" s="19">
        <v>12</v>
      </c>
      <c r="E3737">
        <v>32</v>
      </c>
      <c r="F3737" t="s">
        <v>27</v>
      </c>
      <c r="G3737" t="s">
        <v>27</v>
      </c>
      <c r="H3737" t="s">
        <v>27</v>
      </c>
      <c r="I3737" t="s">
        <v>31</v>
      </c>
    </row>
    <row r="3738" spans="1:9" x14ac:dyDescent="0.2">
      <c r="A3738" t="str">
        <f t="shared" si="305"/>
        <v>39326Vaipahu1233</v>
      </c>
      <c r="B3738" s="1">
        <v>39326</v>
      </c>
      <c r="C3738" t="s">
        <v>23</v>
      </c>
      <c r="D3738" s="19">
        <v>12</v>
      </c>
      <c r="E3738">
        <v>33</v>
      </c>
      <c r="F3738" t="s">
        <v>27</v>
      </c>
      <c r="G3738" t="s">
        <v>27</v>
      </c>
      <c r="H3738" t="s">
        <v>27</v>
      </c>
      <c r="I3738" t="s">
        <v>31</v>
      </c>
    </row>
    <row r="3739" spans="1:9" x14ac:dyDescent="0.2">
      <c r="A3739" t="str">
        <f t="shared" si="305"/>
        <v>39326Vaipahu1234</v>
      </c>
      <c r="B3739" s="1">
        <v>39326</v>
      </c>
      <c r="C3739" t="s">
        <v>23</v>
      </c>
      <c r="D3739" s="19">
        <v>12</v>
      </c>
      <c r="E3739">
        <v>34</v>
      </c>
      <c r="F3739" t="s">
        <v>27</v>
      </c>
      <c r="G3739" t="s">
        <v>27</v>
      </c>
      <c r="H3739" t="s">
        <v>27</v>
      </c>
      <c r="I3739" t="s">
        <v>31</v>
      </c>
    </row>
    <row r="3740" spans="1:9" x14ac:dyDescent="0.2">
      <c r="A3740" t="str">
        <f t="shared" si="305"/>
        <v>39326Vaipahu1235</v>
      </c>
      <c r="B3740" s="1">
        <v>39326</v>
      </c>
      <c r="C3740" t="s">
        <v>23</v>
      </c>
      <c r="D3740" s="19">
        <v>12</v>
      </c>
      <c r="E3740">
        <v>35</v>
      </c>
      <c r="F3740" t="s">
        <v>27</v>
      </c>
      <c r="G3740" t="s">
        <v>27</v>
      </c>
      <c r="H3740" t="s">
        <v>27</v>
      </c>
      <c r="I3740" t="s">
        <v>31</v>
      </c>
    </row>
    <row r="3741" spans="1:9" x14ac:dyDescent="0.2">
      <c r="A3741" t="str">
        <f t="shared" si="305"/>
        <v>39326Vaipahu1236</v>
      </c>
      <c r="B3741" s="1">
        <v>39326</v>
      </c>
      <c r="C3741" t="s">
        <v>23</v>
      </c>
      <c r="D3741" s="19">
        <v>12</v>
      </c>
      <c r="E3741">
        <v>36</v>
      </c>
      <c r="F3741" t="s">
        <v>27</v>
      </c>
      <c r="G3741" t="s">
        <v>27</v>
      </c>
      <c r="H3741" t="s">
        <v>27</v>
      </c>
      <c r="I3741" t="s">
        <v>31</v>
      </c>
    </row>
    <row r="3742" spans="1:9" x14ac:dyDescent="0.2">
      <c r="A3742" t="str">
        <f t="shared" si="305"/>
        <v>39326Vaipahu1237</v>
      </c>
      <c r="B3742" s="1">
        <v>39326</v>
      </c>
      <c r="C3742" t="s">
        <v>23</v>
      </c>
      <c r="D3742" s="19">
        <v>12</v>
      </c>
      <c r="E3742">
        <v>37</v>
      </c>
      <c r="F3742" t="s">
        <v>27</v>
      </c>
      <c r="G3742" t="s">
        <v>27</v>
      </c>
      <c r="H3742" t="s">
        <v>27</v>
      </c>
      <c r="I3742" t="s">
        <v>31</v>
      </c>
    </row>
    <row r="3743" spans="1:9" x14ac:dyDescent="0.2">
      <c r="A3743" t="str">
        <f t="shared" si="305"/>
        <v>39326Vaipahu1238</v>
      </c>
      <c r="B3743" s="1">
        <v>39326</v>
      </c>
      <c r="C3743" t="s">
        <v>23</v>
      </c>
      <c r="D3743" s="19">
        <v>12</v>
      </c>
      <c r="E3743">
        <v>38</v>
      </c>
      <c r="F3743" t="s">
        <v>27</v>
      </c>
      <c r="G3743" t="s">
        <v>27</v>
      </c>
      <c r="H3743" t="s">
        <v>27</v>
      </c>
      <c r="I3743" t="s">
        <v>31</v>
      </c>
    </row>
    <row r="3744" spans="1:9" x14ac:dyDescent="0.2">
      <c r="A3744" t="str">
        <f t="shared" si="305"/>
        <v>39326Vaipahu1239</v>
      </c>
      <c r="B3744" s="1">
        <v>39326</v>
      </c>
      <c r="C3744" t="s">
        <v>23</v>
      </c>
      <c r="D3744" s="19">
        <v>12</v>
      </c>
      <c r="E3744">
        <v>39</v>
      </c>
      <c r="F3744" t="s">
        <v>27</v>
      </c>
      <c r="G3744" t="s">
        <v>27</v>
      </c>
      <c r="H3744" t="s">
        <v>27</v>
      </c>
      <c r="I3744" t="s">
        <v>31</v>
      </c>
    </row>
    <row r="3745" spans="1:9" x14ac:dyDescent="0.2">
      <c r="A3745" t="str">
        <f t="shared" si="305"/>
        <v>39326Vaipahu1240</v>
      </c>
      <c r="B3745" s="1">
        <v>39326</v>
      </c>
      <c r="C3745" t="s">
        <v>23</v>
      </c>
      <c r="D3745" s="19">
        <v>12</v>
      </c>
      <c r="E3745">
        <v>40</v>
      </c>
      <c r="F3745" t="s">
        <v>27</v>
      </c>
      <c r="G3745" t="s">
        <v>27</v>
      </c>
      <c r="H3745" t="s">
        <v>27</v>
      </c>
      <c r="I3745" t="s">
        <v>31</v>
      </c>
    </row>
    <row r="3746" spans="1:9" x14ac:dyDescent="0.2">
      <c r="A3746" t="str">
        <f t="shared" si="305"/>
        <v>39326Vaipahu1841</v>
      </c>
      <c r="B3746" s="1">
        <v>39326</v>
      </c>
      <c r="C3746" t="s">
        <v>23</v>
      </c>
      <c r="D3746" s="19">
        <v>18</v>
      </c>
      <c r="E3746">
        <v>41</v>
      </c>
      <c r="F3746" t="s">
        <v>27</v>
      </c>
      <c r="G3746" t="s">
        <v>27</v>
      </c>
      <c r="H3746" t="s">
        <v>27</v>
      </c>
      <c r="I3746" t="s">
        <v>31</v>
      </c>
    </row>
    <row r="3747" spans="1:9" x14ac:dyDescent="0.2">
      <c r="A3747" t="str">
        <f t="shared" si="305"/>
        <v>39326Vaipahu1842Autres</v>
      </c>
      <c r="B3747" s="1">
        <v>39326</v>
      </c>
      <c r="C3747" t="s">
        <v>23</v>
      </c>
      <c r="D3747" s="19">
        <v>18</v>
      </c>
      <c r="E3747">
        <v>42</v>
      </c>
      <c r="F3747" t="s">
        <v>14</v>
      </c>
      <c r="H3747">
        <v>0</v>
      </c>
    </row>
    <row r="3748" spans="1:9" x14ac:dyDescent="0.2">
      <c r="A3748" t="str">
        <f t="shared" si="305"/>
        <v>39326Vaipahu1843</v>
      </c>
      <c r="B3748" s="1">
        <v>39326</v>
      </c>
      <c r="C3748" t="s">
        <v>23</v>
      </c>
      <c r="D3748" s="19">
        <v>18</v>
      </c>
      <c r="E3748">
        <v>43</v>
      </c>
      <c r="F3748" t="s">
        <v>27</v>
      </c>
      <c r="G3748" t="s">
        <v>27</v>
      </c>
      <c r="H3748" t="s">
        <v>27</v>
      </c>
      <c r="I3748" t="s">
        <v>31</v>
      </c>
    </row>
    <row r="3749" spans="1:9" x14ac:dyDescent="0.2">
      <c r="A3749" t="str">
        <f t="shared" si="305"/>
        <v>39326Vaipahu1844</v>
      </c>
      <c r="B3749" s="1">
        <v>39326</v>
      </c>
      <c r="C3749" t="s">
        <v>23</v>
      </c>
      <c r="D3749" s="19">
        <v>18</v>
      </c>
      <c r="E3749">
        <v>44</v>
      </c>
      <c r="F3749" t="s">
        <v>27</v>
      </c>
      <c r="G3749" t="s">
        <v>27</v>
      </c>
      <c r="H3749" t="s">
        <v>27</v>
      </c>
      <c r="I3749" t="s">
        <v>31</v>
      </c>
    </row>
    <row r="3750" spans="1:9" x14ac:dyDescent="0.2">
      <c r="A3750" t="str">
        <f t="shared" si="305"/>
        <v>39326Vaipahu1845</v>
      </c>
      <c r="B3750" s="1">
        <v>39326</v>
      </c>
      <c r="C3750" t="s">
        <v>23</v>
      </c>
      <c r="D3750" s="19">
        <v>18</v>
      </c>
      <c r="E3750">
        <v>45</v>
      </c>
      <c r="F3750" t="s">
        <v>27</v>
      </c>
      <c r="G3750" t="s">
        <v>27</v>
      </c>
      <c r="H3750" t="s">
        <v>27</v>
      </c>
      <c r="I3750" t="s">
        <v>31</v>
      </c>
    </row>
    <row r="3751" spans="1:9" x14ac:dyDescent="0.2">
      <c r="A3751" t="str">
        <f t="shared" si="305"/>
        <v>39326Vaipahu1846</v>
      </c>
      <c r="B3751" s="1">
        <v>39326</v>
      </c>
      <c r="C3751" t="s">
        <v>23</v>
      </c>
      <c r="D3751" s="19">
        <v>18</v>
      </c>
      <c r="E3751">
        <v>46</v>
      </c>
      <c r="F3751" t="s">
        <v>27</v>
      </c>
      <c r="G3751" t="s">
        <v>27</v>
      </c>
      <c r="H3751" t="s">
        <v>27</v>
      </c>
      <c r="I3751" t="s">
        <v>31</v>
      </c>
    </row>
    <row r="3752" spans="1:9" x14ac:dyDescent="0.2">
      <c r="A3752" t="str">
        <f t="shared" si="305"/>
        <v>39326Vaipahu1847</v>
      </c>
      <c r="B3752" s="1">
        <v>39326</v>
      </c>
      <c r="C3752" t="s">
        <v>23</v>
      </c>
      <c r="D3752" s="19">
        <v>18</v>
      </c>
      <c r="E3752">
        <v>47</v>
      </c>
      <c r="F3752" t="s">
        <v>27</v>
      </c>
      <c r="G3752" t="s">
        <v>27</v>
      </c>
      <c r="H3752" t="s">
        <v>27</v>
      </c>
      <c r="I3752" t="s">
        <v>31</v>
      </c>
    </row>
    <row r="3753" spans="1:9" x14ac:dyDescent="0.2">
      <c r="A3753" t="str">
        <f t="shared" si="305"/>
        <v>39326Vaipahu1848</v>
      </c>
      <c r="B3753" s="1">
        <v>39326</v>
      </c>
      <c r="C3753" t="s">
        <v>23</v>
      </c>
      <c r="D3753" s="19">
        <v>18</v>
      </c>
      <c r="E3753">
        <v>48</v>
      </c>
      <c r="F3753" t="s">
        <v>27</v>
      </c>
      <c r="G3753" t="s">
        <v>27</v>
      </c>
      <c r="H3753" t="s">
        <v>27</v>
      </c>
      <c r="I3753" t="s">
        <v>31</v>
      </c>
    </row>
    <row r="3754" spans="1:9" x14ac:dyDescent="0.2">
      <c r="A3754" t="str">
        <f t="shared" si="305"/>
        <v>39326Vaipahu1849</v>
      </c>
      <c r="B3754" s="1">
        <v>39326</v>
      </c>
      <c r="C3754" t="s">
        <v>23</v>
      </c>
      <c r="D3754" s="19">
        <v>18</v>
      </c>
      <c r="E3754">
        <v>49</v>
      </c>
      <c r="F3754" t="s">
        <v>27</v>
      </c>
      <c r="G3754" t="s">
        <v>27</v>
      </c>
      <c r="H3754" t="s">
        <v>27</v>
      </c>
      <c r="I3754" t="s">
        <v>31</v>
      </c>
    </row>
    <row r="3755" spans="1:9" x14ac:dyDescent="0.2">
      <c r="A3755" t="str">
        <f t="shared" si="305"/>
        <v>39326Vaipahu1850</v>
      </c>
      <c r="B3755" s="1">
        <v>39326</v>
      </c>
      <c r="C3755" t="s">
        <v>23</v>
      </c>
      <c r="D3755" s="19">
        <v>18</v>
      </c>
      <c r="E3755">
        <v>50</v>
      </c>
      <c r="F3755" t="s">
        <v>27</v>
      </c>
      <c r="G3755" t="s">
        <v>27</v>
      </c>
      <c r="H3755" t="s">
        <v>27</v>
      </c>
      <c r="I3755" t="s">
        <v>31</v>
      </c>
    </row>
    <row r="3756" spans="1:9" x14ac:dyDescent="0.2">
      <c r="A3756" t="str">
        <f t="shared" si="305"/>
        <v>39326Vaipahu1851</v>
      </c>
      <c r="B3756" s="1">
        <v>39326</v>
      </c>
      <c r="C3756" t="s">
        <v>23</v>
      </c>
      <c r="D3756" s="19">
        <v>18</v>
      </c>
      <c r="E3756">
        <v>51</v>
      </c>
      <c r="F3756" t="s">
        <v>27</v>
      </c>
      <c r="G3756" t="s">
        <v>27</v>
      </c>
      <c r="H3756" t="s">
        <v>27</v>
      </c>
      <c r="I3756" t="s">
        <v>31</v>
      </c>
    </row>
    <row r="3757" spans="1:9" x14ac:dyDescent="0.2">
      <c r="A3757" t="str">
        <f t="shared" si="305"/>
        <v>39326Vaipahu1852PocilloporidaeBords</v>
      </c>
      <c r="B3757" s="1">
        <v>39326</v>
      </c>
      <c r="C3757" t="s">
        <v>23</v>
      </c>
      <c r="D3757" s="19">
        <v>18</v>
      </c>
      <c r="E3757">
        <v>52</v>
      </c>
      <c r="F3757" t="s">
        <v>10</v>
      </c>
      <c r="G3757" t="s">
        <v>13</v>
      </c>
      <c r="H3757">
        <v>1</v>
      </c>
      <c r="I3757" t="s">
        <v>27</v>
      </c>
    </row>
    <row r="3758" spans="1:9" x14ac:dyDescent="0.2">
      <c r="A3758" t="str">
        <f t="shared" si="305"/>
        <v>39326Vaipahu1853PocilloporidaeDessous</v>
      </c>
      <c r="B3758" s="1">
        <v>39326</v>
      </c>
      <c r="C3758" t="s">
        <v>23</v>
      </c>
      <c r="D3758" s="19">
        <v>18</v>
      </c>
      <c r="E3758">
        <v>53</v>
      </c>
      <c r="F3758" t="s">
        <v>10</v>
      </c>
      <c r="G3758" t="s">
        <v>8</v>
      </c>
      <c r="H3758">
        <v>1</v>
      </c>
      <c r="I3758" t="s">
        <v>27</v>
      </c>
    </row>
    <row r="3759" spans="1:9" x14ac:dyDescent="0.2">
      <c r="A3759" t="str">
        <f t="shared" si="305"/>
        <v>39326Vaipahu1854Autres</v>
      </c>
      <c r="B3759" s="1">
        <v>39326</v>
      </c>
      <c r="C3759" t="s">
        <v>23</v>
      </c>
      <c r="D3759" s="19">
        <v>18</v>
      </c>
      <c r="E3759">
        <v>54</v>
      </c>
      <c r="F3759" t="s">
        <v>14</v>
      </c>
      <c r="H3759">
        <v>0</v>
      </c>
    </row>
    <row r="3760" spans="1:9" x14ac:dyDescent="0.2">
      <c r="A3760" t="str">
        <f t="shared" si="305"/>
        <v>39326Vaipahu1855PoritidaeDessous</v>
      </c>
      <c r="B3760" s="1">
        <v>39326</v>
      </c>
      <c r="C3760" t="s">
        <v>23</v>
      </c>
      <c r="D3760" s="19">
        <v>18</v>
      </c>
      <c r="E3760">
        <v>55</v>
      </c>
      <c r="F3760" t="s">
        <v>7</v>
      </c>
      <c r="G3760" t="s">
        <v>8</v>
      </c>
      <c r="H3760">
        <v>1</v>
      </c>
      <c r="I3760" t="s">
        <v>27</v>
      </c>
    </row>
    <row r="3761" spans="1:9" x14ac:dyDescent="0.2">
      <c r="A3761" t="str">
        <f t="shared" si="305"/>
        <v>39326Vaipahu1856Autres</v>
      </c>
      <c r="B3761" s="1">
        <v>39326</v>
      </c>
      <c r="C3761" t="s">
        <v>23</v>
      </c>
      <c r="D3761" s="19">
        <v>18</v>
      </c>
      <c r="E3761">
        <v>56</v>
      </c>
      <c r="F3761" t="s">
        <v>14</v>
      </c>
      <c r="H3761">
        <v>0</v>
      </c>
    </row>
    <row r="3762" spans="1:9" x14ac:dyDescent="0.2">
      <c r="A3762" t="str">
        <f t="shared" si="305"/>
        <v>39326Vaipahu1857Autres</v>
      </c>
      <c r="B3762" s="1">
        <v>39326</v>
      </c>
      <c r="C3762" t="s">
        <v>23</v>
      </c>
      <c r="D3762" s="19">
        <v>18</v>
      </c>
      <c r="E3762">
        <v>57</v>
      </c>
      <c r="F3762" t="s">
        <v>14</v>
      </c>
      <c r="H3762">
        <v>0</v>
      </c>
    </row>
    <row r="3763" spans="1:9" x14ac:dyDescent="0.2">
      <c r="A3763" t="str">
        <f t="shared" si="305"/>
        <v>39326Vaipahu1858Autres</v>
      </c>
      <c r="B3763" s="1">
        <v>39326</v>
      </c>
      <c r="C3763" t="s">
        <v>23</v>
      </c>
      <c r="D3763" s="19">
        <v>18</v>
      </c>
      <c r="E3763">
        <v>58</v>
      </c>
      <c r="F3763" t="s">
        <v>14</v>
      </c>
      <c r="H3763">
        <v>0</v>
      </c>
    </row>
    <row r="3764" spans="1:9" x14ac:dyDescent="0.2">
      <c r="A3764" t="str">
        <f t="shared" si="305"/>
        <v>39326Vaipahu1859PocilloporidaeBords</v>
      </c>
      <c r="B3764" s="1">
        <v>39326</v>
      </c>
      <c r="C3764" t="s">
        <v>23</v>
      </c>
      <c r="D3764" s="19">
        <v>18</v>
      </c>
      <c r="E3764">
        <v>59</v>
      </c>
      <c r="F3764" t="s">
        <v>10</v>
      </c>
      <c r="G3764" t="s">
        <v>13</v>
      </c>
      <c r="H3764">
        <v>1</v>
      </c>
      <c r="I3764" t="s">
        <v>27</v>
      </c>
    </row>
    <row r="3765" spans="1:9" x14ac:dyDescent="0.2">
      <c r="A3765" t="str">
        <f t="shared" si="305"/>
        <v>39326Vaipahu1860</v>
      </c>
      <c r="B3765" s="1">
        <v>39326</v>
      </c>
      <c r="C3765" t="s">
        <v>23</v>
      </c>
      <c r="D3765" s="19">
        <v>18</v>
      </c>
      <c r="E3765">
        <v>60</v>
      </c>
      <c r="F3765" t="s">
        <v>27</v>
      </c>
      <c r="G3765" t="s">
        <v>27</v>
      </c>
      <c r="H3765" t="s">
        <v>27</v>
      </c>
      <c r="I3765" t="s">
        <v>31</v>
      </c>
    </row>
    <row r="3766" spans="1:9" x14ac:dyDescent="0.2">
      <c r="A3766" t="str">
        <f t="shared" si="305"/>
        <v>39326Tiahura661Autres</v>
      </c>
      <c r="B3766" s="1">
        <v>39326</v>
      </c>
      <c r="C3766" t="s">
        <v>24</v>
      </c>
      <c r="D3766" s="19">
        <v>6</v>
      </c>
      <c r="E3766">
        <v>61</v>
      </c>
      <c r="F3766" t="s">
        <v>14</v>
      </c>
      <c r="H3766">
        <v>0</v>
      </c>
    </row>
    <row r="3767" spans="1:9" x14ac:dyDescent="0.2">
      <c r="A3767" t="str">
        <f t="shared" si="305"/>
        <v>39326Tiahura662Autres</v>
      </c>
      <c r="B3767" s="1">
        <v>39326</v>
      </c>
      <c r="C3767" t="s">
        <v>24</v>
      </c>
      <c r="D3767" s="19">
        <v>6</v>
      </c>
      <c r="E3767">
        <v>62</v>
      </c>
      <c r="F3767" t="s">
        <v>14</v>
      </c>
      <c r="H3767">
        <v>0</v>
      </c>
    </row>
    <row r="3768" spans="1:9" x14ac:dyDescent="0.2">
      <c r="A3768" t="str">
        <f t="shared" si="305"/>
        <v>39326Tiahura663Autres</v>
      </c>
      <c r="B3768" s="1">
        <v>39326</v>
      </c>
      <c r="C3768" t="s">
        <v>24</v>
      </c>
      <c r="D3768" s="19">
        <v>6</v>
      </c>
      <c r="E3768">
        <v>63</v>
      </c>
      <c r="F3768" t="s">
        <v>14</v>
      </c>
      <c r="H3768">
        <v>0</v>
      </c>
    </row>
    <row r="3769" spans="1:9" x14ac:dyDescent="0.2">
      <c r="A3769" t="str">
        <f t="shared" si="305"/>
        <v>39326Tiahura664AcroporidaeDessus</v>
      </c>
      <c r="B3769" s="1">
        <v>39326</v>
      </c>
      <c r="C3769" t="s">
        <v>24</v>
      </c>
      <c r="D3769" s="19">
        <v>6</v>
      </c>
      <c r="E3769">
        <v>64</v>
      </c>
      <c r="F3769" t="s">
        <v>17</v>
      </c>
      <c r="G3769" t="s">
        <v>11</v>
      </c>
      <c r="H3769">
        <v>1</v>
      </c>
      <c r="I3769" t="s">
        <v>27</v>
      </c>
    </row>
    <row r="3770" spans="1:9" x14ac:dyDescent="0.2">
      <c r="A3770" t="str">
        <f t="shared" si="305"/>
        <v>39326Tiahura665Autres</v>
      </c>
      <c r="B3770" s="1">
        <v>39326</v>
      </c>
      <c r="C3770" t="s">
        <v>24</v>
      </c>
      <c r="D3770" s="19">
        <v>6</v>
      </c>
      <c r="E3770">
        <v>65</v>
      </c>
      <c r="F3770" t="s">
        <v>14</v>
      </c>
      <c r="H3770">
        <v>0</v>
      </c>
    </row>
    <row r="3771" spans="1:9" x14ac:dyDescent="0.2">
      <c r="A3771" t="str">
        <f t="shared" si="305"/>
        <v>39326Tiahura666Autres</v>
      </c>
      <c r="B3771" s="1">
        <v>39326</v>
      </c>
      <c r="C3771" t="s">
        <v>24</v>
      </c>
      <c r="D3771" s="19">
        <v>6</v>
      </c>
      <c r="E3771">
        <v>66</v>
      </c>
      <c r="F3771" t="s">
        <v>14</v>
      </c>
      <c r="H3771">
        <v>0</v>
      </c>
    </row>
    <row r="3772" spans="1:9" x14ac:dyDescent="0.2">
      <c r="A3772" t="str">
        <f t="shared" si="305"/>
        <v>39326Tiahura667Autres</v>
      </c>
      <c r="B3772" s="1">
        <v>39326</v>
      </c>
      <c r="C3772" t="s">
        <v>24</v>
      </c>
      <c r="D3772" s="19">
        <v>6</v>
      </c>
      <c r="E3772">
        <v>67</v>
      </c>
      <c r="F3772" t="s">
        <v>14</v>
      </c>
      <c r="H3772">
        <v>0</v>
      </c>
    </row>
    <row r="3773" spans="1:9" x14ac:dyDescent="0.2">
      <c r="A3773" t="str">
        <f t="shared" si="305"/>
        <v>39326Tiahura668Autres</v>
      </c>
      <c r="B3773" s="1">
        <v>39326</v>
      </c>
      <c r="C3773" t="s">
        <v>24</v>
      </c>
      <c r="D3773" s="19">
        <v>6</v>
      </c>
      <c r="E3773">
        <v>68</v>
      </c>
      <c r="F3773" t="s">
        <v>14</v>
      </c>
      <c r="H3773">
        <v>0</v>
      </c>
    </row>
    <row r="3774" spans="1:9" x14ac:dyDescent="0.2">
      <c r="A3774" t="str">
        <f t="shared" si="305"/>
        <v>39326Tiahura669Autres</v>
      </c>
      <c r="B3774" s="1">
        <v>39326</v>
      </c>
      <c r="C3774" t="s">
        <v>24</v>
      </c>
      <c r="D3774" s="19">
        <v>6</v>
      </c>
      <c r="E3774">
        <v>69</v>
      </c>
      <c r="F3774" t="s">
        <v>14</v>
      </c>
      <c r="H3774">
        <v>0</v>
      </c>
    </row>
    <row r="3775" spans="1:9" x14ac:dyDescent="0.2">
      <c r="A3775" t="str">
        <f t="shared" ref="A3775:A3838" si="306">B3775 &amp; C3775&amp; D3775&amp; E3775 &amp; F3775 &amp;G3775</f>
        <v>39326Tiahura670AcroporidaeDessous</v>
      </c>
      <c r="B3775" s="1">
        <v>39326</v>
      </c>
      <c r="C3775" t="s">
        <v>24</v>
      </c>
      <c r="D3775" s="19">
        <v>6</v>
      </c>
      <c r="E3775">
        <v>70</v>
      </c>
      <c r="F3775" t="s">
        <v>17</v>
      </c>
      <c r="G3775" t="s">
        <v>8</v>
      </c>
      <c r="H3775">
        <v>1</v>
      </c>
      <c r="I3775" t="s">
        <v>27</v>
      </c>
    </row>
    <row r="3776" spans="1:9" x14ac:dyDescent="0.2">
      <c r="A3776" t="str">
        <f t="shared" si="306"/>
        <v>39326Tiahura671</v>
      </c>
      <c r="B3776" s="1">
        <v>39326</v>
      </c>
      <c r="C3776" t="s">
        <v>24</v>
      </c>
      <c r="D3776" s="19">
        <v>6</v>
      </c>
      <c r="E3776">
        <v>71</v>
      </c>
      <c r="F3776" t="s">
        <v>27</v>
      </c>
      <c r="G3776" t="s">
        <v>27</v>
      </c>
      <c r="H3776" t="s">
        <v>27</v>
      </c>
      <c r="I3776" t="s">
        <v>31</v>
      </c>
    </row>
    <row r="3777" spans="1:9" x14ac:dyDescent="0.2">
      <c r="A3777" t="str">
        <f t="shared" si="306"/>
        <v>39326Tiahura672</v>
      </c>
      <c r="B3777" s="1">
        <v>39326</v>
      </c>
      <c r="C3777" t="s">
        <v>24</v>
      </c>
      <c r="D3777" s="19">
        <v>6</v>
      </c>
      <c r="E3777">
        <v>72</v>
      </c>
      <c r="F3777" t="s">
        <v>27</v>
      </c>
      <c r="G3777" t="s">
        <v>27</v>
      </c>
      <c r="H3777" t="s">
        <v>27</v>
      </c>
      <c r="I3777" t="s">
        <v>31</v>
      </c>
    </row>
    <row r="3778" spans="1:9" x14ac:dyDescent="0.2">
      <c r="A3778" t="str">
        <f t="shared" si="306"/>
        <v>39326Tiahura673</v>
      </c>
      <c r="B3778" s="1">
        <v>39326</v>
      </c>
      <c r="C3778" t="s">
        <v>24</v>
      </c>
      <c r="D3778" s="19">
        <v>6</v>
      </c>
      <c r="E3778">
        <v>73</v>
      </c>
      <c r="F3778" t="s">
        <v>27</v>
      </c>
      <c r="G3778" t="s">
        <v>27</v>
      </c>
      <c r="H3778" t="s">
        <v>27</v>
      </c>
      <c r="I3778" t="s">
        <v>31</v>
      </c>
    </row>
    <row r="3779" spans="1:9" x14ac:dyDescent="0.2">
      <c r="A3779" t="str">
        <f t="shared" si="306"/>
        <v>39326Tiahura674</v>
      </c>
      <c r="B3779" s="1">
        <v>39326</v>
      </c>
      <c r="C3779" t="s">
        <v>24</v>
      </c>
      <c r="D3779" s="19">
        <v>6</v>
      </c>
      <c r="E3779">
        <v>74</v>
      </c>
      <c r="F3779" t="s">
        <v>27</v>
      </c>
      <c r="G3779" t="s">
        <v>27</v>
      </c>
      <c r="H3779" t="s">
        <v>27</v>
      </c>
      <c r="I3779" t="s">
        <v>31</v>
      </c>
    </row>
    <row r="3780" spans="1:9" x14ac:dyDescent="0.2">
      <c r="A3780" t="str">
        <f t="shared" si="306"/>
        <v>39326Tiahura675</v>
      </c>
      <c r="B3780" s="1">
        <v>39326</v>
      </c>
      <c r="C3780" t="s">
        <v>24</v>
      </c>
      <c r="D3780" s="19">
        <v>6</v>
      </c>
      <c r="E3780">
        <v>75</v>
      </c>
      <c r="F3780" t="s">
        <v>27</v>
      </c>
      <c r="G3780" t="s">
        <v>27</v>
      </c>
      <c r="H3780" t="s">
        <v>27</v>
      </c>
      <c r="I3780" t="s">
        <v>31</v>
      </c>
    </row>
    <row r="3781" spans="1:9" x14ac:dyDescent="0.2">
      <c r="A3781" t="str">
        <f t="shared" si="306"/>
        <v>39326Tiahura676</v>
      </c>
      <c r="B3781" s="1">
        <v>39326</v>
      </c>
      <c r="C3781" t="s">
        <v>24</v>
      </c>
      <c r="D3781" s="19">
        <v>6</v>
      </c>
      <c r="E3781">
        <v>76</v>
      </c>
      <c r="F3781" t="s">
        <v>27</v>
      </c>
      <c r="G3781" t="s">
        <v>27</v>
      </c>
      <c r="H3781" t="s">
        <v>27</v>
      </c>
      <c r="I3781" t="s">
        <v>30</v>
      </c>
    </row>
    <row r="3782" spans="1:9" x14ac:dyDescent="0.2">
      <c r="A3782" t="str">
        <f t="shared" si="306"/>
        <v>39326Tiahura677</v>
      </c>
      <c r="B3782" s="1">
        <v>39326</v>
      </c>
      <c r="C3782" t="s">
        <v>24</v>
      </c>
      <c r="D3782" s="19">
        <v>6</v>
      </c>
      <c r="E3782">
        <v>77</v>
      </c>
      <c r="F3782" t="s">
        <v>27</v>
      </c>
      <c r="G3782" t="s">
        <v>27</v>
      </c>
      <c r="H3782" t="s">
        <v>27</v>
      </c>
      <c r="I3782" t="s">
        <v>31</v>
      </c>
    </row>
    <row r="3783" spans="1:9" x14ac:dyDescent="0.2">
      <c r="A3783" t="str">
        <f t="shared" si="306"/>
        <v>39326Tiahura678</v>
      </c>
      <c r="B3783" s="1">
        <v>39326</v>
      </c>
      <c r="C3783" t="s">
        <v>24</v>
      </c>
      <c r="D3783" s="19">
        <v>6</v>
      </c>
      <c r="E3783">
        <v>78</v>
      </c>
      <c r="F3783" t="s">
        <v>27</v>
      </c>
      <c r="G3783" t="s">
        <v>27</v>
      </c>
      <c r="H3783" t="s">
        <v>27</v>
      </c>
      <c r="I3783" t="s">
        <v>31</v>
      </c>
    </row>
    <row r="3784" spans="1:9" x14ac:dyDescent="0.2">
      <c r="A3784" t="str">
        <f t="shared" si="306"/>
        <v>39326Tiahura679</v>
      </c>
      <c r="B3784" s="1">
        <v>39326</v>
      </c>
      <c r="C3784" t="s">
        <v>24</v>
      </c>
      <c r="D3784" s="19">
        <v>6</v>
      </c>
      <c r="E3784">
        <v>79</v>
      </c>
      <c r="F3784" t="s">
        <v>27</v>
      </c>
      <c r="G3784" t="s">
        <v>27</v>
      </c>
      <c r="H3784" t="s">
        <v>27</v>
      </c>
      <c r="I3784" t="s">
        <v>31</v>
      </c>
    </row>
    <row r="3785" spans="1:9" x14ac:dyDescent="0.2">
      <c r="A3785" t="str">
        <f t="shared" si="306"/>
        <v>39326Tiahura680</v>
      </c>
      <c r="B3785" s="1">
        <v>39326</v>
      </c>
      <c r="C3785" t="s">
        <v>24</v>
      </c>
      <c r="D3785" s="19">
        <v>6</v>
      </c>
      <c r="E3785">
        <v>80</v>
      </c>
      <c r="F3785" t="s">
        <v>27</v>
      </c>
      <c r="G3785" t="s">
        <v>27</v>
      </c>
      <c r="H3785" t="s">
        <v>27</v>
      </c>
      <c r="I3785" t="s">
        <v>31</v>
      </c>
    </row>
    <row r="3786" spans="1:9" x14ac:dyDescent="0.2">
      <c r="A3786" t="str">
        <f t="shared" si="306"/>
        <v>39326Tiahura1281Autres</v>
      </c>
      <c r="B3786" s="1">
        <v>39326</v>
      </c>
      <c r="C3786" t="s">
        <v>24</v>
      </c>
      <c r="D3786" s="19">
        <v>12</v>
      </c>
      <c r="E3786">
        <v>81</v>
      </c>
      <c r="F3786" t="s">
        <v>14</v>
      </c>
      <c r="H3786">
        <v>0</v>
      </c>
    </row>
    <row r="3787" spans="1:9" x14ac:dyDescent="0.2">
      <c r="A3787" t="str">
        <f t="shared" si="306"/>
        <v>39326Tiahura1282Autres</v>
      </c>
      <c r="B3787" s="1">
        <v>39326</v>
      </c>
      <c r="C3787" t="s">
        <v>24</v>
      </c>
      <c r="D3787" s="19">
        <v>12</v>
      </c>
      <c r="E3787">
        <v>82</v>
      </c>
      <c r="F3787" t="s">
        <v>14</v>
      </c>
      <c r="H3787">
        <v>0</v>
      </c>
    </row>
    <row r="3788" spans="1:9" x14ac:dyDescent="0.2">
      <c r="A3788" t="str">
        <f t="shared" si="306"/>
        <v>39326Tiahura1283Autres</v>
      </c>
      <c r="B3788" s="1">
        <v>39326</v>
      </c>
      <c r="C3788" t="s">
        <v>24</v>
      </c>
      <c r="D3788" s="19">
        <v>12</v>
      </c>
      <c r="E3788">
        <v>83</v>
      </c>
      <c r="F3788" t="s">
        <v>14</v>
      </c>
      <c r="H3788">
        <v>0</v>
      </c>
    </row>
    <row r="3789" spans="1:9" x14ac:dyDescent="0.2">
      <c r="A3789" t="str">
        <f t="shared" si="306"/>
        <v>39326Tiahura1284Autres</v>
      </c>
      <c r="B3789" s="1">
        <v>39326</v>
      </c>
      <c r="C3789" t="s">
        <v>24</v>
      </c>
      <c r="D3789" s="19">
        <v>12</v>
      </c>
      <c r="E3789">
        <v>84</v>
      </c>
      <c r="F3789" t="s">
        <v>14</v>
      </c>
      <c r="H3789">
        <v>0</v>
      </c>
    </row>
    <row r="3790" spans="1:9" x14ac:dyDescent="0.2">
      <c r="A3790" t="str">
        <f t="shared" si="306"/>
        <v>39326Tiahura1285Autres</v>
      </c>
      <c r="B3790" s="1">
        <v>39326</v>
      </c>
      <c r="C3790" t="s">
        <v>24</v>
      </c>
      <c r="D3790" s="19">
        <v>12</v>
      </c>
      <c r="E3790">
        <v>85</v>
      </c>
      <c r="F3790" t="s">
        <v>14</v>
      </c>
      <c r="H3790">
        <v>0</v>
      </c>
    </row>
    <row r="3791" spans="1:9" x14ac:dyDescent="0.2">
      <c r="A3791" t="str">
        <f t="shared" si="306"/>
        <v>39326Tiahura1286PocilloporidaeDessous</v>
      </c>
      <c r="B3791" s="1">
        <v>39326</v>
      </c>
      <c r="C3791" t="s">
        <v>24</v>
      </c>
      <c r="D3791" s="19">
        <v>12</v>
      </c>
      <c r="E3791">
        <v>86</v>
      </c>
      <c r="F3791" t="s">
        <v>10</v>
      </c>
      <c r="G3791" t="s">
        <v>8</v>
      </c>
      <c r="H3791">
        <v>1</v>
      </c>
      <c r="I3791" t="s">
        <v>27</v>
      </c>
    </row>
    <row r="3792" spans="1:9" x14ac:dyDescent="0.2">
      <c r="A3792" t="str">
        <f t="shared" si="306"/>
        <v>39326Tiahura1287PocilloporidaeDessus</v>
      </c>
      <c r="B3792" s="1">
        <v>39326</v>
      </c>
      <c r="C3792" t="s">
        <v>24</v>
      </c>
      <c r="D3792" s="19">
        <v>12</v>
      </c>
      <c r="E3792">
        <v>87</v>
      </c>
      <c r="F3792" t="s">
        <v>10</v>
      </c>
      <c r="G3792" t="s">
        <v>11</v>
      </c>
      <c r="H3792">
        <v>1</v>
      </c>
      <c r="I3792" t="s">
        <v>27</v>
      </c>
    </row>
    <row r="3793" spans="1:9" x14ac:dyDescent="0.2">
      <c r="A3793" t="str">
        <f t="shared" si="306"/>
        <v>39326Tiahura1288Autres</v>
      </c>
      <c r="B3793" s="1">
        <v>39326</v>
      </c>
      <c r="C3793" t="s">
        <v>24</v>
      </c>
      <c r="D3793" s="19">
        <v>12</v>
      </c>
      <c r="E3793">
        <v>88</v>
      </c>
      <c r="F3793" t="s">
        <v>14</v>
      </c>
      <c r="H3793">
        <v>0</v>
      </c>
    </row>
    <row r="3794" spans="1:9" x14ac:dyDescent="0.2">
      <c r="A3794" t="str">
        <f t="shared" si="306"/>
        <v>39326Tiahura1289Autres</v>
      </c>
      <c r="B3794" s="1">
        <v>39326</v>
      </c>
      <c r="C3794" t="s">
        <v>24</v>
      </c>
      <c r="D3794" s="19">
        <v>12</v>
      </c>
      <c r="E3794">
        <v>89</v>
      </c>
      <c r="F3794" t="s">
        <v>14</v>
      </c>
      <c r="H3794">
        <v>0</v>
      </c>
    </row>
    <row r="3795" spans="1:9" x14ac:dyDescent="0.2">
      <c r="A3795" t="str">
        <f t="shared" si="306"/>
        <v>39326Tiahura1290Autres</v>
      </c>
      <c r="B3795" s="1">
        <v>39326</v>
      </c>
      <c r="C3795" t="s">
        <v>24</v>
      </c>
      <c r="D3795" s="19">
        <v>12</v>
      </c>
      <c r="E3795">
        <v>90</v>
      </c>
      <c r="F3795" t="s">
        <v>14</v>
      </c>
      <c r="H3795">
        <v>0</v>
      </c>
    </row>
    <row r="3796" spans="1:9" x14ac:dyDescent="0.2">
      <c r="A3796" t="str">
        <f t="shared" si="306"/>
        <v>39326Tiahura1291</v>
      </c>
      <c r="B3796" s="1">
        <v>39326</v>
      </c>
      <c r="C3796" t="s">
        <v>24</v>
      </c>
      <c r="D3796" s="19">
        <v>12</v>
      </c>
      <c r="E3796">
        <v>91</v>
      </c>
      <c r="F3796" t="s">
        <v>27</v>
      </c>
      <c r="G3796" t="s">
        <v>27</v>
      </c>
      <c r="H3796" t="s">
        <v>27</v>
      </c>
      <c r="I3796" t="s">
        <v>31</v>
      </c>
    </row>
    <row r="3797" spans="1:9" x14ac:dyDescent="0.2">
      <c r="A3797" t="str">
        <f t="shared" si="306"/>
        <v>39326Tiahura1292</v>
      </c>
      <c r="B3797" s="1">
        <v>39326</v>
      </c>
      <c r="C3797" t="s">
        <v>24</v>
      </c>
      <c r="D3797" s="19">
        <v>12</v>
      </c>
      <c r="E3797">
        <v>92</v>
      </c>
      <c r="F3797" t="s">
        <v>27</v>
      </c>
      <c r="G3797" t="s">
        <v>27</v>
      </c>
      <c r="H3797" t="s">
        <v>27</v>
      </c>
      <c r="I3797" t="s">
        <v>31</v>
      </c>
    </row>
    <row r="3798" spans="1:9" x14ac:dyDescent="0.2">
      <c r="A3798" t="str">
        <f t="shared" si="306"/>
        <v>39326Tiahura1293</v>
      </c>
      <c r="B3798" s="1">
        <v>39326</v>
      </c>
      <c r="C3798" t="s">
        <v>24</v>
      </c>
      <c r="D3798" s="19">
        <v>12</v>
      </c>
      <c r="E3798">
        <v>93</v>
      </c>
      <c r="F3798" t="s">
        <v>27</v>
      </c>
      <c r="G3798" t="s">
        <v>27</v>
      </c>
      <c r="H3798" t="s">
        <v>27</v>
      </c>
      <c r="I3798" t="s">
        <v>31</v>
      </c>
    </row>
    <row r="3799" spans="1:9" x14ac:dyDescent="0.2">
      <c r="A3799" t="str">
        <f t="shared" si="306"/>
        <v>39326Tiahura1294</v>
      </c>
      <c r="B3799" s="1">
        <v>39326</v>
      </c>
      <c r="C3799" t="s">
        <v>24</v>
      </c>
      <c r="D3799" s="19">
        <v>12</v>
      </c>
      <c r="E3799">
        <v>94</v>
      </c>
      <c r="F3799" t="s">
        <v>27</v>
      </c>
      <c r="G3799" t="s">
        <v>27</v>
      </c>
      <c r="H3799" t="s">
        <v>27</v>
      </c>
      <c r="I3799" t="s">
        <v>31</v>
      </c>
    </row>
    <row r="3800" spans="1:9" x14ac:dyDescent="0.2">
      <c r="A3800" t="str">
        <f t="shared" si="306"/>
        <v>39326Tiahura1295</v>
      </c>
      <c r="B3800" s="1">
        <v>39326</v>
      </c>
      <c r="C3800" t="s">
        <v>24</v>
      </c>
      <c r="D3800" s="19">
        <v>12</v>
      </c>
      <c r="E3800">
        <v>95</v>
      </c>
      <c r="F3800" t="s">
        <v>27</v>
      </c>
      <c r="G3800" t="s">
        <v>27</v>
      </c>
      <c r="H3800" t="s">
        <v>27</v>
      </c>
      <c r="I3800" t="s">
        <v>31</v>
      </c>
    </row>
    <row r="3801" spans="1:9" x14ac:dyDescent="0.2">
      <c r="A3801" t="str">
        <f t="shared" si="306"/>
        <v>39326Tiahura1296</v>
      </c>
      <c r="B3801" s="1">
        <v>39326</v>
      </c>
      <c r="C3801" t="s">
        <v>24</v>
      </c>
      <c r="D3801" s="19">
        <v>12</v>
      </c>
      <c r="E3801">
        <v>96</v>
      </c>
      <c r="F3801" t="s">
        <v>27</v>
      </c>
      <c r="G3801" t="s">
        <v>27</v>
      </c>
      <c r="H3801" t="s">
        <v>27</v>
      </c>
      <c r="I3801" t="s">
        <v>30</v>
      </c>
    </row>
    <row r="3802" spans="1:9" x14ac:dyDescent="0.2">
      <c r="A3802" t="str">
        <f t="shared" si="306"/>
        <v>39326Tiahura1297</v>
      </c>
      <c r="B3802" s="1">
        <v>39326</v>
      </c>
      <c r="C3802" t="s">
        <v>24</v>
      </c>
      <c r="D3802" s="19">
        <v>12</v>
      </c>
      <c r="E3802">
        <v>97</v>
      </c>
      <c r="F3802" t="s">
        <v>27</v>
      </c>
      <c r="G3802" t="s">
        <v>27</v>
      </c>
      <c r="H3802" t="s">
        <v>27</v>
      </c>
      <c r="I3802" t="s">
        <v>31</v>
      </c>
    </row>
    <row r="3803" spans="1:9" x14ac:dyDescent="0.2">
      <c r="A3803" t="str">
        <f t="shared" si="306"/>
        <v>39326Tiahura1298</v>
      </c>
      <c r="B3803" s="1">
        <v>39326</v>
      </c>
      <c r="C3803" t="s">
        <v>24</v>
      </c>
      <c r="D3803" s="19">
        <v>12</v>
      </c>
      <c r="E3803">
        <v>98</v>
      </c>
      <c r="F3803" t="s">
        <v>27</v>
      </c>
      <c r="G3803" t="s">
        <v>27</v>
      </c>
      <c r="H3803" t="s">
        <v>27</v>
      </c>
      <c r="I3803" t="s">
        <v>31</v>
      </c>
    </row>
    <row r="3804" spans="1:9" x14ac:dyDescent="0.2">
      <c r="A3804" t="str">
        <f t="shared" si="306"/>
        <v>39326Tiahura1299</v>
      </c>
      <c r="B3804" s="1">
        <v>39326</v>
      </c>
      <c r="C3804" t="s">
        <v>24</v>
      </c>
      <c r="D3804" s="19">
        <v>12</v>
      </c>
      <c r="E3804">
        <v>99</v>
      </c>
      <c r="F3804" t="s">
        <v>27</v>
      </c>
      <c r="G3804" t="s">
        <v>27</v>
      </c>
      <c r="H3804" t="s">
        <v>27</v>
      </c>
      <c r="I3804" t="s">
        <v>31</v>
      </c>
    </row>
    <row r="3805" spans="1:9" x14ac:dyDescent="0.2">
      <c r="A3805" t="str">
        <f t="shared" si="306"/>
        <v>39326Tiahura12100</v>
      </c>
      <c r="B3805" s="1">
        <v>39326</v>
      </c>
      <c r="C3805" t="s">
        <v>24</v>
      </c>
      <c r="D3805" s="19">
        <v>12</v>
      </c>
      <c r="E3805">
        <v>100</v>
      </c>
      <c r="F3805" t="s">
        <v>27</v>
      </c>
      <c r="G3805" t="s">
        <v>27</v>
      </c>
      <c r="H3805" t="s">
        <v>27</v>
      </c>
      <c r="I3805" t="s">
        <v>31</v>
      </c>
    </row>
    <row r="3806" spans="1:9" x14ac:dyDescent="0.2">
      <c r="A3806" t="str">
        <f t="shared" si="306"/>
        <v>39326Tiahura18101</v>
      </c>
      <c r="B3806" s="1">
        <v>39326</v>
      </c>
      <c r="C3806" t="s">
        <v>24</v>
      </c>
      <c r="D3806" s="19">
        <v>18</v>
      </c>
      <c r="E3806">
        <v>101</v>
      </c>
    </row>
    <row r="3807" spans="1:9" x14ac:dyDescent="0.2">
      <c r="A3807" t="str">
        <f t="shared" si="306"/>
        <v>39326Tiahura18102</v>
      </c>
      <c r="B3807" s="1">
        <v>39326</v>
      </c>
      <c r="C3807" t="s">
        <v>24</v>
      </c>
      <c r="D3807" s="19">
        <v>18</v>
      </c>
      <c r="E3807">
        <v>102</v>
      </c>
    </row>
    <row r="3808" spans="1:9" x14ac:dyDescent="0.2">
      <c r="A3808" t="str">
        <f t="shared" si="306"/>
        <v>39326Tiahura18103PocilloporidaeBords</v>
      </c>
      <c r="B3808" s="1">
        <v>39326</v>
      </c>
      <c r="C3808" t="s">
        <v>24</v>
      </c>
      <c r="D3808" s="19">
        <v>18</v>
      </c>
      <c r="E3808">
        <v>103</v>
      </c>
      <c r="F3808" t="s">
        <v>10</v>
      </c>
      <c r="G3808" t="s">
        <v>13</v>
      </c>
      <c r="H3808">
        <v>1</v>
      </c>
      <c r="I3808" t="s">
        <v>27</v>
      </c>
    </row>
    <row r="3809" spans="1:9" x14ac:dyDescent="0.2">
      <c r="A3809" t="str">
        <f t="shared" si="306"/>
        <v>39326Tiahura18104Autres</v>
      </c>
      <c r="B3809" s="1">
        <v>39326</v>
      </c>
      <c r="C3809" t="s">
        <v>24</v>
      </c>
      <c r="D3809" s="19">
        <v>18</v>
      </c>
      <c r="E3809">
        <v>104</v>
      </c>
      <c r="F3809" t="s">
        <v>14</v>
      </c>
      <c r="H3809">
        <v>0</v>
      </c>
    </row>
    <row r="3810" spans="1:9" x14ac:dyDescent="0.2">
      <c r="A3810" t="str">
        <f t="shared" si="306"/>
        <v>39326Tiahura18105Autres</v>
      </c>
      <c r="B3810" s="1">
        <v>39326</v>
      </c>
      <c r="C3810" t="s">
        <v>24</v>
      </c>
      <c r="D3810" s="19">
        <v>18</v>
      </c>
      <c r="E3810">
        <v>105</v>
      </c>
      <c r="F3810" t="s">
        <v>14</v>
      </c>
      <c r="H3810">
        <v>0</v>
      </c>
    </row>
    <row r="3811" spans="1:9" x14ac:dyDescent="0.2">
      <c r="A3811" t="str">
        <f t="shared" si="306"/>
        <v>39326Tiahura18106Autres</v>
      </c>
      <c r="B3811" s="1">
        <v>39326</v>
      </c>
      <c r="C3811" t="s">
        <v>24</v>
      </c>
      <c r="D3811" s="19">
        <v>18</v>
      </c>
      <c r="E3811">
        <v>106</v>
      </c>
      <c r="F3811" t="s">
        <v>14</v>
      </c>
      <c r="H3811">
        <v>0</v>
      </c>
    </row>
    <row r="3812" spans="1:9" x14ac:dyDescent="0.2">
      <c r="A3812" t="str">
        <f t="shared" si="306"/>
        <v>39326Tiahura18107Autres</v>
      </c>
      <c r="B3812" s="1">
        <v>39326</v>
      </c>
      <c r="C3812" t="s">
        <v>24</v>
      </c>
      <c r="D3812" s="19">
        <v>18</v>
      </c>
      <c r="E3812">
        <v>107</v>
      </c>
      <c r="F3812" t="s">
        <v>14</v>
      </c>
      <c r="H3812">
        <v>0</v>
      </c>
    </row>
    <row r="3813" spans="1:9" x14ac:dyDescent="0.2">
      <c r="A3813" t="str">
        <f t="shared" si="306"/>
        <v>39326Tiahura18108Autres</v>
      </c>
      <c r="B3813" s="1">
        <v>39326</v>
      </c>
      <c r="C3813" t="s">
        <v>24</v>
      </c>
      <c r="D3813" s="19">
        <v>18</v>
      </c>
      <c r="E3813">
        <v>108</v>
      </c>
      <c r="F3813" t="s">
        <v>14</v>
      </c>
      <c r="H3813">
        <v>0</v>
      </c>
    </row>
    <row r="3814" spans="1:9" x14ac:dyDescent="0.2">
      <c r="A3814" t="str">
        <f t="shared" si="306"/>
        <v>39326Tiahura18109PoritidaeDessous</v>
      </c>
      <c r="B3814" s="1">
        <v>39326</v>
      </c>
      <c r="C3814" t="s">
        <v>24</v>
      </c>
      <c r="D3814" s="19">
        <v>18</v>
      </c>
      <c r="E3814">
        <v>109</v>
      </c>
      <c r="F3814" t="s">
        <v>7</v>
      </c>
      <c r="G3814" t="s">
        <v>8</v>
      </c>
      <c r="H3814">
        <v>1</v>
      </c>
      <c r="I3814" t="s">
        <v>27</v>
      </c>
    </row>
    <row r="3815" spans="1:9" x14ac:dyDescent="0.2">
      <c r="A3815" t="str">
        <f t="shared" si="306"/>
        <v>39326Tiahura18110Autres</v>
      </c>
      <c r="B3815" s="1">
        <v>39326</v>
      </c>
      <c r="C3815" t="s">
        <v>24</v>
      </c>
      <c r="D3815" s="19">
        <v>18</v>
      </c>
      <c r="E3815">
        <v>110</v>
      </c>
      <c r="F3815" t="s">
        <v>14</v>
      </c>
      <c r="H3815">
        <v>0</v>
      </c>
    </row>
    <row r="3816" spans="1:9" x14ac:dyDescent="0.2">
      <c r="A3816" t="str">
        <f t="shared" si="306"/>
        <v>39326Tiahura18111</v>
      </c>
      <c r="B3816" s="1">
        <v>39326</v>
      </c>
      <c r="C3816" t="s">
        <v>24</v>
      </c>
      <c r="D3816" s="19">
        <v>18</v>
      </c>
      <c r="E3816">
        <v>111</v>
      </c>
      <c r="F3816" t="s">
        <v>27</v>
      </c>
      <c r="G3816" t="s">
        <v>27</v>
      </c>
      <c r="H3816" t="s">
        <v>27</v>
      </c>
      <c r="I3816" t="s">
        <v>31</v>
      </c>
    </row>
    <row r="3817" spans="1:9" x14ac:dyDescent="0.2">
      <c r="A3817" t="str">
        <f t="shared" si="306"/>
        <v>39326Tiahura18112</v>
      </c>
      <c r="B3817" s="1">
        <v>39326</v>
      </c>
      <c r="C3817" t="s">
        <v>24</v>
      </c>
      <c r="D3817" s="19">
        <v>18</v>
      </c>
      <c r="E3817">
        <v>112</v>
      </c>
      <c r="F3817" t="s">
        <v>27</v>
      </c>
      <c r="G3817" t="s">
        <v>27</v>
      </c>
      <c r="H3817" t="s">
        <v>27</v>
      </c>
      <c r="I3817" t="s">
        <v>31</v>
      </c>
    </row>
    <row r="3818" spans="1:9" x14ac:dyDescent="0.2">
      <c r="A3818" t="str">
        <f t="shared" si="306"/>
        <v>39326Tiahura18113</v>
      </c>
      <c r="B3818" s="1">
        <v>39326</v>
      </c>
      <c r="C3818" t="s">
        <v>24</v>
      </c>
      <c r="D3818" s="19">
        <v>18</v>
      </c>
      <c r="E3818">
        <v>113</v>
      </c>
      <c r="F3818" t="s">
        <v>27</v>
      </c>
      <c r="G3818" t="s">
        <v>27</v>
      </c>
      <c r="H3818" t="s">
        <v>27</v>
      </c>
      <c r="I3818" t="s">
        <v>31</v>
      </c>
    </row>
    <row r="3819" spans="1:9" x14ac:dyDescent="0.2">
      <c r="A3819" t="str">
        <f t="shared" si="306"/>
        <v>39326Tiahura18114</v>
      </c>
      <c r="B3819" s="1">
        <v>39326</v>
      </c>
      <c r="C3819" t="s">
        <v>24</v>
      </c>
      <c r="D3819" s="19">
        <v>18</v>
      </c>
      <c r="E3819">
        <v>114</v>
      </c>
      <c r="F3819" t="s">
        <v>27</v>
      </c>
      <c r="G3819" t="s">
        <v>27</v>
      </c>
      <c r="H3819" t="s">
        <v>27</v>
      </c>
      <c r="I3819" t="s">
        <v>31</v>
      </c>
    </row>
    <row r="3820" spans="1:9" x14ac:dyDescent="0.2">
      <c r="A3820" t="str">
        <f t="shared" si="306"/>
        <v>39326Tiahura18115</v>
      </c>
      <c r="B3820" s="1">
        <v>39326</v>
      </c>
      <c r="C3820" t="s">
        <v>24</v>
      </c>
      <c r="D3820" s="19">
        <v>18</v>
      </c>
      <c r="E3820">
        <v>115</v>
      </c>
      <c r="F3820" t="s">
        <v>27</v>
      </c>
      <c r="G3820" t="s">
        <v>27</v>
      </c>
      <c r="H3820" t="s">
        <v>27</v>
      </c>
      <c r="I3820" t="s">
        <v>31</v>
      </c>
    </row>
    <row r="3821" spans="1:9" x14ac:dyDescent="0.2">
      <c r="A3821" t="str">
        <f t="shared" si="306"/>
        <v>39326Tiahura18116</v>
      </c>
      <c r="B3821" s="1">
        <v>39326</v>
      </c>
      <c r="C3821" t="s">
        <v>24</v>
      </c>
      <c r="D3821" s="19">
        <v>18</v>
      </c>
      <c r="E3821">
        <v>116</v>
      </c>
      <c r="F3821" t="s">
        <v>27</v>
      </c>
      <c r="G3821" t="s">
        <v>27</v>
      </c>
      <c r="H3821" t="s">
        <v>27</v>
      </c>
      <c r="I3821" t="s">
        <v>31</v>
      </c>
    </row>
    <row r="3822" spans="1:9" x14ac:dyDescent="0.2">
      <c r="A3822" t="str">
        <f t="shared" si="306"/>
        <v>39326Tiahura18117</v>
      </c>
      <c r="B3822" s="1">
        <v>39326</v>
      </c>
      <c r="C3822" t="s">
        <v>24</v>
      </c>
      <c r="D3822" s="19">
        <v>18</v>
      </c>
      <c r="E3822">
        <v>117</v>
      </c>
      <c r="F3822" t="s">
        <v>27</v>
      </c>
      <c r="G3822" t="s">
        <v>27</v>
      </c>
      <c r="H3822" t="s">
        <v>27</v>
      </c>
      <c r="I3822" t="s">
        <v>31</v>
      </c>
    </row>
    <row r="3823" spans="1:9" x14ac:dyDescent="0.2">
      <c r="A3823" t="str">
        <f t="shared" si="306"/>
        <v>39326Tiahura18118</v>
      </c>
      <c r="B3823" s="1">
        <v>39326</v>
      </c>
      <c r="C3823" t="s">
        <v>24</v>
      </c>
      <c r="D3823" s="19">
        <v>18</v>
      </c>
      <c r="E3823">
        <v>118</v>
      </c>
      <c r="F3823" t="s">
        <v>27</v>
      </c>
      <c r="G3823" t="s">
        <v>27</v>
      </c>
      <c r="H3823" t="s">
        <v>27</v>
      </c>
      <c r="I3823" t="s">
        <v>31</v>
      </c>
    </row>
    <row r="3824" spans="1:9" x14ac:dyDescent="0.2">
      <c r="A3824" t="str">
        <f t="shared" si="306"/>
        <v>39326Tiahura18119</v>
      </c>
      <c r="B3824" s="1">
        <v>39326</v>
      </c>
      <c r="C3824" t="s">
        <v>24</v>
      </c>
      <c r="D3824" s="19">
        <v>18</v>
      </c>
      <c r="E3824">
        <v>119</v>
      </c>
      <c r="F3824" t="s">
        <v>27</v>
      </c>
      <c r="G3824" t="s">
        <v>27</v>
      </c>
      <c r="H3824" t="s">
        <v>27</v>
      </c>
      <c r="I3824" t="s">
        <v>31</v>
      </c>
    </row>
    <row r="3825" spans="1:9" x14ac:dyDescent="0.2">
      <c r="A3825" t="str">
        <f t="shared" si="306"/>
        <v>39326Tiahura18120</v>
      </c>
      <c r="B3825" s="1">
        <v>39326</v>
      </c>
      <c r="C3825" t="s">
        <v>24</v>
      </c>
      <c r="D3825" s="19">
        <v>18</v>
      </c>
      <c r="E3825">
        <v>120</v>
      </c>
      <c r="F3825" t="s">
        <v>27</v>
      </c>
      <c r="G3825" t="s">
        <v>27</v>
      </c>
      <c r="H3825" t="s">
        <v>27</v>
      </c>
      <c r="I3825" t="s">
        <v>31</v>
      </c>
    </row>
    <row r="3826" spans="1:9" x14ac:dyDescent="0.2">
      <c r="A3826" t="str">
        <f t="shared" si="306"/>
        <v>39326Haapiti6121</v>
      </c>
      <c r="B3826" s="1">
        <v>39326</v>
      </c>
      <c r="C3826" t="s">
        <v>25</v>
      </c>
      <c r="D3826" s="19">
        <v>6</v>
      </c>
      <c r="E3826">
        <v>121</v>
      </c>
      <c r="F3826" t="s">
        <v>27</v>
      </c>
      <c r="G3826" t="s">
        <v>27</v>
      </c>
      <c r="H3826" t="s">
        <v>27</v>
      </c>
      <c r="I3826" t="s">
        <v>31</v>
      </c>
    </row>
    <row r="3827" spans="1:9" x14ac:dyDescent="0.2">
      <c r="A3827" t="str">
        <f t="shared" si="306"/>
        <v>39326Haapiti6122</v>
      </c>
      <c r="B3827" s="1">
        <v>39326</v>
      </c>
      <c r="C3827" t="s">
        <v>25</v>
      </c>
      <c r="D3827" s="19">
        <v>6</v>
      </c>
      <c r="E3827">
        <v>122</v>
      </c>
      <c r="F3827" t="s">
        <v>27</v>
      </c>
      <c r="G3827" t="s">
        <v>27</v>
      </c>
      <c r="H3827" t="s">
        <v>27</v>
      </c>
      <c r="I3827" t="s">
        <v>31</v>
      </c>
    </row>
    <row r="3828" spans="1:9" x14ac:dyDescent="0.2">
      <c r="A3828" t="str">
        <f t="shared" si="306"/>
        <v>39326Haapiti6123AcroporidaeDessous</v>
      </c>
      <c r="B3828" s="1">
        <v>39326</v>
      </c>
      <c r="C3828" t="s">
        <v>25</v>
      </c>
      <c r="D3828" s="19">
        <v>6</v>
      </c>
      <c r="E3828">
        <v>123</v>
      </c>
      <c r="F3828" t="s">
        <v>17</v>
      </c>
      <c r="G3828" t="s">
        <v>8</v>
      </c>
      <c r="H3828">
        <v>1</v>
      </c>
      <c r="I3828" t="s">
        <v>27</v>
      </c>
    </row>
    <row r="3829" spans="1:9" x14ac:dyDescent="0.2">
      <c r="A3829" t="str">
        <f t="shared" si="306"/>
        <v>39326Haapiti6124Autres</v>
      </c>
      <c r="B3829" s="1">
        <v>39326</v>
      </c>
      <c r="C3829" t="s">
        <v>25</v>
      </c>
      <c r="D3829" s="19">
        <v>6</v>
      </c>
      <c r="E3829">
        <v>124</v>
      </c>
      <c r="F3829" t="s">
        <v>14</v>
      </c>
      <c r="H3829">
        <v>0</v>
      </c>
    </row>
    <row r="3830" spans="1:9" x14ac:dyDescent="0.2">
      <c r="A3830" t="str">
        <f t="shared" si="306"/>
        <v>39326Haapiti6125Autres</v>
      </c>
      <c r="B3830" s="1">
        <v>39326</v>
      </c>
      <c r="C3830" t="s">
        <v>25</v>
      </c>
      <c r="D3830" s="19">
        <v>6</v>
      </c>
      <c r="E3830">
        <v>125</v>
      </c>
      <c r="F3830" t="s">
        <v>14</v>
      </c>
      <c r="H3830">
        <v>0</v>
      </c>
    </row>
    <row r="3831" spans="1:9" x14ac:dyDescent="0.2">
      <c r="A3831" t="str">
        <f t="shared" si="306"/>
        <v>39326Haapiti6126Autres</v>
      </c>
      <c r="B3831" s="1">
        <v>39326</v>
      </c>
      <c r="C3831" t="s">
        <v>25</v>
      </c>
      <c r="D3831" s="19">
        <v>6</v>
      </c>
      <c r="E3831">
        <v>126</v>
      </c>
      <c r="F3831" t="s">
        <v>14</v>
      </c>
      <c r="H3831">
        <v>0</v>
      </c>
    </row>
    <row r="3832" spans="1:9" x14ac:dyDescent="0.2">
      <c r="A3832" t="str">
        <f t="shared" si="306"/>
        <v>39326Haapiti6127Autres</v>
      </c>
      <c r="B3832" s="1">
        <v>39326</v>
      </c>
      <c r="C3832" t="s">
        <v>25</v>
      </c>
      <c r="D3832" s="19">
        <v>6</v>
      </c>
      <c r="E3832">
        <v>127</v>
      </c>
      <c r="F3832" t="s">
        <v>14</v>
      </c>
      <c r="H3832">
        <v>0</v>
      </c>
    </row>
    <row r="3833" spans="1:9" x14ac:dyDescent="0.2">
      <c r="A3833" t="str">
        <f t="shared" si="306"/>
        <v>39326Haapiti6128Autres</v>
      </c>
      <c r="B3833" s="1">
        <v>39326</v>
      </c>
      <c r="C3833" t="s">
        <v>25</v>
      </c>
      <c r="D3833" s="19">
        <v>6</v>
      </c>
      <c r="E3833">
        <v>128</v>
      </c>
      <c r="F3833" t="s">
        <v>14</v>
      </c>
      <c r="H3833">
        <v>0</v>
      </c>
    </row>
    <row r="3834" spans="1:9" x14ac:dyDescent="0.2">
      <c r="A3834" t="str">
        <f t="shared" si="306"/>
        <v>39326Haapiti6129Autres</v>
      </c>
      <c r="B3834" s="1">
        <v>39326</v>
      </c>
      <c r="C3834" t="s">
        <v>25</v>
      </c>
      <c r="D3834" s="19">
        <v>6</v>
      </c>
      <c r="E3834">
        <v>129</v>
      </c>
      <c r="F3834" t="s">
        <v>14</v>
      </c>
      <c r="H3834">
        <v>0</v>
      </c>
    </row>
    <row r="3835" spans="1:9" x14ac:dyDescent="0.2">
      <c r="A3835" t="str">
        <f t="shared" si="306"/>
        <v>39326Haapiti6130Autres</v>
      </c>
      <c r="B3835" s="1">
        <v>39326</v>
      </c>
      <c r="C3835" t="s">
        <v>25</v>
      </c>
      <c r="D3835" s="19">
        <v>6</v>
      </c>
      <c r="E3835">
        <v>130</v>
      </c>
      <c r="F3835" t="s">
        <v>14</v>
      </c>
      <c r="H3835">
        <v>0</v>
      </c>
    </row>
    <row r="3836" spans="1:9" x14ac:dyDescent="0.2">
      <c r="A3836" t="str">
        <f t="shared" si="306"/>
        <v>39326Haapiti6131Autres</v>
      </c>
      <c r="B3836" s="1">
        <v>39326</v>
      </c>
      <c r="C3836" t="s">
        <v>25</v>
      </c>
      <c r="D3836" s="19">
        <v>6</v>
      </c>
      <c r="E3836">
        <v>131</v>
      </c>
      <c r="F3836" t="s">
        <v>14</v>
      </c>
      <c r="H3836">
        <v>0</v>
      </c>
    </row>
    <row r="3837" spans="1:9" x14ac:dyDescent="0.2">
      <c r="A3837" t="str">
        <f t="shared" si="306"/>
        <v>39326Haapiti6132Autres</v>
      </c>
      <c r="B3837" s="1">
        <v>39326</v>
      </c>
      <c r="C3837" t="s">
        <v>25</v>
      </c>
      <c r="D3837" s="19">
        <v>6</v>
      </c>
      <c r="E3837">
        <v>132</v>
      </c>
      <c r="F3837" t="s">
        <v>14</v>
      </c>
      <c r="H3837">
        <v>0</v>
      </c>
    </row>
    <row r="3838" spans="1:9" x14ac:dyDescent="0.2">
      <c r="A3838" t="str">
        <f t="shared" si="306"/>
        <v>39326Haapiti6133</v>
      </c>
      <c r="B3838" s="1">
        <v>39326</v>
      </c>
      <c r="C3838" t="s">
        <v>25</v>
      </c>
      <c r="D3838" s="19">
        <v>6</v>
      </c>
      <c r="E3838">
        <v>133</v>
      </c>
      <c r="F3838" t="s">
        <v>27</v>
      </c>
      <c r="G3838" t="s">
        <v>27</v>
      </c>
      <c r="H3838" t="s">
        <v>27</v>
      </c>
      <c r="I3838" t="s">
        <v>31</v>
      </c>
    </row>
    <row r="3839" spans="1:9" x14ac:dyDescent="0.2">
      <c r="A3839" t="str">
        <f t="shared" ref="A3839:A3902" si="307">B3839 &amp; C3839&amp; D3839&amp; E3839 &amp; F3839 &amp;G3839</f>
        <v>39326Haapiti6134</v>
      </c>
      <c r="B3839" s="1">
        <v>39326</v>
      </c>
      <c r="C3839" t="s">
        <v>25</v>
      </c>
      <c r="D3839" s="19">
        <v>6</v>
      </c>
      <c r="E3839">
        <v>134</v>
      </c>
      <c r="F3839" t="s">
        <v>27</v>
      </c>
      <c r="G3839" t="s">
        <v>27</v>
      </c>
      <c r="H3839" t="s">
        <v>27</v>
      </c>
      <c r="I3839" t="s">
        <v>31</v>
      </c>
    </row>
    <row r="3840" spans="1:9" x14ac:dyDescent="0.2">
      <c r="A3840" t="str">
        <f t="shared" si="307"/>
        <v>39326Haapiti6135</v>
      </c>
      <c r="B3840" s="1">
        <v>39326</v>
      </c>
      <c r="C3840" t="s">
        <v>25</v>
      </c>
      <c r="D3840" s="19">
        <v>6</v>
      </c>
      <c r="E3840">
        <v>135</v>
      </c>
      <c r="F3840" t="s">
        <v>27</v>
      </c>
      <c r="G3840" t="s">
        <v>27</v>
      </c>
      <c r="H3840" t="s">
        <v>27</v>
      </c>
      <c r="I3840" t="s">
        <v>31</v>
      </c>
    </row>
    <row r="3841" spans="1:9" x14ac:dyDescent="0.2">
      <c r="A3841" t="str">
        <f t="shared" si="307"/>
        <v>39326Haapiti6136</v>
      </c>
      <c r="B3841" s="1">
        <v>39326</v>
      </c>
      <c r="C3841" t="s">
        <v>25</v>
      </c>
      <c r="D3841" s="19">
        <v>6</v>
      </c>
      <c r="E3841">
        <v>136</v>
      </c>
      <c r="F3841" t="s">
        <v>27</v>
      </c>
      <c r="G3841" t="s">
        <v>27</v>
      </c>
      <c r="H3841" t="s">
        <v>27</v>
      </c>
      <c r="I3841" t="s">
        <v>31</v>
      </c>
    </row>
    <row r="3842" spans="1:9" x14ac:dyDescent="0.2">
      <c r="A3842" t="str">
        <f t="shared" si="307"/>
        <v>39326Haapiti6137</v>
      </c>
      <c r="B3842" s="1">
        <v>39326</v>
      </c>
      <c r="C3842" t="s">
        <v>25</v>
      </c>
      <c r="D3842" s="19">
        <v>6</v>
      </c>
      <c r="E3842">
        <v>137</v>
      </c>
      <c r="F3842" t="s">
        <v>27</v>
      </c>
      <c r="G3842" t="s">
        <v>27</v>
      </c>
      <c r="H3842" t="s">
        <v>27</v>
      </c>
      <c r="I3842" t="s">
        <v>31</v>
      </c>
    </row>
    <row r="3843" spans="1:9" x14ac:dyDescent="0.2">
      <c r="A3843" t="str">
        <f t="shared" si="307"/>
        <v>39326Haapiti6138</v>
      </c>
      <c r="B3843" s="1">
        <v>39326</v>
      </c>
      <c r="C3843" t="s">
        <v>25</v>
      </c>
      <c r="D3843" s="19">
        <v>6</v>
      </c>
      <c r="E3843">
        <v>138</v>
      </c>
      <c r="F3843" t="s">
        <v>27</v>
      </c>
      <c r="G3843" t="s">
        <v>27</v>
      </c>
      <c r="H3843" t="s">
        <v>27</v>
      </c>
      <c r="I3843" t="s">
        <v>31</v>
      </c>
    </row>
    <row r="3844" spans="1:9" x14ac:dyDescent="0.2">
      <c r="A3844" t="str">
        <f t="shared" si="307"/>
        <v>39326Haapiti6139</v>
      </c>
      <c r="B3844" s="1">
        <v>39326</v>
      </c>
      <c r="C3844" t="s">
        <v>25</v>
      </c>
      <c r="D3844" s="19">
        <v>6</v>
      </c>
      <c r="E3844">
        <v>139</v>
      </c>
      <c r="F3844" t="s">
        <v>27</v>
      </c>
      <c r="G3844" t="s">
        <v>27</v>
      </c>
      <c r="H3844" t="s">
        <v>27</v>
      </c>
      <c r="I3844" t="s">
        <v>31</v>
      </c>
    </row>
    <row r="3845" spans="1:9" x14ac:dyDescent="0.2">
      <c r="A3845" t="str">
        <f t="shared" si="307"/>
        <v>39326Haapiti6140</v>
      </c>
      <c r="B3845" s="1">
        <v>39326</v>
      </c>
      <c r="C3845" t="s">
        <v>25</v>
      </c>
      <c r="D3845" s="19">
        <v>6</v>
      </c>
      <c r="E3845">
        <v>140</v>
      </c>
      <c r="F3845" t="s">
        <v>27</v>
      </c>
      <c r="G3845" t="s">
        <v>27</v>
      </c>
      <c r="H3845" t="s">
        <v>27</v>
      </c>
      <c r="I3845" t="s">
        <v>31</v>
      </c>
    </row>
    <row r="3846" spans="1:9" x14ac:dyDescent="0.2">
      <c r="A3846" t="str">
        <f t="shared" si="307"/>
        <v>39326Haapiti12141Autres</v>
      </c>
      <c r="B3846" s="1">
        <v>39326</v>
      </c>
      <c r="C3846" t="s">
        <v>25</v>
      </c>
      <c r="D3846" s="19">
        <v>12</v>
      </c>
      <c r="E3846">
        <v>141</v>
      </c>
      <c r="F3846" t="s">
        <v>14</v>
      </c>
      <c r="H3846">
        <v>0</v>
      </c>
    </row>
    <row r="3847" spans="1:9" x14ac:dyDescent="0.2">
      <c r="A3847" t="str">
        <f t="shared" si="307"/>
        <v>39326Haapiti12142Autres</v>
      </c>
      <c r="B3847" s="1">
        <v>39326</v>
      </c>
      <c r="C3847" t="s">
        <v>25</v>
      </c>
      <c r="D3847" s="19">
        <v>12</v>
      </c>
      <c r="E3847">
        <v>142</v>
      </c>
      <c r="F3847" t="s">
        <v>14</v>
      </c>
      <c r="H3847">
        <v>0</v>
      </c>
    </row>
    <row r="3848" spans="1:9" x14ac:dyDescent="0.2">
      <c r="A3848" t="str">
        <f t="shared" si="307"/>
        <v>39326Haapiti12143PoritidaeDessous</v>
      </c>
      <c r="B3848" s="1">
        <v>39326</v>
      </c>
      <c r="C3848" t="s">
        <v>25</v>
      </c>
      <c r="D3848" s="19">
        <v>12</v>
      </c>
      <c r="E3848">
        <v>143</v>
      </c>
      <c r="F3848" t="s">
        <v>7</v>
      </c>
      <c r="G3848" t="s">
        <v>8</v>
      </c>
      <c r="H3848">
        <v>1</v>
      </c>
      <c r="I3848" t="s">
        <v>27</v>
      </c>
    </row>
    <row r="3849" spans="1:9" x14ac:dyDescent="0.2">
      <c r="A3849" t="str">
        <f t="shared" si="307"/>
        <v>39326Haapiti12144Autres</v>
      </c>
      <c r="B3849" s="1">
        <v>39326</v>
      </c>
      <c r="C3849" t="s">
        <v>25</v>
      </c>
      <c r="D3849" s="19">
        <v>12</v>
      </c>
      <c r="E3849">
        <v>144</v>
      </c>
      <c r="F3849" t="s">
        <v>14</v>
      </c>
      <c r="H3849">
        <v>0</v>
      </c>
    </row>
    <row r="3850" spans="1:9" x14ac:dyDescent="0.2">
      <c r="A3850" t="str">
        <f t="shared" si="307"/>
        <v>39326Haapiti12145AutresDessus</v>
      </c>
      <c r="B3850" s="1">
        <v>39326</v>
      </c>
      <c r="C3850" t="s">
        <v>25</v>
      </c>
      <c r="D3850" s="19">
        <v>12</v>
      </c>
      <c r="E3850">
        <v>145</v>
      </c>
      <c r="F3850" t="s">
        <v>14</v>
      </c>
      <c r="G3850" t="s">
        <v>11</v>
      </c>
      <c r="H3850">
        <v>1</v>
      </c>
      <c r="I3850" t="s">
        <v>27</v>
      </c>
    </row>
    <row r="3851" spans="1:9" x14ac:dyDescent="0.2">
      <c r="A3851" t="str">
        <f t="shared" si="307"/>
        <v>39326Haapiti12146Autres</v>
      </c>
      <c r="B3851" s="1">
        <v>39326</v>
      </c>
      <c r="C3851" t="s">
        <v>25</v>
      </c>
      <c r="D3851" s="19">
        <v>12</v>
      </c>
      <c r="E3851">
        <v>146</v>
      </c>
      <c r="F3851" t="s">
        <v>14</v>
      </c>
      <c r="H3851">
        <v>0</v>
      </c>
    </row>
    <row r="3852" spans="1:9" x14ac:dyDescent="0.2">
      <c r="A3852" t="str">
        <f t="shared" si="307"/>
        <v>39326Haapiti12147Autres</v>
      </c>
      <c r="B3852" s="1">
        <v>39326</v>
      </c>
      <c r="C3852" t="s">
        <v>25</v>
      </c>
      <c r="D3852" s="19">
        <v>12</v>
      </c>
      <c r="E3852">
        <v>147</v>
      </c>
      <c r="F3852" t="s">
        <v>14</v>
      </c>
      <c r="H3852">
        <v>0</v>
      </c>
    </row>
    <row r="3853" spans="1:9" x14ac:dyDescent="0.2">
      <c r="A3853" t="str">
        <f t="shared" si="307"/>
        <v>39326Haapiti12148Autres</v>
      </c>
      <c r="B3853" s="1">
        <v>39326</v>
      </c>
      <c r="C3853" t="s">
        <v>25</v>
      </c>
      <c r="D3853" s="19">
        <v>12</v>
      </c>
      <c r="E3853">
        <v>148</v>
      </c>
      <c r="F3853" t="s">
        <v>14</v>
      </c>
      <c r="H3853">
        <v>0</v>
      </c>
    </row>
    <row r="3854" spans="1:9" x14ac:dyDescent="0.2">
      <c r="A3854" t="str">
        <f t="shared" si="307"/>
        <v>39326Haapiti12149Autres</v>
      </c>
      <c r="B3854" s="1">
        <v>39326</v>
      </c>
      <c r="C3854" t="s">
        <v>25</v>
      </c>
      <c r="D3854" s="19">
        <v>12</v>
      </c>
      <c r="E3854">
        <v>149</v>
      </c>
      <c r="F3854" t="s">
        <v>14</v>
      </c>
      <c r="H3854">
        <v>0</v>
      </c>
    </row>
    <row r="3855" spans="1:9" x14ac:dyDescent="0.2">
      <c r="A3855" t="str">
        <f t="shared" si="307"/>
        <v>39326Haapiti12150Autres</v>
      </c>
      <c r="B3855" s="1">
        <v>39326</v>
      </c>
      <c r="C3855" t="s">
        <v>25</v>
      </c>
      <c r="D3855" s="19">
        <v>12</v>
      </c>
      <c r="E3855">
        <v>150</v>
      </c>
      <c r="F3855" t="s">
        <v>14</v>
      </c>
      <c r="H3855">
        <v>0</v>
      </c>
    </row>
    <row r="3856" spans="1:9" x14ac:dyDescent="0.2">
      <c r="A3856" t="str">
        <f t="shared" si="307"/>
        <v>39326Haapiti12151</v>
      </c>
      <c r="B3856" s="1">
        <v>39326</v>
      </c>
      <c r="C3856" t="s">
        <v>25</v>
      </c>
      <c r="D3856" s="19">
        <v>12</v>
      </c>
      <c r="E3856">
        <v>151</v>
      </c>
      <c r="F3856" t="s">
        <v>27</v>
      </c>
      <c r="G3856" t="s">
        <v>27</v>
      </c>
      <c r="H3856" t="s">
        <v>27</v>
      </c>
      <c r="I3856" t="s">
        <v>31</v>
      </c>
    </row>
    <row r="3857" spans="1:9" x14ac:dyDescent="0.2">
      <c r="A3857" t="str">
        <f t="shared" si="307"/>
        <v>39326Haapiti12152</v>
      </c>
      <c r="B3857" s="1">
        <v>39326</v>
      </c>
      <c r="C3857" t="s">
        <v>25</v>
      </c>
      <c r="D3857" s="19">
        <v>12</v>
      </c>
      <c r="E3857">
        <v>152</v>
      </c>
      <c r="F3857" t="s">
        <v>27</v>
      </c>
      <c r="G3857" t="s">
        <v>27</v>
      </c>
      <c r="H3857" t="s">
        <v>27</v>
      </c>
      <c r="I3857" t="s">
        <v>31</v>
      </c>
    </row>
    <row r="3858" spans="1:9" x14ac:dyDescent="0.2">
      <c r="A3858" t="str">
        <f t="shared" si="307"/>
        <v>39326Haapiti12153</v>
      </c>
      <c r="B3858" s="1">
        <v>39326</v>
      </c>
      <c r="C3858" t="s">
        <v>25</v>
      </c>
      <c r="D3858" s="19">
        <v>12</v>
      </c>
      <c r="E3858">
        <v>153</v>
      </c>
      <c r="F3858" t="s">
        <v>27</v>
      </c>
      <c r="G3858" t="s">
        <v>27</v>
      </c>
      <c r="H3858" t="s">
        <v>27</v>
      </c>
      <c r="I3858" t="s">
        <v>31</v>
      </c>
    </row>
    <row r="3859" spans="1:9" x14ac:dyDescent="0.2">
      <c r="A3859" t="str">
        <f t="shared" si="307"/>
        <v>39326Haapiti12154</v>
      </c>
      <c r="B3859" s="1">
        <v>39326</v>
      </c>
      <c r="C3859" t="s">
        <v>25</v>
      </c>
      <c r="D3859" s="19">
        <v>12</v>
      </c>
      <c r="E3859">
        <v>154</v>
      </c>
      <c r="F3859" t="s">
        <v>27</v>
      </c>
      <c r="G3859" t="s">
        <v>27</v>
      </c>
      <c r="H3859" t="s">
        <v>27</v>
      </c>
      <c r="I3859" t="s">
        <v>31</v>
      </c>
    </row>
    <row r="3860" spans="1:9" x14ac:dyDescent="0.2">
      <c r="A3860" t="str">
        <f t="shared" si="307"/>
        <v>39326Haapiti12155</v>
      </c>
      <c r="B3860" s="1">
        <v>39326</v>
      </c>
      <c r="C3860" t="s">
        <v>25</v>
      </c>
      <c r="D3860" s="19">
        <v>12</v>
      </c>
      <c r="E3860">
        <v>155</v>
      </c>
      <c r="F3860" t="s">
        <v>27</v>
      </c>
      <c r="G3860" t="s">
        <v>27</v>
      </c>
      <c r="H3860" t="s">
        <v>27</v>
      </c>
      <c r="I3860" t="s">
        <v>31</v>
      </c>
    </row>
    <row r="3861" spans="1:9" x14ac:dyDescent="0.2">
      <c r="A3861" t="str">
        <f t="shared" si="307"/>
        <v>39326Haapiti12156</v>
      </c>
      <c r="B3861" s="1">
        <v>39326</v>
      </c>
      <c r="C3861" t="s">
        <v>25</v>
      </c>
      <c r="D3861" s="19">
        <v>12</v>
      </c>
      <c r="E3861">
        <v>156</v>
      </c>
      <c r="F3861" t="s">
        <v>27</v>
      </c>
      <c r="G3861" t="s">
        <v>27</v>
      </c>
      <c r="H3861" t="s">
        <v>27</v>
      </c>
      <c r="I3861" t="s">
        <v>31</v>
      </c>
    </row>
    <row r="3862" spans="1:9" x14ac:dyDescent="0.2">
      <c r="A3862" t="str">
        <f t="shared" si="307"/>
        <v>39326Haapiti12157</v>
      </c>
      <c r="B3862" s="1">
        <v>39326</v>
      </c>
      <c r="C3862" t="s">
        <v>25</v>
      </c>
      <c r="D3862" s="19">
        <v>12</v>
      </c>
      <c r="E3862">
        <v>157</v>
      </c>
      <c r="F3862" t="s">
        <v>27</v>
      </c>
      <c r="G3862" t="s">
        <v>27</v>
      </c>
      <c r="H3862" t="s">
        <v>27</v>
      </c>
      <c r="I3862" t="s">
        <v>31</v>
      </c>
    </row>
    <row r="3863" spans="1:9" x14ac:dyDescent="0.2">
      <c r="A3863" t="str">
        <f t="shared" si="307"/>
        <v>39326Haapiti12158</v>
      </c>
      <c r="B3863" s="1">
        <v>39326</v>
      </c>
      <c r="C3863" t="s">
        <v>25</v>
      </c>
      <c r="D3863" s="19">
        <v>12</v>
      </c>
      <c r="E3863">
        <v>158</v>
      </c>
      <c r="F3863" t="s">
        <v>27</v>
      </c>
      <c r="G3863" t="s">
        <v>27</v>
      </c>
      <c r="H3863" t="s">
        <v>27</v>
      </c>
      <c r="I3863" t="s">
        <v>31</v>
      </c>
    </row>
    <row r="3864" spans="1:9" x14ac:dyDescent="0.2">
      <c r="A3864" t="str">
        <f t="shared" si="307"/>
        <v>39326Haapiti12159</v>
      </c>
      <c r="B3864" s="1">
        <v>39326</v>
      </c>
      <c r="C3864" t="s">
        <v>25</v>
      </c>
      <c r="D3864" s="19">
        <v>12</v>
      </c>
      <c r="E3864">
        <v>159</v>
      </c>
      <c r="F3864" t="s">
        <v>27</v>
      </c>
      <c r="G3864" t="s">
        <v>27</v>
      </c>
      <c r="H3864" t="s">
        <v>27</v>
      </c>
      <c r="I3864" t="s">
        <v>31</v>
      </c>
    </row>
    <row r="3865" spans="1:9" x14ac:dyDescent="0.2">
      <c r="A3865" t="str">
        <f t="shared" si="307"/>
        <v>39326Haapiti12160</v>
      </c>
      <c r="B3865" s="1">
        <v>39326</v>
      </c>
      <c r="C3865" t="s">
        <v>25</v>
      </c>
      <c r="D3865" s="19">
        <v>12</v>
      </c>
      <c r="E3865">
        <v>160</v>
      </c>
      <c r="F3865" t="s">
        <v>27</v>
      </c>
      <c r="G3865" t="s">
        <v>27</v>
      </c>
      <c r="H3865" t="s">
        <v>27</v>
      </c>
      <c r="I3865" t="s">
        <v>31</v>
      </c>
    </row>
    <row r="3866" spans="1:9" x14ac:dyDescent="0.2">
      <c r="A3866" t="str">
        <f t="shared" si="307"/>
        <v>39326Haapiti18161Autres</v>
      </c>
      <c r="B3866" s="1">
        <v>39326</v>
      </c>
      <c r="C3866" t="s">
        <v>25</v>
      </c>
      <c r="D3866" s="19">
        <v>18</v>
      </c>
      <c r="E3866">
        <v>161</v>
      </c>
      <c r="F3866" t="s">
        <v>14</v>
      </c>
      <c r="H3866">
        <v>0</v>
      </c>
    </row>
    <row r="3867" spans="1:9" x14ac:dyDescent="0.2">
      <c r="A3867" t="str">
        <f t="shared" si="307"/>
        <v>39326Haapiti18162Autres</v>
      </c>
      <c r="B3867" s="1">
        <v>39326</v>
      </c>
      <c r="C3867" t="s">
        <v>25</v>
      </c>
      <c r="D3867" s="19">
        <v>18</v>
      </c>
      <c r="E3867">
        <v>162</v>
      </c>
      <c r="F3867" t="s">
        <v>14</v>
      </c>
      <c r="H3867">
        <v>0</v>
      </c>
    </row>
    <row r="3868" spans="1:9" x14ac:dyDescent="0.2">
      <c r="A3868" t="str">
        <f t="shared" si="307"/>
        <v>39326Haapiti18163Autres</v>
      </c>
      <c r="B3868" s="1">
        <v>39326</v>
      </c>
      <c r="C3868" t="s">
        <v>25</v>
      </c>
      <c r="D3868" s="19">
        <v>18</v>
      </c>
      <c r="E3868">
        <v>163</v>
      </c>
      <c r="F3868" t="s">
        <v>14</v>
      </c>
      <c r="H3868">
        <v>0</v>
      </c>
    </row>
    <row r="3869" spans="1:9" x14ac:dyDescent="0.2">
      <c r="A3869" t="str">
        <f t="shared" si="307"/>
        <v>39326Haapiti18164Autres</v>
      </c>
      <c r="B3869" s="1">
        <v>39326</v>
      </c>
      <c r="C3869" t="s">
        <v>25</v>
      </c>
      <c r="D3869" s="19">
        <v>18</v>
      </c>
      <c r="E3869">
        <v>164</v>
      </c>
      <c r="F3869" t="s">
        <v>14</v>
      </c>
      <c r="H3869">
        <v>0</v>
      </c>
    </row>
    <row r="3870" spans="1:9" x14ac:dyDescent="0.2">
      <c r="A3870" t="str">
        <f t="shared" si="307"/>
        <v>39326Haapiti18165Autres</v>
      </c>
      <c r="B3870" s="1">
        <v>39326</v>
      </c>
      <c r="C3870" t="s">
        <v>25</v>
      </c>
      <c r="D3870" s="19">
        <v>18</v>
      </c>
      <c r="E3870">
        <v>165</v>
      </c>
      <c r="F3870" t="s">
        <v>14</v>
      </c>
      <c r="H3870">
        <v>0</v>
      </c>
    </row>
    <row r="3871" spans="1:9" x14ac:dyDescent="0.2">
      <c r="A3871" t="str">
        <f t="shared" si="307"/>
        <v>39326Haapiti18166Autres</v>
      </c>
      <c r="B3871" s="1">
        <v>39326</v>
      </c>
      <c r="C3871" t="s">
        <v>25</v>
      </c>
      <c r="D3871" s="19">
        <v>18</v>
      </c>
      <c r="E3871">
        <v>166</v>
      </c>
      <c r="F3871" t="s">
        <v>14</v>
      </c>
      <c r="H3871">
        <v>0</v>
      </c>
    </row>
    <row r="3872" spans="1:9" x14ac:dyDescent="0.2">
      <c r="A3872" t="str">
        <f t="shared" si="307"/>
        <v>39326Haapiti18167Autres</v>
      </c>
      <c r="B3872" s="1">
        <v>39326</v>
      </c>
      <c r="C3872" t="s">
        <v>25</v>
      </c>
      <c r="D3872" s="19">
        <v>18</v>
      </c>
      <c r="E3872">
        <v>167</v>
      </c>
      <c r="F3872" t="s">
        <v>14</v>
      </c>
      <c r="H3872">
        <v>0</v>
      </c>
    </row>
    <row r="3873" spans="1:9" x14ac:dyDescent="0.2">
      <c r="A3873" t="str">
        <f t="shared" si="307"/>
        <v>39326Haapiti18168Autres</v>
      </c>
      <c r="B3873" s="1">
        <v>39326</v>
      </c>
      <c r="C3873" t="s">
        <v>25</v>
      </c>
      <c r="D3873" s="19">
        <v>18</v>
      </c>
      <c r="E3873">
        <v>168</v>
      </c>
      <c r="F3873" t="s">
        <v>14</v>
      </c>
      <c r="H3873">
        <v>0</v>
      </c>
    </row>
    <row r="3874" spans="1:9" x14ac:dyDescent="0.2">
      <c r="A3874" t="str">
        <f t="shared" si="307"/>
        <v>39326Haapiti18169Autres</v>
      </c>
      <c r="B3874" s="1">
        <v>39326</v>
      </c>
      <c r="C3874" t="s">
        <v>25</v>
      </c>
      <c r="D3874" s="19">
        <v>18</v>
      </c>
      <c r="E3874">
        <v>169</v>
      </c>
      <c r="F3874" t="s">
        <v>14</v>
      </c>
      <c r="H3874">
        <v>0</v>
      </c>
    </row>
    <row r="3875" spans="1:9" x14ac:dyDescent="0.2">
      <c r="A3875" t="str">
        <f t="shared" si="307"/>
        <v>39326Haapiti18170Autres</v>
      </c>
      <c r="B3875" s="1">
        <v>39326</v>
      </c>
      <c r="C3875" t="s">
        <v>25</v>
      </c>
      <c r="D3875" s="19">
        <v>18</v>
      </c>
      <c r="E3875">
        <v>170</v>
      </c>
      <c r="F3875" t="s">
        <v>14</v>
      </c>
      <c r="H3875">
        <v>0</v>
      </c>
    </row>
    <row r="3876" spans="1:9" x14ac:dyDescent="0.2">
      <c r="A3876" t="str">
        <f t="shared" si="307"/>
        <v>39326Haapiti18171</v>
      </c>
      <c r="B3876" s="1">
        <v>39326</v>
      </c>
      <c r="C3876" t="s">
        <v>25</v>
      </c>
      <c r="D3876" s="19">
        <v>18</v>
      </c>
      <c r="E3876">
        <v>171</v>
      </c>
      <c r="F3876" t="s">
        <v>27</v>
      </c>
      <c r="G3876" t="s">
        <v>27</v>
      </c>
      <c r="H3876" t="s">
        <v>27</v>
      </c>
      <c r="I3876" t="s">
        <v>31</v>
      </c>
    </row>
    <row r="3877" spans="1:9" x14ac:dyDescent="0.2">
      <c r="A3877" t="str">
        <f t="shared" si="307"/>
        <v>39326Haapiti18172</v>
      </c>
      <c r="B3877" s="1">
        <v>39326</v>
      </c>
      <c r="C3877" t="s">
        <v>25</v>
      </c>
      <c r="D3877" s="19">
        <v>18</v>
      </c>
      <c r="E3877">
        <v>172</v>
      </c>
      <c r="F3877" t="s">
        <v>27</v>
      </c>
      <c r="G3877" t="s">
        <v>27</v>
      </c>
      <c r="H3877" t="s">
        <v>27</v>
      </c>
      <c r="I3877" t="s">
        <v>31</v>
      </c>
    </row>
    <row r="3878" spans="1:9" x14ac:dyDescent="0.2">
      <c r="A3878" t="str">
        <f t="shared" si="307"/>
        <v>39326Haapiti18173</v>
      </c>
      <c r="B3878" s="1">
        <v>39326</v>
      </c>
      <c r="C3878" t="s">
        <v>25</v>
      </c>
      <c r="D3878" s="19">
        <v>18</v>
      </c>
      <c r="E3878">
        <v>173</v>
      </c>
      <c r="F3878" t="s">
        <v>27</v>
      </c>
      <c r="G3878" t="s">
        <v>27</v>
      </c>
      <c r="H3878" t="s">
        <v>27</v>
      </c>
      <c r="I3878" t="s">
        <v>31</v>
      </c>
    </row>
    <row r="3879" spans="1:9" x14ac:dyDescent="0.2">
      <c r="A3879" t="str">
        <f t="shared" si="307"/>
        <v>39326Haapiti18174</v>
      </c>
      <c r="B3879" s="1">
        <v>39326</v>
      </c>
      <c r="C3879" t="s">
        <v>25</v>
      </c>
      <c r="D3879" s="19">
        <v>18</v>
      </c>
      <c r="E3879">
        <v>174</v>
      </c>
      <c r="F3879" t="s">
        <v>27</v>
      </c>
      <c r="G3879" t="s">
        <v>27</v>
      </c>
      <c r="H3879" t="s">
        <v>27</v>
      </c>
      <c r="I3879" t="s">
        <v>31</v>
      </c>
    </row>
    <row r="3880" spans="1:9" x14ac:dyDescent="0.2">
      <c r="A3880" t="str">
        <f t="shared" si="307"/>
        <v>39326Haapiti18175</v>
      </c>
      <c r="B3880" s="1">
        <v>39326</v>
      </c>
      <c r="C3880" t="s">
        <v>25</v>
      </c>
      <c r="D3880" s="19">
        <v>18</v>
      </c>
      <c r="E3880">
        <v>175</v>
      </c>
      <c r="F3880" t="s">
        <v>27</v>
      </c>
      <c r="G3880" t="s">
        <v>27</v>
      </c>
      <c r="H3880" t="s">
        <v>27</v>
      </c>
      <c r="I3880" t="s">
        <v>31</v>
      </c>
    </row>
    <row r="3881" spans="1:9" x14ac:dyDescent="0.2">
      <c r="A3881" t="str">
        <f t="shared" si="307"/>
        <v>39326Haapiti18176</v>
      </c>
      <c r="B3881" s="1">
        <v>39326</v>
      </c>
      <c r="C3881" t="s">
        <v>25</v>
      </c>
      <c r="D3881" s="19">
        <v>18</v>
      </c>
      <c r="E3881">
        <v>176</v>
      </c>
      <c r="F3881" t="s">
        <v>27</v>
      </c>
      <c r="G3881" t="s">
        <v>27</v>
      </c>
      <c r="H3881" t="s">
        <v>27</v>
      </c>
      <c r="I3881" t="s">
        <v>31</v>
      </c>
    </row>
    <row r="3882" spans="1:9" x14ac:dyDescent="0.2">
      <c r="A3882" t="str">
        <f t="shared" si="307"/>
        <v>39326Haapiti18177</v>
      </c>
      <c r="B3882" s="1">
        <v>39326</v>
      </c>
      <c r="C3882" t="s">
        <v>25</v>
      </c>
      <c r="D3882" s="19">
        <v>18</v>
      </c>
      <c r="E3882">
        <v>177</v>
      </c>
      <c r="F3882" t="s">
        <v>27</v>
      </c>
      <c r="G3882" t="s">
        <v>27</v>
      </c>
      <c r="H3882" t="s">
        <v>27</v>
      </c>
      <c r="I3882" t="s">
        <v>31</v>
      </c>
    </row>
    <row r="3883" spans="1:9" x14ac:dyDescent="0.2">
      <c r="A3883" t="str">
        <f t="shared" si="307"/>
        <v>39326Haapiti18178</v>
      </c>
      <c r="B3883" s="1">
        <v>39326</v>
      </c>
      <c r="C3883" t="s">
        <v>25</v>
      </c>
      <c r="D3883" s="19">
        <v>18</v>
      </c>
      <c r="E3883">
        <v>178</v>
      </c>
      <c r="F3883" t="s">
        <v>27</v>
      </c>
      <c r="G3883" t="s">
        <v>27</v>
      </c>
      <c r="H3883" t="s">
        <v>27</v>
      </c>
      <c r="I3883" t="s">
        <v>31</v>
      </c>
    </row>
    <row r="3884" spans="1:9" x14ac:dyDescent="0.2">
      <c r="A3884" t="str">
        <f t="shared" si="307"/>
        <v>39326Haapiti18179</v>
      </c>
      <c r="B3884" s="1">
        <v>39326</v>
      </c>
      <c r="C3884" t="s">
        <v>25</v>
      </c>
      <c r="D3884" s="19">
        <v>18</v>
      </c>
      <c r="E3884">
        <v>179</v>
      </c>
      <c r="F3884" t="s">
        <v>27</v>
      </c>
      <c r="G3884" t="s">
        <v>27</v>
      </c>
      <c r="H3884" t="s">
        <v>27</v>
      </c>
      <c r="I3884" t="s">
        <v>31</v>
      </c>
    </row>
    <row r="3885" spans="1:9" x14ac:dyDescent="0.2">
      <c r="A3885" t="str">
        <f t="shared" si="307"/>
        <v>39326Haapiti18180</v>
      </c>
      <c r="B3885" s="1">
        <v>39326</v>
      </c>
      <c r="C3885" t="s">
        <v>25</v>
      </c>
      <c r="D3885" s="19">
        <v>18</v>
      </c>
      <c r="E3885">
        <v>180</v>
      </c>
      <c r="F3885" t="s">
        <v>27</v>
      </c>
      <c r="G3885" t="s">
        <v>27</v>
      </c>
      <c r="H3885" t="s">
        <v>27</v>
      </c>
      <c r="I3885" t="s">
        <v>31</v>
      </c>
    </row>
    <row r="3886" spans="1:9" x14ac:dyDescent="0.2">
      <c r="A3886" t="str">
        <f t="shared" si="307"/>
        <v>39417Vaipahu610Autres</v>
      </c>
      <c r="B3886" s="1">
        <v>39417</v>
      </c>
      <c r="C3886" t="s">
        <v>23</v>
      </c>
      <c r="D3886" s="19">
        <v>6</v>
      </c>
      <c r="E3886">
        <v>10</v>
      </c>
      <c r="F3886" t="s">
        <v>14</v>
      </c>
      <c r="H3886">
        <v>0</v>
      </c>
    </row>
    <row r="3887" spans="1:9" x14ac:dyDescent="0.2">
      <c r="A3887" t="str">
        <f t="shared" si="307"/>
        <v>39417Vaipahu611</v>
      </c>
      <c r="B3887" s="1">
        <v>39417</v>
      </c>
      <c r="C3887" t="s">
        <v>23</v>
      </c>
      <c r="D3887" s="19">
        <v>6</v>
      </c>
      <c r="E3887">
        <v>11</v>
      </c>
      <c r="F3887" t="s">
        <v>27</v>
      </c>
      <c r="G3887" t="s">
        <v>27</v>
      </c>
      <c r="H3887" t="s">
        <v>27</v>
      </c>
      <c r="I3887" t="s">
        <v>31</v>
      </c>
    </row>
    <row r="3888" spans="1:9" x14ac:dyDescent="0.2">
      <c r="A3888" t="str">
        <f t="shared" si="307"/>
        <v>39417Vaipahu612</v>
      </c>
      <c r="B3888" s="1">
        <v>39417</v>
      </c>
      <c r="C3888" t="s">
        <v>23</v>
      </c>
      <c r="D3888" s="19">
        <v>6</v>
      </c>
      <c r="E3888">
        <v>12</v>
      </c>
      <c r="F3888" t="s">
        <v>27</v>
      </c>
      <c r="G3888" t="s">
        <v>27</v>
      </c>
      <c r="H3888" t="s">
        <v>27</v>
      </c>
      <c r="I3888" t="s">
        <v>31</v>
      </c>
    </row>
    <row r="3889" spans="1:9" x14ac:dyDescent="0.2">
      <c r="A3889" t="str">
        <f t="shared" si="307"/>
        <v>39417Vaipahu613</v>
      </c>
      <c r="B3889" s="1">
        <v>39417</v>
      </c>
      <c r="C3889" t="s">
        <v>23</v>
      </c>
      <c r="D3889" s="19">
        <v>6</v>
      </c>
      <c r="E3889">
        <v>13</v>
      </c>
      <c r="F3889" t="s">
        <v>27</v>
      </c>
      <c r="G3889" t="s">
        <v>27</v>
      </c>
      <c r="H3889" t="s">
        <v>27</v>
      </c>
      <c r="I3889" t="s">
        <v>31</v>
      </c>
    </row>
    <row r="3890" spans="1:9" x14ac:dyDescent="0.2">
      <c r="A3890" t="str">
        <f t="shared" si="307"/>
        <v>39417Vaipahu614</v>
      </c>
      <c r="B3890" s="1">
        <v>39417</v>
      </c>
      <c r="C3890" t="s">
        <v>23</v>
      </c>
      <c r="D3890" s="19">
        <v>6</v>
      </c>
      <c r="E3890">
        <v>14</v>
      </c>
      <c r="F3890" t="s">
        <v>27</v>
      </c>
      <c r="G3890" t="s">
        <v>27</v>
      </c>
      <c r="H3890" t="s">
        <v>27</v>
      </c>
      <c r="I3890" t="s">
        <v>31</v>
      </c>
    </row>
    <row r="3891" spans="1:9" x14ac:dyDescent="0.2">
      <c r="A3891" t="str">
        <f t="shared" si="307"/>
        <v>39417Vaipahu615</v>
      </c>
      <c r="B3891" s="1">
        <v>39417</v>
      </c>
      <c r="C3891" t="s">
        <v>23</v>
      </c>
      <c r="D3891" s="19">
        <v>6</v>
      </c>
      <c r="E3891">
        <v>15</v>
      </c>
      <c r="F3891" t="s">
        <v>27</v>
      </c>
      <c r="G3891" t="s">
        <v>27</v>
      </c>
      <c r="H3891" t="s">
        <v>27</v>
      </c>
      <c r="I3891" t="s">
        <v>31</v>
      </c>
    </row>
    <row r="3892" spans="1:9" x14ac:dyDescent="0.2">
      <c r="A3892" t="str">
        <f t="shared" si="307"/>
        <v>39417Vaipahu616</v>
      </c>
      <c r="B3892" s="1">
        <v>39417</v>
      </c>
      <c r="C3892" t="s">
        <v>23</v>
      </c>
      <c r="D3892" s="19">
        <v>6</v>
      </c>
      <c r="E3892">
        <v>16</v>
      </c>
      <c r="F3892" t="s">
        <v>27</v>
      </c>
      <c r="G3892" t="s">
        <v>27</v>
      </c>
      <c r="H3892" t="s">
        <v>27</v>
      </c>
      <c r="I3892" t="s">
        <v>31</v>
      </c>
    </row>
    <row r="3893" spans="1:9" x14ac:dyDescent="0.2">
      <c r="A3893" t="str">
        <f t="shared" si="307"/>
        <v>39417Vaipahu617</v>
      </c>
      <c r="B3893" s="1">
        <v>39417</v>
      </c>
      <c r="C3893" t="s">
        <v>23</v>
      </c>
      <c r="D3893" s="19">
        <v>6</v>
      </c>
      <c r="E3893">
        <v>17</v>
      </c>
      <c r="F3893" t="s">
        <v>27</v>
      </c>
      <c r="G3893" t="s">
        <v>27</v>
      </c>
      <c r="H3893" t="s">
        <v>27</v>
      </c>
      <c r="I3893" t="s">
        <v>31</v>
      </c>
    </row>
    <row r="3894" spans="1:9" x14ac:dyDescent="0.2">
      <c r="A3894" t="str">
        <f t="shared" si="307"/>
        <v>39417Vaipahu618</v>
      </c>
      <c r="B3894" s="1">
        <v>39417</v>
      </c>
      <c r="C3894" t="s">
        <v>23</v>
      </c>
      <c r="D3894" s="19">
        <v>6</v>
      </c>
      <c r="E3894">
        <v>18</v>
      </c>
      <c r="F3894" t="s">
        <v>27</v>
      </c>
      <c r="G3894" t="s">
        <v>27</v>
      </c>
      <c r="H3894" t="s">
        <v>27</v>
      </c>
      <c r="I3894" t="s">
        <v>31</v>
      </c>
    </row>
    <row r="3895" spans="1:9" x14ac:dyDescent="0.2">
      <c r="A3895" t="str">
        <f t="shared" si="307"/>
        <v>39417Vaipahu619</v>
      </c>
      <c r="B3895" s="1">
        <v>39417</v>
      </c>
      <c r="C3895" t="s">
        <v>23</v>
      </c>
      <c r="D3895" s="19">
        <v>6</v>
      </c>
      <c r="E3895">
        <v>19</v>
      </c>
      <c r="F3895" t="s">
        <v>27</v>
      </c>
      <c r="G3895" t="s">
        <v>27</v>
      </c>
      <c r="H3895" t="s">
        <v>27</v>
      </c>
      <c r="I3895" t="s">
        <v>31</v>
      </c>
    </row>
    <row r="3896" spans="1:9" x14ac:dyDescent="0.2">
      <c r="A3896" t="str">
        <f t="shared" si="307"/>
        <v>39417Vaipahu620</v>
      </c>
      <c r="B3896" s="1">
        <v>39417</v>
      </c>
      <c r="C3896" t="s">
        <v>23</v>
      </c>
      <c r="D3896" s="19">
        <v>6</v>
      </c>
      <c r="E3896">
        <v>20</v>
      </c>
      <c r="F3896" t="s">
        <v>27</v>
      </c>
      <c r="G3896" t="s">
        <v>27</v>
      </c>
      <c r="H3896" t="s">
        <v>27</v>
      </c>
      <c r="I3896" t="s">
        <v>31</v>
      </c>
    </row>
    <row r="3897" spans="1:9" x14ac:dyDescent="0.2">
      <c r="A3897" t="str">
        <f t="shared" si="307"/>
        <v>39417Vaipahu1221PocilloporidaeBords</v>
      </c>
      <c r="B3897" s="1">
        <v>39417</v>
      </c>
      <c r="C3897" t="s">
        <v>23</v>
      </c>
      <c r="D3897" s="19">
        <v>12</v>
      </c>
      <c r="E3897">
        <v>21</v>
      </c>
      <c r="F3897" t="s">
        <v>10</v>
      </c>
      <c r="G3897" t="s">
        <v>13</v>
      </c>
      <c r="H3897">
        <v>7</v>
      </c>
      <c r="I3897" t="s">
        <v>27</v>
      </c>
    </row>
    <row r="3898" spans="1:9" x14ac:dyDescent="0.2">
      <c r="A3898" t="str">
        <f t="shared" si="307"/>
        <v>39417Vaipahu1221PocilloporidaeDessous</v>
      </c>
      <c r="B3898" s="1">
        <v>39417</v>
      </c>
      <c r="C3898" t="s">
        <v>23</v>
      </c>
      <c r="D3898" s="19">
        <v>12</v>
      </c>
      <c r="E3898">
        <v>21</v>
      </c>
      <c r="F3898" t="s">
        <v>10</v>
      </c>
      <c r="G3898" t="s">
        <v>8</v>
      </c>
      <c r="H3898">
        <v>2</v>
      </c>
      <c r="I3898" t="s">
        <v>27</v>
      </c>
    </row>
    <row r="3899" spans="1:9" x14ac:dyDescent="0.2">
      <c r="A3899" t="str">
        <f t="shared" si="307"/>
        <v>39417Vaipahu1221PoritidaeBords</v>
      </c>
      <c r="B3899" s="1">
        <v>39417</v>
      </c>
      <c r="C3899" t="s">
        <v>23</v>
      </c>
      <c r="D3899" s="19">
        <v>12</v>
      </c>
      <c r="E3899">
        <v>21</v>
      </c>
      <c r="F3899" t="s">
        <v>7</v>
      </c>
      <c r="G3899" t="s">
        <v>13</v>
      </c>
      <c r="H3899">
        <v>2</v>
      </c>
      <c r="I3899" t="s">
        <v>27</v>
      </c>
    </row>
    <row r="3900" spans="1:9" x14ac:dyDescent="0.2">
      <c r="A3900" t="str">
        <f t="shared" si="307"/>
        <v>39417Vaipahu1225Autres</v>
      </c>
      <c r="B3900" s="1">
        <v>39417</v>
      </c>
      <c r="C3900" t="s">
        <v>23</v>
      </c>
      <c r="D3900" s="19">
        <v>12</v>
      </c>
      <c r="E3900">
        <v>25</v>
      </c>
      <c r="F3900" t="s">
        <v>14</v>
      </c>
      <c r="H3900">
        <v>0</v>
      </c>
    </row>
    <row r="3901" spans="1:9" x14ac:dyDescent="0.2">
      <c r="A3901" t="str">
        <f t="shared" si="307"/>
        <v>39417Vaipahu1226Autres</v>
      </c>
      <c r="B3901" s="1">
        <v>39417</v>
      </c>
      <c r="C3901" t="s">
        <v>23</v>
      </c>
      <c r="D3901" s="19">
        <v>12</v>
      </c>
      <c r="E3901">
        <v>26</v>
      </c>
      <c r="F3901" t="s">
        <v>14</v>
      </c>
      <c r="H3901">
        <v>0</v>
      </c>
    </row>
    <row r="3902" spans="1:9" x14ac:dyDescent="0.2">
      <c r="A3902" t="str">
        <f t="shared" si="307"/>
        <v>39417Vaipahu1227PocilloporidaeBords</v>
      </c>
      <c r="B3902" s="1">
        <v>39417</v>
      </c>
      <c r="C3902" t="s">
        <v>23</v>
      </c>
      <c r="D3902" s="19">
        <v>12</v>
      </c>
      <c r="E3902">
        <v>27</v>
      </c>
      <c r="F3902" t="s">
        <v>10</v>
      </c>
      <c r="G3902" t="s">
        <v>13</v>
      </c>
      <c r="H3902">
        <v>4</v>
      </c>
      <c r="I3902" t="s">
        <v>27</v>
      </c>
    </row>
    <row r="3903" spans="1:9" x14ac:dyDescent="0.2">
      <c r="A3903" t="str">
        <f t="shared" ref="A3903:A3966" si="308">B3903 &amp; C3903&amp; D3903&amp; E3903 &amp; F3903 &amp;G3903</f>
        <v>39417Vaipahu1227PocilloporidaeDessus</v>
      </c>
      <c r="B3903" s="1">
        <v>39417</v>
      </c>
      <c r="C3903" t="s">
        <v>23</v>
      </c>
      <c r="D3903" s="19">
        <v>12</v>
      </c>
      <c r="E3903">
        <v>27</v>
      </c>
      <c r="F3903" t="s">
        <v>10</v>
      </c>
      <c r="G3903" t="s">
        <v>11</v>
      </c>
      <c r="H3903">
        <v>1</v>
      </c>
      <c r="I3903" t="s">
        <v>27</v>
      </c>
    </row>
    <row r="3904" spans="1:9" x14ac:dyDescent="0.2">
      <c r="A3904" t="str">
        <f t="shared" si="308"/>
        <v>39417Vaipahu1230Autres</v>
      </c>
      <c r="B3904" s="1">
        <v>39417</v>
      </c>
      <c r="C3904" t="s">
        <v>23</v>
      </c>
      <c r="D3904" s="19">
        <v>12</v>
      </c>
      <c r="E3904">
        <v>30</v>
      </c>
      <c r="F3904" t="s">
        <v>14</v>
      </c>
      <c r="H3904">
        <v>0</v>
      </c>
    </row>
    <row r="3905" spans="1:9" x14ac:dyDescent="0.2">
      <c r="A3905" t="str">
        <f t="shared" si="308"/>
        <v>39417Vaipahu1231</v>
      </c>
      <c r="B3905" s="1">
        <v>39417</v>
      </c>
      <c r="C3905" t="s">
        <v>23</v>
      </c>
      <c r="D3905" s="19">
        <v>12</v>
      </c>
      <c r="E3905">
        <v>31</v>
      </c>
      <c r="F3905" t="s">
        <v>27</v>
      </c>
      <c r="G3905" t="s">
        <v>27</v>
      </c>
      <c r="H3905" t="s">
        <v>27</v>
      </c>
      <c r="I3905" t="s">
        <v>31</v>
      </c>
    </row>
    <row r="3906" spans="1:9" x14ac:dyDescent="0.2">
      <c r="A3906" t="str">
        <f t="shared" si="308"/>
        <v>39417Vaipahu1232</v>
      </c>
      <c r="B3906" s="1">
        <v>39417</v>
      </c>
      <c r="C3906" t="s">
        <v>23</v>
      </c>
      <c r="D3906" s="19">
        <v>12</v>
      </c>
      <c r="E3906">
        <v>32</v>
      </c>
      <c r="F3906" t="s">
        <v>27</v>
      </c>
      <c r="G3906" t="s">
        <v>27</v>
      </c>
      <c r="H3906" t="s">
        <v>27</v>
      </c>
      <c r="I3906" t="s">
        <v>31</v>
      </c>
    </row>
    <row r="3907" spans="1:9" x14ac:dyDescent="0.2">
      <c r="A3907" t="str">
        <f t="shared" si="308"/>
        <v>39417Vaipahu1233</v>
      </c>
      <c r="B3907" s="1">
        <v>39417</v>
      </c>
      <c r="C3907" t="s">
        <v>23</v>
      </c>
      <c r="D3907" s="19">
        <v>12</v>
      </c>
      <c r="E3907">
        <v>33</v>
      </c>
      <c r="F3907" t="s">
        <v>27</v>
      </c>
      <c r="G3907" t="s">
        <v>27</v>
      </c>
      <c r="H3907" t="s">
        <v>27</v>
      </c>
      <c r="I3907" t="s">
        <v>31</v>
      </c>
    </row>
    <row r="3908" spans="1:9" x14ac:dyDescent="0.2">
      <c r="A3908" t="str">
        <f t="shared" si="308"/>
        <v>39417Vaipahu1234</v>
      </c>
      <c r="B3908" s="1">
        <v>39417</v>
      </c>
      <c r="C3908" t="s">
        <v>23</v>
      </c>
      <c r="D3908" s="19">
        <v>12</v>
      </c>
      <c r="E3908">
        <v>34</v>
      </c>
      <c r="F3908" t="s">
        <v>27</v>
      </c>
      <c r="G3908" t="s">
        <v>27</v>
      </c>
      <c r="H3908" t="s">
        <v>27</v>
      </c>
      <c r="I3908" t="s">
        <v>31</v>
      </c>
    </row>
    <row r="3909" spans="1:9" x14ac:dyDescent="0.2">
      <c r="A3909" t="str">
        <f t="shared" si="308"/>
        <v>39417Vaipahu1235</v>
      </c>
      <c r="B3909" s="1">
        <v>39417</v>
      </c>
      <c r="C3909" t="s">
        <v>23</v>
      </c>
      <c r="D3909" s="19">
        <v>12</v>
      </c>
      <c r="E3909">
        <v>35</v>
      </c>
      <c r="F3909" t="s">
        <v>27</v>
      </c>
      <c r="G3909" t="s">
        <v>27</v>
      </c>
      <c r="H3909" t="s">
        <v>27</v>
      </c>
      <c r="I3909" t="s">
        <v>31</v>
      </c>
    </row>
    <row r="3910" spans="1:9" x14ac:dyDescent="0.2">
      <c r="A3910" t="str">
        <f t="shared" si="308"/>
        <v>39417Vaipahu1236</v>
      </c>
      <c r="B3910" s="1">
        <v>39417</v>
      </c>
      <c r="C3910" t="s">
        <v>23</v>
      </c>
      <c r="D3910" s="19">
        <v>12</v>
      </c>
      <c r="E3910">
        <v>36</v>
      </c>
      <c r="F3910" t="s">
        <v>27</v>
      </c>
      <c r="G3910" t="s">
        <v>27</v>
      </c>
      <c r="H3910" t="s">
        <v>27</v>
      </c>
      <c r="I3910" t="s">
        <v>31</v>
      </c>
    </row>
    <row r="3911" spans="1:9" x14ac:dyDescent="0.2">
      <c r="A3911" t="str">
        <f t="shared" si="308"/>
        <v>39417Vaipahu1237</v>
      </c>
      <c r="B3911" s="1">
        <v>39417</v>
      </c>
      <c r="C3911" t="s">
        <v>23</v>
      </c>
      <c r="D3911" s="19">
        <v>12</v>
      </c>
      <c r="E3911">
        <v>37</v>
      </c>
      <c r="F3911" t="s">
        <v>27</v>
      </c>
      <c r="G3911" t="s">
        <v>27</v>
      </c>
      <c r="H3911" t="s">
        <v>27</v>
      </c>
      <c r="I3911" t="s">
        <v>31</v>
      </c>
    </row>
    <row r="3912" spans="1:9" x14ac:dyDescent="0.2">
      <c r="A3912" t="str">
        <f t="shared" si="308"/>
        <v>39417Vaipahu1238</v>
      </c>
      <c r="B3912" s="1">
        <v>39417</v>
      </c>
      <c r="C3912" t="s">
        <v>23</v>
      </c>
      <c r="D3912" s="19">
        <v>12</v>
      </c>
      <c r="E3912">
        <v>38</v>
      </c>
      <c r="F3912" t="s">
        <v>27</v>
      </c>
      <c r="G3912" t="s">
        <v>27</v>
      </c>
      <c r="H3912" t="s">
        <v>27</v>
      </c>
      <c r="I3912" t="s">
        <v>31</v>
      </c>
    </row>
    <row r="3913" spans="1:9" x14ac:dyDescent="0.2">
      <c r="A3913" t="str">
        <f t="shared" si="308"/>
        <v>39417Vaipahu1239</v>
      </c>
      <c r="B3913" s="1">
        <v>39417</v>
      </c>
      <c r="C3913" t="s">
        <v>23</v>
      </c>
      <c r="D3913" s="19">
        <v>12</v>
      </c>
      <c r="E3913">
        <v>39</v>
      </c>
      <c r="F3913" t="s">
        <v>27</v>
      </c>
      <c r="G3913" t="s">
        <v>27</v>
      </c>
      <c r="H3913" t="s">
        <v>27</v>
      </c>
      <c r="I3913" t="s">
        <v>31</v>
      </c>
    </row>
    <row r="3914" spans="1:9" x14ac:dyDescent="0.2">
      <c r="A3914" t="str">
        <f t="shared" si="308"/>
        <v>39417Vaipahu1240</v>
      </c>
      <c r="B3914" s="1">
        <v>39417</v>
      </c>
      <c r="C3914" t="s">
        <v>23</v>
      </c>
      <c r="D3914" s="19">
        <v>12</v>
      </c>
      <c r="E3914">
        <v>40</v>
      </c>
      <c r="F3914" t="s">
        <v>27</v>
      </c>
      <c r="G3914" t="s">
        <v>27</v>
      </c>
      <c r="H3914" t="s">
        <v>27</v>
      </c>
      <c r="I3914" t="s">
        <v>31</v>
      </c>
    </row>
    <row r="3915" spans="1:9" x14ac:dyDescent="0.2">
      <c r="A3915" t="str">
        <f t="shared" si="308"/>
        <v>39417Vaipahu1841PocilloporidaeBords</v>
      </c>
      <c r="B3915" s="1">
        <v>39417</v>
      </c>
      <c r="C3915" t="s">
        <v>23</v>
      </c>
      <c r="D3915" s="19">
        <v>18</v>
      </c>
      <c r="E3915">
        <v>41</v>
      </c>
      <c r="F3915" t="s">
        <v>10</v>
      </c>
      <c r="G3915" t="s">
        <v>13</v>
      </c>
      <c r="H3915">
        <v>9</v>
      </c>
      <c r="I3915" t="s">
        <v>27</v>
      </c>
    </row>
    <row r="3916" spans="1:9" x14ac:dyDescent="0.2">
      <c r="A3916" t="str">
        <f t="shared" si="308"/>
        <v>39417Vaipahu1841PocilloporidaeDessous</v>
      </c>
      <c r="B3916" s="1">
        <v>39417</v>
      </c>
      <c r="C3916" t="s">
        <v>23</v>
      </c>
      <c r="D3916" s="19">
        <v>18</v>
      </c>
      <c r="E3916">
        <v>41</v>
      </c>
      <c r="F3916" t="s">
        <v>10</v>
      </c>
      <c r="G3916" t="s">
        <v>8</v>
      </c>
      <c r="H3916">
        <v>1</v>
      </c>
      <c r="I3916" t="s">
        <v>27</v>
      </c>
    </row>
    <row r="3917" spans="1:9" x14ac:dyDescent="0.2">
      <c r="A3917" t="str">
        <f t="shared" si="308"/>
        <v>39417Vaipahu1842PocilloporidaeBords</v>
      </c>
      <c r="B3917" s="1">
        <v>39417</v>
      </c>
      <c r="C3917" t="s">
        <v>23</v>
      </c>
      <c r="D3917" s="19">
        <v>18</v>
      </c>
      <c r="E3917">
        <v>42</v>
      </c>
      <c r="F3917" t="s">
        <v>10</v>
      </c>
      <c r="G3917" t="s">
        <v>13</v>
      </c>
      <c r="H3917">
        <v>1</v>
      </c>
      <c r="I3917" t="s">
        <v>27</v>
      </c>
    </row>
    <row r="3918" spans="1:9" x14ac:dyDescent="0.2">
      <c r="A3918" t="str">
        <f t="shared" si="308"/>
        <v>39417Vaipahu1843Autres</v>
      </c>
      <c r="B3918" s="1">
        <v>39417</v>
      </c>
      <c r="C3918" t="s">
        <v>23</v>
      </c>
      <c r="D3918" s="19">
        <v>18</v>
      </c>
      <c r="E3918">
        <v>43</v>
      </c>
      <c r="F3918" t="s">
        <v>14</v>
      </c>
      <c r="H3918">
        <v>0</v>
      </c>
    </row>
    <row r="3919" spans="1:9" x14ac:dyDescent="0.2">
      <c r="A3919" t="str">
        <f t="shared" si="308"/>
        <v>39417Vaipahu1844Autres</v>
      </c>
      <c r="B3919" s="1">
        <v>39417</v>
      </c>
      <c r="C3919" t="s">
        <v>23</v>
      </c>
      <c r="D3919" s="19">
        <v>18</v>
      </c>
      <c r="E3919">
        <v>44</v>
      </c>
      <c r="F3919" t="s">
        <v>14</v>
      </c>
      <c r="H3919">
        <v>0</v>
      </c>
    </row>
    <row r="3920" spans="1:9" x14ac:dyDescent="0.2">
      <c r="A3920" t="str">
        <f t="shared" si="308"/>
        <v>39417Vaipahu1845PocilloporidaeDessus</v>
      </c>
      <c r="B3920" s="1">
        <v>39417</v>
      </c>
      <c r="C3920" t="s">
        <v>23</v>
      </c>
      <c r="D3920" s="19">
        <v>18</v>
      </c>
      <c r="E3920">
        <v>45</v>
      </c>
      <c r="F3920" t="s">
        <v>10</v>
      </c>
      <c r="G3920" t="s">
        <v>11</v>
      </c>
      <c r="H3920">
        <v>2</v>
      </c>
      <c r="I3920" t="s">
        <v>27</v>
      </c>
    </row>
    <row r="3921" spans="1:9" x14ac:dyDescent="0.2">
      <c r="A3921" t="str">
        <f t="shared" si="308"/>
        <v>39417Vaipahu1846PocilloporidaeDessous</v>
      </c>
      <c r="B3921" s="1">
        <v>39417</v>
      </c>
      <c r="C3921" t="s">
        <v>23</v>
      </c>
      <c r="D3921" s="19">
        <v>18</v>
      </c>
      <c r="E3921">
        <v>46</v>
      </c>
      <c r="F3921" t="s">
        <v>10</v>
      </c>
      <c r="G3921" t="s">
        <v>8</v>
      </c>
      <c r="H3921">
        <v>5</v>
      </c>
      <c r="I3921" t="s">
        <v>27</v>
      </c>
    </row>
    <row r="3922" spans="1:9" x14ac:dyDescent="0.2">
      <c r="A3922" t="str">
        <f t="shared" si="308"/>
        <v>39417Vaipahu1849PocilloporidaeDessous</v>
      </c>
      <c r="B3922" s="1">
        <v>39417</v>
      </c>
      <c r="C3922" t="s">
        <v>23</v>
      </c>
      <c r="D3922" s="19">
        <v>18</v>
      </c>
      <c r="E3922">
        <v>49</v>
      </c>
      <c r="F3922" t="s">
        <v>10</v>
      </c>
      <c r="G3922" t="s">
        <v>8</v>
      </c>
      <c r="H3922">
        <v>1</v>
      </c>
      <c r="I3922" t="s">
        <v>27</v>
      </c>
    </row>
    <row r="3923" spans="1:9" x14ac:dyDescent="0.2">
      <c r="A3923" t="str">
        <f t="shared" si="308"/>
        <v>39417Vaipahu1850PocilloporidaeBords</v>
      </c>
      <c r="B3923" s="1">
        <v>39417</v>
      </c>
      <c r="C3923" t="s">
        <v>23</v>
      </c>
      <c r="D3923" s="19">
        <v>18</v>
      </c>
      <c r="E3923">
        <v>50</v>
      </c>
      <c r="F3923" t="s">
        <v>10</v>
      </c>
      <c r="G3923" t="s">
        <v>13</v>
      </c>
      <c r="H3923">
        <v>7</v>
      </c>
      <c r="I3923" t="s">
        <v>27</v>
      </c>
    </row>
    <row r="3924" spans="1:9" x14ac:dyDescent="0.2">
      <c r="A3924" t="str">
        <f t="shared" si="308"/>
        <v>39417Vaipahu1850PocilloporidaeDessus</v>
      </c>
      <c r="B3924" s="1">
        <v>39417</v>
      </c>
      <c r="C3924" t="s">
        <v>23</v>
      </c>
      <c r="D3924" s="19">
        <v>18</v>
      </c>
      <c r="E3924">
        <v>50</v>
      </c>
      <c r="F3924" t="s">
        <v>10</v>
      </c>
      <c r="G3924" t="s">
        <v>11</v>
      </c>
      <c r="H3924">
        <v>1</v>
      </c>
      <c r="I3924" t="s">
        <v>27</v>
      </c>
    </row>
    <row r="3925" spans="1:9" x14ac:dyDescent="0.2">
      <c r="A3925" t="str">
        <f t="shared" si="308"/>
        <v>39417Vaipahu1851</v>
      </c>
      <c r="B3925" s="1">
        <v>39417</v>
      </c>
      <c r="C3925" t="s">
        <v>23</v>
      </c>
      <c r="D3925" s="19">
        <v>18</v>
      </c>
      <c r="E3925">
        <v>51</v>
      </c>
      <c r="F3925" t="s">
        <v>27</v>
      </c>
      <c r="G3925" t="s">
        <v>27</v>
      </c>
      <c r="H3925" t="s">
        <v>27</v>
      </c>
      <c r="I3925" t="s">
        <v>31</v>
      </c>
    </row>
    <row r="3926" spans="1:9" x14ac:dyDescent="0.2">
      <c r="A3926" t="str">
        <f t="shared" si="308"/>
        <v>39417Vaipahu1852</v>
      </c>
      <c r="B3926" s="1">
        <v>39417</v>
      </c>
      <c r="C3926" t="s">
        <v>23</v>
      </c>
      <c r="D3926" s="19">
        <v>18</v>
      </c>
      <c r="E3926">
        <v>52</v>
      </c>
      <c r="F3926" t="s">
        <v>27</v>
      </c>
      <c r="G3926" t="s">
        <v>27</v>
      </c>
      <c r="H3926" t="s">
        <v>27</v>
      </c>
      <c r="I3926" t="s">
        <v>31</v>
      </c>
    </row>
    <row r="3927" spans="1:9" x14ac:dyDescent="0.2">
      <c r="A3927" t="str">
        <f t="shared" si="308"/>
        <v>39417Vaipahu1853</v>
      </c>
      <c r="B3927" s="1">
        <v>39417</v>
      </c>
      <c r="C3927" t="s">
        <v>23</v>
      </c>
      <c r="D3927" s="19">
        <v>18</v>
      </c>
      <c r="E3927">
        <v>53</v>
      </c>
      <c r="F3927" t="s">
        <v>27</v>
      </c>
      <c r="G3927" t="s">
        <v>27</v>
      </c>
      <c r="H3927" t="s">
        <v>27</v>
      </c>
      <c r="I3927" t="s">
        <v>31</v>
      </c>
    </row>
    <row r="3928" spans="1:9" x14ac:dyDescent="0.2">
      <c r="A3928" t="str">
        <f t="shared" si="308"/>
        <v>39417Vaipahu1854</v>
      </c>
      <c r="B3928" s="1">
        <v>39417</v>
      </c>
      <c r="C3928" t="s">
        <v>23</v>
      </c>
      <c r="D3928" s="19">
        <v>18</v>
      </c>
      <c r="E3928">
        <v>54</v>
      </c>
      <c r="F3928" t="s">
        <v>27</v>
      </c>
      <c r="G3928" t="s">
        <v>27</v>
      </c>
      <c r="H3928" t="s">
        <v>27</v>
      </c>
      <c r="I3928" t="s">
        <v>31</v>
      </c>
    </row>
    <row r="3929" spans="1:9" x14ac:dyDescent="0.2">
      <c r="A3929" t="str">
        <f t="shared" si="308"/>
        <v>39417Vaipahu1855</v>
      </c>
      <c r="B3929" s="1">
        <v>39417</v>
      </c>
      <c r="C3929" t="s">
        <v>23</v>
      </c>
      <c r="D3929" s="19">
        <v>18</v>
      </c>
      <c r="E3929">
        <v>55</v>
      </c>
      <c r="F3929" t="s">
        <v>27</v>
      </c>
      <c r="G3929" t="s">
        <v>27</v>
      </c>
      <c r="H3929" t="s">
        <v>27</v>
      </c>
      <c r="I3929" t="s">
        <v>31</v>
      </c>
    </row>
    <row r="3930" spans="1:9" x14ac:dyDescent="0.2">
      <c r="A3930" t="str">
        <f t="shared" si="308"/>
        <v>39417Vaipahu1856</v>
      </c>
      <c r="B3930" s="1">
        <v>39417</v>
      </c>
      <c r="C3930" t="s">
        <v>23</v>
      </c>
      <c r="D3930" s="19">
        <v>18</v>
      </c>
      <c r="E3930">
        <v>56</v>
      </c>
      <c r="F3930" t="s">
        <v>27</v>
      </c>
      <c r="G3930" t="s">
        <v>27</v>
      </c>
      <c r="H3930" t="s">
        <v>27</v>
      </c>
      <c r="I3930" t="s">
        <v>31</v>
      </c>
    </row>
    <row r="3931" spans="1:9" x14ac:dyDescent="0.2">
      <c r="A3931" t="str">
        <f t="shared" si="308"/>
        <v>39417Vaipahu1857</v>
      </c>
      <c r="B3931" s="1">
        <v>39417</v>
      </c>
      <c r="C3931" t="s">
        <v>23</v>
      </c>
      <c r="D3931" s="19">
        <v>18</v>
      </c>
      <c r="E3931">
        <v>57</v>
      </c>
      <c r="F3931" t="s">
        <v>27</v>
      </c>
      <c r="G3931" t="s">
        <v>27</v>
      </c>
      <c r="H3931" t="s">
        <v>27</v>
      </c>
      <c r="I3931" t="s">
        <v>31</v>
      </c>
    </row>
    <row r="3932" spans="1:9" x14ac:dyDescent="0.2">
      <c r="A3932" t="str">
        <f t="shared" si="308"/>
        <v>39417Vaipahu1858</v>
      </c>
      <c r="B3932" s="1">
        <v>39417</v>
      </c>
      <c r="C3932" t="s">
        <v>23</v>
      </c>
      <c r="D3932" s="19">
        <v>18</v>
      </c>
      <c r="E3932">
        <v>58</v>
      </c>
      <c r="F3932" t="s">
        <v>27</v>
      </c>
      <c r="G3932" t="s">
        <v>27</v>
      </c>
      <c r="H3932" t="s">
        <v>27</v>
      </c>
      <c r="I3932" t="s">
        <v>31</v>
      </c>
    </row>
    <row r="3933" spans="1:9" x14ac:dyDescent="0.2">
      <c r="A3933" t="str">
        <f t="shared" si="308"/>
        <v>39417Vaipahu1859</v>
      </c>
      <c r="B3933" s="1">
        <v>39417</v>
      </c>
      <c r="C3933" t="s">
        <v>23</v>
      </c>
      <c r="D3933" s="19">
        <v>18</v>
      </c>
      <c r="E3933">
        <v>59</v>
      </c>
      <c r="F3933" t="s">
        <v>27</v>
      </c>
      <c r="G3933" t="s">
        <v>27</v>
      </c>
      <c r="H3933" t="s">
        <v>27</v>
      </c>
      <c r="I3933" t="s">
        <v>31</v>
      </c>
    </row>
    <row r="3934" spans="1:9" x14ac:dyDescent="0.2">
      <c r="A3934" t="str">
        <f t="shared" si="308"/>
        <v>39417Vaipahu1860</v>
      </c>
      <c r="B3934" s="1">
        <v>39417</v>
      </c>
      <c r="C3934" t="s">
        <v>23</v>
      </c>
      <c r="D3934" s="19">
        <v>18</v>
      </c>
      <c r="E3934">
        <v>60</v>
      </c>
      <c r="F3934" t="s">
        <v>27</v>
      </c>
      <c r="G3934" t="s">
        <v>27</v>
      </c>
      <c r="H3934" t="s">
        <v>27</v>
      </c>
      <c r="I3934" t="s">
        <v>31</v>
      </c>
    </row>
    <row r="3935" spans="1:9" x14ac:dyDescent="0.2">
      <c r="A3935" t="str">
        <f t="shared" si="308"/>
        <v>39417Tiahura661Autres</v>
      </c>
      <c r="B3935" s="1">
        <v>39417</v>
      </c>
      <c r="C3935" t="s">
        <v>24</v>
      </c>
      <c r="D3935" s="19">
        <v>6</v>
      </c>
      <c r="E3935">
        <v>61</v>
      </c>
      <c r="F3935" t="s">
        <v>14</v>
      </c>
      <c r="H3935">
        <v>0</v>
      </c>
    </row>
    <row r="3936" spans="1:9" x14ac:dyDescent="0.2">
      <c r="A3936" t="str">
        <f t="shared" si="308"/>
        <v>39417Tiahura662PocilloporidaeBords</v>
      </c>
      <c r="B3936" s="1">
        <v>39417</v>
      </c>
      <c r="C3936" t="s">
        <v>24</v>
      </c>
      <c r="D3936" s="19">
        <v>6</v>
      </c>
      <c r="E3936">
        <v>62</v>
      </c>
      <c r="F3936" t="s">
        <v>10</v>
      </c>
      <c r="G3936" t="s">
        <v>13</v>
      </c>
      <c r="H3936">
        <v>2</v>
      </c>
      <c r="I3936" t="s">
        <v>27</v>
      </c>
    </row>
    <row r="3937" spans="1:9" x14ac:dyDescent="0.2">
      <c r="A3937" t="str">
        <f t="shared" si="308"/>
        <v>39417Tiahura662PocilloporidaeDessous</v>
      </c>
      <c r="B3937" s="1">
        <v>39417</v>
      </c>
      <c r="C3937" t="s">
        <v>24</v>
      </c>
      <c r="D3937" s="19">
        <v>6</v>
      </c>
      <c r="E3937">
        <v>62</v>
      </c>
      <c r="F3937" t="s">
        <v>10</v>
      </c>
      <c r="G3937" t="s">
        <v>8</v>
      </c>
      <c r="H3937">
        <v>3</v>
      </c>
      <c r="I3937" t="s">
        <v>27</v>
      </c>
    </row>
    <row r="3938" spans="1:9" x14ac:dyDescent="0.2">
      <c r="A3938" t="str">
        <f t="shared" si="308"/>
        <v>39417Tiahura662PocilloporidaeDessus</v>
      </c>
      <c r="B3938" s="1">
        <v>39417</v>
      </c>
      <c r="C3938" t="s">
        <v>24</v>
      </c>
      <c r="D3938" s="19">
        <v>6</v>
      </c>
      <c r="E3938">
        <v>62</v>
      </c>
      <c r="F3938" t="s">
        <v>10</v>
      </c>
      <c r="G3938" t="s">
        <v>11</v>
      </c>
      <c r="H3938">
        <v>3</v>
      </c>
      <c r="I3938" t="s">
        <v>27</v>
      </c>
    </row>
    <row r="3939" spans="1:9" x14ac:dyDescent="0.2">
      <c r="A3939" t="str">
        <f t="shared" si="308"/>
        <v>39417Tiahura662PoritidaeDessous</v>
      </c>
      <c r="B3939" s="1">
        <v>39417</v>
      </c>
      <c r="C3939" t="s">
        <v>24</v>
      </c>
      <c r="D3939" s="19">
        <v>6</v>
      </c>
      <c r="E3939">
        <v>62</v>
      </c>
      <c r="F3939" t="s">
        <v>7</v>
      </c>
      <c r="G3939" t="s">
        <v>8</v>
      </c>
      <c r="H3939">
        <v>1</v>
      </c>
      <c r="I3939" t="s">
        <v>27</v>
      </c>
    </row>
    <row r="3940" spans="1:9" x14ac:dyDescent="0.2">
      <c r="A3940" t="str">
        <f t="shared" si="308"/>
        <v>39417Tiahura663CassésDessus</v>
      </c>
      <c r="B3940" s="1">
        <v>39417</v>
      </c>
      <c r="C3940" t="s">
        <v>24</v>
      </c>
      <c r="D3940" s="19">
        <v>6</v>
      </c>
      <c r="E3940">
        <v>63</v>
      </c>
      <c r="F3940" t="s">
        <v>12</v>
      </c>
      <c r="G3940" t="s">
        <v>11</v>
      </c>
      <c r="H3940">
        <v>1</v>
      </c>
      <c r="I3940" t="s">
        <v>27</v>
      </c>
    </row>
    <row r="3941" spans="1:9" x14ac:dyDescent="0.2">
      <c r="A3941" t="str">
        <f t="shared" si="308"/>
        <v>39417Tiahura663PocilloporidaeBords</v>
      </c>
      <c r="B3941" s="1">
        <v>39417</v>
      </c>
      <c r="C3941" t="s">
        <v>24</v>
      </c>
      <c r="D3941" s="19">
        <v>6</v>
      </c>
      <c r="E3941">
        <v>63</v>
      </c>
      <c r="F3941" t="s">
        <v>10</v>
      </c>
      <c r="G3941" t="s">
        <v>13</v>
      </c>
      <c r="H3941">
        <v>1</v>
      </c>
      <c r="I3941" t="s">
        <v>27</v>
      </c>
    </row>
    <row r="3942" spans="1:9" x14ac:dyDescent="0.2">
      <c r="A3942" t="str">
        <f t="shared" si="308"/>
        <v>39417Tiahura663PocilloporidaeDessus</v>
      </c>
      <c r="B3942" s="1">
        <v>39417</v>
      </c>
      <c r="C3942" t="s">
        <v>24</v>
      </c>
      <c r="D3942" s="19">
        <v>6</v>
      </c>
      <c r="E3942">
        <v>63</v>
      </c>
      <c r="F3942" t="s">
        <v>10</v>
      </c>
      <c r="G3942" t="s">
        <v>11</v>
      </c>
      <c r="H3942">
        <v>4</v>
      </c>
      <c r="I3942" t="s">
        <v>27</v>
      </c>
    </row>
    <row r="3943" spans="1:9" x14ac:dyDescent="0.2">
      <c r="A3943" t="str">
        <f t="shared" si="308"/>
        <v>39417Tiahura664CassésBords</v>
      </c>
      <c r="B3943" s="1">
        <v>39417</v>
      </c>
      <c r="C3943" t="s">
        <v>24</v>
      </c>
      <c r="D3943" s="19">
        <v>6</v>
      </c>
      <c r="E3943">
        <v>64</v>
      </c>
      <c r="F3943" t="s">
        <v>12</v>
      </c>
      <c r="G3943" t="s">
        <v>13</v>
      </c>
      <c r="H3943">
        <v>1</v>
      </c>
      <c r="I3943" t="s">
        <v>27</v>
      </c>
    </row>
    <row r="3944" spans="1:9" x14ac:dyDescent="0.2">
      <c r="A3944" t="str">
        <f t="shared" si="308"/>
        <v>39417Tiahura664PocilloporidaeBords</v>
      </c>
      <c r="B3944" s="1">
        <v>39417</v>
      </c>
      <c r="C3944" t="s">
        <v>24</v>
      </c>
      <c r="D3944" s="19">
        <v>6</v>
      </c>
      <c r="E3944">
        <v>64</v>
      </c>
      <c r="F3944" t="s">
        <v>10</v>
      </c>
      <c r="G3944" t="s">
        <v>13</v>
      </c>
      <c r="H3944">
        <v>10</v>
      </c>
      <c r="I3944" t="s">
        <v>27</v>
      </c>
    </row>
    <row r="3945" spans="1:9" x14ac:dyDescent="0.2">
      <c r="A3945" t="str">
        <f t="shared" si="308"/>
        <v>39417Tiahura664PocilloporidaeDessous</v>
      </c>
      <c r="B3945" s="1">
        <v>39417</v>
      </c>
      <c r="C3945" t="s">
        <v>24</v>
      </c>
      <c r="D3945" s="19">
        <v>6</v>
      </c>
      <c r="E3945">
        <v>64</v>
      </c>
      <c r="F3945" t="s">
        <v>10</v>
      </c>
      <c r="G3945" t="s">
        <v>8</v>
      </c>
      <c r="H3945">
        <v>1</v>
      </c>
      <c r="I3945" t="s">
        <v>27</v>
      </c>
    </row>
    <row r="3946" spans="1:9" x14ac:dyDescent="0.2">
      <c r="A3946" t="str">
        <f t="shared" si="308"/>
        <v>39417Tiahura664PocilloporidaeDessus</v>
      </c>
      <c r="B3946" s="1">
        <v>39417</v>
      </c>
      <c r="C3946" t="s">
        <v>24</v>
      </c>
      <c r="D3946" s="19">
        <v>6</v>
      </c>
      <c r="E3946">
        <v>64</v>
      </c>
      <c r="F3946" t="s">
        <v>10</v>
      </c>
      <c r="G3946" t="s">
        <v>11</v>
      </c>
      <c r="H3946">
        <v>4</v>
      </c>
      <c r="I3946" t="s">
        <v>27</v>
      </c>
    </row>
    <row r="3947" spans="1:9" x14ac:dyDescent="0.2">
      <c r="A3947" t="str">
        <f t="shared" si="308"/>
        <v>39417Tiahura665PocilloporidaeDessous</v>
      </c>
      <c r="B3947" s="1">
        <v>39417</v>
      </c>
      <c r="C3947" t="s">
        <v>24</v>
      </c>
      <c r="D3947" s="19">
        <v>6</v>
      </c>
      <c r="E3947">
        <v>65</v>
      </c>
      <c r="F3947" t="s">
        <v>10</v>
      </c>
      <c r="G3947" t="s">
        <v>8</v>
      </c>
      <c r="H3947">
        <v>9</v>
      </c>
      <c r="I3947" t="s">
        <v>27</v>
      </c>
    </row>
    <row r="3948" spans="1:9" x14ac:dyDescent="0.2">
      <c r="A3948" t="str">
        <f t="shared" si="308"/>
        <v>39417Tiahura666Autres</v>
      </c>
      <c r="B3948" s="1">
        <v>39417</v>
      </c>
      <c r="C3948" t="s">
        <v>24</v>
      </c>
      <c r="D3948" s="19">
        <v>6</v>
      </c>
      <c r="E3948">
        <v>66</v>
      </c>
      <c r="F3948" t="s">
        <v>14</v>
      </c>
      <c r="H3948">
        <v>0</v>
      </c>
    </row>
    <row r="3949" spans="1:9" x14ac:dyDescent="0.2">
      <c r="A3949" t="str">
        <f t="shared" si="308"/>
        <v>39417Tiahura667PocilloporidaeBords</v>
      </c>
      <c r="B3949" s="1">
        <v>39417</v>
      </c>
      <c r="C3949" t="s">
        <v>24</v>
      </c>
      <c r="D3949" s="19">
        <v>6</v>
      </c>
      <c r="E3949">
        <v>67</v>
      </c>
      <c r="F3949" t="s">
        <v>10</v>
      </c>
      <c r="G3949" t="s">
        <v>13</v>
      </c>
      <c r="H3949">
        <v>1</v>
      </c>
      <c r="I3949" t="s">
        <v>27</v>
      </c>
    </row>
    <row r="3950" spans="1:9" x14ac:dyDescent="0.2">
      <c r="A3950" t="str">
        <f t="shared" si="308"/>
        <v>39417Tiahura668Autres</v>
      </c>
      <c r="B3950" s="1">
        <v>39417</v>
      </c>
      <c r="C3950" t="s">
        <v>24</v>
      </c>
      <c r="D3950" s="19">
        <v>6</v>
      </c>
      <c r="E3950">
        <v>68</v>
      </c>
      <c r="F3950" t="s">
        <v>14</v>
      </c>
      <c r="H3950">
        <v>0</v>
      </c>
    </row>
    <row r="3951" spans="1:9" x14ac:dyDescent="0.2">
      <c r="A3951" t="str">
        <f t="shared" si="308"/>
        <v>39417Tiahura669PocilloporidaeDessous</v>
      </c>
      <c r="B3951" s="1">
        <v>39417</v>
      </c>
      <c r="C3951" t="s">
        <v>24</v>
      </c>
      <c r="D3951" s="19">
        <v>6</v>
      </c>
      <c r="E3951">
        <v>69</v>
      </c>
      <c r="F3951" t="s">
        <v>10</v>
      </c>
      <c r="G3951" t="s">
        <v>8</v>
      </c>
      <c r="H3951">
        <v>1</v>
      </c>
      <c r="I3951" t="s">
        <v>27</v>
      </c>
    </row>
    <row r="3952" spans="1:9" x14ac:dyDescent="0.2">
      <c r="A3952" t="str">
        <f t="shared" si="308"/>
        <v>39417Tiahura670PocilloporidaeDessous</v>
      </c>
      <c r="B3952" s="1">
        <v>39417</v>
      </c>
      <c r="C3952" t="s">
        <v>24</v>
      </c>
      <c r="D3952" s="19">
        <v>6</v>
      </c>
      <c r="E3952">
        <v>70</v>
      </c>
      <c r="F3952" t="s">
        <v>10</v>
      </c>
      <c r="G3952" t="s">
        <v>8</v>
      </c>
      <c r="H3952">
        <v>3</v>
      </c>
      <c r="I3952" t="s">
        <v>27</v>
      </c>
    </row>
    <row r="3953" spans="1:9" x14ac:dyDescent="0.2">
      <c r="A3953" t="str">
        <f t="shared" si="308"/>
        <v>39417Tiahura671</v>
      </c>
      <c r="B3953" s="1">
        <v>39417</v>
      </c>
      <c r="C3953" t="s">
        <v>24</v>
      </c>
      <c r="D3953" s="19">
        <v>6</v>
      </c>
      <c r="E3953">
        <v>71</v>
      </c>
      <c r="F3953" t="s">
        <v>27</v>
      </c>
      <c r="G3953" t="s">
        <v>27</v>
      </c>
      <c r="H3953" t="s">
        <v>27</v>
      </c>
      <c r="I3953" t="s">
        <v>31</v>
      </c>
    </row>
    <row r="3954" spans="1:9" x14ac:dyDescent="0.2">
      <c r="A3954" t="str">
        <f t="shared" si="308"/>
        <v>39417Tiahura672</v>
      </c>
      <c r="B3954" s="1">
        <v>39417</v>
      </c>
      <c r="C3954" t="s">
        <v>24</v>
      </c>
      <c r="D3954" s="19">
        <v>6</v>
      </c>
      <c r="E3954">
        <v>72</v>
      </c>
      <c r="F3954" t="s">
        <v>27</v>
      </c>
      <c r="G3954" t="s">
        <v>27</v>
      </c>
      <c r="H3954" t="s">
        <v>27</v>
      </c>
      <c r="I3954" t="s">
        <v>31</v>
      </c>
    </row>
    <row r="3955" spans="1:9" x14ac:dyDescent="0.2">
      <c r="A3955" t="str">
        <f t="shared" si="308"/>
        <v>39417Tiahura673</v>
      </c>
      <c r="B3955" s="1">
        <v>39417</v>
      </c>
      <c r="C3955" t="s">
        <v>24</v>
      </c>
      <c r="D3955" s="19">
        <v>6</v>
      </c>
      <c r="E3955">
        <v>73</v>
      </c>
      <c r="F3955" t="s">
        <v>27</v>
      </c>
      <c r="G3955" t="s">
        <v>27</v>
      </c>
      <c r="H3955" t="s">
        <v>27</v>
      </c>
      <c r="I3955" t="s">
        <v>31</v>
      </c>
    </row>
    <row r="3956" spans="1:9" x14ac:dyDescent="0.2">
      <c r="A3956" t="str">
        <f t="shared" si="308"/>
        <v>39417Tiahura674</v>
      </c>
      <c r="B3956" s="1">
        <v>39417</v>
      </c>
      <c r="C3956" t="s">
        <v>24</v>
      </c>
      <c r="D3956" s="19">
        <v>6</v>
      </c>
      <c r="E3956">
        <v>74</v>
      </c>
      <c r="F3956" t="s">
        <v>27</v>
      </c>
      <c r="G3956" t="s">
        <v>27</v>
      </c>
      <c r="H3956" t="s">
        <v>27</v>
      </c>
      <c r="I3956" t="s">
        <v>31</v>
      </c>
    </row>
    <row r="3957" spans="1:9" x14ac:dyDescent="0.2">
      <c r="A3957" t="str">
        <f t="shared" si="308"/>
        <v>39417Tiahura675</v>
      </c>
      <c r="B3957" s="1">
        <v>39417</v>
      </c>
      <c r="C3957" t="s">
        <v>24</v>
      </c>
      <c r="D3957" s="19">
        <v>6</v>
      </c>
      <c r="E3957">
        <v>75</v>
      </c>
      <c r="F3957" t="s">
        <v>27</v>
      </c>
      <c r="G3957" t="s">
        <v>27</v>
      </c>
      <c r="H3957" t="s">
        <v>27</v>
      </c>
      <c r="I3957" t="s">
        <v>31</v>
      </c>
    </row>
    <row r="3958" spans="1:9" x14ac:dyDescent="0.2">
      <c r="A3958" t="str">
        <f t="shared" si="308"/>
        <v>39417Tiahura676</v>
      </c>
      <c r="B3958" s="1">
        <v>39417</v>
      </c>
      <c r="C3958" t="s">
        <v>24</v>
      </c>
      <c r="D3958" s="19">
        <v>6</v>
      </c>
      <c r="E3958">
        <v>76</v>
      </c>
      <c r="F3958" t="s">
        <v>27</v>
      </c>
      <c r="G3958" t="s">
        <v>27</v>
      </c>
      <c r="H3958" t="s">
        <v>27</v>
      </c>
      <c r="I3958" t="s">
        <v>31</v>
      </c>
    </row>
    <row r="3959" spans="1:9" x14ac:dyDescent="0.2">
      <c r="A3959" t="str">
        <f t="shared" si="308"/>
        <v>39417Tiahura677</v>
      </c>
      <c r="B3959" s="1">
        <v>39417</v>
      </c>
      <c r="C3959" t="s">
        <v>24</v>
      </c>
      <c r="D3959" s="19">
        <v>6</v>
      </c>
      <c r="E3959">
        <v>77</v>
      </c>
      <c r="F3959" t="s">
        <v>27</v>
      </c>
      <c r="G3959" t="s">
        <v>27</v>
      </c>
      <c r="H3959" t="s">
        <v>27</v>
      </c>
      <c r="I3959" t="s">
        <v>31</v>
      </c>
    </row>
    <row r="3960" spans="1:9" x14ac:dyDescent="0.2">
      <c r="A3960" t="str">
        <f t="shared" si="308"/>
        <v>39417Tiahura678</v>
      </c>
      <c r="B3960" s="1">
        <v>39417</v>
      </c>
      <c r="C3960" t="s">
        <v>24</v>
      </c>
      <c r="D3960" s="19">
        <v>6</v>
      </c>
      <c r="E3960">
        <v>78</v>
      </c>
      <c r="F3960" t="s">
        <v>27</v>
      </c>
      <c r="G3960" t="s">
        <v>27</v>
      </c>
      <c r="H3960" t="s">
        <v>27</v>
      </c>
      <c r="I3960" t="s">
        <v>31</v>
      </c>
    </row>
    <row r="3961" spans="1:9" x14ac:dyDescent="0.2">
      <c r="A3961" t="str">
        <f t="shared" si="308"/>
        <v>39417Tiahura679</v>
      </c>
      <c r="B3961" s="1">
        <v>39417</v>
      </c>
      <c r="C3961" t="s">
        <v>24</v>
      </c>
      <c r="D3961" s="19">
        <v>6</v>
      </c>
      <c r="E3961">
        <v>79</v>
      </c>
      <c r="F3961" t="s">
        <v>27</v>
      </c>
      <c r="G3961" t="s">
        <v>27</v>
      </c>
      <c r="H3961" t="s">
        <v>27</v>
      </c>
      <c r="I3961" t="s">
        <v>31</v>
      </c>
    </row>
    <row r="3962" spans="1:9" x14ac:dyDescent="0.2">
      <c r="A3962" t="str">
        <f t="shared" si="308"/>
        <v>39417Tiahura680</v>
      </c>
      <c r="B3962" s="1">
        <v>39417</v>
      </c>
      <c r="C3962" t="s">
        <v>24</v>
      </c>
      <c r="D3962" s="19">
        <v>6</v>
      </c>
      <c r="E3962">
        <v>80</v>
      </c>
      <c r="F3962" t="s">
        <v>27</v>
      </c>
      <c r="G3962" t="s">
        <v>27</v>
      </c>
      <c r="H3962" t="s">
        <v>27</v>
      </c>
      <c r="I3962" t="s">
        <v>31</v>
      </c>
    </row>
    <row r="3963" spans="1:9" x14ac:dyDescent="0.2">
      <c r="A3963" t="str">
        <f t="shared" si="308"/>
        <v>39417Tiahura1281AcroporidaeBords</v>
      </c>
      <c r="B3963" s="1">
        <v>39417</v>
      </c>
      <c r="C3963" t="s">
        <v>24</v>
      </c>
      <c r="D3963" s="19">
        <v>12</v>
      </c>
      <c r="E3963">
        <v>81</v>
      </c>
      <c r="F3963" t="s">
        <v>17</v>
      </c>
      <c r="G3963" t="s">
        <v>13</v>
      </c>
      <c r="H3963">
        <v>1</v>
      </c>
      <c r="I3963" t="s">
        <v>27</v>
      </c>
    </row>
    <row r="3964" spans="1:9" x14ac:dyDescent="0.2">
      <c r="A3964" t="str">
        <f t="shared" si="308"/>
        <v>39417Tiahura1281PocilloporidaeBords</v>
      </c>
      <c r="B3964" s="1">
        <v>39417</v>
      </c>
      <c r="C3964" t="s">
        <v>24</v>
      </c>
      <c r="D3964" s="19">
        <v>12</v>
      </c>
      <c r="E3964">
        <v>81</v>
      </c>
      <c r="F3964" t="s">
        <v>10</v>
      </c>
      <c r="G3964" t="s">
        <v>13</v>
      </c>
      <c r="H3964">
        <v>4</v>
      </c>
      <c r="I3964" t="s">
        <v>27</v>
      </c>
    </row>
    <row r="3965" spans="1:9" x14ac:dyDescent="0.2">
      <c r="A3965" t="str">
        <f t="shared" si="308"/>
        <v>39417Tiahura1282PocilloporidaeBords</v>
      </c>
      <c r="B3965" s="1">
        <v>39417</v>
      </c>
      <c r="C3965" t="s">
        <v>24</v>
      </c>
      <c r="D3965" s="19">
        <v>12</v>
      </c>
      <c r="E3965">
        <v>82</v>
      </c>
      <c r="F3965" t="s">
        <v>10</v>
      </c>
      <c r="G3965" t="s">
        <v>13</v>
      </c>
      <c r="H3965">
        <v>2</v>
      </c>
      <c r="I3965" t="s">
        <v>27</v>
      </c>
    </row>
    <row r="3966" spans="1:9" x14ac:dyDescent="0.2">
      <c r="A3966" t="str">
        <f t="shared" si="308"/>
        <v>39417Tiahura1282PoritidaeBords</v>
      </c>
      <c r="B3966" s="1">
        <v>39417</v>
      </c>
      <c r="C3966" t="s">
        <v>24</v>
      </c>
      <c r="D3966" s="19">
        <v>12</v>
      </c>
      <c r="E3966">
        <v>82</v>
      </c>
      <c r="F3966" t="s">
        <v>7</v>
      </c>
      <c r="G3966" t="s">
        <v>13</v>
      </c>
      <c r="H3966">
        <v>1</v>
      </c>
      <c r="I3966" t="s">
        <v>27</v>
      </c>
    </row>
    <row r="3967" spans="1:9" x14ac:dyDescent="0.2">
      <c r="A3967" t="str">
        <f t="shared" ref="A3967:A4030" si="309">B3967 &amp; C3967&amp; D3967&amp; E3967 &amp; F3967 &amp;G3967</f>
        <v>39417Tiahura1283Autres</v>
      </c>
      <c r="B3967" s="1">
        <v>39417</v>
      </c>
      <c r="C3967" t="s">
        <v>24</v>
      </c>
      <c r="D3967" s="19">
        <v>12</v>
      </c>
      <c r="E3967">
        <v>83</v>
      </c>
      <c r="F3967" t="s">
        <v>14</v>
      </c>
      <c r="H3967">
        <v>0</v>
      </c>
    </row>
    <row r="3968" spans="1:9" x14ac:dyDescent="0.2">
      <c r="A3968" t="str">
        <f t="shared" si="309"/>
        <v>39417Tiahura1284PocilloporidaeBords</v>
      </c>
      <c r="B3968" s="1">
        <v>39417</v>
      </c>
      <c r="C3968" t="s">
        <v>24</v>
      </c>
      <c r="D3968" s="19">
        <v>12</v>
      </c>
      <c r="E3968">
        <v>84</v>
      </c>
      <c r="F3968" t="s">
        <v>10</v>
      </c>
      <c r="G3968" t="s">
        <v>13</v>
      </c>
      <c r="H3968">
        <v>1</v>
      </c>
      <c r="I3968" t="s">
        <v>27</v>
      </c>
    </row>
    <row r="3969" spans="1:9" x14ac:dyDescent="0.2">
      <c r="A3969" t="str">
        <f t="shared" si="309"/>
        <v>39417Tiahura1285PocilloporidaeDessous</v>
      </c>
      <c r="B3969" s="1">
        <v>39417</v>
      </c>
      <c r="C3969" t="s">
        <v>24</v>
      </c>
      <c r="D3969" s="19">
        <v>12</v>
      </c>
      <c r="E3969">
        <v>85</v>
      </c>
      <c r="F3969" t="s">
        <v>10</v>
      </c>
      <c r="G3969" t="s">
        <v>8</v>
      </c>
      <c r="H3969">
        <v>1</v>
      </c>
      <c r="I3969" t="s">
        <v>27</v>
      </c>
    </row>
    <row r="3970" spans="1:9" x14ac:dyDescent="0.2">
      <c r="A3970" t="str">
        <f t="shared" si="309"/>
        <v>39417Tiahura1285PoritidaeDessous</v>
      </c>
      <c r="B3970" s="1">
        <v>39417</v>
      </c>
      <c r="C3970" t="s">
        <v>24</v>
      </c>
      <c r="D3970" s="19">
        <v>12</v>
      </c>
      <c r="E3970">
        <v>85</v>
      </c>
      <c r="F3970" t="s">
        <v>7</v>
      </c>
      <c r="G3970" t="s">
        <v>8</v>
      </c>
      <c r="H3970">
        <v>2</v>
      </c>
      <c r="I3970" t="s">
        <v>27</v>
      </c>
    </row>
    <row r="3971" spans="1:9" x14ac:dyDescent="0.2">
      <c r="A3971" t="str">
        <f t="shared" si="309"/>
        <v>39417Tiahura1286PocilloporidaeDessous</v>
      </c>
      <c r="B3971" s="1">
        <v>39417</v>
      </c>
      <c r="C3971" t="s">
        <v>24</v>
      </c>
      <c r="D3971" s="19">
        <v>12</v>
      </c>
      <c r="E3971">
        <v>86</v>
      </c>
      <c r="F3971" t="s">
        <v>10</v>
      </c>
      <c r="G3971" t="s">
        <v>8</v>
      </c>
      <c r="H3971">
        <v>1</v>
      </c>
      <c r="I3971" t="s">
        <v>27</v>
      </c>
    </row>
    <row r="3972" spans="1:9" x14ac:dyDescent="0.2">
      <c r="A3972" t="str">
        <f t="shared" si="309"/>
        <v>39417Tiahura1287AutresBords</v>
      </c>
      <c r="B3972" s="1">
        <v>39417</v>
      </c>
      <c r="C3972" t="s">
        <v>24</v>
      </c>
      <c r="D3972" s="19">
        <v>12</v>
      </c>
      <c r="E3972">
        <v>87</v>
      </c>
      <c r="F3972" t="s">
        <v>14</v>
      </c>
      <c r="G3972" t="s">
        <v>13</v>
      </c>
      <c r="H3972">
        <v>1</v>
      </c>
      <c r="I3972" t="s">
        <v>27</v>
      </c>
    </row>
    <row r="3973" spans="1:9" x14ac:dyDescent="0.2">
      <c r="A3973" t="str">
        <f t="shared" si="309"/>
        <v>39417Tiahura1287AutresDessous</v>
      </c>
      <c r="B3973" s="1">
        <v>39417</v>
      </c>
      <c r="C3973" t="s">
        <v>24</v>
      </c>
      <c r="D3973" s="19">
        <v>12</v>
      </c>
      <c r="E3973">
        <v>87</v>
      </c>
      <c r="F3973" t="s">
        <v>14</v>
      </c>
      <c r="G3973" t="s">
        <v>8</v>
      </c>
      <c r="H3973">
        <v>1</v>
      </c>
      <c r="I3973" t="s">
        <v>27</v>
      </c>
    </row>
    <row r="3974" spans="1:9" x14ac:dyDescent="0.2">
      <c r="A3974" t="str">
        <f t="shared" si="309"/>
        <v>39417Tiahura1287CassésDessous</v>
      </c>
      <c r="B3974" s="1">
        <v>39417</v>
      </c>
      <c r="C3974" t="s">
        <v>24</v>
      </c>
      <c r="D3974" s="19">
        <v>12</v>
      </c>
      <c r="E3974">
        <v>87</v>
      </c>
      <c r="F3974" t="s">
        <v>12</v>
      </c>
      <c r="G3974" t="s">
        <v>8</v>
      </c>
      <c r="H3974">
        <v>1</v>
      </c>
      <c r="I3974" t="s">
        <v>27</v>
      </c>
    </row>
    <row r="3975" spans="1:9" x14ac:dyDescent="0.2">
      <c r="A3975" t="str">
        <f t="shared" si="309"/>
        <v>39417Tiahura1288PocilloporidaeBords</v>
      </c>
      <c r="B3975" s="1">
        <v>39417</v>
      </c>
      <c r="C3975" t="s">
        <v>24</v>
      </c>
      <c r="D3975" s="19">
        <v>12</v>
      </c>
      <c r="E3975">
        <v>88</v>
      </c>
      <c r="F3975" t="s">
        <v>10</v>
      </c>
      <c r="G3975" t="s">
        <v>13</v>
      </c>
      <c r="H3975">
        <v>1</v>
      </c>
      <c r="I3975" t="s">
        <v>27</v>
      </c>
    </row>
    <row r="3976" spans="1:9" x14ac:dyDescent="0.2">
      <c r="A3976" t="str">
        <f t="shared" si="309"/>
        <v>39417Tiahura1288PocilloporidaeDessous</v>
      </c>
      <c r="B3976" s="1">
        <v>39417</v>
      </c>
      <c r="C3976" t="s">
        <v>24</v>
      </c>
      <c r="D3976" s="19">
        <v>12</v>
      </c>
      <c r="E3976">
        <v>88</v>
      </c>
      <c r="F3976" t="s">
        <v>10</v>
      </c>
      <c r="G3976" t="s">
        <v>8</v>
      </c>
      <c r="H3976">
        <v>2</v>
      </c>
      <c r="I3976" t="s">
        <v>27</v>
      </c>
    </row>
    <row r="3977" spans="1:9" x14ac:dyDescent="0.2">
      <c r="A3977" t="str">
        <f t="shared" si="309"/>
        <v>39417Tiahura1289PocilloporidaeDessous</v>
      </c>
      <c r="B3977" s="1">
        <v>39417</v>
      </c>
      <c r="C3977" t="s">
        <v>24</v>
      </c>
      <c r="D3977" s="19">
        <v>12</v>
      </c>
      <c r="E3977">
        <v>89</v>
      </c>
      <c r="F3977" t="s">
        <v>10</v>
      </c>
      <c r="G3977" t="s">
        <v>8</v>
      </c>
      <c r="H3977">
        <v>1</v>
      </c>
      <c r="I3977" t="s">
        <v>27</v>
      </c>
    </row>
    <row r="3978" spans="1:9" x14ac:dyDescent="0.2">
      <c r="A3978" t="str">
        <f t="shared" si="309"/>
        <v>39417Tiahura1290CassésDessus</v>
      </c>
      <c r="B3978" s="1">
        <v>39417</v>
      </c>
      <c r="C3978" t="s">
        <v>24</v>
      </c>
      <c r="D3978" s="19">
        <v>12</v>
      </c>
      <c r="E3978">
        <v>90</v>
      </c>
      <c r="F3978" t="s">
        <v>12</v>
      </c>
      <c r="G3978" t="s">
        <v>11</v>
      </c>
      <c r="H3978">
        <v>1</v>
      </c>
      <c r="I3978" t="s">
        <v>27</v>
      </c>
    </row>
    <row r="3979" spans="1:9" x14ac:dyDescent="0.2">
      <c r="A3979" t="str">
        <f t="shared" si="309"/>
        <v>39417Tiahura1290PocilloporidaeDessus</v>
      </c>
      <c r="B3979" s="1">
        <v>39417</v>
      </c>
      <c r="C3979" t="s">
        <v>24</v>
      </c>
      <c r="D3979" s="19">
        <v>12</v>
      </c>
      <c r="E3979">
        <v>90</v>
      </c>
      <c r="F3979" t="s">
        <v>10</v>
      </c>
      <c r="G3979" t="s">
        <v>11</v>
      </c>
      <c r="H3979">
        <v>1</v>
      </c>
      <c r="I3979" t="s">
        <v>27</v>
      </c>
    </row>
    <row r="3980" spans="1:9" x14ac:dyDescent="0.2">
      <c r="A3980" t="str">
        <f t="shared" si="309"/>
        <v>39417Tiahura1291</v>
      </c>
      <c r="B3980" s="1">
        <v>39417</v>
      </c>
      <c r="C3980" t="s">
        <v>24</v>
      </c>
      <c r="D3980" s="19">
        <v>12</v>
      </c>
      <c r="E3980">
        <v>91</v>
      </c>
      <c r="F3980" t="s">
        <v>27</v>
      </c>
      <c r="G3980" t="s">
        <v>27</v>
      </c>
      <c r="H3980" t="s">
        <v>27</v>
      </c>
      <c r="I3980" t="s">
        <v>31</v>
      </c>
    </row>
    <row r="3981" spans="1:9" x14ac:dyDescent="0.2">
      <c r="A3981" t="str">
        <f t="shared" si="309"/>
        <v>39417Tiahura1292</v>
      </c>
      <c r="B3981" s="1">
        <v>39417</v>
      </c>
      <c r="C3981" t="s">
        <v>24</v>
      </c>
      <c r="D3981" s="19">
        <v>12</v>
      </c>
      <c r="E3981">
        <v>92</v>
      </c>
      <c r="F3981" t="s">
        <v>27</v>
      </c>
      <c r="G3981" t="s">
        <v>27</v>
      </c>
      <c r="H3981" t="s">
        <v>27</v>
      </c>
      <c r="I3981" t="s">
        <v>31</v>
      </c>
    </row>
    <row r="3982" spans="1:9" x14ac:dyDescent="0.2">
      <c r="A3982" t="str">
        <f t="shared" si="309"/>
        <v>39417Tiahura1293</v>
      </c>
      <c r="B3982" s="1">
        <v>39417</v>
      </c>
      <c r="C3982" t="s">
        <v>24</v>
      </c>
      <c r="D3982" s="19">
        <v>12</v>
      </c>
      <c r="E3982">
        <v>93</v>
      </c>
      <c r="F3982" t="s">
        <v>27</v>
      </c>
      <c r="G3982" t="s">
        <v>27</v>
      </c>
      <c r="H3982" t="s">
        <v>27</v>
      </c>
      <c r="I3982" t="s">
        <v>31</v>
      </c>
    </row>
    <row r="3983" spans="1:9" x14ac:dyDescent="0.2">
      <c r="A3983" t="str">
        <f t="shared" si="309"/>
        <v>39417Tiahura1294</v>
      </c>
      <c r="B3983" s="1">
        <v>39417</v>
      </c>
      <c r="C3983" t="s">
        <v>24</v>
      </c>
      <c r="D3983" s="19">
        <v>12</v>
      </c>
      <c r="E3983">
        <v>94</v>
      </c>
      <c r="F3983" t="s">
        <v>27</v>
      </c>
      <c r="G3983" t="s">
        <v>27</v>
      </c>
      <c r="H3983" t="s">
        <v>27</v>
      </c>
      <c r="I3983" t="s">
        <v>31</v>
      </c>
    </row>
    <row r="3984" spans="1:9" x14ac:dyDescent="0.2">
      <c r="A3984" t="str">
        <f t="shared" si="309"/>
        <v>39417Tiahura1295</v>
      </c>
      <c r="B3984" s="1">
        <v>39417</v>
      </c>
      <c r="C3984" t="s">
        <v>24</v>
      </c>
      <c r="D3984" s="19">
        <v>12</v>
      </c>
      <c r="E3984">
        <v>95</v>
      </c>
      <c r="F3984" t="s">
        <v>27</v>
      </c>
      <c r="G3984" t="s">
        <v>27</v>
      </c>
      <c r="H3984" t="s">
        <v>27</v>
      </c>
      <c r="I3984" t="s">
        <v>31</v>
      </c>
    </row>
    <row r="3985" spans="1:9" x14ac:dyDescent="0.2">
      <c r="A3985" t="str">
        <f t="shared" si="309"/>
        <v>39417Tiahura1296</v>
      </c>
      <c r="B3985" s="1">
        <v>39417</v>
      </c>
      <c r="C3985" t="s">
        <v>24</v>
      </c>
      <c r="D3985" s="19">
        <v>12</v>
      </c>
      <c r="E3985">
        <v>96</v>
      </c>
      <c r="F3985" t="s">
        <v>27</v>
      </c>
      <c r="G3985" t="s">
        <v>27</v>
      </c>
      <c r="H3985" t="s">
        <v>27</v>
      </c>
      <c r="I3985" t="s">
        <v>31</v>
      </c>
    </row>
    <row r="3986" spans="1:9" x14ac:dyDescent="0.2">
      <c r="A3986" t="str">
        <f t="shared" si="309"/>
        <v>39417Tiahura1297</v>
      </c>
      <c r="B3986" s="1">
        <v>39417</v>
      </c>
      <c r="C3986" t="s">
        <v>24</v>
      </c>
      <c r="D3986" s="19">
        <v>12</v>
      </c>
      <c r="E3986">
        <v>97</v>
      </c>
      <c r="F3986" t="s">
        <v>27</v>
      </c>
      <c r="G3986" t="s">
        <v>27</v>
      </c>
      <c r="H3986" t="s">
        <v>27</v>
      </c>
      <c r="I3986" t="s">
        <v>31</v>
      </c>
    </row>
    <row r="3987" spans="1:9" x14ac:dyDescent="0.2">
      <c r="A3987" t="str">
        <f t="shared" si="309"/>
        <v>39417Tiahura1298</v>
      </c>
      <c r="B3987" s="1">
        <v>39417</v>
      </c>
      <c r="C3987" t="s">
        <v>24</v>
      </c>
      <c r="D3987" s="19">
        <v>12</v>
      </c>
      <c r="E3987">
        <v>98</v>
      </c>
      <c r="F3987" t="s">
        <v>27</v>
      </c>
      <c r="G3987" t="s">
        <v>27</v>
      </c>
      <c r="H3987" t="s">
        <v>27</v>
      </c>
      <c r="I3987" t="s">
        <v>31</v>
      </c>
    </row>
    <row r="3988" spans="1:9" x14ac:dyDescent="0.2">
      <c r="A3988" t="str">
        <f t="shared" si="309"/>
        <v>39417Tiahura1299</v>
      </c>
      <c r="B3988" s="1">
        <v>39417</v>
      </c>
      <c r="C3988" t="s">
        <v>24</v>
      </c>
      <c r="D3988" s="19">
        <v>12</v>
      </c>
      <c r="E3988">
        <v>99</v>
      </c>
      <c r="F3988" t="s">
        <v>27</v>
      </c>
      <c r="G3988" t="s">
        <v>27</v>
      </c>
      <c r="H3988" t="s">
        <v>27</v>
      </c>
      <c r="I3988" t="s">
        <v>31</v>
      </c>
    </row>
    <row r="3989" spans="1:9" x14ac:dyDescent="0.2">
      <c r="A3989" t="str">
        <f t="shared" si="309"/>
        <v>39417Tiahura12100</v>
      </c>
      <c r="B3989" s="1">
        <v>39417</v>
      </c>
      <c r="C3989" t="s">
        <v>24</v>
      </c>
      <c r="D3989" s="19">
        <v>12</v>
      </c>
      <c r="E3989">
        <v>100</v>
      </c>
      <c r="F3989" t="s">
        <v>27</v>
      </c>
      <c r="G3989" t="s">
        <v>27</v>
      </c>
      <c r="H3989" t="s">
        <v>27</v>
      </c>
      <c r="I3989" t="s">
        <v>31</v>
      </c>
    </row>
    <row r="3990" spans="1:9" x14ac:dyDescent="0.2">
      <c r="A3990" t="str">
        <f t="shared" si="309"/>
        <v>39417Tiahura18101PocilloporidaeBords</v>
      </c>
      <c r="B3990" s="1">
        <v>39417</v>
      </c>
      <c r="C3990" t="s">
        <v>24</v>
      </c>
      <c r="D3990" s="19">
        <v>18</v>
      </c>
      <c r="E3990">
        <v>101</v>
      </c>
      <c r="F3990" t="s">
        <v>10</v>
      </c>
      <c r="G3990" t="s">
        <v>13</v>
      </c>
      <c r="H3990">
        <v>1</v>
      </c>
      <c r="I3990" t="s">
        <v>27</v>
      </c>
    </row>
    <row r="3991" spans="1:9" x14ac:dyDescent="0.2">
      <c r="A3991" t="str">
        <f t="shared" si="309"/>
        <v>39417Tiahura18102Autres</v>
      </c>
      <c r="B3991" s="1">
        <v>39417</v>
      </c>
      <c r="C3991" t="s">
        <v>24</v>
      </c>
      <c r="D3991" s="19">
        <v>18</v>
      </c>
      <c r="E3991">
        <v>102</v>
      </c>
      <c r="F3991" t="s">
        <v>14</v>
      </c>
      <c r="H3991">
        <v>0</v>
      </c>
    </row>
    <row r="3992" spans="1:9" x14ac:dyDescent="0.2">
      <c r="A3992" t="str">
        <f t="shared" si="309"/>
        <v>39417Tiahura18103PocilloporidaeBords</v>
      </c>
      <c r="B3992" s="1">
        <v>39417</v>
      </c>
      <c r="C3992" t="s">
        <v>24</v>
      </c>
      <c r="D3992" s="19">
        <v>18</v>
      </c>
      <c r="E3992">
        <v>103</v>
      </c>
      <c r="F3992" t="s">
        <v>10</v>
      </c>
      <c r="G3992" t="s">
        <v>13</v>
      </c>
      <c r="H3992">
        <v>1</v>
      </c>
      <c r="I3992" t="s">
        <v>27</v>
      </c>
    </row>
    <row r="3993" spans="1:9" x14ac:dyDescent="0.2">
      <c r="A3993" t="str">
        <f t="shared" si="309"/>
        <v>39417Tiahura18103PoritidaeBords</v>
      </c>
      <c r="B3993" s="1">
        <v>39417</v>
      </c>
      <c r="C3993" t="s">
        <v>24</v>
      </c>
      <c r="D3993" s="19">
        <v>18</v>
      </c>
      <c r="E3993">
        <v>103</v>
      </c>
      <c r="F3993" t="s">
        <v>7</v>
      </c>
      <c r="G3993" t="s">
        <v>13</v>
      </c>
      <c r="H3993">
        <v>1</v>
      </c>
      <c r="I3993" t="s">
        <v>27</v>
      </c>
    </row>
    <row r="3994" spans="1:9" x14ac:dyDescent="0.2">
      <c r="A3994" t="str">
        <f t="shared" si="309"/>
        <v>39417Tiahura18104PocilloporidaeDessous</v>
      </c>
      <c r="B3994" s="1">
        <v>39417</v>
      </c>
      <c r="C3994" t="s">
        <v>24</v>
      </c>
      <c r="D3994" s="19">
        <v>18</v>
      </c>
      <c r="E3994">
        <v>104</v>
      </c>
      <c r="F3994" t="s">
        <v>10</v>
      </c>
      <c r="G3994" t="s">
        <v>8</v>
      </c>
      <c r="H3994">
        <v>1</v>
      </c>
      <c r="I3994" t="s">
        <v>27</v>
      </c>
    </row>
    <row r="3995" spans="1:9" x14ac:dyDescent="0.2">
      <c r="A3995" t="str">
        <f t="shared" si="309"/>
        <v>39417Tiahura18105AcroporidaeBords</v>
      </c>
      <c r="B3995" s="1">
        <v>39417</v>
      </c>
      <c r="C3995" t="s">
        <v>24</v>
      </c>
      <c r="D3995" s="19">
        <v>18</v>
      </c>
      <c r="E3995">
        <v>105</v>
      </c>
      <c r="F3995" t="s">
        <v>17</v>
      </c>
      <c r="G3995" t="s">
        <v>13</v>
      </c>
      <c r="H3995">
        <v>1</v>
      </c>
      <c r="I3995" t="s">
        <v>27</v>
      </c>
    </row>
    <row r="3996" spans="1:9" x14ac:dyDescent="0.2">
      <c r="A3996" t="str">
        <f t="shared" si="309"/>
        <v>39417Tiahura18106Autres</v>
      </c>
      <c r="B3996" s="1">
        <v>39417</v>
      </c>
      <c r="C3996" t="s">
        <v>24</v>
      </c>
      <c r="D3996" s="19">
        <v>18</v>
      </c>
      <c r="E3996">
        <v>106</v>
      </c>
      <c r="F3996" t="s">
        <v>14</v>
      </c>
      <c r="H3996">
        <v>0</v>
      </c>
    </row>
    <row r="3997" spans="1:9" x14ac:dyDescent="0.2">
      <c r="A3997" t="str">
        <f t="shared" si="309"/>
        <v>39417Tiahura18107PocilloporidaeBords</v>
      </c>
      <c r="B3997" s="1">
        <v>39417</v>
      </c>
      <c r="C3997" t="s">
        <v>24</v>
      </c>
      <c r="D3997" s="19">
        <v>18</v>
      </c>
      <c r="E3997">
        <v>107</v>
      </c>
      <c r="F3997" t="s">
        <v>10</v>
      </c>
      <c r="G3997" t="s">
        <v>13</v>
      </c>
      <c r="H3997">
        <v>3</v>
      </c>
      <c r="I3997" t="s">
        <v>27</v>
      </c>
    </row>
    <row r="3998" spans="1:9" x14ac:dyDescent="0.2">
      <c r="A3998" t="str">
        <f t="shared" si="309"/>
        <v>39417Tiahura18108Autres</v>
      </c>
      <c r="B3998" s="1">
        <v>39417</v>
      </c>
      <c r="C3998" t="s">
        <v>24</v>
      </c>
      <c r="D3998" s="19">
        <v>18</v>
      </c>
      <c r="E3998">
        <v>108</v>
      </c>
      <c r="F3998" t="s">
        <v>14</v>
      </c>
      <c r="H3998">
        <v>0</v>
      </c>
    </row>
    <row r="3999" spans="1:9" x14ac:dyDescent="0.2">
      <c r="A3999" t="str">
        <f t="shared" si="309"/>
        <v>39417Tiahura18109Autres</v>
      </c>
      <c r="B3999" s="1">
        <v>39417</v>
      </c>
      <c r="C3999" t="s">
        <v>24</v>
      </c>
      <c r="D3999" s="19">
        <v>18</v>
      </c>
      <c r="E3999">
        <v>109</v>
      </c>
      <c r="F3999" t="s">
        <v>14</v>
      </c>
      <c r="H3999">
        <v>0</v>
      </c>
    </row>
    <row r="4000" spans="1:9" x14ac:dyDescent="0.2">
      <c r="A4000" t="str">
        <f t="shared" si="309"/>
        <v>39417Tiahura18110Autres</v>
      </c>
      <c r="B4000" s="1">
        <v>39417</v>
      </c>
      <c r="C4000" t="s">
        <v>24</v>
      </c>
      <c r="D4000" s="19">
        <v>18</v>
      </c>
      <c r="E4000">
        <v>110</v>
      </c>
      <c r="F4000" t="s">
        <v>14</v>
      </c>
      <c r="H4000">
        <v>0</v>
      </c>
    </row>
    <row r="4001" spans="1:9" x14ac:dyDescent="0.2">
      <c r="A4001" t="str">
        <f t="shared" si="309"/>
        <v>39417Tiahura18111</v>
      </c>
      <c r="B4001" s="1">
        <v>39417</v>
      </c>
      <c r="C4001" t="s">
        <v>24</v>
      </c>
      <c r="D4001" s="19">
        <v>18</v>
      </c>
      <c r="E4001">
        <v>111</v>
      </c>
      <c r="F4001" t="s">
        <v>27</v>
      </c>
      <c r="G4001" t="s">
        <v>27</v>
      </c>
      <c r="H4001" t="s">
        <v>27</v>
      </c>
      <c r="I4001" t="s">
        <v>31</v>
      </c>
    </row>
    <row r="4002" spans="1:9" x14ac:dyDescent="0.2">
      <c r="A4002" t="str">
        <f t="shared" si="309"/>
        <v>39417Tiahura18112</v>
      </c>
      <c r="B4002" s="1">
        <v>39417</v>
      </c>
      <c r="C4002" t="s">
        <v>24</v>
      </c>
      <c r="D4002" s="19">
        <v>18</v>
      </c>
      <c r="E4002">
        <v>112</v>
      </c>
      <c r="F4002" t="s">
        <v>27</v>
      </c>
      <c r="G4002" t="s">
        <v>27</v>
      </c>
      <c r="H4002" t="s">
        <v>27</v>
      </c>
      <c r="I4002" t="s">
        <v>31</v>
      </c>
    </row>
    <row r="4003" spans="1:9" x14ac:dyDescent="0.2">
      <c r="A4003" t="str">
        <f t="shared" si="309"/>
        <v>39417Tiahura18113</v>
      </c>
      <c r="B4003" s="1">
        <v>39417</v>
      </c>
      <c r="C4003" t="s">
        <v>24</v>
      </c>
      <c r="D4003" s="19">
        <v>18</v>
      </c>
      <c r="E4003">
        <v>113</v>
      </c>
      <c r="F4003" t="s">
        <v>27</v>
      </c>
      <c r="G4003" t="s">
        <v>27</v>
      </c>
      <c r="H4003" t="s">
        <v>27</v>
      </c>
      <c r="I4003" t="s">
        <v>31</v>
      </c>
    </row>
    <row r="4004" spans="1:9" x14ac:dyDescent="0.2">
      <c r="A4004" t="str">
        <f t="shared" si="309"/>
        <v>39417Tiahura18114</v>
      </c>
      <c r="B4004" s="1">
        <v>39417</v>
      </c>
      <c r="C4004" t="s">
        <v>24</v>
      </c>
      <c r="D4004" s="19">
        <v>18</v>
      </c>
      <c r="E4004">
        <v>114</v>
      </c>
      <c r="F4004" t="s">
        <v>27</v>
      </c>
      <c r="G4004" t="s">
        <v>27</v>
      </c>
      <c r="H4004" t="s">
        <v>27</v>
      </c>
      <c r="I4004" t="s">
        <v>31</v>
      </c>
    </row>
    <row r="4005" spans="1:9" x14ac:dyDescent="0.2">
      <c r="A4005" t="str">
        <f t="shared" si="309"/>
        <v>39417Tiahura18115</v>
      </c>
      <c r="B4005" s="1">
        <v>39417</v>
      </c>
      <c r="C4005" t="s">
        <v>24</v>
      </c>
      <c r="D4005" s="19">
        <v>18</v>
      </c>
      <c r="E4005">
        <v>115</v>
      </c>
      <c r="F4005" t="s">
        <v>27</v>
      </c>
      <c r="G4005" t="s">
        <v>27</v>
      </c>
      <c r="H4005" t="s">
        <v>27</v>
      </c>
      <c r="I4005" t="s">
        <v>31</v>
      </c>
    </row>
    <row r="4006" spans="1:9" x14ac:dyDescent="0.2">
      <c r="A4006" t="str">
        <f t="shared" si="309"/>
        <v>39417Tiahura18116</v>
      </c>
      <c r="B4006" s="1">
        <v>39417</v>
      </c>
      <c r="C4006" t="s">
        <v>24</v>
      </c>
      <c r="D4006" s="19">
        <v>18</v>
      </c>
      <c r="E4006">
        <v>116</v>
      </c>
      <c r="F4006" t="s">
        <v>27</v>
      </c>
      <c r="G4006" t="s">
        <v>27</v>
      </c>
      <c r="H4006" t="s">
        <v>27</v>
      </c>
      <c r="I4006" t="s">
        <v>31</v>
      </c>
    </row>
    <row r="4007" spans="1:9" x14ac:dyDescent="0.2">
      <c r="A4007" t="str">
        <f t="shared" si="309"/>
        <v>39417Tiahura18117</v>
      </c>
      <c r="B4007" s="1">
        <v>39417</v>
      </c>
      <c r="C4007" t="s">
        <v>24</v>
      </c>
      <c r="D4007" s="19">
        <v>18</v>
      </c>
      <c r="E4007">
        <v>117</v>
      </c>
      <c r="F4007" t="s">
        <v>27</v>
      </c>
      <c r="G4007" t="s">
        <v>27</v>
      </c>
      <c r="H4007" t="s">
        <v>27</v>
      </c>
      <c r="I4007" t="s">
        <v>31</v>
      </c>
    </row>
    <row r="4008" spans="1:9" x14ac:dyDescent="0.2">
      <c r="A4008" t="str">
        <f t="shared" si="309"/>
        <v>39417Tiahura18118</v>
      </c>
      <c r="B4008" s="1">
        <v>39417</v>
      </c>
      <c r="C4008" t="s">
        <v>24</v>
      </c>
      <c r="D4008" s="19">
        <v>18</v>
      </c>
      <c r="E4008">
        <v>118</v>
      </c>
      <c r="F4008" t="s">
        <v>27</v>
      </c>
      <c r="G4008" t="s">
        <v>27</v>
      </c>
      <c r="H4008" t="s">
        <v>27</v>
      </c>
      <c r="I4008" t="s">
        <v>31</v>
      </c>
    </row>
    <row r="4009" spans="1:9" x14ac:dyDescent="0.2">
      <c r="A4009" t="str">
        <f t="shared" si="309"/>
        <v>39417Tiahura18119</v>
      </c>
      <c r="B4009" s="1">
        <v>39417</v>
      </c>
      <c r="C4009" t="s">
        <v>24</v>
      </c>
      <c r="D4009" s="19">
        <v>18</v>
      </c>
      <c r="E4009">
        <v>119</v>
      </c>
      <c r="F4009" t="s">
        <v>27</v>
      </c>
      <c r="G4009" t="s">
        <v>27</v>
      </c>
      <c r="H4009" t="s">
        <v>27</v>
      </c>
      <c r="I4009" t="s">
        <v>31</v>
      </c>
    </row>
    <row r="4010" spans="1:9" x14ac:dyDescent="0.2">
      <c r="A4010" t="str">
        <f t="shared" si="309"/>
        <v>39417Tiahura18120</v>
      </c>
      <c r="B4010" s="1">
        <v>39417</v>
      </c>
      <c r="C4010" t="s">
        <v>24</v>
      </c>
      <c r="D4010" s="19">
        <v>18</v>
      </c>
      <c r="E4010">
        <v>120</v>
      </c>
      <c r="F4010" t="s">
        <v>27</v>
      </c>
      <c r="G4010" t="s">
        <v>27</v>
      </c>
      <c r="H4010" t="s">
        <v>27</v>
      </c>
      <c r="I4010" t="s">
        <v>31</v>
      </c>
    </row>
    <row r="4011" spans="1:9" x14ac:dyDescent="0.2">
      <c r="A4011" t="str">
        <f t="shared" si="309"/>
        <v>39417Haapiti6131</v>
      </c>
      <c r="B4011" s="1">
        <v>39417</v>
      </c>
      <c r="C4011" t="s">
        <v>25</v>
      </c>
      <c r="D4011" s="19">
        <v>6</v>
      </c>
      <c r="E4011">
        <v>131</v>
      </c>
      <c r="F4011" t="s">
        <v>27</v>
      </c>
      <c r="G4011" t="s">
        <v>27</v>
      </c>
      <c r="H4011" t="s">
        <v>27</v>
      </c>
      <c r="I4011" t="s">
        <v>31</v>
      </c>
    </row>
    <row r="4012" spans="1:9" x14ac:dyDescent="0.2">
      <c r="A4012" t="str">
        <f t="shared" si="309"/>
        <v>39417Haapiti6132</v>
      </c>
      <c r="B4012" s="1">
        <v>39417</v>
      </c>
      <c r="C4012" t="s">
        <v>25</v>
      </c>
      <c r="D4012" s="19">
        <v>6</v>
      </c>
      <c r="E4012">
        <v>132</v>
      </c>
      <c r="F4012" t="s">
        <v>27</v>
      </c>
      <c r="G4012" t="s">
        <v>27</v>
      </c>
      <c r="H4012" t="s">
        <v>27</v>
      </c>
      <c r="I4012" t="s">
        <v>31</v>
      </c>
    </row>
    <row r="4013" spans="1:9" x14ac:dyDescent="0.2">
      <c r="A4013" t="str">
        <f t="shared" si="309"/>
        <v>39417Haapiti6133</v>
      </c>
      <c r="B4013" s="1">
        <v>39417</v>
      </c>
      <c r="C4013" t="s">
        <v>25</v>
      </c>
      <c r="D4013" s="19">
        <v>6</v>
      </c>
      <c r="E4013">
        <v>133</v>
      </c>
      <c r="F4013" t="s">
        <v>27</v>
      </c>
      <c r="G4013" t="s">
        <v>27</v>
      </c>
      <c r="H4013" t="s">
        <v>27</v>
      </c>
      <c r="I4013" t="s">
        <v>31</v>
      </c>
    </row>
    <row r="4014" spans="1:9" x14ac:dyDescent="0.2">
      <c r="A4014" t="str">
        <f t="shared" si="309"/>
        <v>39417Haapiti6134</v>
      </c>
      <c r="B4014" s="1">
        <v>39417</v>
      </c>
      <c r="C4014" t="s">
        <v>25</v>
      </c>
      <c r="D4014" s="19">
        <v>6</v>
      </c>
      <c r="E4014">
        <v>134</v>
      </c>
      <c r="F4014" t="s">
        <v>27</v>
      </c>
      <c r="G4014" t="s">
        <v>27</v>
      </c>
      <c r="H4014" t="s">
        <v>27</v>
      </c>
      <c r="I4014" t="s">
        <v>31</v>
      </c>
    </row>
    <row r="4015" spans="1:9" x14ac:dyDescent="0.2">
      <c r="A4015" t="str">
        <f t="shared" si="309"/>
        <v>39417Haapiti6135</v>
      </c>
      <c r="B4015" s="1">
        <v>39417</v>
      </c>
      <c r="C4015" t="s">
        <v>25</v>
      </c>
      <c r="D4015" s="19">
        <v>6</v>
      </c>
      <c r="E4015">
        <v>135</v>
      </c>
      <c r="F4015" t="s">
        <v>27</v>
      </c>
      <c r="G4015" t="s">
        <v>27</v>
      </c>
      <c r="H4015" t="s">
        <v>27</v>
      </c>
      <c r="I4015" t="s">
        <v>31</v>
      </c>
    </row>
    <row r="4016" spans="1:9" x14ac:dyDescent="0.2">
      <c r="A4016" t="str">
        <f t="shared" si="309"/>
        <v>39417Haapiti6136</v>
      </c>
      <c r="B4016" s="1">
        <v>39417</v>
      </c>
      <c r="C4016" t="s">
        <v>25</v>
      </c>
      <c r="D4016" s="19">
        <v>6</v>
      </c>
      <c r="E4016">
        <v>136</v>
      </c>
      <c r="F4016" t="s">
        <v>27</v>
      </c>
      <c r="G4016" t="s">
        <v>27</v>
      </c>
      <c r="H4016" t="s">
        <v>27</v>
      </c>
      <c r="I4016" t="s">
        <v>31</v>
      </c>
    </row>
    <row r="4017" spans="1:9" x14ac:dyDescent="0.2">
      <c r="A4017" t="str">
        <f t="shared" si="309"/>
        <v>39417Haapiti6137</v>
      </c>
      <c r="B4017" s="1">
        <v>39417</v>
      </c>
      <c r="C4017" t="s">
        <v>25</v>
      </c>
      <c r="D4017" s="19">
        <v>6</v>
      </c>
      <c r="E4017">
        <v>137</v>
      </c>
      <c r="F4017" t="s">
        <v>27</v>
      </c>
      <c r="G4017" t="s">
        <v>27</v>
      </c>
      <c r="H4017" t="s">
        <v>27</v>
      </c>
      <c r="I4017" t="s">
        <v>31</v>
      </c>
    </row>
    <row r="4018" spans="1:9" x14ac:dyDescent="0.2">
      <c r="A4018" t="str">
        <f t="shared" si="309"/>
        <v>39417Haapiti6138</v>
      </c>
      <c r="B4018" s="1">
        <v>39417</v>
      </c>
      <c r="C4018" t="s">
        <v>25</v>
      </c>
      <c r="D4018" s="19">
        <v>6</v>
      </c>
      <c r="E4018">
        <v>138</v>
      </c>
      <c r="F4018" t="s">
        <v>27</v>
      </c>
      <c r="G4018" t="s">
        <v>27</v>
      </c>
      <c r="H4018" t="s">
        <v>27</v>
      </c>
      <c r="I4018" t="s">
        <v>31</v>
      </c>
    </row>
    <row r="4019" spans="1:9" x14ac:dyDescent="0.2">
      <c r="A4019" t="str">
        <f t="shared" si="309"/>
        <v>39417Haapiti6139</v>
      </c>
      <c r="B4019" s="1">
        <v>39417</v>
      </c>
      <c r="C4019" t="s">
        <v>25</v>
      </c>
      <c r="D4019" s="19">
        <v>6</v>
      </c>
      <c r="E4019">
        <v>139</v>
      </c>
      <c r="F4019" t="s">
        <v>27</v>
      </c>
      <c r="G4019" t="s">
        <v>27</v>
      </c>
      <c r="H4019" t="s">
        <v>27</v>
      </c>
      <c r="I4019" t="s">
        <v>31</v>
      </c>
    </row>
    <row r="4020" spans="1:9" x14ac:dyDescent="0.2">
      <c r="A4020" t="str">
        <f t="shared" si="309"/>
        <v>39417Haapiti6140</v>
      </c>
      <c r="B4020" s="1">
        <v>39417</v>
      </c>
      <c r="C4020" t="s">
        <v>25</v>
      </c>
      <c r="D4020" s="19">
        <v>6</v>
      </c>
      <c r="E4020">
        <v>140</v>
      </c>
      <c r="F4020" t="s">
        <v>27</v>
      </c>
      <c r="G4020" t="s">
        <v>27</v>
      </c>
      <c r="H4020" t="s">
        <v>27</v>
      </c>
      <c r="I4020" t="s">
        <v>31</v>
      </c>
    </row>
    <row r="4021" spans="1:9" x14ac:dyDescent="0.2">
      <c r="A4021" t="str">
        <f t="shared" si="309"/>
        <v>39417Haapiti12143Autres</v>
      </c>
      <c r="B4021" s="1">
        <v>39417</v>
      </c>
      <c r="C4021" t="s">
        <v>25</v>
      </c>
      <c r="D4021" s="19">
        <v>12</v>
      </c>
      <c r="E4021">
        <v>143</v>
      </c>
      <c r="F4021" t="s">
        <v>14</v>
      </c>
      <c r="H4021">
        <v>0</v>
      </c>
    </row>
    <row r="4022" spans="1:9" x14ac:dyDescent="0.2">
      <c r="A4022" t="str">
        <f t="shared" si="309"/>
        <v>39417Haapiti12145Autres</v>
      </c>
      <c r="B4022" s="1">
        <v>39417</v>
      </c>
      <c r="C4022" t="s">
        <v>25</v>
      </c>
      <c r="D4022" s="19">
        <v>12</v>
      </c>
      <c r="E4022">
        <v>145</v>
      </c>
      <c r="F4022" t="s">
        <v>14</v>
      </c>
      <c r="H4022">
        <v>0</v>
      </c>
    </row>
    <row r="4023" spans="1:9" x14ac:dyDescent="0.2">
      <c r="A4023" t="str">
        <f t="shared" si="309"/>
        <v>39417Haapiti12146Autres</v>
      </c>
      <c r="B4023" s="1">
        <v>39417</v>
      </c>
      <c r="C4023" t="s">
        <v>25</v>
      </c>
      <c r="D4023" s="19">
        <v>12</v>
      </c>
      <c r="E4023">
        <v>146</v>
      </c>
      <c r="F4023" t="s">
        <v>14</v>
      </c>
      <c r="H4023">
        <v>0</v>
      </c>
    </row>
    <row r="4024" spans="1:9" x14ac:dyDescent="0.2">
      <c r="A4024" t="str">
        <f t="shared" si="309"/>
        <v>39417Haapiti12148Autres</v>
      </c>
      <c r="B4024" s="1">
        <v>39417</v>
      </c>
      <c r="C4024" t="s">
        <v>25</v>
      </c>
      <c r="D4024" s="19">
        <v>12</v>
      </c>
      <c r="E4024">
        <v>148</v>
      </c>
      <c r="F4024" t="s">
        <v>14</v>
      </c>
      <c r="H4024">
        <v>0</v>
      </c>
    </row>
    <row r="4025" spans="1:9" x14ac:dyDescent="0.2">
      <c r="A4025" t="str">
        <f t="shared" si="309"/>
        <v>39417Haapiti12150Autres</v>
      </c>
      <c r="B4025" s="1">
        <v>39417</v>
      </c>
      <c r="C4025" t="s">
        <v>25</v>
      </c>
      <c r="D4025" s="19">
        <v>12</v>
      </c>
      <c r="E4025">
        <v>150</v>
      </c>
      <c r="F4025" t="s">
        <v>14</v>
      </c>
      <c r="H4025">
        <v>0</v>
      </c>
    </row>
    <row r="4026" spans="1:9" x14ac:dyDescent="0.2">
      <c r="A4026" t="str">
        <f t="shared" si="309"/>
        <v>39417Haapiti12151</v>
      </c>
      <c r="B4026" s="1">
        <v>39417</v>
      </c>
      <c r="C4026" t="s">
        <v>25</v>
      </c>
      <c r="D4026" s="19">
        <v>12</v>
      </c>
      <c r="E4026">
        <v>151</v>
      </c>
      <c r="F4026" t="s">
        <v>27</v>
      </c>
      <c r="G4026" t="s">
        <v>27</v>
      </c>
      <c r="H4026" t="s">
        <v>27</v>
      </c>
      <c r="I4026" t="s">
        <v>31</v>
      </c>
    </row>
    <row r="4027" spans="1:9" x14ac:dyDescent="0.2">
      <c r="A4027" t="str">
        <f t="shared" si="309"/>
        <v>39417Haapiti12152</v>
      </c>
      <c r="B4027" s="1">
        <v>39417</v>
      </c>
      <c r="C4027" t="s">
        <v>25</v>
      </c>
      <c r="D4027" s="19">
        <v>12</v>
      </c>
      <c r="E4027">
        <v>152</v>
      </c>
      <c r="F4027" t="s">
        <v>27</v>
      </c>
      <c r="G4027" t="s">
        <v>27</v>
      </c>
      <c r="H4027" t="s">
        <v>27</v>
      </c>
      <c r="I4027" t="s">
        <v>31</v>
      </c>
    </row>
    <row r="4028" spans="1:9" x14ac:dyDescent="0.2">
      <c r="A4028" t="str">
        <f t="shared" si="309"/>
        <v>39417Haapiti12153</v>
      </c>
      <c r="B4028" s="1">
        <v>39417</v>
      </c>
      <c r="C4028" t="s">
        <v>25</v>
      </c>
      <c r="D4028" s="19">
        <v>12</v>
      </c>
      <c r="E4028">
        <v>153</v>
      </c>
      <c r="F4028" t="s">
        <v>27</v>
      </c>
      <c r="G4028" t="s">
        <v>27</v>
      </c>
      <c r="H4028" t="s">
        <v>27</v>
      </c>
      <c r="I4028" t="s">
        <v>31</v>
      </c>
    </row>
    <row r="4029" spans="1:9" x14ac:dyDescent="0.2">
      <c r="A4029" t="str">
        <f t="shared" si="309"/>
        <v>39417Haapiti12154</v>
      </c>
      <c r="B4029" s="1">
        <v>39417</v>
      </c>
      <c r="C4029" t="s">
        <v>25</v>
      </c>
      <c r="D4029" s="19">
        <v>12</v>
      </c>
      <c r="E4029">
        <v>154</v>
      </c>
      <c r="F4029" t="s">
        <v>27</v>
      </c>
      <c r="G4029" t="s">
        <v>27</v>
      </c>
      <c r="H4029" t="s">
        <v>27</v>
      </c>
      <c r="I4029" t="s">
        <v>31</v>
      </c>
    </row>
    <row r="4030" spans="1:9" x14ac:dyDescent="0.2">
      <c r="A4030" t="str">
        <f t="shared" si="309"/>
        <v>39417Haapiti12155</v>
      </c>
      <c r="B4030" s="1">
        <v>39417</v>
      </c>
      <c r="C4030" t="s">
        <v>25</v>
      </c>
      <c r="D4030" s="19">
        <v>12</v>
      </c>
      <c r="E4030">
        <v>155</v>
      </c>
      <c r="F4030" t="s">
        <v>27</v>
      </c>
      <c r="G4030" t="s">
        <v>27</v>
      </c>
      <c r="H4030" t="s">
        <v>27</v>
      </c>
      <c r="I4030" t="s">
        <v>31</v>
      </c>
    </row>
    <row r="4031" spans="1:9" x14ac:dyDescent="0.2">
      <c r="A4031" t="str">
        <f t="shared" ref="A4031:A4094" si="310">B4031 &amp; C4031&amp; D4031&amp; E4031 &amp; F4031 &amp;G4031</f>
        <v>39417Haapiti12156</v>
      </c>
      <c r="B4031" s="1">
        <v>39417</v>
      </c>
      <c r="C4031" t="s">
        <v>25</v>
      </c>
      <c r="D4031" s="19">
        <v>12</v>
      </c>
      <c r="E4031">
        <v>156</v>
      </c>
      <c r="F4031" t="s">
        <v>27</v>
      </c>
      <c r="G4031" t="s">
        <v>27</v>
      </c>
      <c r="H4031" t="s">
        <v>27</v>
      </c>
      <c r="I4031" t="s">
        <v>31</v>
      </c>
    </row>
    <row r="4032" spans="1:9" x14ac:dyDescent="0.2">
      <c r="A4032" t="str">
        <f t="shared" si="310"/>
        <v>39417Haapiti12157</v>
      </c>
      <c r="B4032" s="1">
        <v>39417</v>
      </c>
      <c r="C4032" t="s">
        <v>25</v>
      </c>
      <c r="D4032" s="19">
        <v>12</v>
      </c>
      <c r="E4032">
        <v>157</v>
      </c>
      <c r="F4032" t="s">
        <v>27</v>
      </c>
      <c r="G4032" t="s">
        <v>27</v>
      </c>
      <c r="H4032" t="s">
        <v>27</v>
      </c>
      <c r="I4032" t="s">
        <v>31</v>
      </c>
    </row>
    <row r="4033" spans="1:9" x14ac:dyDescent="0.2">
      <c r="A4033" t="str">
        <f t="shared" si="310"/>
        <v>39417Haapiti12158</v>
      </c>
      <c r="B4033" s="1">
        <v>39417</v>
      </c>
      <c r="C4033" t="s">
        <v>25</v>
      </c>
      <c r="D4033" s="19">
        <v>12</v>
      </c>
      <c r="E4033">
        <v>158</v>
      </c>
      <c r="F4033" t="s">
        <v>27</v>
      </c>
      <c r="G4033" t="s">
        <v>27</v>
      </c>
      <c r="H4033" t="s">
        <v>27</v>
      </c>
      <c r="I4033" t="s">
        <v>31</v>
      </c>
    </row>
    <row r="4034" spans="1:9" x14ac:dyDescent="0.2">
      <c r="A4034" t="str">
        <f t="shared" si="310"/>
        <v>39417Haapiti12159</v>
      </c>
      <c r="B4034" s="1">
        <v>39417</v>
      </c>
      <c r="C4034" t="s">
        <v>25</v>
      </c>
      <c r="D4034" s="19">
        <v>12</v>
      </c>
      <c r="E4034">
        <v>159</v>
      </c>
      <c r="F4034" t="s">
        <v>27</v>
      </c>
      <c r="G4034" t="s">
        <v>27</v>
      </c>
      <c r="H4034" t="s">
        <v>27</v>
      </c>
      <c r="I4034" t="s">
        <v>31</v>
      </c>
    </row>
    <row r="4035" spans="1:9" x14ac:dyDescent="0.2">
      <c r="A4035" t="str">
        <f t="shared" si="310"/>
        <v>39417Haapiti12160</v>
      </c>
      <c r="B4035" s="1">
        <v>39417</v>
      </c>
      <c r="C4035" t="s">
        <v>25</v>
      </c>
      <c r="D4035" s="19">
        <v>12</v>
      </c>
      <c r="E4035">
        <v>160</v>
      </c>
      <c r="F4035" t="s">
        <v>27</v>
      </c>
      <c r="G4035" t="s">
        <v>27</v>
      </c>
      <c r="H4035" t="s">
        <v>27</v>
      </c>
      <c r="I4035" t="s">
        <v>31</v>
      </c>
    </row>
    <row r="4036" spans="1:9" x14ac:dyDescent="0.2">
      <c r="A4036" t="str">
        <f t="shared" si="310"/>
        <v>39417Haapiti18161PocilloporidaeBords</v>
      </c>
      <c r="B4036" s="1">
        <v>39417</v>
      </c>
      <c r="C4036" t="s">
        <v>25</v>
      </c>
      <c r="D4036" s="19">
        <v>18</v>
      </c>
      <c r="E4036">
        <v>161</v>
      </c>
      <c r="F4036" t="s">
        <v>10</v>
      </c>
      <c r="G4036" t="s">
        <v>13</v>
      </c>
      <c r="H4036">
        <v>2</v>
      </c>
      <c r="I4036" t="s">
        <v>27</v>
      </c>
    </row>
    <row r="4037" spans="1:9" x14ac:dyDescent="0.2">
      <c r="A4037" t="str">
        <f t="shared" si="310"/>
        <v>39417Haapiti18161PocilloporidaeDessous</v>
      </c>
      <c r="B4037" s="1">
        <v>39417</v>
      </c>
      <c r="C4037" t="s">
        <v>25</v>
      </c>
      <c r="D4037" s="19">
        <v>18</v>
      </c>
      <c r="E4037">
        <v>161</v>
      </c>
      <c r="F4037" t="s">
        <v>10</v>
      </c>
      <c r="G4037" t="s">
        <v>8</v>
      </c>
      <c r="H4037">
        <v>3</v>
      </c>
      <c r="I4037" t="s">
        <v>27</v>
      </c>
    </row>
    <row r="4038" spans="1:9" x14ac:dyDescent="0.2">
      <c r="A4038" t="str">
        <f t="shared" si="310"/>
        <v>39417Haapiti18164PocilloporidaeBords</v>
      </c>
      <c r="B4038" s="1">
        <v>39417</v>
      </c>
      <c r="C4038" t="s">
        <v>25</v>
      </c>
      <c r="D4038" s="19">
        <v>18</v>
      </c>
      <c r="E4038">
        <v>164</v>
      </c>
      <c r="F4038" t="s">
        <v>10</v>
      </c>
      <c r="G4038" t="s">
        <v>13</v>
      </c>
      <c r="H4038">
        <v>1</v>
      </c>
      <c r="I4038" t="s">
        <v>27</v>
      </c>
    </row>
    <row r="4039" spans="1:9" x14ac:dyDescent="0.2">
      <c r="A4039" t="str">
        <f t="shared" si="310"/>
        <v>39417Haapiti18165PocilloporidaeBords</v>
      </c>
      <c r="B4039" s="1">
        <v>39417</v>
      </c>
      <c r="C4039" t="s">
        <v>25</v>
      </c>
      <c r="D4039" s="19">
        <v>18</v>
      </c>
      <c r="E4039">
        <v>165</v>
      </c>
      <c r="F4039" t="s">
        <v>10</v>
      </c>
      <c r="G4039" t="s">
        <v>13</v>
      </c>
      <c r="H4039">
        <v>2</v>
      </c>
      <c r="I4039" t="s">
        <v>27</v>
      </c>
    </row>
    <row r="4040" spans="1:9" x14ac:dyDescent="0.2">
      <c r="A4040" t="str">
        <f t="shared" si="310"/>
        <v>39417Haapiti18165PocilloporidaeDessous</v>
      </c>
      <c r="B4040" s="1">
        <v>39417</v>
      </c>
      <c r="C4040" t="s">
        <v>25</v>
      </c>
      <c r="D4040" s="19">
        <v>18</v>
      </c>
      <c r="E4040">
        <v>165</v>
      </c>
      <c r="F4040" t="s">
        <v>10</v>
      </c>
      <c r="G4040" t="s">
        <v>8</v>
      </c>
      <c r="H4040">
        <v>1</v>
      </c>
      <c r="I4040" t="s">
        <v>27</v>
      </c>
    </row>
    <row r="4041" spans="1:9" x14ac:dyDescent="0.2">
      <c r="A4041" t="str">
        <f t="shared" si="310"/>
        <v>39417Haapiti18165PocilloporidaeDessus</v>
      </c>
      <c r="B4041" s="1">
        <v>39417</v>
      </c>
      <c r="C4041" t="s">
        <v>25</v>
      </c>
      <c r="D4041" s="19">
        <v>18</v>
      </c>
      <c r="E4041">
        <v>165</v>
      </c>
      <c r="F4041" t="s">
        <v>10</v>
      </c>
      <c r="G4041" t="s">
        <v>11</v>
      </c>
      <c r="H4041">
        <v>4</v>
      </c>
      <c r="I4041" t="s">
        <v>27</v>
      </c>
    </row>
    <row r="4042" spans="1:9" x14ac:dyDescent="0.2">
      <c r="A4042" t="str">
        <f t="shared" si="310"/>
        <v>39417Haapiti18166Autres</v>
      </c>
      <c r="B4042" s="1">
        <v>39417</v>
      </c>
      <c r="C4042" t="s">
        <v>25</v>
      </c>
      <c r="D4042" s="19">
        <v>18</v>
      </c>
      <c r="E4042">
        <v>166</v>
      </c>
      <c r="F4042" t="s">
        <v>14</v>
      </c>
      <c r="H4042">
        <v>0</v>
      </c>
    </row>
    <row r="4043" spans="1:9" x14ac:dyDescent="0.2">
      <c r="A4043" t="str">
        <f t="shared" si="310"/>
        <v>39417Haapiti18167PocilloporidaeBords</v>
      </c>
      <c r="B4043" s="1">
        <v>39417</v>
      </c>
      <c r="C4043" t="s">
        <v>25</v>
      </c>
      <c r="D4043" s="19">
        <v>18</v>
      </c>
      <c r="E4043">
        <v>167</v>
      </c>
      <c r="F4043" t="s">
        <v>10</v>
      </c>
      <c r="G4043" t="s">
        <v>13</v>
      </c>
      <c r="H4043">
        <v>2</v>
      </c>
      <c r="I4043" t="s">
        <v>27</v>
      </c>
    </row>
    <row r="4044" spans="1:9" x14ac:dyDescent="0.2">
      <c r="A4044" t="str">
        <f t="shared" si="310"/>
        <v>39417Haapiti18168Autres</v>
      </c>
      <c r="B4044" s="1">
        <v>39417</v>
      </c>
      <c r="C4044" t="s">
        <v>25</v>
      </c>
      <c r="D4044" s="19">
        <v>18</v>
      </c>
      <c r="E4044">
        <v>168</v>
      </c>
      <c r="F4044" t="s">
        <v>14</v>
      </c>
      <c r="H4044">
        <v>0</v>
      </c>
    </row>
    <row r="4045" spans="1:9" x14ac:dyDescent="0.2">
      <c r="A4045" t="str">
        <f t="shared" si="310"/>
        <v>39417Haapiti18169PocilloporidaeBords</v>
      </c>
      <c r="B4045" s="1">
        <v>39417</v>
      </c>
      <c r="C4045" t="s">
        <v>25</v>
      </c>
      <c r="D4045" s="19">
        <v>18</v>
      </c>
      <c r="E4045">
        <v>169</v>
      </c>
      <c r="F4045" t="s">
        <v>10</v>
      </c>
      <c r="G4045" t="s">
        <v>13</v>
      </c>
      <c r="H4045">
        <v>2</v>
      </c>
      <c r="I4045" t="s">
        <v>27</v>
      </c>
    </row>
    <row r="4046" spans="1:9" x14ac:dyDescent="0.2">
      <c r="A4046" t="str">
        <f t="shared" si="310"/>
        <v>39417Haapiti18170PocilloporidaeDessous</v>
      </c>
      <c r="B4046" s="1">
        <v>39417</v>
      </c>
      <c r="C4046" t="s">
        <v>25</v>
      </c>
      <c r="D4046" s="19">
        <v>18</v>
      </c>
      <c r="E4046">
        <v>170</v>
      </c>
      <c r="F4046" t="s">
        <v>10</v>
      </c>
      <c r="G4046" t="s">
        <v>8</v>
      </c>
      <c r="H4046">
        <v>1</v>
      </c>
      <c r="I4046" t="s">
        <v>27</v>
      </c>
    </row>
    <row r="4047" spans="1:9" x14ac:dyDescent="0.2">
      <c r="A4047" t="str">
        <f t="shared" si="310"/>
        <v>39417Haapiti18171</v>
      </c>
      <c r="B4047" s="1">
        <v>39417</v>
      </c>
      <c r="C4047" t="s">
        <v>25</v>
      </c>
      <c r="D4047" s="19">
        <v>18</v>
      </c>
      <c r="E4047">
        <v>171</v>
      </c>
      <c r="F4047" t="s">
        <v>27</v>
      </c>
      <c r="G4047" t="s">
        <v>27</v>
      </c>
      <c r="H4047" t="s">
        <v>27</v>
      </c>
      <c r="I4047" t="s">
        <v>31</v>
      </c>
    </row>
    <row r="4048" spans="1:9" x14ac:dyDescent="0.2">
      <c r="A4048" t="str">
        <f t="shared" si="310"/>
        <v>39417Haapiti18172</v>
      </c>
      <c r="B4048" s="1">
        <v>39417</v>
      </c>
      <c r="C4048" t="s">
        <v>25</v>
      </c>
      <c r="D4048" s="19">
        <v>18</v>
      </c>
      <c r="E4048">
        <v>172</v>
      </c>
      <c r="F4048" t="s">
        <v>27</v>
      </c>
      <c r="G4048" t="s">
        <v>27</v>
      </c>
      <c r="H4048" t="s">
        <v>27</v>
      </c>
      <c r="I4048" t="s">
        <v>31</v>
      </c>
    </row>
    <row r="4049" spans="1:9" x14ac:dyDescent="0.2">
      <c r="A4049" t="str">
        <f t="shared" si="310"/>
        <v>39417Haapiti18173</v>
      </c>
      <c r="B4049" s="1">
        <v>39417</v>
      </c>
      <c r="C4049" t="s">
        <v>25</v>
      </c>
      <c r="D4049" s="19">
        <v>18</v>
      </c>
      <c r="E4049">
        <v>173</v>
      </c>
      <c r="F4049" t="s">
        <v>27</v>
      </c>
      <c r="G4049" t="s">
        <v>27</v>
      </c>
      <c r="H4049" t="s">
        <v>27</v>
      </c>
      <c r="I4049" t="s">
        <v>31</v>
      </c>
    </row>
    <row r="4050" spans="1:9" x14ac:dyDescent="0.2">
      <c r="A4050" t="str">
        <f t="shared" si="310"/>
        <v>39417Haapiti18174</v>
      </c>
      <c r="B4050" s="1">
        <v>39417</v>
      </c>
      <c r="C4050" t="s">
        <v>25</v>
      </c>
      <c r="D4050" s="19">
        <v>18</v>
      </c>
      <c r="E4050">
        <v>174</v>
      </c>
      <c r="F4050" t="s">
        <v>27</v>
      </c>
      <c r="G4050" t="s">
        <v>27</v>
      </c>
      <c r="H4050" t="s">
        <v>27</v>
      </c>
      <c r="I4050" t="s">
        <v>31</v>
      </c>
    </row>
    <row r="4051" spans="1:9" x14ac:dyDescent="0.2">
      <c r="A4051" t="str">
        <f t="shared" si="310"/>
        <v>39417Haapiti18175</v>
      </c>
      <c r="B4051" s="1">
        <v>39417</v>
      </c>
      <c r="C4051" t="s">
        <v>25</v>
      </c>
      <c r="D4051" s="19">
        <v>18</v>
      </c>
      <c r="E4051">
        <v>175</v>
      </c>
      <c r="F4051" t="s">
        <v>27</v>
      </c>
      <c r="G4051" t="s">
        <v>27</v>
      </c>
      <c r="H4051" t="s">
        <v>27</v>
      </c>
      <c r="I4051" t="s">
        <v>31</v>
      </c>
    </row>
    <row r="4052" spans="1:9" x14ac:dyDescent="0.2">
      <c r="A4052" t="str">
        <f t="shared" si="310"/>
        <v>39417Haapiti18176</v>
      </c>
      <c r="B4052" s="1">
        <v>39417</v>
      </c>
      <c r="C4052" t="s">
        <v>25</v>
      </c>
      <c r="D4052" s="19">
        <v>18</v>
      </c>
      <c r="E4052">
        <v>176</v>
      </c>
      <c r="F4052" t="s">
        <v>27</v>
      </c>
      <c r="G4052" t="s">
        <v>27</v>
      </c>
      <c r="H4052" t="s">
        <v>27</v>
      </c>
      <c r="I4052" t="s">
        <v>31</v>
      </c>
    </row>
    <row r="4053" spans="1:9" x14ac:dyDescent="0.2">
      <c r="A4053" t="str">
        <f t="shared" si="310"/>
        <v>39417Haapiti18177</v>
      </c>
      <c r="B4053" s="1">
        <v>39417</v>
      </c>
      <c r="C4053" t="s">
        <v>25</v>
      </c>
      <c r="D4053" s="19">
        <v>18</v>
      </c>
      <c r="E4053">
        <v>177</v>
      </c>
      <c r="F4053" t="s">
        <v>27</v>
      </c>
      <c r="G4053" t="s">
        <v>27</v>
      </c>
      <c r="H4053" t="s">
        <v>27</v>
      </c>
      <c r="I4053" t="s">
        <v>31</v>
      </c>
    </row>
    <row r="4054" spans="1:9" x14ac:dyDescent="0.2">
      <c r="A4054" t="str">
        <f t="shared" si="310"/>
        <v>39417Haapiti18178</v>
      </c>
      <c r="B4054" s="1">
        <v>39417</v>
      </c>
      <c r="C4054" t="s">
        <v>25</v>
      </c>
      <c r="D4054" s="19">
        <v>18</v>
      </c>
      <c r="E4054">
        <v>178</v>
      </c>
      <c r="F4054" t="s">
        <v>27</v>
      </c>
      <c r="G4054" t="s">
        <v>27</v>
      </c>
      <c r="H4054" t="s">
        <v>27</v>
      </c>
      <c r="I4054" t="s">
        <v>31</v>
      </c>
    </row>
    <row r="4055" spans="1:9" x14ac:dyDescent="0.2">
      <c r="A4055" t="str">
        <f t="shared" si="310"/>
        <v>39417Haapiti18179</v>
      </c>
      <c r="B4055" s="1">
        <v>39417</v>
      </c>
      <c r="C4055" t="s">
        <v>25</v>
      </c>
      <c r="D4055" s="19">
        <v>18</v>
      </c>
      <c r="E4055">
        <v>179</v>
      </c>
      <c r="F4055" t="s">
        <v>27</v>
      </c>
      <c r="G4055" t="s">
        <v>27</v>
      </c>
      <c r="H4055" t="s">
        <v>27</v>
      </c>
      <c r="I4055" t="s">
        <v>31</v>
      </c>
    </row>
    <row r="4056" spans="1:9" x14ac:dyDescent="0.2">
      <c r="A4056" t="str">
        <f t="shared" si="310"/>
        <v>39417Haapiti18180</v>
      </c>
      <c r="B4056" s="1">
        <v>39417</v>
      </c>
      <c r="C4056" t="s">
        <v>25</v>
      </c>
      <c r="D4056" s="19">
        <v>18</v>
      </c>
      <c r="E4056">
        <v>180</v>
      </c>
      <c r="F4056" t="s">
        <v>27</v>
      </c>
      <c r="G4056" t="s">
        <v>27</v>
      </c>
      <c r="H4056" t="s">
        <v>27</v>
      </c>
      <c r="I4056" t="s">
        <v>31</v>
      </c>
    </row>
    <row r="4057" spans="1:9" x14ac:dyDescent="0.2">
      <c r="A4057" t="str">
        <f t="shared" si="310"/>
        <v>39417Vaipahu62001PocilloporidaeDessous</v>
      </c>
      <c r="B4057" s="1">
        <v>39417</v>
      </c>
      <c r="C4057" t="s">
        <v>23</v>
      </c>
      <c r="D4057" s="19">
        <v>6</v>
      </c>
      <c r="E4057">
        <v>2001</v>
      </c>
      <c r="F4057" t="s">
        <v>10</v>
      </c>
      <c r="G4057" t="s">
        <v>8</v>
      </c>
      <c r="H4057">
        <v>1</v>
      </c>
      <c r="I4057" t="s">
        <v>27</v>
      </c>
    </row>
    <row r="4058" spans="1:9" x14ac:dyDescent="0.2">
      <c r="A4058" t="str">
        <f t="shared" si="310"/>
        <v>39417Vaipahu122002PocilloporidaeDessous</v>
      </c>
      <c r="B4058" s="1">
        <v>39417</v>
      </c>
      <c r="C4058" t="s">
        <v>23</v>
      </c>
      <c r="D4058" s="19">
        <v>12</v>
      </c>
      <c r="E4058">
        <v>2002</v>
      </c>
      <c r="F4058" t="s">
        <v>10</v>
      </c>
      <c r="G4058" t="s">
        <v>8</v>
      </c>
      <c r="H4058">
        <v>1</v>
      </c>
      <c r="I4058" t="s">
        <v>27</v>
      </c>
    </row>
    <row r="4059" spans="1:9" x14ac:dyDescent="0.2">
      <c r="A4059" t="str">
        <f t="shared" si="310"/>
        <v>39417Vaipahu122002PocilloporidaeDessus</v>
      </c>
      <c r="B4059" s="1">
        <v>39417</v>
      </c>
      <c r="C4059" t="s">
        <v>23</v>
      </c>
      <c r="D4059" s="19">
        <v>12</v>
      </c>
      <c r="E4059">
        <v>2002</v>
      </c>
      <c r="F4059" t="s">
        <v>10</v>
      </c>
      <c r="G4059" t="s">
        <v>11</v>
      </c>
      <c r="H4059">
        <v>1</v>
      </c>
      <c r="I4059" t="s">
        <v>27</v>
      </c>
    </row>
    <row r="4060" spans="1:9" x14ac:dyDescent="0.2">
      <c r="A4060" t="str">
        <f t="shared" si="310"/>
        <v>39417Vaipahu62002PocilloporidaeBords</v>
      </c>
      <c r="B4060" s="1">
        <v>39417</v>
      </c>
      <c r="C4060" t="s">
        <v>23</v>
      </c>
      <c r="D4060" s="19">
        <v>6</v>
      </c>
      <c r="E4060">
        <v>2002</v>
      </c>
      <c r="F4060" t="s">
        <v>10</v>
      </c>
      <c r="G4060" t="s">
        <v>13</v>
      </c>
      <c r="H4060">
        <v>5</v>
      </c>
      <c r="I4060" t="s">
        <v>27</v>
      </c>
    </row>
    <row r="4061" spans="1:9" x14ac:dyDescent="0.2">
      <c r="A4061" t="str">
        <f t="shared" si="310"/>
        <v>39417Vaipahu62002PocilloporidaeDessous</v>
      </c>
      <c r="B4061" s="1">
        <v>39417</v>
      </c>
      <c r="C4061" t="s">
        <v>23</v>
      </c>
      <c r="D4061" s="19">
        <v>6</v>
      </c>
      <c r="E4061">
        <v>2002</v>
      </c>
      <c r="F4061" t="s">
        <v>10</v>
      </c>
      <c r="G4061" t="s">
        <v>8</v>
      </c>
      <c r="H4061">
        <v>2</v>
      </c>
      <c r="I4061" t="s">
        <v>27</v>
      </c>
    </row>
    <row r="4062" spans="1:9" x14ac:dyDescent="0.2">
      <c r="A4062" t="str">
        <f t="shared" si="310"/>
        <v>39417Vaipahu122003PocilloporidaeBords</v>
      </c>
      <c r="B4062" s="1">
        <v>39417</v>
      </c>
      <c r="C4062" t="s">
        <v>23</v>
      </c>
      <c r="D4062" s="19">
        <v>12</v>
      </c>
      <c r="E4062">
        <v>2003</v>
      </c>
      <c r="F4062" t="s">
        <v>10</v>
      </c>
      <c r="G4062" t="s">
        <v>13</v>
      </c>
      <c r="H4062">
        <v>2</v>
      </c>
      <c r="I4062" t="s">
        <v>27</v>
      </c>
    </row>
    <row r="4063" spans="1:9" x14ac:dyDescent="0.2">
      <c r="A4063" t="str">
        <f t="shared" si="310"/>
        <v>39417Vaipahu122003PocilloporidaeDessous</v>
      </c>
      <c r="B4063" s="1">
        <v>39417</v>
      </c>
      <c r="C4063" t="s">
        <v>23</v>
      </c>
      <c r="D4063" s="19">
        <v>12</v>
      </c>
      <c r="E4063">
        <v>2003</v>
      </c>
      <c r="F4063" t="s">
        <v>10</v>
      </c>
      <c r="G4063" t="s">
        <v>8</v>
      </c>
      <c r="H4063">
        <v>5</v>
      </c>
      <c r="I4063" t="s">
        <v>27</v>
      </c>
    </row>
    <row r="4064" spans="1:9" x14ac:dyDescent="0.2">
      <c r="A4064" t="str">
        <f t="shared" si="310"/>
        <v>39417Vaipahu122003PocilloporidaeDessus</v>
      </c>
      <c r="B4064" s="1">
        <v>39417</v>
      </c>
      <c r="C4064" t="s">
        <v>23</v>
      </c>
      <c r="D4064" s="19">
        <v>12</v>
      </c>
      <c r="E4064">
        <v>2003</v>
      </c>
      <c r="F4064" t="s">
        <v>10</v>
      </c>
      <c r="G4064" t="s">
        <v>11</v>
      </c>
      <c r="H4064">
        <v>1</v>
      </c>
      <c r="I4064" t="s">
        <v>27</v>
      </c>
    </row>
    <row r="4065" spans="1:9" x14ac:dyDescent="0.2">
      <c r="A4065" t="str">
        <f t="shared" si="310"/>
        <v>39417Vaipahu62003AcroporidaeDessus</v>
      </c>
      <c r="B4065" s="1">
        <v>39417</v>
      </c>
      <c r="C4065" t="s">
        <v>23</v>
      </c>
      <c r="D4065" s="19">
        <v>6</v>
      </c>
      <c r="E4065">
        <v>2003</v>
      </c>
      <c r="F4065" t="s">
        <v>17</v>
      </c>
      <c r="G4065" t="s">
        <v>11</v>
      </c>
      <c r="H4065">
        <v>1</v>
      </c>
      <c r="I4065" t="s">
        <v>27</v>
      </c>
    </row>
    <row r="4066" spans="1:9" x14ac:dyDescent="0.2">
      <c r="A4066" t="str">
        <f t="shared" si="310"/>
        <v>39417Vaipahu62003PocilloporidaeDessus</v>
      </c>
      <c r="B4066" s="1">
        <v>39417</v>
      </c>
      <c r="C4066" t="s">
        <v>23</v>
      </c>
      <c r="D4066" s="19">
        <v>6</v>
      </c>
      <c r="E4066">
        <v>2003</v>
      </c>
      <c r="F4066" t="s">
        <v>10</v>
      </c>
      <c r="G4066" t="s">
        <v>11</v>
      </c>
      <c r="H4066">
        <v>1</v>
      </c>
      <c r="I4066" t="s">
        <v>27</v>
      </c>
    </row>
    <row r="4067" spans="1:9" x14ac:dyDescent="0.2">
      <c r="A4067" t="str">
        <f t="shared" si="310"/>
        <v>39417Vaipahu122004PocilloporidaeDessous</v>
      </c>
      <c r="B4067" s="1">
        <v>39417</v>
      </c>
      <c r="C4067" t="s">
        <v>23</v>
      </c>
      <c r="D4067" s="19">
        <v>12</v>
      </c>
      <c r="E4067">
        <v>2004</v>
      </c>
      <c r="F4067" t="s">
        <v>10</v>
      </c>
      <c r="G4067" t="s">
        <v>8</v>
      </c>
      <c r="H4067">
        <v>3</v>
      </c>
      <c r="I4067" t="s">
        <v>27</v>
      </c>
    </row>
    <row r="4068" spans="1:9" x14ac:dyDescent="0.2">
      <c r="A4068" t="str">
        <f t="shared" si="310"/>
        <v>39417Vaipahu122004PoritidaeDessous</v>
      </c>
      <c r="B4068" s="1">
        <v>39417</v>
      </c>
      <c r="C4068" t="s">
        <v>23</v>
      </c>
      <c r="D4068" s="19">
        <v>12</v>
      </c>
      <c r="E4068">
        <v>2004</v>
      </c>
      <c r="F4068" t="s">
        <v>7</v>
      </c>
      <c r="G4068" t="s">
        <v>8</v>
      </c>
      <c r="H4068">
        <v>1</v>
      </c>
      <c r="I4068" t="s">
        <v>27</v>
      </c>
    </row>
    <row r="4069" spans="1:9" x14ac:dyDescent="0.2">
      <c r="A4069" t="str">
        <f t="shared" si="310"/>
        <v>39417Vaipahu62004AcroporidaeDessous</v>
      </c>
      <c r="B4069" s="1">
        <v>39417</v>
      </c>
      <c r="C4069" t="s">
        <v>23</v>
      </c>
      <c r="D4069" s="19">
        <v>6</v>
      </c>
      <c r="E4069">
        <v>2004</v>
      </c>
      <c r="F4069" t="s">
        <v>17</v>
      </c>
      <c r="G4069" t="s">
        <v>8</v>
      </c>
      <c r="H4069">
        <v>1</v>
      </c>
      <c r="I4069" t="s">
        <v>27</v>
      </c>
    </row>
    <row r="4070" spans="1:9" x14ac:dyDescent="0.2">
      <c r="A4070" t="str">
        <f t="shared" si="310"/>
        <v>39417Vaipahu62004PocilloporidaeDessus</v>
      </c>
      <c r="B4070" s="1">
        <v>39417</v>
      </c>
      <c r="C4070" t="s">
        <v>23</v>
      </c>
      <c r="D4070" s="19">
        <v>6</v>
      </c>
      <c r="E4070">
        <v>2004</v>
      </c>
      <c r="F4070" t="s">
        <v>10</v>
      </c>
      <c r="G4070" t="s">
        <v>11</v>
      </c>
      <c r="H4070">
        <v>1</v>
      </c>
      <c r="I4070" t="s">
        <v>27</v>
      </c>
    </row>
    <row r="4071" spans="1:9" x14ac:dyDescent="0.2">
      <c r="A4071" t="str">
        <f t="shared" si="310"/>
        <v>39417Vaipahu62005PocilloporidaeBords</v>
      </c>
      <c r="B4071" s="1">
        <v>39417</v>
      </c>
      <c r="C4071" t="s">
        <v>23</v>
      </c>
      <c r="D4071" s="19">
        <v>6</v>
      </c>
      <c r="E4071">
        <v>2005</v>
      </c>
      <c r="F4071" t="s">
        <v>10</v>
      </c>
      <c r="G4071" t="s">
        <v>13</v>
      </c>
      <c r="H4071">
        <v>3</v>
      </c>
      <c r="I4071" t="s">
        <v>27</v>
      </c>
    </row>
    <row r="4072" spans="1:9" x14ac:dyDescent="0.2">
      <c r="A4072" t="str">
        <f t="shared" si="310"/>
        <v>39417Vaipahu62005PocilloporidaeDessus</v>
      </c>
      <c r="B4072" s="1">
        <v>39417</v>
      </c>
      <c r="C4072" t="s">
        <v>23</v>
      </c>
      <c r="D4072" s="19">
        <v>6</v>
      </c>
      <c r="E4072">
        <v>2005</v>
      </c>
      <c r="F4072" t="s">
        <v>10</v>
      </c>
      <c r="G4072" t="s">
        <v>11</v>
      </c>
      <c r="H4072">
        <v>2</v>
      </c>
      <c r="I4072" t="s">
        <v>27</v>
      </c>
    </row>
    <row r="4073" spans="1:9" x14ac:dyDescent="0.2">
      <c r="A4073" t="str">
        <f t="shared" si="310"/>
        <v>39417Vaipahu62006PocilloporidaeBords</v>
      </c>
      <c r="B4073" s="1">
        <v>39417</v>
      </c>
      <c r="C4073" t="s">
        <v>23</v>
      </c>
      <c r="D4073" s="19">
        <v>6</v>
      </c>
      <c r="E4073">
        <v>2006</v>
      </c>
      <c r="F4073" t="s">
        <v>10</v>
      </c>
      <c r="G4073" t="s">
        <v>13</v>
      </c>
      <c r="H4073">
        <v>2</v>
      </c>
      <c r="I4073" t="s">
        <v>27</v>
      </c>
    </row>
    <row r="4074" spans="1:9" x14ac:dyDescent="0.2">
      <c r="A4074" t="str">
        <f t="shared" si="310"/>
        <v>39417Vaipahu62006PocilloporidaeDessus</v>
      </c>
      <c r="B4074" s="1">
        <v>39417</v>
      </c>
      <c r="C4074" t="s">
        <v>23</v>
      </c>
      <c r="D4074" s="19">
        <v>6</v>
      </c>
      <c r="E4074">
        <v>2006</v>
      </c>
      <c r="F4074" t="s">
        <v>10</v>
      </c>
      <c r="G4074" t="s">
        <v>11</v>
      </c>
      <c r="H4074">
        <v>2</v>
      </c>
      <c r="I4074" t="s">
        <v>27</v>
      </c>
    </row>
    <row r="4075" spans="1:9" x14ac:dyDescent="0.2">
      <c r="A4075" t="str">
        <f t="shared" si="310"/>
        <v>39417Vaipahu62007PocilloporidaeDessus</v>
      </c>
      <c r="B4075" s="1">
        <v>39417</v>
      </c>
      <c r="C4075" t="s">
        <v>23</v>
      </c>
      <c r="D4075" s="19">
        <v>6</v>
      </c>
      <c r="E4075">
        <v>2007</v>
      </c>
      <c r="F4075" t="s">
        <v>10</v>
      </c>
      <c r="G4075" t="s">
        <v>11</v>
      </c>
      <c r="H4075">
        <v>1</v>
      </c>
      <c r="I4075" t="s">
        <v>27</v>
      </c>
    </row>
    <row r="4076" spans="1:9" x14ac:dyDescent="0.2">
      <c r="A4076" t="str">
        <f t="shared" si="310"/>
        <v>39417Vaipahu122008PocilloporidaeBords</v>
      </c>
      <c r="B4076" s="1">
        <v>39417</v>
      </c>
      <c r="C4076" t="s">
        <v>23</v>
      </c>
      <c r="D4076" s="19">
        <v>12</v>
      </c>
      <c r="E4076">
        <v>2008</v>
      </c>
      <c r="F4076" t="s">
        <v>10</v>
      </c>
      <c r="G4076" t="s">
        <v>13</v>
      </c>
      <c r="H4076">
        <v>7</v>
      </c>
      <c r="I4076" t="s">
        <v>27</v>
      </c>
    </row>
    <row r="4077" spans="1:9" x14ac:dyDescent="0.2">
      <c r="A4077" t="str">
        <f t="shared" si="310"/>
        <v>39417Vaipahu122008PocilloporidaeDessous</v>
      </c>
      <c r="B4077" s="1">
        <v>39417</v>
      </c>
      <c r="C4077" t="s">
        <v>23</v>
      </c>
      <c r="D4077" s="19">
        <v>12</v>
      </c>
      <c r="E4077">
        <v>2008</v>
      </c>
      <c r="F4077" t="s">
        <v>10</v>
      </c>
      <c r="G4077" t="s">
        <v>8</v>
      </c>
      <c r="H4077">
        <v>2</v>
      </c>
      <c r="I4077" t="s">
        <v>27</v>
      </c>
    </row>
    <row r="4078" spans="1:9" x14ac:dyDescent="0.2">
      <c r="A4078" t="str">
        <f t="shared" si="310"/>
        <v>39417Vaipahu122008PocilloporidaeDessus</v>
      </c>
      <c r="B4078" s="1">
        <v>39417</v>
      </c>
      <c r="C4078" t="s">
        <v>23</v>
      </c>
      <c r="D4078" s="19">
        <v>12</v>
      </c>
      <c r="E4078">
        <v>2008</v>
      </c>
      <c r="F4078" t="s">
        <v>10</v>
      </c>
      <c r="G4078" t="s">
        <v>11</v>
      </c>
      <c r="H4078">
        <v>2</v>
      </c>
      <c r="I4078" t="s">
        <v>27</v>
      </c>
    </row>
    <row r="4079" spans="1:9" x14ac:dyDescent="0.2">
      <c r="A4079" t="str">
        <f t="shared" si="310"/>
        <v>39417Vaipahu62008PocilloporidaeBords</v>
      </c>
      <c r="B4079" s="1">
        <v>39417</v>
      </c>
      <c r="C4079" t="s">
        <v>23</v>
      </c>
      <c r="D4079" s="19">
        <v>6</v>
      </c>
      <c r="E4079">
        <v>2008</v>
      </c>
      <c r="F4079" t="s">
        <v>10</v>
      </c>
      <c r="G4079" t="s">
        <v>13</v>
      </c>
      <c r="H4079">
        <v>3</v>
      </c>
      <c r="I4079" t="s">
        <v>27</v>
      </c>
    </row>
    <row r="4080" spans="1:9" x14ac:dyDescent="0.2">
      <c r="A4080" t="str">
        <f t="shared" si="310"/>
        <v>39417Vaipahu62008PocilloporidaeDessus</v>
      </c>
      <c r="B4080" s="1">
        <v>39417</v>
      </c>
      <c r="C4080" t="s">
        <v>23</v>
      </c>
      <c r="D4080" s="19">
        <v>6</v>
      </c>
      <c r="E4080">
        <v>2008</v>
      </c>
      <c r="F4080" t="s">
        <v>10</v>
      </c>
      <c r="G4080" t="s">
        <v>11</v>
      </c>
      <c r="H4080">
        <v>2</v>
      </c>
      <c r="I4080" t="s">
        <v>27</v>
      </c>
    </row>
    <row r="4081" spans="1:9" x14ac:dyDescent="0.2">
      <c r="A4081" t="str">
        <f t="shared" si="310"/>
        <v>39417Vaipahu122009PocilloporidaeBords</v>
      </c>
      <c r="B4081" s="1">
        <v>39417</v>
      </c>
      <c r="C4081" t="s">
        <v>23</v>
      </c>
      <c r="D4081" s="19">
        <v>12</v>
      </c>
      <c r="E4081">
        <v>2009</v>
      </c>
      <c r="F4081" t="s">
        <v>10</v>
      </c>
      <c r="G4081" t="s">
        <v>13</v>
      </c>
      <c r="H4081">
        <v>2</v>
      </c>
      <c r="I4081" t="s">
        <v>27</v>
      </c>
    </row>
    <row r="4082" spans="1:9" x14ac:dyDescent="0.2">
      <c r="A4082" t="str">
        <f t="shared" si="310"/>
        <v>39417Vaipahu122009PocilloporidaeDessous</v>
      </c>
      <c r="B4082" s="1">
        <v>39417</v>
      </c>
      <c r="C4082" t="s">
        <v>23</v>
      </c>
      <c r="D4082" s="19">
        <v>12</v>
      </c>
      <c r="E4082">
        <v>2009</v>
      </c>
      <c r="F4082" t="s">
        <v>10</v>
      </c>
      <c r="G4082" t="s">
        <v>8</v>
      </c>
      <c r="H4082">
        <v>1</v>
      </c>
      <c r="I4082" t="s">
        <v>27</v>
      </c>
    </row>
    <row r="4083" spans="1:9" x14ac:dyDescent="0.2">
      <c r="A4083" t="str">
        <f t="shared" si="310"/>
        <v>39417Vaipahu62009PocilloporidaeDessous</v>
      </c>
      <c r="B4083" s="1">
        <v>39417</v>
      </c>
      <c r="C4083" t="s">
        <v>23</v>
      </c>
      <c r="D4083" s="19">
        <v>6</v>
      </c>
      <c r="E4083">
        <v>2009</v>
      </c>
      <c r="F4083" t="s">
        <v>10</v>
      </c>
      <c r="G4083" t="s">
        <v>8</v>
      </c>
      <c r="H4083">
        <v>10</v>
      </c>
      <c r="I4083" t="s">
        <v>27</v>
      </c>
    </row>
    <row r="4084" spans="1:9" x14ac:dyDescent="0.2">
      <c r="A4084" t="str">
        <f t="shared" si="310"/>
        <v>39417Haapiti122121PocilloporidaeDessous</v>
      </c>
      <c r="B4084" s="1">
        <v>39417</v>
      </c>
      <c r="C4084" t="s">
        <v>25</v>
      </c>
      <c r="D4084" s="19">
        <v>12</v>
      </c>
      <c r="E4084">
        <v>2121</v>
      </c>
      <c r="F4084" t="s">
        <v>10</v>
      </c>
      <c r="G4084" t="s">
        <v>8</v>
      </c>
      <c r="H4084">
        <v>2</v>
      </c>
      <c r="I4084" t="s">
        <v>27</v>
      </c>
    </row>
    <row r="4085" spans="1:9" x14ac:dyDescent="0.2">
      <c r="A4085" t="str">
        <f t="shared" si="310"/>
        <v>39417Haapiti122121PocilloporidaeDessus</v>
      </c>
      <c r="B4085" s="1">
        <v>39417</v>
      </c>
      <c r="C4085" t="s">
        <v>25</v>
      </c>
      <c r="D4085" s="19">
        <v>12</v>
      </c>
      <c r="E4085">
        <v>2121</v>
      </c>
      <c r="F4085" t="s">
        <v>10</v>
      </c>
      <c r="G4085" t="s">
        <v>11</v>
      </c>
      <c r="H4085">
        <v>1</v>
      </c>
      <c r="I4085" t="s">
        <v>27</v>
      </c>
    </row>
    <row r="4086" spans="1:9" x14ac:dyDescent="0.2">
      <c r="A4086" s="58" t="str">
        <f t="shared" si="310"/>
        <v>39417Haapiti62121PocilloporidaeBords</v>
      </c>
      <c r="B4086" s="59">
        <v>39417</v>
      </c>
      <c r="C4086" s="58" t="s">
        <v>25</v>
      </c>
      <c r="D4086" s="60">
        <v>6</v>
      </c>
      <c r="E4086">
        <v>2121</v>
      </c>
      <c r="F4086" s="58" t="s">
        <v>10</v>
      </c>
      <c r="G4086" s="58" t="s">
        <v>13</v>
      </c>
      <c r="H4086" s="58">
        <v>2</v>
      </c>
      <c r="I4086" s="58" t="s">
        <v>27</v>
      </c>
    </row>
    <row r="4087" spans="1:9" x14ac:dyDescent="0.2">
      <c r="A4087" s="58" t="str">
        <f t="shared" si="310"/>
        <v>39417Haapiti62121PocilloporidaeDessous</v>
      </c>
      <c r="B4087" s="59">
        <v>39417</v>
      </c>
      <c r="C4087" s="58" t="s">
        <v>25</v>
      </c>
      <c r="D4087" s="60">
        <v>6</v>
      </c>
      <c r="E4087">
        <v>2121</v>
      </c>
      <c r="F4087" s="58" t="s">
        <v>10</v>
      </c>
      <c r="G4087" s="58" t="s">
        <v>8</v>
      </c>
      <c r="H4087" s="58">
        <v>5</v>
      </c>
      <c r="I4087" s="58" t="s">
        <v>27</v>
      </c>
    </row>
    <row r="4088" spans="1:9" x14ac:dyDescent="0.2">
      <c r="A4088" s="58" t="str">
        <f t="shared" si="310"/>
        <v>39417Haapiti62121PocilloporidaeDessus</v>
      </c>
      <c r="B4088" s="59">
        <v>39417</v>
      </c>
      <c r="C4088" s="58" t="s">
        <v>25</v>
      </c>
      <c r="D4088" s="60">
        <v>6</v>
      </c>
      <c r="E4088">
        <v>2121</v>
      </c>
      <c r="F4088" s="58" t="s">
        <v>10</v>
      </c>
      <c r="G4088" s="58" t="s">
        <v>11</v>
      </c>
      <c r="H4088" s="58">
        <v>1</v>
      </c>
      <c r="I4088" s="58" t="s">
        <v>27</v>
      </c>
    </row>
    <row r="4089" spans="1:9" x14ac:dyDescent="0.2">
      <c r="A4089" t="str">
        <f t="shared" si="310"/>
        <v>39417Haapiti122122PocilloporidaeDessous</v>
      </c>
      <c r="B4089" s="1">
        <v>39417</v>
      </c>
      <c r="C4089" t="s">
        <v>25</v>
      </c>
      <c r="D4089" s="19">
        <v>12</v>
      </c>
      <c r="E4089">
        <v>2122</v>
      </c>
      <c r="F4089" t="s">
        <v>10</v>
      </c>
      <c r="G4089" t="s">
        <v>8</v>
      </c>
      <c r="H4089">
        <v>1</v>
      </c>
      <c r="I4089" t="s">
        <v>27</v>
      </c>
    </row>
    <row r="4090" spans="1:9" x14ac:dyDescent="0.2">
      <c r="A4090" s="58" t="str">
        <f t="shared" si="310"/>
        <v>39417Haapiti62122PocilloporidaeDessus</v>
      </c>
      <c r="B4090" s="59">
        <v>39417</v>
      </c>
      <c r="C4090" s="58" t="s">
        <v>25</v>
      </c>
      <c r="D4090" s="60">
        <v>6</v>
      </c>
      <c r="E4090">
        <v>2122</v>
      </c>
      <c r="F4090" s="58" t="s">
        <v>10</v>
      </c>
      <c r="G4090" s="58" t="s">
        <v>11</v>
      </c>
      <c r="H4090" s="58">
        <v>1</v>
      </c>
      <c r="I4090" s="58" t="s">
        <v>27</v>
      </c>
    </row>
    <row r="4091" spans="1:9" x14ac:dyDescent="0.2">
      <c r="A4091" s="58" t="str">
        <f t="shared" si="310"/>
        <v>39417Haapiti62123PocilloporidaeBords</v>
      </c>
      <c r="B4091" s="59">
        <v>39417</v>
      </c>
      <c r="C4091" s="58" t="s">
        <v>25</v>
      </c>
      <c r="D4091" s="60">
        <v>6</v>
      </c>
      <c r="E4091">
        <v>2123</v>
      </c>
      <c r="F4091" s="58" t="s">
        <v>10</v>
      </c>
      <c r="G4091" s="58" t="s">
        <v>13</v>
      </c>
      <c r="H4091" s="58">
        <v>7</v>
      </c>
      <c r="I4091" s="58" t="s">
        <v>27</v>
      </c>
    </row>
    <row r="4092" spans="1:9" x14ac:dyDescent="0.2">
      <c r="A4092" s="58" t="str">
        <f t="shared" si="310"/>
        <v>39417Haapiti62123PocilloporidaeDessous</v>
      </c>
      <c r="B4092" s="59">
        <v>39417</v>
      </c>
      <c r="C4092" s="58" t="s">
        <v>25</v>
      </c>
      <c r="D4092" s="60">
        <v>6</v>
      </c>
      <c r="E4092">
        <v>2123</v>
      </c>
      <c r="F4092" s="58" t="s">
        <v>10</v>
      </c>
      <c r="G4092" s="58" t="s">
        <v>8</v>
      </c>
      <c r="H4092" s="58">
        <v>1</v>
      </c>
      <c r="I4092" s="58" t="s">
        <v>27</v>
      </c>
    </row>
    <row r="4093" spans="1:9" x14ac:dyDescent="0.2">
      <c r="A4093" s="58" t="str">
        <f t="shared" si="310"/>
        <v>39417Haapiti62123PoritidaeBords</v>
      </c>
      <c r="B4093" s="59">
        <v>39417</v>
      </c>
      <c r="C4093" s="58" t="s">
        <v>25</v>
      </c>
      <c r="D4093" s="60">
        <v>6</v>
      </c>
      <c r="E4093">
        <v>2123</v>
      </c>
      <c r="F4093" s="58" t="s">
        <v>7</v>
      </c>
      <c r="G4093" s="58" t="s">
        <v>13</v>
      </c>
      <c r="H4093" s="58">
        <v>1</v>
      </c>
      <c r="I4093" s="58" t="s">
        <v>27</v>
      </c>
    </row>
    <row r="4094" spans="1:9" x14ac:dyDescent="0.2">
      <c r="A4094" t="str">
        <f t="shared" si="310"/>
        <v>39417Haapiti122124PocilloporidaeDessous</v>
      </c>
      <c r="B4094" s="1">
        <v>39417</v>
      </c>
      <c r="C4094" t="s">
        <v>25</v>
      </c>
      <c r="D4094" s="19">
        <v>12</v>
      </c>
      <c r="E4094">
        <v>2124</v>
      </c>
      <c r="F4094" t="s">
        <v>10</v>
      </c>
      <c r="G4094" t="s">
        <v>8</v>
      </c>
      <c r="H4094">
        <v>1</v>
      </c>
      <c r="I4094" t="s">
        <v>27</v>
      </c>
    </row>
    <row r="4095" spans="1:9" x14ac:dyDescent="0.2">
      <c r="A4095" s="58" t="str">
        <f t="shared" ref="A4095:A4158" si="311">B4095 &amp; C4095&amp; D4095&amp; E4095 &amp; F4095 &amp;G4095</f>
        <v>39417Haapiti62124PocilloporidaeDessous</v>
      </c>
      <c r="B4095" s="59">
        <v>39417</v>
      </c>
      <c r="C4095" s="58" t="s">
        <v>25</v>
      </c>
      <c r="D4095" s="60">
        <v>6</v>
      </c>
      <c r="E4095">
        <v>2124</v>
      </c>
      <c r="F4095" s="58" t="s">
        <v>10</v>
      </c>
      <c r="G4095" s="58" t="s">
        <v>8</v>
      </c>
      <c r="H4095" s="58">
        <v>1</v>
      </c>
      <c r="I4095" s="58" t="s">
        <v>27</v>
      </c>
    </row>
    <row r="4096" spans="1:9" x14ac:dyDescent="0.2">
      <c r="A4096" s="58" t="str">
        <f t="shared" si="311"/>
        <v>39417Haapiti62126PocilloporidaeBords</v>
      </c>
      <c r="B4096" s="59">
        <v>39417</v>
      </c>
      <c r="C4096" s="58" t="s">
        <v>25</v>
      </c>
      <c r="D4096" s="60">
        <v>6</v>
      </c>
      <c r="E4096">
        <v>2126</v>
      </c>
      <c r="F4096" s="58" t="s">
        <v>10</v>
      </c>
      <c r="G4096" s="58" t="s">
        <v>13</v>
      </c>
      <c r="H4096" s="58">
        <v>1</v>
      </c>
      <c r="I4096" s="58" t="s">
        <v>27</v>
      </c>
    </row>
    <row r="4097" spans="1:9" x14ac:dyDescent="0.2">
      <c r="A4097" s="58" t="str">
        <f t="shared" si="311"/>
        <v>39417Haapiti62126PocilloporidaeDessous</v>
      </c>
      <c r="B4097" s="59">
        <v>39417</v>
      </c>
      <c r="C4097" s="58" t="s">
        <v>25</v>
      </c>
      <c r="D4097" s="60">
        <v>6</v>
      </c>
      <c r="E4097">
        <v>2126</v>
      </c>
      <c r="F4097" s="58" t="s">
        <v>10</v>
      </c>
      <c r="G4097" s="58" t="s">
        <v>8</v>
      </c>
      <c r="H4097" s="58">
        <v>2</v>
      </c>
      <c r="I4097" s="58" t="s">
        <v>27</v>
      </c>
    </row>
    <row r="4098" spans="1:9" x14ac:dyDescent="0.2">
      <c r="A4098" t="str">
        <f t="shared" si="311"/>
        <v>39417Haapiti122127CassésBords</v>
      </c>
      <c r="B4098" s="1">
        <v>39417</v>
      </c>
      <c r="C4098" t="s">
        <v>25</v>
      </c>
      <c r="D4098" s="19">
        <v>12</v>
      </c>
      <c r="E4098">
        <v>2127</v>
      </c>
      <c r="F4098" t="s">
        <v>12</v>
      </c>
      <c r="G4098" t="s">
        <v>13</v>
      </c>
      <c r="H4098">
        <v>1</v>
      </c>
      <c r="I4098" t="s">
        <v>27</v>
      </c>
    </row>
    <row r="4099" spans="1:9" x14ac:dyDescent="0.2">
      <c r="A4099" s="58" t="str">
        <f t="shared" si="311"/>
        <v>39417Haapiti62127PocilloporidaeBords</v>
      </c>
      <c r="B4099" s="59">
        <v>39417</v>
      </c>
      <c r="C4099" s="58" t="s">
        <v>25</v>
      </c>
      <c r="D4099" s="60">
        <v>6</v>
      </c>
      <c r="E4099">
        <v>2127</v>
      </c>
      <c r="F4099" s="58" t="s">
        <v>10</v>
      </c>
      <c r="G4099" s="58" t="s">
        <v>13</v>
      </c>
      <c r="H4099" s="58">
        <v>4</v>
      </c>
      <c r="I4099" s="58" t="s">
        <v>27</v>
      </c>
    </row>
    <row r="4100" spans="1:9" x14ac:dyDescent="0.2">
      <c r="A4100" s="58" t="str">
        <f t="shared" si="311"/>
        <v>39417Haapiti62127PocilloporidaeDessous</v>
      </c>
      <c r="B4100" s="59">
        <v>39417</v>
      </c>
      <c r="C4100" s="58" t="s">
        <v>25</v>
      </c>
      <c r="D4100" s="60">
        <v>6</v>
      </c>
      <c r="E4100">
        <v>2127</v>
      </c>
      <c r="F4100" s="58" t="s">
        <v>10</v>
      </c>
      <c r="G4100" s="58" t="s">
        <v>8</v>
      </c>
      <c r="H4100" s="58">
        <v>3</v>
      </c>
      <c r="I4100" s="58" t="s">
        <v>27</v>
      </c>
    </row>
    <row r="4101" spans="1:9" x14ac:dyDescent="0.2">
      <c r="A4101" s="58" t="str">
        <f t="shared" si="311"/>
        <v>39417Haapiti62128PocilloporidaeBords</v>
      </c>
      <c r="B4101" s="59">
        <v>39417</v>
      </c>
      <c r="C4101" s="58" t="s">
        <v>25</v>
      </c>
      <c r="D4101" s="60">
        <v>6</v>
      </c>
      <c r="E4101">
        <v>2128</v>
      </c>
      <c r="F4101" s="58" t="s">
        <v>10</v>
      </c>
      <c r="G4101" s="58" t="s">
        <v>13</v>
      </c>
      <c r="H4101" s="58">
        <v>6</v>
      </c>
      <c r="I4101" s="58" t="s">
        <v>27</v>
      </c>
    </row>
    <row r="4102" spans="1:9" x14ac:dyDescent="0.2">
      <c r="A4102" s="58" t="str">
        <f t="shared" si="311"/>
        <v>39417Haapiti62128PocilloporidaeDessous</v>
      </c>
      <c r="B4102" s="59">
        <v>39417</v>
      </c>
      <c r="C4102" s="58" t="s">
        <v>25</v>
      </c>
      <c r="D4102" s="60">
        <v>6</v>
      </c>
      <c r="E4102">
        <v>2128</v>
      </c>
      <c r="F4102" s="58" t="s">
        <v>10</v>
      </c>
      <c r="G4102" s="58" t="s">
        <v>8</v>
      </c>
      <c r="H4102" s="58">
        <v>7</v>
      </c>
      <c r="I4102" s="58" t="s">
        <v>27</v>
      </c>
    </row>
    <row r="4103" spans="1:9" x14ac:dyDescent="0.2">
      <c r="A4103" s="58" t="str">
        <f t="shared" si="311"/>
        <v>39417Haapiti62128PocilloporidaeDessus</v>
      </c>
      <c r="B4103" s="59">
        <v>39417</v>
      </c>
      <c r="C4103" s="58" t="s">
        <v>25</v>
      </c>
      <c r="D4103" s="60">
        <v>6</v>
      </c>
      <c r="E4103">
        <v>2128</v>
      </c>
      <c r="F4103" s="58" t="s">
        <v>10</v>
      </c>
      <c r="G4103" s="58" t="s">
        <v>11</v>
      </c>
      <c r="H4103" s="58">
        <v>1</v>
      </c>
      <c r="I4103" s="58" t="s">
        <v>27</v>
      </c>
    </row>
    <row r="4104" spans="1:9" x14ac:dyDescent="0.2">
      <c r="A4104" t="str">
        <f t="shared" si="311"/>
        <v>39417Haapiti122129PocilloporidaeBords</v>
      </c>
      <c r="B4104" s="1">
        <v>39417</v>
      </c>
      <c r="C4104" t="s">
        <v>25</v>
      </c>
      <c r="D4104" s="19">
        <v>12</v>
      </c>
      <c r="E4104">
        <v>2129</v>
      </c>
      <c r="F4104" t="s">
        <v>10</v>
      </c>
      <c r="G4104" t="s">
        <v>13</v>
      </c>
      <c r="H4104">
        <v>1</v>
      </c>
      <c r="I4104" t="s">
        <v>27</v>
      </c>
    </row>
    <row r="4105" spans="1:9" x14ac:dyDescent="0.2">
      <c r="A4105" s="58" t="str">
        <f t="shared" si="311"/>
        <v>39417Haapiti62129PocilloporidaeDessous</v>
      </c>
      <c r="B4105" s="59">
        <v>39417</v>
      </c>
      <c r="C4105" s="58" t="s">
        <v>25</v>
      </c>
      <c r="D4105" s="60">
        <v>6</v>
      </c>
      <c r="E4105">
        <v>2129</v>
      </c>
      <c r="F4105" s="58" t="s">
        <v>10</v>
      </c>
      <c r="G4105" s="58" t="s">
        <v>8</v>
      </c>
      <c r="H4105" s="58">
        <v>7</v>
      </c>
      <c r="I4105" s="58" t="s">
        <v>27</v>
      </c>
    </row>
    <row r="4106" spans="1:9" x14ac:dyDescent="0.2">
      <c r="A4106" s="58" t="str">
        <f t="shared" si="311"/>
        <v>39417Haapiti62129PocilloporidaeDessus</v>
      </c>
      <c r="B4106" s="59">
        <v>39417</v>
      </c>
      <c r="C4106" s="58" t="s">
        <v>25</v>
      </c>
      <c r="D4106" s="60">
        <v>6</v>
      </c>
      <c r="E4106">
        <v>2129</v>
      </c>
      <c r="F4106" s="58" t="s">
        <v>10</v>
      </c>
      <c r="G4106" s="58" t="s">
        <v>11</v>
      </c>
      <c r="H4106" s="58">
        <v>1</v>
      </c>
      <c r="I4106" s="58" t="s">
        <v>27</v>
      </c>
    </row>
    <row r="4107" spans="1:9" x14ac:dyDescent="0.2">
      <c r="A4107" t="str">
        <f t="shared" si="311"/>
        <v>39417Haapiti122130PocilloporidaeDessus</v>
      </c>
      <c r="B4107" s="1">
        <v>39417</v>
      </c>
      <c r="C4107" t="s">
        <v>25</v>
      </c>
      <c r="D4107" s="19">
        <v>12</v>
      </c>
      <c r="E4107">
        <v>2130</v>
      </c>
      <c r="F4107" t="s">
        <v>10</v>
      </c>
      <c r="G4107" t="s">
        <v>11</v>
      </c>
      <c r="H4107">
        <v>1</v>
      </c>
      <c r="I4107" t="s">
        <v>27</v>
      </c>
    </row>
    <row r="4108" spans="1:9" x14ac:dyDescent="0.2">
      <c r="A4108" s="58" t="str">
        <f t="shared" si="311"/>
        <v>39417Haapiti62130PocilloporidaeBords</v>
      </c>
      <c r="B4108" s="59">
        <v>39417</v>
      </c>
      <c r="C4108" s="58" t="s">
        <v>25</v>
      </c>
      <c r="D4108" s="60">
        <v>6</v>
      </c>
      <c r="E4108">
        <v>2130</v>
      </c>
      <c r="F4108" s="58" t="s">
        <v>10</v>
      </c>
      <c r="G4108" s="58" t="s">
        <v>13</v>
      </c>
      <c r="H4108" s="58">
        <v>1</v>
      </c>
      <c r="I4108" s="58" t="s">
        <v>27</v>
      </c>
    </row>
    <row r="4109" spans="1:9" x14ac:dyDescent="0.2">
      <c r="A4109" t="str">
        <f t="shared" si="311"/>
        <v>39417Haapiti1842163CassésDessus</v>
      </c>
      <c r="B4109" s="1">
        <v>39417</v>
      </c>
      <c r="C4109" t="s">
        <v>25</v>
      </c>
      <c r="D4109" s="19">
        <v>18</v>
      </c>
      <c r="E4109">
        <v>42163</v>
      </c>
      <c r="F4109" t="s">
        <v>12</v>
      </c>
      <c r="G4109" t="s">
        <v>11</v>
      </c>
      <c r="H4109">
        <v>1</v>
      </c>
      <c r="I4109" t="s">
        <v>27</v>
      </c>
    </row>
    <row r="4110" spans="1:9" x14ac:dyDescent="0.2">
      <c r="A4110" t="str">
        <f t="shared" si="311"/>
        <v>39417Haapiti1842163PocilloporidaeBords</v>
      </c>
      <c r="B4110" s="1">
        <v>39417</v>
      </c>
      <c r="C4110" t="s">
        <v>25</v>
      </c>
      <c r="D4110" s="19">
        <v>18</v>
      </c>
      <c r="E4110">
        <v>42163</v>
      </c>
      <c r="F4110" t="s">
        <v>10</v>
      </c>
      <c r="G4110" t="s">
        <v>13</v>
      </c>
      <c r="H4110">
        <v>1</v>
      </c>
      <c r="I4110" t="s">
        <v>27</v>
      </c>
    </row>
    <row r="4111" spans="1:9" x14ac:dyDescent="0.2">
      <c r="A4111" t="str">
        <f t="shared" si="311"/>
        <v>39417Haapiti1842163PocilloporidaeDessus</v>
      </c>
      <c r="B4111" s="1">
        <v>39417</v>
      </c>
      <c r="C4111" t="s">
        <v>25</v>
      </c>
      <c r="D4111" s="19">
        <v>18</v>
      </c>
      <c r="E4111">
        <v>42163</v>
      </c>
      <c r="F4111" t="s">
        <v>10</v>
      </c>
      <c r="G4111" t="s">
        <v>11</v>
      </c>
      <c r="H4111">
        <v>2</v>
      </c>
      <c r="I4111" t="s">
        <v>27</v>
      </c>
    </row>
    <row r="4112" spans="1:9" x14ac:dyDescent="0.2">
      <c r="A4112" t="str">
        <f t="shared" si="311"/>
        <v>39417Haapiti1842163PoritidaeDessus</v>
      </c>
      <c r="B4112" s="1">
        <v>39417</v>
      </c>
      <c r="C4112" t="s">
        <v>25</v>
      </c>
      <c r="D4112" s="19">
        <v>18</v>
      </c>
      <c r="E4112">
        <v>42163</v>
      </c>
      <c r="F4112" t="s">
        <v>7</v>
      </c>
      <c r="G4112" t="s">
        <v>11</v>
      </c>
      <c r="H4112">
        <v>1</v>
      </c>
      <c r="I4112" t="s">
        <v>27</v>
      </c>
    </row>
    <row r="4113" spans="1:9" x14ac:dyDescent="0.2">
      <c r="A4113" t="str">
        <f t="shared" si="311"/>
        <v>39417Vaipahu1847048PocilloporidaeBords</v>
      </c>
      <c r="B4113" s="1">
        <v>39417</v>
      </c>
      <c r="C4113" t="s">
        <v>23</v>
      </c>
      <c r="D4113" s="19">
        <v>18</v>
      </c>
      <c r="E4113">
        <v>47048</v>
      </c>
      <c r="F4113" t="s">
        <v>10</v>
      </c>
      <c r="G4113" t="s">
        <v>13</v>
      </c>
      <c r="H4113">
        <v>2</v>
      </c>
      <c r="I4113" t="s">
        <v>27</v>
      </c>
    </row>
    <row r="4114" spans="1:9" x14ac:dyDescent="0.2">
      <c r="A4114" t="str">
        <f t="shared" si="311"/>
        <v>39417Vaipahu1848047AutresDessous</v>
      </c>
      <c r="B4114" s="1">
        <v>39417</v>
      </c>
      <c r="C4114" t="s">
        <v>23</v>
      </c>
      <c r="D4114" s="19">
        <v>18</v>
      </c>
      <c r="E4114">
        <v>48047</v>
      </c>
      <c r="F4114" t="s">
        <v>14</v>
      </c>
      <c r="G4114" t="s">
        <v>8</v>
      </c>
      <c r="H4114">
        <v>1</v>
      </c>
      <c r="I4114" t="s">
        <v>27</v>
      </c>
    </row>
    <row r="4115" spans="1:9" x14ac:dyDescent="0.2">
      <c r="A4115" t="str">
        <f t="shared" si="311"/>
        <v>39417Vaipahu1848047AutresDessus</v>
      </c>
      <c r="B4115" s="1">
        <v>39417</v>
      </c>
      <c r="C4115" t="s">
        <v>23</v>
      </c>
      <c r="D4115" s="19">
        <v>18</v>
      </c>
      <c r="E4115">
        <v>48047</v>
      </c>
      <c r="F4115" t="s">
        <v>14</v>
      </c>
      <c r="G4115" t="s">
        <v>11</v>
      </c>
      <c r="H4115">
        <v>1</v>
      </c>
      <c r="I4115" t="s">
        <v>27</v>
      </c>
    </row>
    <row r="4116" spans="1:9" x14ac:dyDescent="0.2">
      <c r="A4116" t="str">
        <f t="shared" si="311"/>
        <v>39417Vaipahu1848047PocilloporidaeBords</v>
      </c>
      <c r="B4116" s="1">
        <v>39417</v>
      </c>
      <c r="C4116" t="s">
        <v>23</v>
      </c>
      <c r="D4116" s="19">
        <v>18</v>
      </c>
      <c r="E4116">
        <v>48047</v>
      </c>
      <c r="F4116" t="s">
        <v>10</v>
      </c>
      <c r="G4116" t="s">
        <v>13</v>
      </c>
      <c r="H4116">
        <v>4</v>
      </c>
      <c r="I4116" t="s">
        <v>27</v>
      </c>
    </row>
    <row r="4117" spans="1:9" x14ac:dyDescent="0.2">
      <c r="A4117" t="str">
        <f t="shared" si="311"/>
        <v>39417Vaipahu1848047PoritidaeDessus</v>
      </c>
      <c r="B4117" s="1">
        <v>39417</v>
      </c>
      <c r="C4117" t="s">
        <v>23</v>
      </c>
      <c r="D4117" s="19">
        <v>18</v>
      </c>
      <c r="E4117">
        <v>48047</v>
      </c>
      <c r="F4117" t="s">
        <v>7</v>
      </c>
      <c r="G4117" t="s">
        <v>11</v>
      </c>
      <c r="H4117">
        <v>3</v>
      </c>
      <c r="I4117" t="s">
        <v>27</v>
      </c>
    </row>
    <row r="4118" spans="1:9" x14ac:dyDescent="0.2">
      <c r="A4118" t="str">
        <f t="shared" si="311"/>
        <v>39692Vaipahu61Autres</v>
      </c>
      <c r="B4118" s="1">
        <v>39692</v>
      </c>
      <c r="C4118" t="s">
        <v>23</v>
      </c>
      <c r="D4118" s="19">
        <v>6</v>
      </c>
      <c r="E4118">
        <v>1</v>
      </c>
      <c r="F4118" t="s">
        <v>14</v>
      </c>
      <c r="H4118">
        <v>0</v>
      </c>
    </row>
    <row r="4119" spans="1:9" x14ac:dyDescent="0.2">
      <c r="A4119" t="str">
        <f t="shared" si="311"/>
        <v>39692Vaipahu62Autres</v>
      </c>
      <c r="B4119" s="1">
        <v>39692</v>
      </c>
      <c r="C4119" t="s">
        <v>23</v>
      </c>
      <c r="D4119" s="19">
        <v>6</v>
      </c>
      <c r="E4119">
        <v>2</v>
      </c>
      <c r="F4119" t="s">
        <v>14</v>
      </c>
      <c r="H4119">
        <v>0</v>
      </c>
    </row>
    <row r="4120" spans="1:9" x14ac:dyDescent="0.2">
      <c r="A4120" t="str">
        <f t="shared" si="311"/>
        <v>39692Vaipahu63Autres</v>
      </c>
      <c r="B4120" s="1">
        <v>39692</v>
      </c>
      <c r="C4120" t="s">
        <v>23</v>
      </c>
      <c r="D4120" s="19">
        <v>6</v>
      </c>
      <c r="E4120">
        <v>3</v>
      </c>
      <c r="F4120" t="s">
        <v>14</v>
      </c>
      <c r="H4120">
        <v>0</v>
      </c>
    </row>
    <row r="4121" spans="1:9" x14ac:dyDescent="0.2">
      <c r="A4121" t="str">
        <f t="shared" si="311"/>
        <v>39692Vaipahu64Autres</v>
      </c>
      <c r="B4121" s="1">
        <v>39692</v>
      </c>
      <c r="C4121" t="s">
        <v>23</v>
      </c>
      <c r="D4121" s="19">
        <v>6</v>
      </c>
      <c r="E4121">
        <v>4</v>
      </c>
      <c r="F4121" t="s">
        <v>14</v>
      </c>
      <c r="H4121">
        <v>0</v>
      </c>
    </row>
    <row r="4122" spans="1:9" x14ac:dyDescent="0.2">
      <c r="A4122" t="str">
        <f t="shared" si="311"/>
        <v>39692Vaipahu65Autres</v>
      </c>
      <c r="B4122" s="1">
        <v>39692</v>
      </c>
      <c r="C4122" t="s">
        <v>23</v>
      </c>
      <c r="D4122" s="19">
        <v>6</v>
      </c>
      <c r="E4122">
        <v>5</v>
      </c>
      <c r="F4122" t="s">
        <v>14</v>
      </c>
      <c r="H4122">
        <v>0</v>
      </c>
    </row>
    <row r="4123" spans="1:9" x14ac:dyDescent="0.2">
      <c r="A4123" t="str">
        <f t="shared" si="311"/>
        <v>39692Vaipahu66Autres</v>
      </c>
      <c r="B4123" s="1">
        <v>39692</v>
      </c>
      <c r="C4123" t="s">
        <v>23</v>
      </c>
      <c r="D4123" s="19">
        <v>6</v>
      </c>
      <c r="E4123">
        <v>6</v>
      </c>
      <c r="F4123" t="s">
        <v>14</v>
      </c>
      <c r="H4123">
        <v>0</v>
      </c>
    </row>
    <row r="4124" spans="1:9" x14ac:dyDescent="0.2">
      <c r="A4124" t="str">
        <f t="shared" si="311"/>
        <v>39692Vaipahu67Autres</v>
      </c>
      <c r="B4124" s="1">
        <v>39692</v>
      </c>
      <c r="C4124" t="s">
        <v>23</v>
      </c>
      <c r="D4124" s="19">
        <v>6</v>
      </c>
      <c r="E4124">
        <v>7</v>
      </c>
      <c r="F4124" t="s">
        <v>14</v>
      </c>
      <c r="H4124">
        <v>0</v>
      </c>
    </row>
    <row r="4125" spans="1:9" x14ac:dyDescent="0.2">
      <c r="A4125" t="str">
        <f t="shared" si="311"/>
        <v>39692Vaipahu68PocilloporidaeDessous</v>
      </c>
      <c r="B4125" s="1">
        <v>39692</v>
      </c>
      <c r="C4125" t="s">
        <v>23</v>
      </c>
      <c r="D4125" s="19">
        <v>6</v>
      </c>
      <c r="E4125">
        <v>8</v>
      </c>
      <c r="F4125" t="s">
        <v>10</v>
      </c>
      <c r="G4125" t="s">
        <v>8</v>
      </c>
      <c r="H4125">
        <v>1</v>
      </c>
      <c r="I4125" t="s">
        <v>27</v>
      </c>
    </row>
    <row r="4126" spans="1:9" x14ac:dyDescent="0.2">
      <c r="A4126" t="str">
        <f t="shared" si="311"/>
        <v>39692Vaipahu69PocilloporidaeDessous</v>
      </c>
      <c r="B4126" s="1">
        <v>39692</v>
      </c>
      <c r="C4126" t="s">
        <v>23</v>
      </c>
      <c r="D4126" s="19">
        <v>6</v>
      </c>
      <c r="E4126">
        <v>9</v>
      </c>
      <c r="F4126" t="s">
        <v>10</v>
      </c>
      <c r="G4126" t="s">
        <v>8</v>
      </c>
      <c r="H4126">
        <v>1</v>
      </c>
      <c r="I4126" t="s">
        <v>27</v>
      </c>
    </row>
    <row r="4127" spans="1:9" x14ac:dyDescent="0.2">
      <c r="A4127" t="str">
        <f t="shared" si="311"/>
        <v>39692Vaipahu610Autres</v>
      </c>
      <c r="B4127" s="1">
        <v>39692</v>
      </c>
      <c r="C4127" t="s">
        <v>23</v>
      </c>
      <c r="D4127" s="19">
        <v>6</v>
      </c>
      <c r="E4127">
        <v>10</v>
      </c>
      <c r="F4127" t="s">
        <v>14</v>
      </c>
      <c r="H4127">
        <v>0</v>
      </c>
    </row>
    <row r="4128" spans="1:9" x14ac:dyDescent="0.2">
      <c r="A4128" t="str">
        <f t="shared" si="311"/>
        <v>39692Vaipahu611Autres</v>
      </c>
      <c r="B4128" s="1">
        <v>39692</v>
      </c>
      <c r="C4128" t="s">
        <v>23</v>
      </c>
      <c r="D4128" s="19">
        <v>6</v>
      </c>
      <c r="E4128">
        <v>11</v>
      </c>
      <c r="F4128" t="s">
        <v>14</v>
      </c>
      <c r="H4128">
        <v>0</v>
      </c>
    </row>
    <row r="4129" spans="1:9" x14ac:dyDescent="0.2">
      <c r="A4129" t="str">
        <f t="shared" si="311"/>
        <v>39692Vaipahu612PoritidaeBords</v>
      </c>
      <c r="B4129" s="1">
        <v>39692</v>
      </c>
      <c r="C4129" t="s">
        <v>23</v>
      </c>
      <c r="D4129" s="19">
        <v>6</v>
      </c>
      <c r="E4129">
        <v>12</v>
      </c>
      <c r="F4129" t="s">
        <v>7</v>
      </c>
      <c r="G4129" t="s">
        <v>13</v>
      </c>
      <c r="H4129">
        <v>1</v>
      </c>
      <c r="I4129" t="s">
        <v>27</v>
      </c>
    </row>
    <row r="4130" spans="1:9" x14ac:dyDescent="0.2">
      <c r="A4130" t="str">
        <f t="shared" si="311"/>
        <v>39692Vaipahu613CassésDessous</v>
      </c>
      <c r="B4130" s="1">
        <v>39692</v>
      </c>
      <c r="C4130" t="s">
        <v>23</v>
      </c>
      <c r="D4130" s="19">
        <v>6</v>
      </c>
      <c r="E4130">
        <v>13</v>
      </c>
      <c r="F4130" t="s">
        <v>12</v>
      </c>
      <c r="G4130" t="s">
        <v>8</v>
      </c>
      <c r="H4130">
        <v>1</v>
      </c>
      <c r="I4130" t="s">
        <v>27</v>
      </c>
    </row>
    <row r="4131" spans="1:9" x14ac:dyDescent="0.2">
      <c r="A4131" t="str">
        <f t="shared" si="311"/>
        <v>39692Vaipahu614Autres</v>
      </c>
      <c r="B4131" s="1">
        <v>39692</v>
      </c>
      <c r="C4131" t="s">
        <v>23</v>
      </c>
      <c r="D4131" s="19">
        <v>6</v>
      </c>
      <c r="E4131">
        <v>14</v>
      </c>
      <c r="F4131" t="s">
        <v>14</v>
      </c>
      <c r="H4131">
        <v>0</v>
      </c>
    </row>
    <row r="4132" spans="1:9" x14ac:dyDescent="0.2">
      <c r="A4132" t="str">
        <f t="shared" si="311"/>
        <v>39692Vaipahu615Autres</v>
      </c>
      <c r="B4132" s="1">
        <v>39692</v>
      </c>
      <c r="C4132" t="s">
        <v>23</v>
      </c>
      <c r="D4132" s="19">
        <v>6</v>
      </c>
      <c r="E4132">
        <v>15</v>
      </c>
      <c r="F4132" t="s">
        <v>14</v>
      </c>
      <c r="H4132">
        <v>0</v>
      </c>
    </row>
    <row r="4133" spans="1:9" x14ac:dyDescent="0.2">
      <c r="A4133" t="str">
        <f t="shared" si="311"/>
        <v>39692Vaipahu616Autres</v>
      </c>
      <c r="B4133" s="1">
        <v>39692</v>
      </c>
      <c r="C4133" t="s">
        <v>23</v>
      </c>
      <c r="D4133" s="19">
        <v>6</v>
      </c>
      <c r="E4133">
        <v>16</v>
      </c>
      <c r="F4133" t="s">
        <v>14</v>
      </c>
      <c r="H4133">
        <v>0</v>
      </c>
    </row>
    <row r="4134" spans="1:9" x14ac:dyDescent="0.2">
      <c r="A4134" t="str">
        <f t="shared" si="311"/>
        <v>39692Vaipahu617Autres</v>
      </c>
      <c r="B4134" s="1">
        <v>39692</v>
      </c>
      <c r="C4134" t="s">
        <v>23</v>
      </c>
      <c r="D4134" s="19">
        <v>6</v>
      </c>
      <c r="E4134">
        <v>17</v>
      </c>
      <c r="F4134" t="s">
        <v>14</v>
      </c>
      <c r="H4134">
        <v>0</v>
      </c>
    </row>
    <row r="4135" spans="1:9" x14ac:dyDescent="0.2">
      <c r="A4135" t="str">
        <f t="shared" si="311"/>
        <v>39692Vaipahu618Autres</v>
      </c>
      <c r="B4135" s="1">
        <v>39692</v>
      </c>
      <c r="C4135" t="s">
        <v>23</v>
      </c>
      <c r="D4135" s="19">
        <v>6</v>
      </c>
      <c r="E4135">
        <v>18</v>
      </c>
      <c r="F4135" t="s">
        <v>14</v>
      </c>
      <c r="H4135">
        <v>0</v>
      </c>
    </row>
    <row r="4136" spans="1:9" x14ac:dyDescent="0.2">
      <c r="A4136" t="str">
        <f t="shared" si="311"/>
        <v>39692Vaipahu619Autres</v>
      </c>
      <c r="B4136" s="1">
        <v>39692</v>
      </c>
      <c r="C4136" t="s">
        <v>23</v>
      </c>
      <c r="D4136" s="19">
        <v>6</v>
      </c>
      <c r="E4136">
        <v>19</v>
      </c>
      <c r="F4136" t="s">
        <v>14</v>
      </c>
      <c r="H4136">
        <v>0</v>
      </c>
    </row>
    <row r="4137" spans="1:9" x14ac:dyDescent="0.2">
      <c r="A4137" t="str">
        <f t="shared" si="311"/>
        <v>39692Vaipahu620Autres</v>
      </c>
      <c r="B4137" s="1">
        <v>39692</v>
      </c>
      <c r="C4137" t="s">
        <v>23</v>
      </c>
      <c r="D4137" s="19">
        <v>6</v>
      </c>
      <c r="E4137">
        <v>20</v>
      </c>
      <c r="F4137" t="s">
        <v>14</v>
      </c>
      <c r="H4137">
        <v>0</v>
      </c>
    </row>
    <row r="4138" spans="1:9" x14ac:dyDescent="0.2">
      <c r="A4138" t="str">
        <f t="shared" si="311"/>
        <v>39692Vaipahu1221Autres</v>
      </c>
      <c r="B4138" s="1">
        <v>39692</v>
      </c>
      <c r="C4138" t="s">
        <v>23</v>
      </c>
      <c r="D4138" s="19">
        <v>12</v>
      </c>
      <c r="E4138">
        <v>21</v>
      </c>
      <c r="F4138" t="s">
        <v>14</v>
      </c>
      <c r="H4138">
        <v>0</v>
      </c>
    </row>
    <row r="4139" spans="1:9" x14ac:dyDescent="0.2">
      <c r="A4139" t="str">
        <f t="shared" si="311"/>
        <v>39692Vaipahu1222AutresBords</v>
      </c>
      <c r="B4139" s="1">
        <v>39692</v>
      </c>
      <c r="C4139" t="s">
        <v>23</v>
      </c>
      <c r="D4139" s="19">
        <v>12</v>
      </c>
      <c r="E4139">
        <v>22</v>
      </c>
      <c r="F4139" t="s">
        <v>14</v>
      </c>
      <c r="G4139" t="s">
        <v>13</v>
      </c>
      <c r="H4139">
        <v>1</v>
      </c>
      <c r="I4139" t="s">
        <v>27</v>
      </c>
    </row>
    <row r="4140" spans="1:9" x14ac:dyDescent="0.2">
      <c r="A4140" t="str">
        <f t="shared" si="311"/>
        <v>39692Vaipahu1223Autres</v>
      </c>
      <c r="B4140" s="1">
        <v>39692</v>
      </c>
      <c r="C4140" t="s">
        <v>23</v>
      </c>
      <c r="D4140" s="19">
        <v>12</v>
      </c>
      <c r="E4140">
        <v>23</v>
      </c>
      <c r="F4140" t="s">
        <v>14</v>
      </c>
      <c r="H4140">
        <v>0</v>
      </c>
    </row>
    <row r="4141" spans="1:9" x14ac:dyDescent="0.2">
      <c r="A4141" t="str">
        <f t="shared" si="311"/>
        <v>39692Vaipahu1224Autres</v>
      </c>
      <c r="B4141" s="1">
        <v>39692</v>
      </c>
      <c r="C4141" t="s">
        <v>23</v>
      </c>
      <c r="D4141" s="19">
        <v>12</v>
      </c>
      <c r="E4141">
        <v>24</v>
      </c>
      <c r="F4141" t="s">
        <v>14</v>
      </c>
      <c r="H4141">
        <v>0</v>
      </c>
    </row>
    <row r="4142" spans="1:9" x14ac:dyDescent="0.2">
      <c r="A4142" t="str">
        <f t="shared" si="311"/>
        <v>39692Vaipahu1225Autres</v>
      </c>
      <c r="B4142" s="1">
        <v>39692</v>
      </c>
      <c r="C4142" t="s">
        <v>23</v>
      </c>
      <c r="D4142" s="19">
        <v>12</v>
      </c>
      <c r="E4142">
        <v>25</v>
      </c>
      <c r="F4142" t="s">
        <v>14</v>
      </c>
      <c r="H4142">
        <v>0</v>
      </c>
    </row>
    <row r="4143" spans="1:9" x14ac:dyDescent="0.2">
      <c r="A4143" t="str">
        <f t="shared" si="311"/>
        <v>39692Vaipahu1226Autres</v>
      </c>
      <c r="B4143" s="1">
        <v>39692</v>
      </c>
      <c r="C4143" t="s">
        <v>23</v>
      </c>
      <c r="D4143" s="19">
        <v>12</v>
      </c>
      <c r="E4143">
        <v>26</v>
      </c>
      <c r="F4143" t="s">
        <v>14</v>
      </c>
      <c r="H4143">
        <v>0</v>
      </c>
    </row>
    <row r="4144" spans="1:9" x14ac:dyDescent="0.2">
      <c r="A4144" t="str">
        <f t="shared" si="311"/>
        <v>39692Vaipahu1227Autres</v>
      </c>
      <c r="B4144" s="1">
        <v>39692</v>
      </c>
      <c r="C4144" t="s">
        <v>23</v>
      </c>
      <c r="D4144" s="19">
        <v>12</v>
      </c>
      <c r="E4144">
        <v>27</v>
      </c>
      <c r="F4144" t="s">
        <v>14</v>
      </c>
      <c r="H4144">
        <v>0</v>
      </c>
    </row>
    <row r="4145" spans="1:9" x14ac:dyDescent="0.2">
      <c r="A4145" t="str">
        <f t="shared" si="311"/>
        <v>39692Vaipahu1228PoritidaeDessous</v>
      </c>
      <c r="B4145" s="1">
        <v>39692</v>
      </c>
      <c r="C4145" t="s">
        <v>23</v>
      </c>
      <c r="D4145" s="19">
        <v>12</v>
      </c>
      <c r="E4145">
        <v>28</v>
      </c>
      <c r="F4145" t="s">
        <v>7</v>
      </c>
      <c r="G4145" t="s">
        <v>8</v>
      </c>
      <c r="H4145">
        <v>1</v>
      </c>
      <c r="I4145" t="s">
        <v>27</v>
      </c>
    </row>
    <row r="4146" spans="1:9" x14ac:dyDescent="0.2">
      <c r="A4146" t="str">
        <f t="shared" si="311"/>
        <v>39692Vaipahu1229Autres</v>
      </c>
      <c r="B4146" s="1">
        <v>39692</v>
      </c>
      <c r="C4146" t="s">
        <v>23</v>
      </c>
      <c r="D4146" s="19">
        <v>12</v>
      </c>
      <c r="E4146">
        <v>29</v>
      </c>
      <c r="F4146" t="s">
        <v>14</v>
      </c>
      <c r="H4146">
        <v>0</v>
      </c>
    </row>
    <row r="4147" spans="1:9" x14ac:dyDescent="0.2">
      <c r="A4147" t="str">
        <f t="shared" si="311"/>
        <v>39692Vaipahu1230Autres</v>
      </c>
      <c r="B4147" s="1">
        <v>39692</v>
      </c>
      <c r="C4147" t="s">
        <v>23</v>
      </c>
      <c r="D4147" s="19">
        <v>12</v>
      </c>
      <c r="E4147">
        <v>30</v>
      </c>
      <c r="F4147" t="s">
        <v>14</v>
      </c>
      <c r="H4147">
        <v>0</v>
      </c>
    </row>
    <row r="4148" spans="1:9" x14ac:dyDescent="0.2">
      <c r="A4148" t="str">
        <f t="shared" si="311"/>
        <v>39692Vaipahu1231Autres</v>
      </c>
      <c r="B4148" s="1">
        <v>39692</v>
      </c>
      <c r="C4148" t="s">
        <v>23</v>
      </c>
      <c r="D4148" s="19">
        <v>12</v>
      </c>
      <c r="E4148">
        <v>31</v>
      </c>
      <c r="F4148" t="s">
        <v>14</v>
      </c>
      <c r="H4148">
        <v>0</v>
      </c>
    </row>
    <row r="4149" spans="1:9" x14ac:dyDescent="0.2">
      <c r="A4149" t="str">
        <f t="shared" si="311"/>
        <v>39692Vaipahu1232Autres</v>
      </c>
      <c r="B4149" s="1">
        <v>39692</v>
      </c>
      <c r="C4149" t="s">
        <v>23</v>
      </c>
      <c r="D4149" s="19">
        <v>12</v>
      </c>
      <c r="E4149">
        <v>32</v>
      </c>
      <c r="F4149" t="s">
        <v>14</v>
      </c>
      <c r="H4149">
        <v>0</v>
      </c>
    </row>
    <row r="4150" spans="1:9" x14ac:dyDescent="0.2">
      <c r="A4150" t="str">
        <f t="shared" si="311"/>
        <v>39692Vaipahu1233Autres</v>
      </c>
      <c r="B4150" s="1">
        <v>39692</v>
      </c>
      <c r="C4150" t="s">
        <v>23</v>
      </c>
      <c r="D4150" s="19">
        <v>12</v>
      </c>
      <c r="E4150">
        <v>33</v>
      </c>
      <c r="F4150" t="s">
        <v>14</v>
      </c>
      <c r="H4150">
        <v>0</v>
      </c>
    </row>
    <row r="4151" spans="1:9" x14ac:dyDescent="0.2">
      <c r="A4151" t="str">
        <f t="shared" si="311"/>
        <v>39692Vaipahu1234Autres</v>
      </c>
      <c r="B4151" s="1">
        <v>39692</v>
      </c>
      <c r="C4151" t="s">
        <v>23</v>
      </c>
      <c r="D4151" s="19">
        <v>12</v>
      </c>
      <c r="E4151">
        <v>34</v>
      </c>
      <c r="F4151" t="s">
        <v>14</v>
      </c>
      <c r="H4151">
        <v>0</v>
      </c>
    </row>
    <row r="4152" spans="1:9" x14ac:dyDescent="0.2">
      <c r="A4152" t="str">
        <f t="shared" si="311"/>
        <v>39692Vaipahu1235Autres</v>
      </c>
      <c r="B4152" s="1">
        <v>39692</v>
      </c>
      <c r="C4152" t="s">
        <v>23</v>
      </c>
      <c r="D4152" s="19">
        <v>12</v>
      </c>
      <c r="E4152">
        <v>35</v>
      </c>
      <c r="F4152" t="s">
        <v>14</v>
      </c>
      <c r="H4152">
        <v>0</v>
      </c>
    </row>
    <row r="4153" spans="1:9" x14ac:dyDescent="0.2">
      <c r="A4153" t="str">
        <f t="shared" si="311"/>
        <v>39692Vaipahu1236Autres</v>
      </c>
      <c r="B4153" s="1">
        <v>39692</v>
      </c>
      <c r="C4153" t="s">
        <v>23</v>
      </c>
      <c r="D4153" s="19">
        <v>12</v>
      </c>
      <c r="E4153">
        <v>36</v>
      </c>
      <c r="F4153" t="s">
        <v>14</v>
      </c>
      <c r="H4153">
        <v>0</v>
      </c>
    </row>
    <row r="4154" spans="1:9" x14ac:dyDescent="0.2">
      <c r="A4154" t="str">
        <f t="shared" si="311"/>
        <v>39692Vaipahu1237Autres</v>
      </c>
      <c r="B4154" s="1">
        <v>39692</v>
      </c>
      <c r="C4154" t="s">
        <v>23</v>
      </c>
      <c r="D4154" s="19">
        <v>12</v>
      </c>
      <c r="E4154">
        <v>37</v>
      </c>
      <c r="F4154" t="s">
        <v>14</v>
      </c>
      <c r="H4154">
        <v>0</v>
      </c>
    </row>
    <row r="4155" spans="1:9" x14ac:dyDescent="0.2">
      <c r="A4155" t="str">
        <f t="shared" si="311"/>
        <v>39692Vaipahu1238Autres</v>
      </c>
      <c r="B4155" s="1">
        <v>39692</v>
      </c>
      <c r="C4155" t="s">
        <v>23</v>
      </c>
      <c r="D4155" s="19">
        <v>12</v>
      </c>
      <c r="E4155">
        <v>38</v>
      </c>
      <c r="F4155" t="s">
        <v>14</v>
      </c>
      <c r="H4155">
        <v>0</v>
      </c>
    </row>
    <row r="4156" spans="1:9" x14ac:dyDescent="0.2">
      <c r="A4156" t="str">
        <f t="shared" si="311"/>
        <v>39692Vaipahu1239PocilloporidaeBords</v>
      </c>
      <c r="B4156" s="1">
        <v>39692</v>
      </c>
      <c r="C4156" t="s">
        <v>23</v>
      </c>
      <c r="D4156" s="19">
        <v>12</v>
      </c>
      <c r="E4156">
        <v>39</v>
      </c>
      <c r="F4156" t="s">
        <v>10</v>
      </c>
      <c r="G4156" t="s">
        <v>13</v>
      </c>
      <c r="H4156">
        <v>1</v>
      </c>
      <c r="I4156" t="s">
        <v>27</v>
      </c>
    </row>
    <row r="4157" spans="1:9" x14ac:dyDescent="0.2">
      <c r="A4157" t="str">
        <f t="shared" si="311"/>
        <v>39692Vaipahu1239PocilloporidaeDessous</v>
      </c>
      <c r="B4157" s="1">
        <v>39692</v>
      </c>
      <c r="C4157" t="s">
        <v>23</v>
      </c>
      <c r="D4157" s="19">
        <v>12</v>
      </c>
      <c r="E4157">
        <v>39</v>
      </c>
      <c r="F4157" t="s">
        <v>10</v>
      </c>
      <c r="G4157" t="s">
        <v>8</v>
      </c>
      <c r="H4157">
        <v>1</v>
      </c>
      <c r="I4157" t="s">
        <v>27</v>
      </c>
    </row>
    <row r="4158" spans="1:9" x14ac:dyDescent="0.2">
      <c r="A4158" t="str">
        <f t="shared" si="311"/>
        <v>39692Vaipahu1240Autres</v>
      </c>
      <c r="B4158" s="1">
        <v>39692</v>
      </c>
      <c r="C4158" t="s">
        <v>23</v>
      </c>
      <c r="D4158" s="19">
        <v>12</v>
      </c>
      <c r="E4158">
        <v>40</v>
      </c>
      <c r="F4158" t="s">
        <v>14</v>
      </c>
      <c r="H4158">
        <v>0</v>
      </c>
    </row>
    <row r="4159" spans="1:9" x14ac:dyDescent="0.2">
      <c r="A4159" t="str">
        <f t="shared" ref="A4159:A4222" si="312">B4159 &amp; C4159&amp; D4159&amp; E4159 &amp; F4159 &amp;G4159</f>
        <v>39692Vaipahu1841Autres</v>
      </c>
      <c r="B4159" s="1">
        <v>39692</v>
      </c>
      <c r="C4159" t="s">
        <v>23</v>
      </c>
      <c r="D4159" s="19">
        <v>18</v>
      </c>
      <c r="E4159">
        <v>41</v>
      </c>
      <c r="F4159" t="s">
        <v>14</v>
      </c>
      <c r="H4159">
        <v>0</v>
      </c>
    </row>
    <row r="4160" spans="1:9" x14ac:dyDescent="0.2">
      <c r="A4160" t="str">
        <f t="shared" si="312"/>
        <v>39692Vaipahu1842Autres</v>
      </c>
      <c r="B4160" s="1">
        <v>39692</v>
      </c>
      <c r="C4160" t="s">
        <v>23</v>
      </c>
      <c r="D4160" s="19">
        <v>18</v>
      </c>
      <c r="E4160">
        <v>42</v>
      </c>
      <c r="F4160" t="s">
        <v>14</v>
      </c>
      <c r="H4160">
        <v>0</v>
      </c>
    </row>
    <row r="4161" spans="1:8" x14ac:dyDescent="0.2">
      <c r="A4161" t="str">
        <f t="shared" si="312"/>
        <v>39692Vaipahu1843Autres</v>
      </c>
      <c r="B4161" s="1">
        <v>39692</v>
      </c>
      <c r="C4161" t="s">
        <v>23</v>
      </c>
      <c r="D4161" s="19">
        <v>18</v>
      </c>
      <c r="E4161">
        <v>43</v>
      </c>
      <c r="F4161" t="s">
        <v>14</v>
      </c>
      <c r="H4161">
        <v>0</v>
      </c>
    </row>
    <row r="4162" spans="1:8" x14ac:dyDescent="0.2">
      <c r="A4162" t="str">
        <f t="shared" si="312"/>
        <v>39692Vaipahu1844Autres</v>
      </c>
      <c r="B4162" s="1">
        <v>39692</v>
      </c>
      <c r="C4162" t="s">
        <v>23</v>
      </c>
      <c r="D4162" s="19">
        <v>18</v>
      </c>
      <c r="E4162">
        <v>44</v>
      </c>
      <c r="F4162" t="s">
        <v>14</v>
      </c>
      <c r="H4162">
        <v>0</v>
      </c>
    </row>
    <row r="4163" spans="1:8" x14ac:dyDescent="0.2">
      <c r="A4163" t="str">
        <f t="shared" si="312"/>
        <v>39692Vaipahu1845Autres</v>
      </c>
      <c r="B4163" s="1">
        <v>39692</v>
      </c>
      <c r="C4163" t="s">
        <v>23</v>
      </c>
      <c r="D4163" s="19">
        <v>18</v>
      </c>
      <c r="E4163">
        <v>45</v>
      </c>
      <c r="F4163" t="s">
        <v>14</v>
      </c>
      <c r="H4163">
        <v>0</v>
      </c>
    </row>
    <row r="4164" spans="1:8" x14ac:dyDescent="0.2">
      <c r="A4164" t="str">
        <f t="shared" si="312"/>
        <v>39692Vaipahu1846Autres</v>
      </c>
      <c r="B4164" s="1">
        <v>39692</v>
      </c>
      <c r="C4164" t="s">
        <v>23</v>
      </c>
      <c r="D4164" s="19">
        <v>18</v>
      </c>
      <c r="E4164">
        <v>46</v>
      </c>
      <c r="F4164" t="s">
        <v>14</v>
      </c>
      <c r="H4164">
        <v>0</v>
      </c>
    </row>
    <row r="4165" spans="1:8" x14ac:dyDescent="0.2">
      <c r="A4165" t="str">
        <f t="shared" si="312"/>
        <v>39692Vaipahu1847Autres</v>
      </c>
      <c r="B4165" s="1">
        <v>39692</v>
      </c>
      <c r="C4165" t="s">
        <v>23</v>
      </c>
      <c r="D4165" s="19">
        <v>18</v>
      </c>
      <c r="E4165">
        <v>47</v>
      </c>
      <c r="F4165" t="s">
        <v>14</v>
      </c>
      <c r="H4165">
        <v>0</v>
      </c>
    </row>
    <row r="4166" spans="1:8" x14ac:dyDescent="0.2">
      <c r="A4166" t="str">
        <f t="shared" si="312"/>
        <v>39692Vaipahu1848Autres</v>
      </c>
      <c r="B4166" s="1">
        <v>39692</v>
      </c>
      <c r="C4166" t="s">
        <v>23</v>
      </c>
      <c r="D4166" s="19">
        <v>18</v>
      </c>
      <c r="E4166">
        <v>48</v>
      </c>
      <c r="F4166" t="s">
        <v>14</v>
      </c>
      <c r="H4166">
        <v>0</v>
      </c>
    </row>
    <row r="4167" spans="1:8" x14ac:dyDescent="0.2">
      <c r="A4167" t="str">
        <f t="shared" si="312"/>
        <v>39692Vaipahu1849Autres</v>
      </c>
      <c r="B4167" s="1">
        <v>39692</v>
      </c>
      <c r="C4167" t="s">
        <v>23</v>
      </c>
      <c r="D4167" s="19">
        <v>18</v>
      </c>
      <c r="E4167">
        <v>49</v>
      </c>
      <c r="F4167" t="s">
        <v>14</v>
      </c>
      <c r="H4167">
        <v>0</v>
      </c>
    </row>
    <row r="4168" spans="1:8" x14ac:dyDescent="0.2">
      <c r="A4168" t="str">
        <f t="shared" si="312"/>
        <v>39692Vaipahu1850Autres</v>
      </c>
      <c r="B4168" s="1">
        <v>39692</v>
      </c>
      <c r="C4168" t="s">
        <v>23</v>
      </c>
      <c r="D4168" s="19">
        <v>18</v>
      </c>
      <c r="E4168">
        <v>50</v>
      </c>
      <c r="F4168" t="s">
        <v>14</v>
      </c>
      <c r="H4168">
        <v>0</v>
      </c>
    </row>
    <row r="4169" spans="1:8" x14ac:dyDescent="0.2">
      <c r="A4169" t="str">
        <f t="shared" si="312"/>
        <v>39692Vaipahu1851Autres</v>
      </c>
      <c r="B4169" s="1">
        <v>39692</v>
      </c>
      <c r="C4169" t="s">
        <v>23</v>
      </c>
      <c r="D4169" s="19">
        <v>18</v>
      </c>
      <c r="E4169">
        <v>51</v>
      </c>
      <c r="F4169" t="s">
        <v>14</v>
      </c>
      <c r="H4169">
        <v>0</v>
      </c>
    </row>
    <row r="4170" spans="1:8" x14ac:dyDescent="0.2">
      <c r="A4170" t="str">
        <f t="shared" si="312"/>
        <v>39692Vaipahu1852Autres</v>
      </c>
      <c r="B4170" s="1">
        <v>39692</v>
      </c>
      <c r="C4170" t="s">
        <v>23</v>
      </c>
      <c r="D4170" s="19">
        <v>18</v>
      </c>
      <c r="E4170">
        <v>52</v>
      </c>
      <c r="F4170" t="s">
        <v>14</v>
      </c>
      <c r="H4170">
        <v>0</v>
      </c>
    </row>
    <row r="4171" spans="1:8" x14ac:dyDescent="0.2">
      <c r="A4171" t="str">
        <f t="shared" si="312"/>
        <v>39692Vaipahu1853Autres</v>
      </c>
      <c r="B4171" s="1">
        <v>39692</v>
      </c>
      <c r="C4171" t="s">
        <v>23</v>
      </c>
      <c r="D4171" s="19">
        <v>18</v>
      </c>
      <c r="E4171">
        <v>53</v>
      </c>
      <c r="F4171" t="s">
        <v>14</v>
      </c>
      <c r="H4171">
        <v>0</v>
      </c>
    </row>
    <row r="4172" spans="1:8" x14ac:dyDescent="0.2">
      <c r="A4172" t="str">
        <f t="shared" si="312"/>
        <v>39692Vaipahu1854Autres</v>
      </c>
      <c r="B4172" s="1">
        <v>39692</v>
      </c>
      <c r="C4172" t="s">
        <v>23</v>
      </c>
      <c r="D4172" s="19">
        <v>18</v>
      </c>
      <c r="E4172">
        <v>54</v>
      </c>
      <c r="F4172" t="s">
        <v>14</v>
      </c>
      <c r="H4172">
        <v>0</v>
      </c>
    </row>
    <row r="4173" spans="1:8" x14ac:dyDescent="0.2">
      <c r="A4173" t="str">
        <f t="shared" si="312"/>
        <v>39692Vaipahu1855Autres</v>
      </c>
      <c r="B4173" s="1">
        <v>39692</v>
      </c>
      <c r="C4173" t="s">
        <v>23</v>
      </c>
      <c r="D4173" s="19">
        <v>18</v>
      </c>
      <c r="E4173">
        <v>55</v>
      </c>
      <c r="F4173" t="s">
        <v>14</v>
      </c>
      <c r="H4173">
        <v>0</v>
      </c>
    </row>
    <row r="4174" spans="1:8" x14ac:dyDescent="0.2">
      <c r="A4174" t="str">
        <f t="shared" si="312"/>
        <v>39692Vaipahu1856Autres</v>
      </c>
      <c r="B4174" s="1">
        <v>39692</v>
      </c>
      <c r="C4174" t="s">
        <v>23</v>
      </c>
      <c r="D4174" s="19">
        <v>18</v>
      </c>
      <c r="E4174">
        <v>56</v>
      </c>
      <c r="F4174" t="s">
        <v>14</v>
      </c>
      <c r="H4174">
        <v>0</v>
      </c>
    </row>
    <row r="4175" spans="1:8" x14ac:dyDescent="0.2">
      <c r="A4175" t="str">
        <f t="shared" si="312"/>
        <v>39692Vaipahu1857Autres</v>
      </c>
      <c r="B4175" s="1">
        <v>39692</v>
      </c>
      <c r="C4175" t="s">
        <v>23</v>
      </c>
      <c r="D4175" s="19">
        <v>18</v>
      </c>
      <c r="E4175">
        <v>57</v>
      </c>
      <c r="F4175" t="s">
        <v>14</v>
      </c>
      <c r="H4175">
        <v>0</v>
      </c>
    </row>
    <row r="4176" spans="1:8" x14ac:dyDescent="0.2">
      <c r="A4176" t="str">
        <f t="shared" si="312"/>
        <v>39692Vaipahu1858Autres</v>
      </c>
      <c r="B4176" s="1">
        <v>39692</v>
      </c>
      <c r="C4176" t="s">
        <v>23</v>
      </c>
      <c r="D4176" s="19">
        <v>18</v>
      </c>
      <c r="E4176">
        <v>58</v>
      </c>
      <c r="F4176" t="s">
        <v>14</v>
      </c>
      <c r="H4176">
        <v>0</v>
      </c>
    </row>
    <row r="4177" spans="1:9" x14ac:dyDescent="0.2">
      <c r="A4177" t="str">
        <f t="shared" si="312"/>
        <v>39692Vaipahu1859Autres</v>
      </c>
      <c r="B4177" s="1">
        <v>39692</v>
      </c>
      <c r="C4177" t="s">
        <v>23</v>
      </c>
      <c r="D4177" s="19">
        <v>18</v>
      </c>
      <c r="E4177">
        <v>59</v>
      </c>
      <c r="F4177" t="s">
        <v>14</v>
      </c>
      <c r="H4177">
        <v>0</v>
      </c>
    </row>
    <row r="4178" spans="1:9" x14ac:dyDescent="0.2">
      <c r="A4178" t="str">
        <f t="shared" si="312"/>
        <v>39692Vaipahu1860Autres</v>
      </c>
      <c r="B4178" s="1">
        <v>39692</v>
      </c>
      <c r="C4178" t="s">
        <v>23</v>
      </c>
      <c r="D4178" s="19">
        <v>18</v>
      </c>
      <c r="E4178">
        <v>60</v>
      </c>
      <c r="F4178" t="s">
        <v>14</v>
      </c>
      <c r="H4178">
        <v>0</v>
      </c>
    </row>
    <row r="4179" spans="1:9" x14ac:dyDescent="0.2">
      <c r="A4179" t="str">
        <f t="shared" si="312"/>
        <v>39692Tiahura661Autres</v>
      </c>
      <c r="B4179" s="1">
        <v>39692</v>
      </c>
      <c r="C4179" t="s">
        <v>24</v>
      </c>
      <c r="D4179" s="19">
        <v>6</v>
      </c>
      <c r="E4179">
        <v>61</v>
      </c>
      <c r="F4179" t="s">
        <v>14</v>
      </c>
      <c r="H4179">
        <v>0</v>
      </c>
    </row>
    <row r="4180" spans="1:9" x14ac:dyDescent="0.2">
      <c r="A4180" t="str">
        <f t="shared" si="312"/>
        <v>39692Tiahura662Autres</v>
      </c>
      <c r="B4180" s="1">
        <v>39692</v>
      </c>
      <c r="C4180" t="s">
        <v>24</v>
      </c>
      <c r="D4180" s="19">
        <v>6</v>
      </c>
      <c r="E4180">
        <v>62</v>
      </c>
      <c r="F4180" t="s">
        <v>14</v>
      </c>
      <c r="H4180">
        <v>0</v>
      </c>
    </row>
    <row r="4181" spans="1:9" x14ac:dyDescent="0.2">
      <c r="A4181" t="str">
        <f t="shared" si="312"/>
        <v>39692Tiahura663Autres</v>
      </c>
      <c r="B4181" s="1">
        <v>39692</v>
      </c>
      <c r="C4181" t="s">
        <v>24</v>
      </c>
      <c r="D4181" s="19">
        <v>6</v>
      </c>
      <c r="E4181">
        <v>63</v>
      </c>
      <c r="F4181" t="s">
        <v>14</v>
      </c>
      <c r="H4181">
        <v>0</v>
      </c>
    </row>
    <row r="4182" spans="1:9" x14ac:dyDescent="0.2">
      <c r="A4182" t="str">
        <f t="shared" si="312"/>
        <v>39692Tiahura664Autres</v>
      </c>
      <c r="B4182" s="1">
        <v>39692</v>
      </c>
      <c r="C4182" t="s">
        <v>24</v>
      </c>
      <c r="D4182" s="19">
        <v>6</v>
      </c>
      <c r="E4182">
        <v>64</v>
      </c>
      <c r="F4182" t="s">
        <v>14</v>
      </c>
      <c r="H4182">
        <v>0</v>
      </c>
    </row>
    <row r="4183" spans="1:9" x14ac:dyDescent="0.2">
      <c r="A4183" t="str">
        <f t="shared" si="312"/>
        <v>39692Tiahura665PocilloporidaeDessous</v>
      </c>
      <c r="B4183" s="1">
        <v>39692</v>
      </c>
      <c r="C4183" t="s">
        <v>24</v>
      </c>
      <c r="D4183" s="19">
        <v>6</v>
      </c>
      <c r="E4183">
        <v>65</v>
      </c>
      <c r="F4183" t="s">
        <v>10</v>
      </c>
      <c r="G4183" t="s">
        <v>8</v>
      </c>
      <c r="H4183">
        <v>1</v>
      </c>
      <c r="I4183" t="s">
        <v>27</v>
      </c>
    </row>
    <row r="4184" spans="1:9" x14ac:dyDescent="0.2">
      <c r="A4184" t="str">
        <f t="shared" si="312"/>
        <v>39692Tiahura666Autres</v>
      </c>
      <c r="B4184" s="1">
        <v>39692</v>
      </c>
      <c r="C4184" t="s">
        <v>24</v>
      </c>
      <c r="D4184" s="19">
        <v>6</v>
      </c>
      <c r="E4184">
        <v>66</v>
      </c>
      <c r="F4184" t="s">
        <v>14</v>
      </c>
      <c r="H4184">
        <v>0</v>
      </c>
    </row>
    <row r="4185" spans="1:9" x14ac:dyDescent="0.2">
      <c r="A4185" t="str">
        <f t="shared" si="312"/>
        <v>39692Tiahura667Autres</v>
      </c>
      <c r="B4185" s="1">
        <v>39692</v>
      </c>
      <c r="C4185" t="s">
        <v>24</v>
      </c>
      <c r="D4185" s="19">
        <v>6</v>
      </c>
      <c r="E4185">
        <v>67</v>
      </c>
      <c r="F4185" t="s">
        <v>14</v>
      </c>
      <c r="H4185">
        <v>0</v>
      </c>
    </row>
    <row r="4186" spans="1:9" x14ac:dyDescent="0.2">
      <c r="A4186" t="str">
        <f t="shared" si="312"/>
        <v>39692Tiahura668Autres</v>
      </c>
      <c r="B4186" s="1">
        <v>39692</v>
      </c>
      <c r="C4186" t="s">
        <v>24</v>
      </c>
      <c r="D4186" s="19">
        <v>6</v>
      </c>
      <c r="E4186">
        <v>68</v>
      </c>
      <c r="F4186" t="s">
        <v>14</v>
      </c>
      <c r="H4186">
        <v>0</v>
      </c>
    </row>
    <row r="4187" spans="1:9" x14ac:dyDescent="0.2">
      <c r="A4187" t="str">
        <f t="shared" si="312"/>
        <v>39692Tiahura669Autres</v>
      </c>
      <c r="B4187" s="1">
        <v>39692</v>
      </c>
      <c r="C4187" t="s">
        <v>24</v>
      </c>
      <c r="D4187" s="19">
        <v>6</v>
      </c>
      <c r="E4187">
        <v>69</v>
      </c>
      <c r="F4187" t="s">
        <v>14</v>
      </c>
      <c r="H4187">
        <v>0</v>
      </c>
    </row>
    <row r="4188" spans="1:9" x14ac:dyDescent="0.2">
      <c r="A4188" t="str">
        <f t="shared" si="312"/>
        <v>39692Tiahura670Autres</v>
      </c>
      <c r="B4188" s="1">
        <v>39692</v>
      </c>
      <c r="C4188" t="s">
        <v>24</v>
      </c>
      <c r="D4188" s="19">
        <v>6</v>
      </c>
      <c r="E4188">
        <v>70</v>
      </c>
      <c r="F4188" t="s">
        <v>14</v>
      </c>
      <c r="H4188">
        <v>0</v>
      </c>
    </row>
    <row r="4189" spans="1:9" x14ac:dyDescent="0.2">
      <c r="A4189" t="str">
        <f t="shared" si="312"/>
        <v>39692Tiahura671Autres</v>
      </c>
      <c r="B4189" s="1">
        <v>39692</v>
      </c>
      <c r="C4189" t="s">
        <v>24</v>
      </c>
      <c r="D4189" s="19">
        <v>6</v>
      </c>
      <c r="E4189">
        <v>71</v>
      </c>
      <c r="F4189" t="s">
        <v>14</v>
      </c>
      <c r="H4189">
        <v>0</v>
      </c>
    </row>
    <row r="4190" spans="1:9" x14ac:dyDescent="0.2">
      <c r="A4190" t="str">
        <f t="shared" si="312"/>
        <v>39692Tiahura672Autres</v>
      </c>
      <c r="B4190" s="1">
        <v>39692</v>
      </c>
      <c r="C4190" t="s">
        <v>24</v>
      </c>
      <c r="D4190" s="19">
        <v>6</v>
      </c>
      <c r="E4190">
        <v>72</v>
      </c>
      <c r="F4190" t="s">
        <v>14</v>
      </c>
      <c r="H4190">
        <v>0</v>
      </c>
    </row>
    <row r="4191" spans="1:9" x14ac:dyDescent="0.2">
      <c r="A4191" t="str">
        <f t="shared" si="312"/>
        <v>39692Tiahura673Autres</v>
      </c>
      <c r="B4191" s="1">
        <v>39692</v>
      </c>
      <c r="C4191" t="s">
        <v>24</v>
      </c>
      <c r="D4191" s="19">
        <v>6</v>
      </c>
      <c r="E4191">
        <v>73</v>
      </c>
      <c r="F4191" t="s">
        <v>14</v>
      </c>
      <c r="H4191">
        <v>0</v>
      </c>
    </row>
    <row r="4192" spans="1:9" x14ac:dyDescent="0.2">
      <c r="A4192" t="str">
        <f t="shared" si="312"/>
        <v>39692Tiahura674PocilloporidaeDessous</v>
      </c>
      <c r="B4192" s="1">
        <v>39692</v>
      </c>
      <c r="C4192" t="s">
        <v>24</v>
      </c>
      <c r="D4192" s="19">
        <v>6</v>
      </c>
      <c r="E4192">
        <v>74</v>
      </c>
      <c r="F4192" t="s">
        <v>10</v>
      </c>
      <c r="G4192" t="s">
        <v>8</v>
      </c>
      <c r="H4192">
        <v>1</v>
      </c>
    </row>
    <row r="4193" spans="1:8" x14ac:dyDescent="0.2">
      <c r="A4193" t="str">
        <f t="shared" si="312"/>
        <v>39692Tiahura675Autres</v>
      </c>
      <c r="B4193" s="1">
        <v>39692</v>
      </c>
      <c r="C4193" t="s">
        <v>24</v>
      </c>
      <c r="D4193" s="19">
        <v>6</v>
      </c>
      <c r="E4193">
        <v>75</v>
      </c>
      <c r="F4193" t="s">
        <v>14</v>
      </c>
      <c r="H4193">
        <v>0</v>
      </c>
    </row>
    <row r="4194" spans="1:8" x14ac:dyDescent="0.2">
      <c r="A4194" t="str">
        <f t="shared" si="312"/>
        <v>39692Tiahura676Autres</v>
      </c>
      <c r="B4194" s="1">
        <v>39692</v>
      </c>
      <c r="C4194" t="s">
        <v>24</v>
      </c>
      <c r="D4194" s="19">
        <v>6</v>
      </c>
      <c r="E4194">
        <v>76</v>
      </c>
      <c r="F4194" t="s">
        <v>14</v>
      </c>
      <c r="H4194">
        <v>0</v>
      </c>
    </row>
    <row r="4195" spans="1:8" x14ac:dyDescent="0.2">
      <c r="A4195" t="str">
        <f t="shared" si="312"/>
        <v>39692Tiahura677PocilloporidaeBords</v>
      </c>
      <c r="B4195" s="1">
        <v>39692</v>
      </c>
      <c r="C4195" t="s">
        <v>24</v>
      </c>
      <c r="D4195" s="19">
        <v>6</v>
      </c>
      <c r="E4195">
        <v>77</v>
      </c>
      <c r="F4195" t="s">
        <v>10</v>
      </c>
      <c r="G4195" t="s">
        <v>13</v>
      </c>
      <c r="H4195">
        <v>1</v>
      </c>
    </row>
    <row r="4196" spans="1:8" x14ac:dyDescent="0.2">
      <c r="A4196" t="str">
        <f t="shared" si="312"/>
        <v>39692Tiahura678Autres</v>
      </c>
      <c r="B4196" s="1">
        <v>39692</v>
      </c>
      <c r="C4196" t="s">
        <v>24</v>
      </c>
      <c r="D4196" s="19">
        <v>6</v>
      </c>
      <c r="E4196">
        <v>78</v>
      </c>
      <c r="F4196" t="s">
        <v>14</v>
      </c>
      <c r="H4196">
        <v>0</v>
      </c>
    </row>
    <row r="4197" spans="1:8" x14ac:dyDescent="0.2">
      <c r="A4197" t="str">
        <f t="shared" si="312"/>
        <v>39692Tiahura679AutresBords</v>
      </c>
      <c r="B4197" s="1">
        <v>39692</v>
      </c>
      <c r="C4197" t="s">
        <v>24</v>
      </c>
      <c r="D4197" s="19">
        <v>6</v>
      </c>
      <c r="E4197">
        <v>79</v>
      </c>
      <c r="F4197" t="s">
        <v>14</v>
      </c>
      <c r="G4197" t="s">
        <v>13</v>
      </c>
      <c r="H4197">
        <v>1</v>
      </c>
    </row>
    <row r="4198" spans="1:8" x14ac:dyDescent="0.2">
      <c r="A4198" t="str">
        <f t="shared" si="312"/>
        <v>39692Tiahura680Autres</v>
      </c>
      <c r="B4198" s="1">
        <v>39692</v>
      </c>
      <c r="C4198" t="s">
        <v>24</v>
      </c>
      <c r="D4198" s="19">
        <v>6</v>
      </c>
      <c r="E4198">
        <v>80</v>
      </c>
      <c r="F4198" t="s">
        <v>14</v>
      </c>
      <c r="H4198">
        <v>0</v>
      </c>
    </row>
    <row r="4199" spans="1:8" x14ac:dyDescent="0.2">
      <c r="A4199" t="str">
        <f t="shared" si="312"/>
        <v>39692Tiahura1281Autres</v>
      </c>
      <c r="B4199" s="1">
        <v>39692</v>
      </c>
      <c r="C4199" t="s">
        <v>24</v>
      </c>
      <c r="D4199" s="19">
        <v>12</v>
      </c>
      <c r="E4199">
        <v>81</v>
      </c>
      <c r="F4199" t="s">
        <v>14</v>
      </c>
      <c r="H4199">
        <v>0</v>
      </c>
    </row>
    <row r="4200" spans="1:8" x14ac:dyDescent="0.2">
      <c r="A4200" t="str">
        <f t="shared" si="312"/>
        <v>39692Tiahura1282Autres</v>
      </c>
      <c r="B4200" s="1">
        <v>39692</v>
      </c>
      <c r="C4200" t="s">
        <v>24</v>
      </c>
      <c r="D4200" s="19">
        <v>12</v>
      </c>
      <c r="E4200">
        <v>82</v>
      </c>
      <c r="F4200" t="s">
        <v>14</v>
      </c>
      <c r="H4200">
        <v>0</v>
      </c>
    </row>
    <row r="4201" spans="1:8" x14ac:dyDescent="0.2">
      <c r="A4201" t="str">
        <f t="shared" si="312"/>
        <v>39692Tiahura1283Autres</v>
      </c>
      <c r="B4201" s="1">
        <v>39692</v>
      </c>
      <c r="C4201" t="s">
        <v>24</v>
      </c>
      <c r="D4201" s="19">
        <v>12</v>
      </c>
      <c r="E4201">
        <v>83</v>
      </c>
      <c r="F4201" t="s">
        <v>14</v>
      </c>
      <c r="H4201">
        <v>0</v>
      </c>
    </row>
    <row r="4202" spans="1:8" x14ac:dyDescent="0.2">
      <c r="A4202" t="str">
        <f t="shared" si="312"/>
        <v>39692Tiahura1284Autres</v>
      </c>
      <c r="B4202" s="1">
        <v>39692</v>
      </c>
      <c r="C4202" t="s">
        <v>24</v>
      </c>
      <c r="D4202" s="19">
        <v>12</v>
      </c>
      <c r="E4202">
        <v>84</v>
      </c>
      <c r="F4202" t="s">
        <v>14</v>
      </c>
      <c r="H4202">
        <v>0</v>
      </c>
    </row>
    <row r="4203" spans="1:8" x14ac:dyDescent="0.2">
      <c r="A4203" t="str">
        <f t="shared" si="312"/>
        <v>39692Tiahura1285PocilloporidaeDessus</v>
      </c>
      <c r="B4203" s="1">
        <v>39692</v>
      </c>
      <c r="C4203" t="s">
        <v>24</v>
      </c>
      <c r="D4203" s="19">
        <v>12</v>
      </c>
      <c r="E4203">
        <v>85</v>
      </c>
      <c r="F4203" t="s">
        <v>10</v>
      </c>
      <c r="G4203" t="s">
        <v>11</v>
      </c>
      <c r="H4203">
        <v>1</v>
      </c>
    </row>
    <row r="4204" spans="1:8" x14ac:dyDescent="0.2">
      <c r="A4204" t="str">
        <f t="shared" si="312"/>
        <v>39692Tiahura1286Autres</v>
      </c>
      <c r="B4204" s="1">
        <v>39692</v>
      </c>
      <c r="C4204" t="s">
        <v>24</v>
      </c>
      <c r="D4204" s="19">
        <v>12</v>
      </c>
      <c r="E4204">
        <v>86</v>
      </c>
      <c r="F4204" t="s">
        <v>14</v>
      </c>
      <c r="H4204">
        <v>0</v>
      </c>
    </row>
    <row r="4205" spans="1:8" x14ac:dyDescent="0.2">
      <c r="A4205" t="str">
        <f t="shared" si="312"/>
        <v>39692Tiahura1287Autres</v>
      </c>
      <c r="B4205" s="1">
        <v>39692</v>
      </c>
      <c r="C4205" t="s">
        <v>24</v>
      </c>
      <c r="D4205" s="19">
        <v>12</v>
      </c>
      <c r="E4205">
        <v>87</v>
      </c>
      <c r="F4205" t="s">
        <v>14</v>
      </c>
      <c r="H4205">
        <v>0</v>
      </c>
    </row>
    <row r="4206" spans="1:8" x14ac:dyDescent="0.2">
      <c r="A4206" t="str">
        <f t="shared" si="312"/>
        <v>39692Tiahura1288Autres</v>
      </c>
      <c r="B4206" s="1">
        <v>39692</v>
      </c>
      <c r="C4206" t="s">
        <v>24</v>
      </c>
      <c r="D4206" s="19">
        <v>12</v>
      </c>
      <c r="E4206">
        <v>88</v>
      </c>
      <c r="F4206" t="s">
        <v>14</v>
      </c>
      <c r="H4206">
        <v>0</v>
      </c>
    </row>
    <row r="4207" spans="1:8" x14ac:dyDescent="0.2">
      <c r="A4207" t="str">
        <f t="shared" si="312"/>
        <v>39692Tiahura1289Autres</v>
      </c>
      <c r="B4207" s="1">
        <v>39692</v>
      </c>
      <c r="C4207" t="s">
        <v>24</v>
      </c>
      <c r="D4207" s="19">
        <v>12</v>
      </c>
      <c r="E4207">
        <v>89</v>
      </c>
      <c r="F4207" t="s">
        <v>14</v>
      </c>
      <c r="H4207">
        <v>0</v>
      </c>
    </row>
    <row r="4208" spans="1:8" x14ac:dyDescent="0.2">
      <c r="A4208" t="str">
        <f t="shared" si="312"/>
        <v>39692Tiahura1290Autres</v>
      </c>
      <c r="B4208" s="1">
        <v>39692</v>
      </c>
      <c r="C4208" t="s">
        <v>24</v>
      </c>
      <c r="D4208" s="19">
        <v>12</v>
      </c>
      <c r="E4208">
        <v>90</v>
      </c>
      <c r="F4208" t="s">
        <v>14</v>
      </c>
      <c r="H4208">
        <v>0</v>
      </c>
    </row>
    <row r="4209" spans="1:9" x14ac:dyDescent="0.2">
      <c r="A4209" t="str">
        <f t="shared" si="312"/>
        <v>39692Tiahura1291Autres</v>
      </c>
      <c r="B4209" s="1">
        <v>39692</v>
      </c>
      <c r="C4209" t="s">
        <v>24</v>
      </c>
      <c r="D4209" s="19">
        <v>12</v>
      </c>
      <c r="E4209">
        <v>91</v>
      </c>
      <c r="F4209" t="s">
        <v>14</v>
      </c>
      <c r="H4209">
        <v>0</v>
      </c>
    </row>
    <row r="4210" spans="1:9" x14ac:dyDescent="0.2">
      <c r="A4210" t="str">
        <f t="shared" si="312"/>
        <v>39692Tiahura1292Autres</v>
      </c>
      <c r="B4210" s="1">
        <v>39692</v>
      </c>
      <c r="C4210" t="s">
        <v>24</v>
      </c>
      <c r="D4210" s="19">
        <v>12</v>
      </c>
      <c r="E4210">
        <v>92</v>
      </c>
      <c r="F4210" t="s">
        <v>14</v>
      </c>
      <c r="H4210">
        <v>0</v>
      </c>
    </row>
    <row r="4211" spans="1:9" x14ac:dyDescent="0.2">
      <c r="A4211" t="str">
        <f t="shared" si="312"/>
        <v>39692Tiahura1293Autres</v>
      </c>
      <c r="B4211" s="1">
        <v>39692</v>
      </c>
      <c r="C4211" t="s">
        <v>24</v>
      </c>
      <c r="D4211" s="19">
        <v>12</v>
      </c>
      <c r="E4211">
        <v>93</v>
      </c>
      <c r="F4211" t="s">
        <v>14</v>
      </c>
      <c r="H4211">
        <v>0</v>
      </c>
    </row>
    <row r="4212" spans="1:9" x14ac:dyDescent="0.2">
      <c r="A4212" t="str">
        <f t="shared" si="312"/>
        <v>39692Tiahura1294Autres</v>
      </c>
      <c r="B4212" s="1">
        <v>39692</v>
      </c>
      <c r="C4212" t="s">
        <v>24</v>
      </c>
      <c r="D4212" s="19">
        <v>12</v>
      </c>
      <c r="E4212">
        <v>94</v>
      </c>
      <c r="F4212" t="s">
        <v>14</v>
      </c>
      <c r="H4212">
        <v>0</v>
      </c>
    </row>
    <row r="4213" spans="1:9" x14ac:dyDescent="0.2">
      <c r="A4213" t="str">
        <f t="shared" si="312"/>
        <v>39692Tiahura1295Autres</v>
      </c>
      <c r="B4213" s="1">
        <v>39692</v>
      </c>
      <c r="C4213" t="s">
        <v>24</v>
      </c>
      <c r="D4213" s="19">
        <v>12</v>
      </c>
      <c r="E4213">
        <v>95</v>
      </c>
      <c r="F4213" t="s">
        <v>14</v>
      </c>
      <c r="H4213">
        <v>0</v>
      </c>
    </row>
    <row r="4214" spans="1:9" x14ac:dyDescent="0.2">
      <c r="A4214" t="str">
        <f t="shared" si="312"/>
        <v>39692Tiahura1296Autres</v>
      </c>
      <c r="B4214" s="1">
        <v>39692</v>
      </c>
      <c r="C4214" t="s">
        <v>24</v>
      </c>
      <c r="D4214" s="19">
        <v>12</v>
      </c>
      <c r="E4214">
        <v>96</v>
      </c>
      <c r="F4214" t="s">
        <v>14</v>
      </c>
      <c r="H4214">
        <v>0</v>
      </c>
    </row>
    <row r="4215" spans="1:9" x14ac:dyDescent="0.2">
      <c r="A4215" t="str">
        <f t="shared" si="312"/>
        <v>39692Tiahura1297Autres</v>
      </c>
      <c r="B4215" s="1">
        <v>39692</v>
      </c>
      <c r="C4215" t="s">
        <v>24</v>
      </c>
      <c r="D4215" s="19">
        <v>12</v>
      </c>
      <c r="E4215">
        <v>97</v>
      </c>
      <c r="F4215" t="s">
        <v>14</v>
      </c>
      <c r="H4215">
        <v>0</v>
      </c>
    </row>
    <row r="4216" spans="1:9" x14ac:dyDescent="0.2">
      <c r="A4216" t="str">
        <f t="shared" si="312"/>
        <v>39692Tiahura1298Autres</v>
      </c>
      <c r="B4216" s="1">
        <v>39692</v>
      </c>
      <c r="C4216" t="s">
        <v>24</v>
      </c>
      <c r="D4216" s="19">
        <v>12</v>
      </c>
      <c r="E4216">
        <v>98</v>
      </c>
      <c r="F4216" t="s">
        <v>14</v>
      </c>
      <c r="H4216">
        <v>0</v>
      </c>
    </row>
    <row r="4217" spans="1:9" x14ac:dyDescent="0.2">
      <c r="A4217" t="str">
        <f t="shared" si="312"/>
        <v>39692Tiahura1299Autres</v>
      </c>
      <c r="B4217" s="1">
        <v>39692</v>
      </c>
      <c r="C4217" t="s">
        <v>24</v>
      </c>
      <c r="D4217" s="19">
        <v>12</v>
      </c>
      <c r="E4217">
        <v>99</v>
      </c>
      <c r="F4217" t="s">
        <v>14</v>
      </c>
      <c r="H4217">
        <v>0</v>
      </c>
    </row>
    <row r="4218" spans="1:9" x14ac:dyDescent="0.2">
      <c r="A4218" t="str">
        <f t="shared" si="312"/>
        <v>39692Tiahura12100Autres</v>
      </c>
      <c r="B4218" s="1">
        <v>39692</v>
      </c>
      <c r="C4218" t="s">
        <v>24</v>
      </c>
      <c r="D4218" s="19">
        <v>12</v>
      </c>
      <c r="E4218">
        <v>100</v>
      </c>
      <c r="F4218" t="s">
        <v>14</v>
      </c>
      <c r="H4218">
        <v>0</v>
      </c>
    </row>
    <row r="4219" spans="1:9" x14ac:dyDescent="0.2">
      <c r="A4219" t="str">
        <f t="shared" si="312"/>
        <v>39692Tiahura18101Autres</v>
      </c>
      <c r="B4219" s="1">
        <v>39692</v>
      </c>
      <c r="C4219" t="s">
        <v>24</v>
      </c>
      <c r="D4219" s="19">
        <v>18</v>
      </c>
      <c r="E4219">
        <v>101</v>
      </c>
      <c r="F4219" t="s">
        <v>14</v>
      </c>
      <c r="H4219">
        <v>0</v>
      </c>
    </row>
    <row r="4220" spans="1:9" x14ac:dyDescent="0.2">
      <c r="A4220" t="str">
        <f t="shared" si="312"/>
        <v>39692Tiahura18102Autres</v>
      </c>
      <c r="B4220" s="1">
        <v>39692</v>
      </c>
      <c r="C4220" t="s">
        <v>24</v>
      </c>
      <c r="D4220" s="19">
        <v>18</v>
      </c>
      <c r="E4220">
        <v>102</v>
      </c>
      <c r="F4220" t="s">
        <v>14</v>
      </c>
      <c r="H4220">
        <v>0</v>
      </c>
    </row>
    <row r="4221" spans="1:9" x14ac:dyDescent="0.2">
      <c r="A4221" t="str">
        <f t="shared" si="312"/>
        <v>39692Tiahura18103</v>
      </c>
      <c r="B4221" s="1">
        <v>39692</v>
      </c>
      <c r="C4221" t="s">
        <v>24</v>
      </c>
      <c r="D4221" s="19">
        <v>18</v>
      </c>
      <c r="E4221">
        <v>103</v>
      </c>
      <c r="I4221" t="s">
        <v>31</v>
      </c>
    </row>
    <row r="4222" spans="1:9" x14ac:dyDescent="0.2">
      <c r="A4222" t="str">
        <f t="shared" si="312"/>
        <v>39692Tiahura18104Autres</v>
      </c>
      <c r="B4222" s="1">
        <v>39692</v>
      </c>
      <c r="C4222" t="s">
        <v>24</v>
      </c>
      <c r="D4222" s="19">
        <v>18</v>
      </c>
      <c r="E4222">
        <v>104</v>
      </c>
      <c r="F4222" t="s">
        <v>14</v>
      </c>
      <c r="H4222">
        <v>0</v>
      </c>
    </row>
    <row r="4223" spans="1:9" x14ac:dyDescent="0.2">
      <c r="A4223" t="str">
        <f t="shared" ref="A4223:A4286" si="313">B4223 &amp; C4223&amp; D4223&amp; E4223 &amp; F4223 &amp;G4223</f>
        <v>39692Tiahura18105Autres</v>
      </c>
      <c r="B4223" s="1">
        <v>39692</v>
      </c>
      <c r="C4223" t="s">
        <v>24</v>
      </c>
      <c r="D4223" s="19">
        <v>18</v>
      </c>
      <c r="E4223">
        <v>105</v>
      </c>
      <c r="F4223" t="s">
        <v>14</v>
      </c>
      <c r="H4223">
        <v>0</v>
      </c>
    </row>
    <row r="4224" spans="1:9" x14ac:dyDescent="0.2">
      <c r="A4224" t="str">
        <f t="shared" si="313"/>
        <v>39692Tiahura18106Autres</v>
      </c>
      <c r="B4224" s="1">
        <v>39692</v>
      </c>
      <c r="C4224" t="s">
        <v>24</v>
      </c>
      <c r="D4224" s="19">
        <v>18</v>
      </c>
      <c r="E4224">
        <v>106</v>
      </c>
      <c r="F4224" t="s">
        <v>14</v>
      </c>
      <c r="H4224">
        <v>0</v>
      </c>
    </row>
    <row r="4225" spans="1:8" x14ac:dyDescent="0.2">
      <c r="A4225" t="str">
        <f t="shared" si="313"/>
        <v>39692Tiahura18107Autres</v>
      </c>
      <c r="B4225" s="1">
        <v>39692</v>
      </c>
      <c r="C4225" t="s">
        <v>24</v>
      </c>
      <c r="D4225" s="19">
        <v>18</v>
      </c>
      <c r="E4225">
        <v>107</v>
      </c>
      <c r="F4225" t="s">
        <v>14</v>
      </c>
      <c r="H4225">
        <v>0</v>
      </c>
    </row>
    <row r="4226" spans="1:8" x14ac:dyDescent="0.2">
      <c r="A4226" t="str">
        <f t="shared" si="313"/>
        <v>39692Tiahura18108Autres</v>
      </c>
      <c r="B4226" s="1">
        <v>39692</v>
      </c>
      <c r="C4226" t="s">
        <v>24</v>
      </c>
      <c r="D4226" s="19">
        <v>18</v>
      </c>
      <c r="E4226">
        <v>108</v>
      </c>
      <c r="F4226" t="s">
        <v>14</v>
      </c>
      <c r="H4226">
        <v>0</v>
      </c>
    </row>
    <row r="4227" spans="1:8" x14ac:dyDescent="0.2">
      <c r="A4227" t="str">
        <f t="shared" si="313"/>
        <v>39692Tiahura18109Autres</v>
      </c>
      <c r="B4227" s="1">
        <v>39692</v>
      </c>
      <c r="C4227" t="s">
        <v>24</v>
      </c>
      <c r="D4227" s="19">
        <v>18</v>
      </c>
      <c r="E4227">
        <v>109</v>
      </c>
      <c r="F4227" t="s">
        <v>14</v>
      </c>
      <c r="H4227">
        <v>0</v>
      </c>
    </row>
    <row r="4228" spans="1:8" x14ac:dyDescent="0.2">
      <c r="A4228" t="str">
        <f t="shared" si="313"/>
        <v>39692Tiahura18110Autres</v>
      </c>
      <c r="B4228" s="1">
        <v>39692</v>
      </c>
      <c r="C4228" t="s">
        <v>24</v>
      </c>
      <c r="D4228" s="19">
        <v>18</v>
      </c>
      <c r="E4228">
        <v>110</v>
      </c>
      <c r="F4228" t="s">
        <v>14</v>
      </c>
      <c r="H4228">
        <v>0</v>
      </c>
    </row>
    <row r="4229" spans="1:8" x14ac:dyDescent="0.2">
      <c r="A4229" t="str">
        <f t="shared" si="313"/>
        <v>39692Tiahura18111Autres</v>
      </c>
      <c r="B4229" s="1">
        <v>39692</v>
      </c>
      <c r="C4229" t="s">
        <v>24</v>
      </c>
      <c r="D4229" s="19">
        <v>18</v>
      </c>
      <c r="E4229">
        <v>111</v>
      </c>
      <c r="F4229" t="s">
        <v>14</v>
      </c>
      <c r="H4229">
        <v>0</v>
      </c>
    </row>
    <row r="4230" spans="1:8" x14ac:dyDescent="0.2">
      <c r="A4230" t="str">
        <f t="shared" si="313"/>
        <v>39692Tiahura18112Autres</v>
      </c>
      <c r="B4230" s="1">
        <v>39692</v>
      </c>
      <c r="C4230" t="s">
        <v>24</v>
      </c>
      <c r="D4230" s="19">
        <v>18</v>
      </c>
      <c r="E4230">
        <v>112</v>
      </c>
      <c r="F4230" t="s">
        <v>14</v>
      </c>
      <c r="H4230">
        <v>0</v>
      </c>
    </row>
    <row r="4231" spans="1:8" x14ac:dyDescent="0.2">
      <c r="A4231" t="str">
        <f t="shared" si="313"/>
        <v>39692Tiahura18113Autres</v>
      </c>
      <c r="B4231" s="1">
        <v>39692</v>
      </c>
      <c r="C4231" t="s">
        <v>24</v>
      </c>
      <c r="D4231" s="19">
        <v>18</v>
      </c>
      <c r="E4231">
        <v>113</v>
      </c>
      <c r="F4231" t="s">
        <v>14</v>
      </c>
      <c r="H4231">
        <v>0</v>
      </c>
    </row>
    <row r="4232" spans="1:8" x14ac:dyDescent="0.2">
      <c r="A4232" t="str">
        <f t="shared" si="313"/>
        <v>39692Tiahura18114Autres</v>
      </c>
      <c r="B4232" s="1">
        <v>39692</v>
      </c>
      <c r="C4232" t="s">
        <v>24</v>
      </c>
      <c r="D4232" s="19">
        <v>18</v>
      </c>
      <c r="E4232">
        <v>114</v>
      </c>
      <c r="F4232" t="s">
        <v>14</v>
      </c>
      <c r="H4232">
        <v>0</v>
      </c>
    </row>
    <row r="4233" spans="1:8" x14ac:dyDescent="0.2">
      <c r="A4233" t="str">
        <f t="shared" si="313"/>
        <v>39692Tiahura18115Autres</v>
      </c>
      <c r="B4233" s="1">
        <v>39692</v>
      </c>
      <c r="C4233" t="s">
        <v>24</v>
      </c>
      <c r="D4233" s="19">
        <v>18</v>
      </c>
      <c r="E4233">
        <v>115</v>
      </c>
      <c r="F4233" t="s">
        <v>14</v>
      </c>
      <c r="H4233">
        <v>0</v>
      </c>
    </row>
    <row r="4234" spans="1:8" x14ac:dyDescent="0.2">
      <c r="A4234" t="str">
        <f t="shared" si="313"/>
        <v>39692Tiahura18116Autres</v>
      </c>
      <c r="B4234" s="1">
        <v>39692</v>
      </c>
      <c r="C4234" t="s">
        <v>24</v>
      </c>
      <c r="D4234" s="19">
        <v>18</v>
      </c>
      <c r="E4234">
        <v>116</v>
      </c>
      <c r="F4234" t="s">
        <v>14</v>
      </c>
      <c r="H4234">
        <v>0</v>
      </c>
    </row>
    <row r="4235" spans="1:8" x14ac:dyDescent="0.2">
      <c r="A4235" t="str">
        <f t="shared" si="313"/>
        <v>39692Tiahura18117Autres</v>
      </c>
      <c r="B4235" s="1">
        <v>39692</v>
      </c>
      <c r="C4235" t="s">
        <v>24</v>
      </c>
      <c r="D4235" s="19">
        <v>18</v>
      </c>
      <c r="E4235">
        <v>117</v>
      </c>
      <c r="F4235" t="s">
        <v>14</v>
      </c>
      <c r="H4235">
        <v>0</v>
      </c>
    </row>
    <row r="4236" spans="1:8" x14ac:dyDescent="0.2">
      <c r="A4236" t="str">
        <f t="shared" si="313"/>
        <v>39692Tiahura18118Autres</v>
      </c>
      <c r="B4236" s="1">
        <v>39692</v>
      </c>
      <c r="C4236" t="s">
        <v>24</v>
      </c>
      <c r="D4236" s="19">
        <v>18</v>
      </c>
      <c r="E4236">
        <v>118</v>
      </c>
      <c r="F4236" t="s">
        <v>14</v>
      </c>
      <c r="H4236">
        <v>0</v>
      </c>
    </row>
    <row r="4237" spans="1:8" x14ac:dyDescent="0.2">
      <c r="A4237" t="str">
        <f t="shared" si="313"/>
        <v>39692Tiahura18119Autres</v>
      </c>
      <c r="B4237" s="1">
        <v>39692</v>
      </c>
      <c r="C4237" t="s">
        <v>24</v>
      </c>
      <c r="D4237" s="19">
        <v>18</v>
      </c>
      <c r="E4237">
        <v>119</v>
      </c>
      <c r="F4237" t="s">
        <v>14</v>
      </c>
      <c r="H4237">
        <v>0</v>
      </c>
    </row>
    <row r="4238" spans="1:8" x14ac:dyDescent="0.2">
      <c r="A4238" t="str">
        <f t="shared" si="313"/>
        <v>39692Tiahura18120PoritidaeDessous</v>
      </c>
      <c r="B4238" s="1">
        <v>39692</v>
      </c>
      <c r="C4238" t="s">
        <v>24</v>
      </c>
      <c r="D4238" s="19">
        <v>18</v>
      </c>
      <c r="E4238">
        <v>120</v>
      </c>
      <c r="F4238" t="s">
        <v>7</v>
      </c>
      <c r="G4238" t="s">
        <v>8</v>
      </c>
      <c r="H4238">
        <v>1</v>
      </c>
    </row>
    <row r="4239" spans="1:8" x14ac:dyDescent="0.2">
      <c r="A4239" t="str">
        <f t="shared" si="313"/>
        <v>39692Haapiti6121Autres</v>
      </c>
      <c r="B4239" s="1">
        <v>39692</v>
      </c>
      <c r="C4239" t="s">
        <v>25</v>
      </c>
      <c r="D4239" s="19">
        <v>6</v>
      </c>
      <c r="E4239">
        <v>121</v>
      </c>
      <c r="F4239" t="s">
        <v>14</v>
      </c>
      <c r="H4239">
        <v>0</v>
      </c>
    </row>
    <row r="4240" spans="1:8" x14ac:dyDescent="0.2">
      <c r="A4240" t="str">
        <f t="shared" si="313"/>
        <v>39692Haapiti6122Autres</v>
      </c>
      <c r="B4240" s="1">
        <v>39692</v>
      </c>
      <c r="C4240" t="s">
        <v>25</v>
      </c>
      <c r="D4240" s="19">
        <v>6</v>
      </c>
      <c r="E4240">
        <v>122</v>
      </c>
      <c r="F4240" t="s">
        <v>14</v>
      </c>
      <c r="H4240">
        <v>0</v>
      </c>
    </row>
    <row r="4241" spans="1:9" x14ac:dyDescent="0.2">
      <c r="A4241" t="str">
        <f t="shared" si="313"/>
        <v>39692Haapiti6123Autres</v>
      </c>
      <c r="B4241" s="1">
        <v>39692</v>
      </c>
      <c r="C4241" t="s">
        <v>25</v>
      </c>
      <c r="D4241" s="19">
        <v>6</v>
      </c>
      <c r="E4241">
        <v>123</v>
      </c>
      <c r="F4241" t="s">
        <v>14</v>
      </c>
      <c r="H4241">
        <v>0</v>
      </c>
    </row>
    <row r="4242" spans="1:9" x14ac:dyDescent="0.2">
      <c r="A4242" t="str">
        <f t="shared" si="313"/>
        <v>39692Haapiti6124Autres</v>
      </c>
      <c r="B4242" s="1">
        <v>39692</v>
      </c>
      <c r="C4242" t="s">
        <v>25</v>
      </c>
      <c r="D4242" s="19">
        <v>6</v>
      </c>
      <c r="E4242">
        <v>124</v>
      </c>
      <c r="F4242" t="s">
        <v>14</v>
      </c>
      <c r="H4242">
        <v>0</v>
      </c>
    </row>
    <row r="4243" spans="1:9" x14ac:dyDescent="0.2">
      <c r="A4243" t="str">
        <f t="shared" si="313"/>
        <v>39692Haapiti6125AcroporidaeBords</v>
      </c>
      <c r="B4243" s="1">
        <v>39692</v>
      </c>
      <c r="C4243" t="s">
        <v>25</v>
      </c>
      <c r="D4243" s="19">
        <v>6</v>
      </c>
      <c r="E4243">
        <v>125</v>
      </c>
      <c r="F4243" t="s">
        <v>17</v>
      </c>
      <c r="G4243" t="s">
        <v>13</v>
      </c>
      <c r="H4243">
        <v>1</v>
      </c>
      <c r="I4243" t="s">
        <v>27</v>
      </c>
    </row>
    <row r="4244" spans="1:9" x14ac:dyDescent="0.2">
      <c r="A4244" t="str">
        <f t="shared" si="313"/>
        <v>39692Haapiti6126Autres</v>
      </c>
      <c r="B4244" s="1">
        <v>39692</v>
      </c>
      <c r="C4244" t="s">
        <v>25</v>
      </c>
      <c r="D4244" s="19">
        <v>6</v>
      </c>
      <c r="E4244">
        <v>126</v>
      </c>
      <c r="F4244" t="s">
        <v>14</v>
      </c>
      <c r="H4244">
        <v>0</v>
      </c>
    </row>
    <row r="4245" spans="1:9" x14ac:dyDescent="0.2">
      <c r="A4245" t="str">
        <f t="shared" si="313"/>
        <v>39692Haapiti6127Autres</v>
      </c>
      <c r="B4245" s="1">
        <v>39692</v>
      </c>
      <c r="C4245" t="s">
        <v>25</v>
      </c>
      <c r="D4245" s="19">
        <v>6</v>
      </c>
      <c r="E4245">
        <v>127</v>
      </c>
      <c r="F4245" t="s">
        <v>14</v>
      </c>
      <c r="H4245">
        <v>0</v>
      </c>
    </row>
    <row r="4246" spans="1:9" x14ac:dyDescent="0.2">
      <c r="A4246" t="str">
        <f t="shared" si="313"/>
        <v>39692Haapiti6128Autres</v>
      </c>
      <c r="B4246" s="1">
        <v>39692</v>
      </c>
      <c r="C4246" t="s">
        <v>25</v>
      </c>
      <c r="D4246" s="19">
        <v>6</v>
      </c>
      <c r="E4246">
        <v>128</v>
      </c>
      <c r="F4246" t="s">
        <v>14</v>
      </c>
      <c r="H4246">
        <v>0</v>
      </c>
    </row>
    <row r="4247" spans="1:9" x14ac:dyDescent="0.2">
      <c r="A4247" t="str">
        <f t="shared" si="313"/>
        <v>39692Haapiti6129Autres</v>
      </c>
      <c r="B4247" s="1">
        <v>39692</v>
      </c>
      <c r="C4247" t="s">
        <v>25</v>
      </c>
      <c r="D4247" s="19">
        <v>6</v>
      </c>
      <c r="E4247">
        <v>129</v>
      </c>
      <c r="F4247" t="s">
        <v>14</v>
      </c>
      <c r="H4247">
        <v>0</v>
      </c>
    </row>
    <row r="4248" spans="1:9" x14ac:dyDescent="0.2">
      <c r="A4248" t="str">
        <f t="shared" si="313"/>
        <v>39692Haapiti6130Autres</v>
      </c>
      <c r="B4248" s="1">
        <v>39692</v>
      </c>
      <c r="C4248" t="s">
        <v>25</v>
      </c>
      <c r="D4248" s="19">
        <v>6</v>
      </c>
      <c r="E4248">
        <v>130</v>
      </c>
      <c r="F4248" t="s">
        <v>14</v>
      </c>
      <c r="H4248">
        <v>0</v>
      </c>
    </row>
    <row r="4249" spans="1:9" x14ac:dyDescent="0.2">
      <c r="A4249" t="str">
        <f t="shared" si="313"/>
        <v>39692Haapiti6131Autres</v>
      </c>
      <c r="B4249" s="1">
        <v>39692</v>
      </c>
      <c r="C4249" t="s">
        <v>25</v>
      </c>
      <c r="D4249" s="19">
        <v>6</v>
      </c>
      <c r="E4249">
        <v>131</v>
      </c>
      <c r="F4249" t="s">
        <v>14</v>
      </c>
      <c r="H4249">
        <v>0</v>
      </c>
    </row>
    <row r="4250" spans="1:9" x14ac:dyDescent="0.2">
      <c r="A4250" t="str">
        <f t="shared" si="313"/>
        <v>39692Haapiti6132Autres</v>
      </c>
      <c r="B4250" s="1">
        <v>39692</v>
      </c>
      <c r="C4250" t="s">
        <v>25</v>
      </c>
      <c r="D4250" s="19">
        <v>6</v>
      </c>
      <c r="E4250">
        <v>132</v>
      </c>
      <c r="F4250" t="s">
        <v>14</v>
      </c>
      <c r="H4250">
        <v>0</v>
      </c>
    </row>
    <row r="4251" spans="1:9" x14ac:dyDescent="0.2">
      <c r="A4251" t="str">
        <f t="shared" si="313"/>
        <v>39692Haapiti6133Autres</v>
      </c>
      <c r="B4251" s="1">
        <v>39692</v>
      </c>
      <c r="C4251" t="s">
        <v>25</v>
      </c>
      <c r="D4251" s="19">
        <v>6</v>
      </c>
      <c r="E4251">
        <v>133</v>
      </c>
      <c r="F4251" t="s">
        <v>14</v>
      </c>
      <c r="H4251">
        <v>0</v>
      </c>
    </row>
    <row r="4252" spans="1:9" x14ac:dyDescent="0.2">
      <c r="A4252" t="str">
        <f t="shared" si="313"/>
        <v>39692Haapiti6134Autres</v>
      </c>
      <c r="B4252" s="1">
        <v>39692</v>
      </c>
      <c r="C4252" t="s">
        <v>25</v>
      </c>
      <c r="D4252" s="19">
        <v>6</v>
      </c>
      <c r="E4252">
        <v>134</v>
      </c>
      <c r="F4252" t="s">
        <v>14</v>
      </c>
      <c r="H4252">
        <v>0</v>
      </c>
    </row>
    <row r="4253" spans="1:9" x14ac:dyDescent="0.2">
      <c r="A4253" t="str">
        <f t="shared" si="313"/>
        <v>39692Haapiti6135Autres</v>
      </c>
      <c r="B4253" s="1">
        <v>39692</v>
      </c>
      <c r="C4253" t="s">
        <v>25</v>
      </c>
      <c r="D4253" s="19">
        <v>6</v>
      </c>
      <c r="E4253">
        <v>135</v>
      </c>
      <c r="F4253" t="s">
        <v>14</v>
      </c>
      <c r="H4253">
        <v>0</v>
      </c>
    </row>
    <row r="4254" spans="1:9" x14ac:dyDescent="0.2">
      <c r="A4254" t="str">
        <f t="shared" si="313"/>
        <v>39692Haapiti6136Autres</v>
      </c>
      <c r="B4254" s="1">
        <v>39692</v>
      </c>
      <c r="C4254" t="s">
        <v>25</v>
      </c>
      <c r="D4254" s="19">
        <v>6</v>
      </c>
      <c r="E4254">
        <v>136</v>
      </c>
      <c r="F4254" t="s">
        <v>14</v>
      </c>
      <c r="H4254">
        <v>0</v>
      </c>
    </row>
    <row r="4255" spans="1:9" x14ac:dyDescent="0.2">
      <c r="A4255" t="str">
        <f t="shared" si="313"/>
        <v>39692Haapiti6137Autres</v>
      </c>
      <c r="B4255" s="1">
        <v>39692</v>
      </c>
      <c r="C4255" t="s">
        <v>25</v>
      </c>
      <c r="D4255" s="19">
        <v>6</v>
      </c>
      <c r="E4255">
        <v>137</v>
      </c>
      <c r="F4255" t="s">
        <v>14</v>
      </c>
      <c r="H4255">
        <v>0</v>
      </c>
    </row>
    <row r="4256" spans="1:9" x14ac:dyDescent="0.2">
      <c r="A4256" t="str">
        <f t="shared" si="313"/>
        <v>39692Haapiti6138Autres</v>
      </c>
      <c r="B4256" s="1">
        <v>39692</v>
      </c>
      <c r="C4256" t="s">
        <v>25</v>
      </c>
      <c r="D4256" s="19">
        <v>6</v>
      </c>
      <c r="E4256">
        <v>138</v>
      </c>
      <c r="F4256" t="s">
        <v>14</v>
      </c>
      <c r="H4256">
        <v>0</v>
      </c>
    </row>
    <row r="4257" spans="1:8" x14ac:dyDescent="0.2">
      <c r="A4257" t="str">
        <f t="shared" si="313"/>
        <v>39692Haapiti6139Autres</v>
      </c>
      <c r="B4257" s="1">
        <v>39692</v>
      </c>
      <c r="C4257" t="s">
        <v>25</v>
      </c>
      <c r="D4257" s="19">
        <v>6</v>
      </c>
      <c r="E4257">
        <v>139</v>
      </c>
      <c r="F4257" t="s">
        <v>14</v>
      </c>
      <c r="H4257">
        <v>0</v>
      </c>
    </row>
    <row r="4258" spans="1:8" x14ac:dyDescent="0.2">
      <c r="A4258" t="str">
        <f t="shared" si="313"/>
        <v>39692Haapiti6140Autres</v>
      </c>
      <c r="B4258" s="1">
        <v>39692</v>
      </c>
      <c r="C4258" t="s">
        <v>25</v>
      </c>
      <c r="D4258" s="19">
        <v>6</v>
      </c>
      <c r="E4258">
        <v>140</v>
      </c>
      <c r="F4258" t="s">
        <v>14</v>
      </c>
      <c r="H4258">
        <v>0</v>
      </c>
    </row>
    <row r="4259" spans="1:8" x14ac:dyDescent="0.2">
      <c r="A4259" t="str">
        <f t="shared" si="313"/>
        <v>39692Haapiti12141Autres</v>
      </c>
      <c r="B4259" s="1">
        <v>39692</v>
      </c>
      <c r="C4259" t="s">
        <v>25</v>
      </c>
      <c r="D4259" s="19">
        <v>12</v>
      </c>
      <c r="E4259">
        <v>141</v>
      </c>
      <c r="F4259" t="s">
        <v>14</v>
      </c>
      <c r="H4259">
        <v>0</v>
      </c>
    </row>
    <row r="4260" spans="1:8" x14ac:dyDescent="0.2">
      <c r="A4260" t="str">
        <f t="shared" si="313"/>
        <v>39692Haapiti12142Autres</v>
      </c>
      <c r="B4260" s="1">
        <v>39692</v>
      </c>
      <c r="C4260" t="s">
        <v>25</v>
      </c>
      <c r="D4260" s="19">
        <v>12</v>
      </c>
      <c r="E4260">
        <v>142</v>
      </c>
      <c r="F4260" t="s">
        <v>14</v>
      </c>
      <c r="H4260">
        <v>0</v>
      </c>
    </row>
    <row r="4261" spans="1:8" x14ac:dyDescent="0.2">
      <c r="A4261" t="str">
        <f t="shared" si="313"/>
        <v>39692Haapiti12143Autres</v>
      </c>
      <c r="B4261" s="1">
        <v>39692</v>
      </c>
      <c r="C4261" t="s">
        <v>25</v>
      </c>
      <c r="D4261" s="19">
        <v>12</v>
      </c>
      <c r="E4261">
        <v>143</v>
      </c>
      <c r="F4261" t="s">
        <v>14</v>
      </c>
      <c r="H4261">
        <v>0</v>
      </c>
    </row>
    <row r="4262" spans="1:8" x14ac:dyDescent="0.2">
      <c r="A4262" t="str">
        <f t="shared" si="313"/>
        <v>39692Haapiti12144Autres</v>
      </c>
      <c r="B4262" s="1">
        <v>39692</v>
      </c>
      <c r="C4262" t="s">
        <v>25</v>
      </c>
      <c r="D4262" s="19">
        <v>12</v>
      </c>
      <c r="E4262">
        <v>144</v>
      </c>
      <c r="F4262" t="s">
        <v>14</v>
      </c>
      <c r="H4262">
        <v>0</v>
      </c>
    </row>
    <row r="4263" spans="1:8" x14ac:dyDescent="0.2">
      <c r="A4263" t="str">
        <f t="shared" si="313"/>
        <v>39692Haapiti12145Autres</v>
      </c>
      <c r="B4263" s="1">
        <v>39692</v>
      </c>
      <c r="C4263" t="s">
        <v>25</v>
      </c>
      <c r="D4263" s="19">
        <v>12</v>
      </c>
      <c r="E4263">
        <v>145</v>
      </c>
      <c r="F4263" t="s">
        <v>14</v>
      </c>
      <c r="H4263">
        <v>0</v>
      </c>
    </row>
    <row r="4264" spans="1:8" x14ac:dyDescent="0.2">
      <c r="A4264" t="str">
        <f t="shared" si="313"/>
        <v>39692Haapiti12146Autres</v>
      </c>
      <c r="B4264" s="1">
        <v>39692</v>
      </c>
      <c r="C4264" t="s">
        <v>25</v>
      </c>
      <c r="D4264" s="19">
        <v>12</v>
      </c>
      <c r="E4264">
        <v>146</v>
      </c>
      <c r="F4264" t="s">
        <v>14</v>
      </c>
      <c r="H4264">
        <v>0</v>
      </c>
    </row>
    <row r="4265" spans="1:8" x14ac:dyDescent="0.2">
      <c r="A4265" t="str">
        <f t="shared" si="313"/>
        <v>39692Haapiti12147Autres</v>
      </c>
      <c r="B4265" s="1">
        <v>39692</v>
      </c>
      <c r="C4265" t="s">
        <v>25</v>
      </c>
      <c r="D4265" s="19">
        <v>12</v>
      </c>
      <c r="E4265">
        <v>147</v>
      </c>
      <c r="F4265" t="s">
        <v>14</v>
      </c>
      <c r="H4265">
        <v>0</v>
      </c>
    </row>
    <row r="4266" spans="1:8" x14ac:dyDescent="0.2">
      <c r="A4266" t="str">
        <f t="shared" si="313"/>
        <v>39692Haapiti12148Autres</v>
      </c>
      <c r="B4266" s="1">
        <v>39692</v>
      </c>
      <c r="C4266" t="s">
        <v>25</v>
      </c>
      <c r="D4266" s="19">
        <v>12</v>
      </c>
      <c r="E4266">
        <v>148</v>
      </c>
      <c r="F4266" t="s">
        <v>14</v>
      </c>
      <c r="H4266">
        <v>0</v>
      </c>
    </row>
    <row r="4267" spans="1:8" x14ac:dyDescent="0.2">
      <c r="A4267" t="str">
        <f t="shared" si="313"/>
        <v>39692Haapiti12149Autres</v>
      </c>
      <c r="B4267" s="1">
        <v>39692</v>
      </c>
      <c r="C4267" t="s">
        <v>25</v>
      </c>
      <c r="D4267" s="19">
        <v>12</v>
      </c>
      <c r="E4267">
        <v>149</v>
      </c>
      <c r="F4267" t="s">
        <v>14</v>
      </c>
      <c r="H4267">
        <v>0</v>
      </c>
    </row>
    <row r="4268" spans="1:8" x14ac:dyDescent="0.2">
      <c r="A4268" t="str">
        <f t="shared" si="313"/>
        <v>39692Haapiti12150Autres</v>
      </c>
      <c r="B4268" s="1">
        <v>39692</v>
      </c>
      <c r="C4268" t="s">
        <v>25</v>
      </c>
      <c r="D4268" s="19">
        <v>12</v>
      </c>
      <c r="E4268">
        <v>150</v>
      </c>
      <c r="F4268" t="s">
        <v>14</v>
      </c>
      <c r="H4268">
        <v>0</v>
      </c>
    </row>
    <row r="4269" spans="1:8" x14ac:dyDescent="0.2">
      <c r="A4269" t="str">
        <f t="shared" si="313"/>
        <v>39692Haapiti12151Autres</v>
      </c>
      <c r="B4269" s="1">
        <v>39692</v>
      </c>
      <c r="C4269" t="s">
        <v>25</v>
      </c>
      <c r="D4269" s="19">
        <v>12</v>
      </c>
      <c r="E4269">
        <v>151</v>
      </c>
      <c r="F4269" t="s">
        <v>14</v>
      </c>
      <c r="H4269">
        <v>0</v>
      </c>
    </row>
    <row r="4270" spans="1:8" x14ac:dyDescent="0.2">
      <c r="A4270" t="str">
        <f t="shared" si="313"/>
        <v>39692Haapiti12152Autres</v>
      </c>
      <c r="B4270" s="1">
        <v>39692</v>
      </c>
      <c r="C4270" t="s">
        <v>25</v>
      </c>
      <c r="D4270" s="19">
        <v>12</v>
      </c>
      <c r="E4270">
        <v>152</v>
      </c>
      <c r="F4270" t="s">
        <v>14</v>
      </c>
      <c r="H4270">
        <v>0</v>
      </c>
    </row>
    <row r="4271" spans="1:8" x14ac:dyDescent="0.2">
      <c r="A4271" t="str">
        <f t="shared" si="313"/>
        <v>39692Haapiti12153Autres</v>
      </c>
      <c r="B4271" s="1">
        <v>39692</v>
      </c>
      <c r="C4271" t="s">
        <v>25</v>
      </c>
      <c r="D4271" s="19">
        <v>12</v>
      </c>
      <c r="E4271">
        <v>153</v>
      </c>
      <c r="F4271" t="s">
        <v>14</v>
      </c>
      <c r="H4271">
        <v>0</v>
      </c>
    </row>
    <row r="4272" spans="1:8" x14ac:dyDescent="0.2">
      <c r="A4272" t="str">
        <f t="shared" si="313"/>
        <v>39692Haapiti12154Autres</v>
      </c>
      <c r="B4272" s="1">
        <v>39692</v>
      </c>
      <c r="C4272" t="s">
        <v>25</v>
      </c>
      <c r="D4272" s="19">
        <v>12</v>
      </c>
      <c r="E4272">
        <v>154</v>
      </c>
      <c r="F4272" t="s">
        <v>14</v>
      </c>
      <c r="H4272">
        <v>0</v>
      </c>
    </row>
    <row r="4273" spans="1:8" x14ac:dyDescent="0.2">
      <c r="A4273" t="str">
        <f t="shared" si="313"/>
        <v>39692Haapiti12155Autres</v>
      </c>
      <c r="B4273" s="1">
        <v>39692</v>
      </c>
      <c r="C4273" t="s">
        <v>25</v>
      </c>
      <c r="D4273" s="19">
        <v>12</v>
      </c>
      <c r="E4273">
        <v>155</v>
      </c>
      <c r="F4273" t="s">
        <v>14</v>
      </c>
      <c r="H4273">
        <v>0</v>
      </c>
    </row>
    <row r="4274" spans="1:8" x14ac:dyDescent="0.2">
      <c r="A4274" t="str">
        <f t="shared" si="313"/>
        <v>39692Haapiti12156Autres</v>
      </c>
      <c r="B4274" s="1">
        <v>39692</v>
      </c>
      <c r="C4274" t="s">
        <v>25</v>
      </c>
      <c r="D4274" s="19">
        <v>12</v>
      </c>
      <c r="E4274">
        <v>156</v>
      </c>
      <c r="F4274" t="s">
        <v>14</v>
      </c>
      <c r="H4274">
        <v>0</v>
      </c>
    </row>
    <row r="4275" spans="1:8" x14ac:dyDescent="0.2">
      <c r="A4275" t="str">
        <f t="shared" si="313"/>
        <v>39692Haapiti12157Autres</v>
      </c>
      <c r="B4275" s="1">
        <v>39692</v>
      </c>
      <c r="C4275" t="s">
        <v>25</v>
      </c>
      <c r="D4275" s="19">
        <v>12</v>
      </c>
      <c r="E4275">
        <v>157</v>
      </c>
      <c r="F4275" t="s">
        <v>14</v>
      </c>
      <c r="H4275">
        <v>0</v>
      </c>
    </row>
    <row r="4276" spans="1:8" x14ac:dyDescent="0.2">
      <c r="A4276" t="str">
        <f t="shared" si="313"/>
        <v>39692Haapiti12158Autres</v>
      </c>
      <c r="B4276" s="1">
        <v>39692</v>
      </c>
      <c r="C4276" t="s">
        <v>25</v>
      </c>
      <c r="D4276" s="19">
        <v>12</v>
      </c>
      <c r="E4276">
        <v>158</v>
      </c>
      <c r="F4276" t="s">
        <v>14</v>
      </c>
      <c r="H4276">
        <v>0</v>
      </c>
    </row>
    <row r="4277" spans="1:8" x14ac:dyDescent="0.2">
      <c r="A4277" t="str">
        <f t="shared" si="313"/>
        <v>39692Haapiti12159Autres</v>
      </c>
      <c r="B4277" s="1">
        <v>39692</v>
      </c>
      <c r="C4277" t="s">
        <v>25</v>
      </c>
      <c r="D4277" s="19">
        <v>12</v>
      </c>
      <c r="E4277">
        <v>159</v>
      </c>
      <c r="F4277" t="s">
        <v>14</v>
      </c>
      <c r="H4277">
        <v>0</v>
      </c>
    </row>
    <row r="4278" spans="1:8" x14ac:dyDescent="0.2">
      <c r="A4278" t="str">
        <f t="shared" si="313"/>
        <v>39692Haapiti12160Autres</v>
      </c>
      <c r="B4278" s="1">
        <v>39692</v>
      </c>
      <c r="C4278" t="s">
        <v>25</v>
      </c>
      <c r="D4278" s="19">
        <v>12</v>
      </c>
      <c r="E4278">
        <v>160</v>
      </c>
      <c r="F4278" t="s">
        <v>14</v>
      </c>
      <c r="H4278">
        <v>0</v>
      </c>
    </row>
    <row r="4279" spans="1:8" x14ac:dyDescent="0.2">
      <c r="A4279" t="str">
        <f t="shared" si="313"/>
        <v>39692Haapiti18161Autres</v>
      </c>
      <c r="B4279" s="1">
        <v>39692</v>
      </c>
      <c r="C4279" t="s">
        <v>25</v>
      </c>
      <c r="D4279" s="19">
        <v>18</v>
      </c>
      <c r="E4279">
        <v>161</v>
      </c>
      <c r="F4279" t="s">
        <v>14</v>
      </c>
      <c r="H4279">
        <v>0</v>
      </c>
    </row>
    <row r="4280" spans="1:8" x14ac:dyDescent="0.2">
      <c r="A4280" t="str">
        <f t="shared" si="313"/>
        <v>39692Haapiti18162Autres</v>
      </c>
      <c r="B4280" s="1">
        <v>39692</v>
      </c>
      <c r="C4280" t="s">
        <v>25</v>
      </c>
      <c r="D4280" s="19">
        <v>18</v>
      </c>
      <c r="E4280">
        <v>162</v>
      </c>
      <c r="F4280" t="s">
        <v>14</v>
      </c>
      <c r="H4280">
        <v>0</v>
      </c>
    </row>
    <row r="4281" spans="1:8" x14ac:dyDescent="0.2">
      <c r="A4281" t="str">
        <f t="shared" si="313"/>
        <v>39692Haapiti18163Autres</v>
      </c>
      <c r="B4281" s="1">
        <v>39692</v>
      </c>
      <c r="C4281" t="s">
        <v>25</v>
      </c>
      <c r="D4281" s="19">
        <v>18</v>
      </c>
      <c r="E4281">
        <v>163</v>
      </c>
      <c r="F4281" t="s">
        <v>14</v>
      </c>
      <c r="H4281">
        <v>0</v>
      </c>
    </row>
    <row r="4282" spans="1:8" x14ac:dyDescent="0.2">
      <c r="A4282" t="str">
        <f t="shared" si="313"/>
        <v>39692Haapiti18164Autres</v>
      </c>
      <c r="B4282" s="1">
        <v>39692</v>
      </c>
      <c r="C4282" t="s">
        <v>25</v>
      </c>
      <c r="D4282" s="19">
        <v>18</v>
      </c>
      <c r="E4282">
        <v>164</v>
      </c>
      <c r="F4282" t="s">
        <v>14</v>
      </c>
      <c r="H4282">
        <v>0</v>
      </c>
    </row>
    <row r="4283" spans="1:8" x14ac:dyDescent="0.2">
      <c r="A4283" t="str">
        <f t="shared" si="313"/>
        <v>39692Haapiti18165Autres</v>
      </c>
      <c r="B4283" s="1">
        <v>39692</v>
      </c>
      <c r="C4283" t="s">
        <v>25</v>
      </c>
      <c r="D4283" s="19">
        <v>18</v>
      </c>
      <c r="E4283">
        <v>165</v>
      </c>
      <c r="F4283" t="s">
        <v>14</v>
      </c>
      <c r="H4283">
        <v>0</v>
      </c>
    </row>
    <row r="4284" spans="1:8" x14ac:dyDescent="0.2">
      <c r="A4284" t="str">
        <f t="shared" si="313"/>
        <v>39692Haapiti18166Autres</v>
      </c>
      <c r="B4284" s="1">
        <v>39692</v>
      </c>
      <c r="C4284" t="s">
        <v>25</v>
      </c>
      <c r="D4284" s="19">
        <v>18</v>
      </c>
      <c r="E4284">
        <v>166</v>
      </c>
      <c r="F4284" t="s">
        <v>14</v>
      </c>
      <c r="H4284">
        <v>0</v>
      </c>
    </row>
    <row r="4285" spans="1:8" x14ac:dyDescent="0.2">
      <c r="A4285" t="str">
        <f t="shared" si="313"/>
        <v>39692Haapiti18167Autres</v>
      </c>
      <c r="B4285" s="1">
        <v>39692</v>
      </c>
      <c r="C4285" t="s">
        <v>25</v>
      </c>
      <c r="D4285" s="19">
        <v>18</v>
      </c>
      <c r="E4285">
        <v>167</v>
      </c>
      <c r="F4285" t="s">
        <v>14</v>
      </c>
      <c r="H4285">
        <v>0</v>
      </c>
    </row>
    <row r="4286" spans="1:8" x14ac:dyDescent="0.2">
      <c r="A4286" t="str">
        <f t="shared" si="313"/>
        <v>39692Haapiti18168Autres</v>
      </c>
      <c r="B4286" s="1">
        <v>39692</v>
      </c>
      <c r="C4286" t="s">
        <v>25</v>
      </c>
      <c r="D4286" s="19">
        <v>18</v>
      </c>
      <c r="E4286">
        <v>168</v>
      </c>
      <c r="F4286" t="s">
        <v>14</v>
      </c>
      <c r="H4286">
        <v>0</v>
      </c>
    </row>
    <row r="4287" spans="1:8" x14ac:dyDescent="0.2">
      <c r="A4287" t="str">
        <f t="shared" ref="A4287:A4350" si="314">B4287 &amp; C4287&amp; D4287&amp; E4287 &amp; F4287 &amp;G4287</f>
        <v>39692Haapiti18169Autres</v>
      </c>
      <c r="B4287" s="1">
        <v>39692</v>
      </c>
      <c r="C4287" t="s">
        <v>25</v>
      </c>
      <c r="D4287" s="19">
        <v>18</v>
      </c>
      <c r="E4287">
        <v>169</v>
      </c>
      <c r="F4287" t="s">
        <v>14</v>
      </c>
      <c r="H4287">
        <v>0</v>
      </c>
    </row>
    <row r="4288" spans="1:8" x14ac:dyDescent="0.2">
      <c r="A4288" t="str">
        <f t="shared" si="314"/>
        <v>39692Haapiti18170Autres</v>
      </c>
      <c r="B4288" s="1">
        <v>39692</v>
      </c>
      <c r="C4288" t="s">
        <v>25</v>
      </c>
      <c r="D4288" s="19">
        <v>18</v>
      </c>
      <c r="E4288">
        <v>170</v>
      </c>
      <c r="F4288" t="s">
        <v>14</v>
      </c>
      <c r="H4288">
        <v>0</v>
      </c>
    </row>
    <row r="4289" spans="1:9" x14ac:dyDescent="0.2">
      <c r="A4289" t="str">
        <f t="shared" si="314"/>
        <v>39692Haapiti18171Autres</v>
      </c>
      <c r="B4289" s="1">
        <v>39692</v>
      </c>
      <c r="C4289" t="s">
        <v>25</v>
      </c>
      <c r="D4289" s="19">
        <v>18</v>
      </c>
      <c r="E4289">
        <v>171</v>
      </c>
      <c r="F4289" t="s">
        <v>14</v>
      </c>
      <c r="H4289">
        <v>0</v>
      </c>
    </row>
    <row r="4290" spans="1:9" x14ac:dyDescent="0.2">
      <c r="A4290" t="str">
        <f t="shared" si="314"/>
        <v>39692Haapiti18172Autres</v>
      </c>
      <c r="B4290" s="1">
        <v>39692</v>
      </c>
      <c r="C4290" t="s">
        <v>25</v>
      </c>
      <c r="D4290" s="19">
        <v>18</v>
      </c>
      <c r="E4290">
        <v>172</v>
      </c>
      <c r="F4290" t="s">
        <v>14</v>
      </c>
      <c r="H4290">
        <v>0</v>
      </c>
    </row>
    <row r="4291" spans="1:9" x14ac:dyDescent="0.2">
      <c r="A4291" t="str">
        <f t="shared" si="314"/>
        <v>39692Haapiti18173Autres</v>
      </c>
      <c r="B4291" s="1">
        <v>39692</v>
      </c>
      <c r="C4291" t="s">
        <v>25</v>
      </c>
      <c r="D4291" s="19">
        <v>18</v>
      </c>
      <c r="E4291">
        <v>173</v>
      </c>
      <c r="F4291" t="s">
        <v>14</v>
      </c>
      <c r="H4291">
        <v>0</v>
      </c>
    </row>
    <row r="4292" spans="1:9" x14ac:dyDescent="0.2">
      <c r="A4292" t="str">
        <f t="shared" si="314"/>
        <v>39692Haapiti18174PocilloporidaeDessous</v>
      </c>
      <c r="B4292" s="1">
        <v>39692</v>
      </c>
      <c r="C4292" t="s">
        <v>25</v>
      </c>
      <c r="D4292" s="19">
        <v>18</v>
      </c>
      <c r="E4292">
        <v>174</v>
      </c>
      <c r="F4292" t="s">
        <v>10</v>
      </c>
      <c r="G4292" t="s">
        <v>8</v>
      </c>
      <c r="H4292">
        <v>1</v>
      </c>
      <c r="I4292" t="s">
        <v>27</v>
      </c>
    </row>
    <row r="4293" spans="1:9" x14ac:dyDescent="0.2">
      <c r="A4293" t="str">
        <f t="shared" si="314"/>
        <v>39692Haapiti18175Autres</v>
      </c>
      <c r="B4293" s="1">
        <v>39692</v>
      </c>
      <c r="C4293" t="s">
        <v>25</v>
      </c>
      <c r="D4293" s="19">
        <v>18</v>
      </c>
      <c r="E4293">
        <v>175</v>
      </c>
      <c r="F4293" t="s">
        <v>14</v>
      </c>
      <c r="H4293">
        <v>0</v>
      </c>
    </row>
    <row r="4294" spans="1:9" x14ac:dyDescent="0.2">
      <c r="A4294" t="str">
        <f t="shared" si="314"/>
        <v>39692Haapiti18176Autres</v>
      </c>
      <c r="B4294" s="1">
        <v>39692</v>
      </c>
      <c r="C4294" t="s">
        <v>25</v>
      </c>
      <c r="D4294" s="19">
        <v>18</v>
      </c>
      <c r="E4294">
        <v>176</v>
      </c>
      <c r="F4294" t="s">
        <v>14</v>
      </c>
      <c r="H4294">
        <v>0</v>
      </c>
    </row>
    <row r="4295" spans="1:9" x14ac:dyDescent="0.2">
      <c r="A4295" t="str">
        <f t="shared" si="314"/>
        <v>39692Haapiti18177Autres</v>
      </c>
      <c r="B4295" s="1">
        <v>39692</v>
      </c>
      <c r="C4295" t="s">
        <v>25</v>
      </c>
      <c r="D4295" s="19">
        <v>18</v>
      </c>
      <c r="E4295">
        <v>177</v>
      </c>
      <c r="F4295" t="s">
        <v>14</v>
      </c>
      <c r="H4295">
        <v>0</v>
      </c>
    </row>
    <row r="4296" spans="1:9" x14ac:dyDescent="0.2">
      <c r="A4296" t="str">
        <f t="shared" si="314"/>
        <v>39692Haapiti18178Autres</v>
      </c>
      <c r="B4296" s="1">
        <v>39692</v>
      </c>
      <c r="C4296" t="s">
        <v>25</v>
      </c>
      <c r="D4296" s="19">
        <v>18</v>
      </c>
      <c r="E4296">
        <v>178</v>
      </c>
      <c r="F4296" t="s">
        <v>14</v>
      </c>
      <c r="H4296">
        <v>0</v>
      </c>
    </row>
    <row r="4297" spans="1:9" x14ac:dyDescent="0.2">
      <c r="A4297" t="str">
        <f t="shared" si="314"/>
        <v>39692Haapiti18179Autres</v>
      </c>
      <c r="B4297" s="1">
        <v>39692</v>
      </c>
      <c r="C4297" t="s">
        <v>25</v>
      </c>
      <c r="D4297" s="19">
        <v>18</v>
      </c>
      <c r="E4297">
        <v>179</v>
      </c>
      <c r="F4297" t="s">
        <v>14</v>
      </c>
      <c r="H4297">
        <v>0</v>
      </c>
    </row>
    <row r="4298" spans="1:9" x14ac:dyDescent="0.2">
      <c r="A4298" t="str">
        <f t="shared" si="314"/>
        <v>39692Haapiti18180Autres</v>
      </c>
      <c r="B4298" s="1">
        <v>39692</v>
      </c>
      <c r="C4298" t="s">
        <v>25</v>
      </c>
      <c r="D4298" s="19">
        <v>18</v>
      </c>
      <c r="E4298">
        <v>180</v>
      </c>
      <c r="F4298" t="s">
        <v>14</v>
      </c>
      <c r="H4298">
        <v>0</v>
      </c>
    </row>
    <row r="4299" spans="1:9" x14ac:dyDescent="0.2">
      <c r="A4299" t="str">
        <f t="shared" si="314"/>
        <v>39783Vaipahu61PocilloporidaeDessous</v>
      </c>
      <c r="B4299" s="1">
        <v>39783</v>
      </c>
      <c r="C4299" t="s">
        <v>23</v>
      </c>
      <c r="D4299" s="19">
        <v>6</v>
      </c>
      <c r="E4299">
        <v>1</v>
      </c>
      <c r="F4299" t="s">
        <v>10</v>
      </c>
      <c r="G4299" t="s">
        <v>8</v>
      </c>
      <c r="H4299">
        <v>3</v>
      </c>
      <c r="I4299" t="s">
        <v>27</v>
      </c>
    </row>
    <row r="4300" spans="1:9" x14ac:dyDescent="0.2">
      <c r="A4300" t="str">
        <f t="shared" si="314"/>
        <v>39783Vaipahu62CassésBords</v>
      </c>
      <c r="B4300" s="1">
        <v>39783</v>
      </c>
      <c r="C4300" t="s">
        <v>23</v>
      </c>
      <c r="D4300" s="19">
        <v>6</v>
      </c>
      <c r="E4300">
        <v>2</v>
      </c>
      <c r="F4300" t="s">
        <v>12</v>
      </c>
      <c r="G4300" t="s">
        <v>13</v>
      </c>
      <c r="H4300">
        <v>1</v>
      </c>
      <c r="I4300" t="s">
        <v>27</v>
      </c>
    </row>
    <row r="4301" spans="1:9" x14ac:dyDescent="0.2">
      <c r="A4301" t="str">
        <f t="shared" si="314"/>
        <v>39783Vaipahu62PocilloporidaeBords</v>
      </c>
      <c r="B4301" s="1">
        <v>39783</v>
      </c>
      <c r="C4301" t="s">
        <v>23</v>
      </c>
      <c r="D4301" s="19">
        <v>6</v>
      </c>
      <c r="E4301">
        <v>2</v>
      </c>
      <c r="F4301" t="s">
        <v>10</v>
      </c>
      <c r="G4301" t="s">
        <v>13</v>
      </c>
      <c r="H4301">
        <v>2</v>
      </c>
      <c r="I4301" t="s">
        <v>27</v>
      </c>
    </row>
    <row r="4302" spans="1:9" x14ac:dyDescent="0.2">
      <c r="A4302" t="str">
        <f t="shared" si="314"/>
        <v>39783Vaipahu62PocilloporidaeDessous</v>
      </c>
      <c r="B4302" s="1">
        <v>39783</v>
      </c>
      <c r="C4302" t="s">
        <v>23</v>
      </c>
      <c r="D4302" s="19">
        <v>6</v>
      </c>
      <c r="E4302">
        <v>2</v>
      </c>
      <c r="F4302" t="s">
        <v>10</v>
      </c>
      <c r="G4302" t="s">
        <v>8</v>
      </c>
      <c r="H4302">
        <v>2</v>
      </c>
      <c r="I4302" t="s">
        <v>27</v>
      </c>
    </row>
    <row r="4303" spans="1:9" x14ac:dyDescent="0.2">
      <c r="A4303" t="str">
        <f t="shared" si="314"/>
        <v>39783Vaipahu63CassésDessous</v>
      </c>
      <c r="B4303" s="1">
        <v>39783</v>
      </c>
      <c r="C4303" t="s">
        <v>23</v>
      </c>
      <c r="D4303" s="19">
        <v>6</v>
      </c>
      <c r="E4303">
        <v>3</v>
      </c>
      <c r="F4303" t="s">
        <v>12</v>
      </c>
      <c r="G4303" t="s">
        <v>8</v>
      </c>
      <c r="H4303">
        <v>1</v>
      </c>
      <c r="I4303" t="s">
        <v>27</v>
      </c>
    </row>
    <row r="4304" spans="1:9" x14ac:dyDescent="0.2">
      <c r="A4304" t="str">
        <f t="shared" si="314"/>
        <v>39783Vaipahu63PocilloporidaeBords</v>
      </c>
      <c r="B4304" s="1">
        <v>39783</v>
      </c>
      <c r="C4304" t="s">
        <v>23</v>
      </c>
      <c r="D4304" s="19">
        <v>6</v>
      </c>
      <c r="E4304">
        <v>3</v>
      </c>
      <c r="F4304" t="s">
        <v>10</v>
      </c>
      <c r="G4304" t="s">
        <v>13</v>
      </c>
      <c r="H4304">
        <v>1</v>
      </c>
      <c r="I4304" t="s">
        <v>27</v>
      </c>
    </row>
    <row r="4305" spans="1:9" x14ac:dyDescent="0.2">
      <c r="A4305" t="str">
        <f t="shared" si="314"/>
        <v>39783Vaipahu63PocilloporidaeDessous</v>
      </c>
      <c r="B4305" s="1">
        <v>39783</v>
      </c>
      <c r="C4305" t="s">
        <v>23</v>
      </c>
      <c r="D4305" s="19">
        <v>6</v>
      </c>
      <c r="E4305">
        <v>3</v>
      </c>
      <c r="F4305" t="s">
        <v>10</v>
      </c>
      <c r="G4305" t="s">
        <v>8</v>
      </c>
      <c r="H4305">
        <v>1</v>
      </c>
      <c r="I4305" t="s">
        <v>27</v>
      </c>
    </row>
    <row r="4306" spans="1:9" x14ac:dyDescent="0.2">
      <c r="A4306" t="str">
        <f t="shared" si="314"/>
        <v>39783Vaipahu64Autres</v>
      </c>
      <c r="B4306" s="1">
        <v>39783</v>
      </c>
      <c r="C4306" t="s">
        <v>23</v>
      </c>
      <c r="D4306" s="19">
        <v>6</v>
      </c>
      <c r="E4306">
        <v>4</v>
      </c>
      <c r="F4306" t="s">
        <v>14</v>
      </c>
      <c r="H4306">
        <v>0</v>
      </c>
    </row>
    <row r="4307" spans="1:9" x14ac:dyDescent="0.2">
      <c r="A4307" t="str">
        <f t="shared" si="314"/>
        <v>39783Vaipahu65</v>
      </c>
      <c r="B4307" s="1">
        <v>39783</v>
      </c>
      <c r="C4307" t="s">
        <v>23</v>
      </c>
      <c r="D4307" s="19">
        <v>6</v>
      </c>
      <c r="E4307">
        <v>5</v>
      </c>
      <c r="F4307" t="s">
        <v>27</v>
      </c>
      <c r="G4307" t="s">
        <v>27</v>
      </c>
      <c r="H4307" t="s">
        <v>27</v>
      </c>
      <c r="I4307" t="s">
        <v>31</v>
      </c>
    </row>
    <row r="4308" spans="1:9" x14ac:dyDescent="0.2">
      <c r="A4308" t="str">
        <f t="shared" si="314"/>
        <v>39783Vaipahu66PocilloporidaeDessous</v>
      </c>
      <c r="B4308" s="1">
        <v>39783</v>
      </c>
      <c r="C4308" t="s">
        <v>23</v>
      </c>
      <c r="D4308" s="19">
        <v>6</v>
      </c>
      <c r="E4308">
        <v>6</v>
      </c>
      <c r="F4308" t="s">
        <v>10</v>
      </c>
      <c r="G4308" t="s">
        <v>8</v>
      </c>
      <c r="H4308">
        <v>9</v>
      </c>
      <c r="I4308" t="s">
        <v>27</v>
      </c>
    </row>
    <row r="4309" spans="1:9" x14ac:dyDescent="0.2">
      <c r="A4309" t="str">
        <f t="shared" si="314"/>
        <v>39783Vaipahu67Autres</v>
      </c>
      <c r="B4309" s="1">
        <v>39783</v>
      </c>
      <c r="C4309" t="s">
        <v>23</v>
      </c>
      <c r="D4309" s="19">
        <v>6</v>
      </c>
      <c r="E4309">
        <v>7</v>
      </c>
      <c r="F4309" t="s">
        <v>14</v>
      </c>
      <c r="H4309">
        <v>0</v>
      </c>
    </row>
    <row r="4310" spans="1:9" x14ac:dyDescent="0.2">
      <c r="A4310" t="str">
        <f t="shared" si="314"/>
        <v>39783Vaipahu68Autres</v>
      </c>
      <c r="B4310" s="1">
        <v>39783</v>
      </c>
      <c r="C4310" t="s">
        <v>23</v>
      </c>
      <c r="D4310" s="19">
        <v>6</v>
      </c>
      <c r="E4310">
        <v>8</v>
      </c>
      <c r="F4310" t="s">
        <v>14</v>
      </c>
      <c r="H4310">
        <v>0</v>
      </c>
    </row>
    <row r="4311" spans="1:9" x14ac:dyDescent="0.2">
      <c r="A4311" t="str">
        <f t="shared" si="314"/>
        <v>39783Vaipahu69PocilloporidaeBords</v>
      </c>
      <c r="B4311" s="1">
        <v>39783</v>
      </c>
      <c r="C4311" t="s">
        <v>23</v>
      </c>
      <c r="D4311" s="19">
        <v>6</v>
      </c>
      <c r="E4311">
        <v>9</v>
      </c>
      <c r="F4311" t="s">
        <v>10</v>
      </c>
      <c r="G4311" t="s">
        <v>13</v>
      </c>
      <c r="H4311">
        <v>3</v>
      </c>
      <c r="I4311" t="s">
        <v>27</v>
      </c>
    </row>
    <row r="4312" spans="1:9" x14ac:dyDescent="0.2">
      <c r="A4312" t="str">
        <f t="shared" si="314"/>
        <v>39783Vaipahu69PocilloporidaeDessus</v>
      </c>
      <c r="B4312" s="1">
        <v>39783</v>
      </c>
      <c r="C4312" t="s">
        <v>23</v>
      </c>
      <c r="D4312" s="19">
        <v>6</v>
      </c>
      <c r="E4312">
        <v>9</v>
      </c>
      <c r="F4312" t="s">
        <v>10</v>
      </c>
      <c r="G4312" t="s">
        <v>11</v>
      </c>
      <c r="H4312">
        <v>1</v>
      </c>
      <c r="I4312" t="s">
        <v>27</v>
      </c>
    </row>
    <row r="4313" spans="1:9" x14ac:dyDescent="0.2">
      <c r="A4313" t="str">
        <f t="shared" si="314"/>
        <v>39783Vaipahu610PoritidaeBords</v>
      </c>
      <c r="B4313" s="1">
        <v>39783</v>
      </c>
      <c r="C4313" t="s">
        <v>23</v>
      </c>
      <c r="D4313" s="19">
        <v>6</v>
      </c>
      <c r="E4313">
        <v>10</v>
      </c>
      <c r="F4313" t="s">
        <v>7</v>
      </c>
      <c r="G4313" t="s">
        <v>13</v>
      </c>
      <c r="H4313" t="s">
        <v>27</v>
      </c>
    </row>
    <row r="4314" spans="1:9" x14ac:dyDescent="0.2">
      <c r="A4314" t="str">
        <f t="shared" si="314"/>
        <v>39783Vaipahu611PocilloporidaeBords</v>
      </c>
      <c r="B4314" s="1">
        <v>39783</v>
      </c>
      <c r="C4314" t="s">
        <v>23</v>
      </c>
      <c r="D4314" s="19">
        <v>6</v>
      </c>
      <c r="E4314">
        <v>11</v>
      </c>
      <c r="F4314" t="s">
        <v>10</v>
      </c>
      <c r="G4314" t="s">
        <v>13</v>
      </c>
      <c r="H4314">
        <v>3</v>
      </c>
    </row>
    <row r="4315" spans="1:9" x14ac:dyDescent="0.2">
      <c r="A4315" t="str">
        <f t="shared" si="314"/>
        <v>39783Vaipahu611PocilloporidaeDessous</v>
      </c>
      <c r="B4315" s="1">
        <v>39783</v>
      </c>
      <c r="C4315" t="s">
        <v>23</v>
      </c>
      <c r="D4315" s="19">
        <v>6</v>
      </c>
      <c r="E4315">
        <v>11</v>
      </c>
      <c r="F4315" t="s">
        <v>10</v>
      </c>
      <c r="G4315" t="s">
        <v>8</v>
      </c>
      <c r="H4315">
        <v>3</v>
      </c>
    </row>
    <row r="4316" spans="1:9" x14ac:dyDescent="0.2">
      <c r="A4316" t="str">
        <f t="shared" si="314"/>
        <v>39783Vaipahu611PocilloporidaeDessus</v>
      </c>
      <c r="B4316" s="1">
        <v>39783</v>
      </c>
      <c r="C4316" t="s">
        <v>23</v>
      </c>
      <c r="D4316" s="19">
        <v>6</v>
      </c>
      <c r="E4316">
        <v>11</v>
      </c>
      <c r="F4316" t="s">
        <v>10</v>
      </c>
      <c r="G4316" t="s">
        <v>11</v>
      </c>
      <c r="H4316">
        <v>2</v>
      </c>
    </row>
    <row r="4317" spans="1:9" x14ac:dyDescent="0.2">
      <c r="A4317" t="str">
        <f t="shared" si="314"/>
        <v>39783Vaipahu612AutresBords</v>
      </c>
      <c r="B4317" s="1">
        <v>39783</v>
      </c>
      <c r="C4317" t="s">
        <v>23</v>
      </c>
      <c r="D4317" s="19">
        <v>6</v>
      </c>
      <c r="E4317">
        <v>12</v>
      </c>
      <c r="F4317" t="s">
        <v>14</v>
      </c>
      <c r="G4317" t="s">
        <v>13</v>
      </c>
      <c r="H4317" t="s">
        <v>27</v>
      </c>
    </row>
    <row r="4318" spans="1:9" x14ac:dyDescent="0.2">
      <c r="A4318" t="str">
        <f t="shared" si="314"/>
        <v>39783Vaipahu612PocilloporidaeDessous</v>
      </c>
      <c r="B4318" s="1">
        <v>39783</v>
      </c>
      <c r="C4318" t="s">
        <v>23</v>
      </c>
      <c r="D4318" s="19">
        <v>6</v>
      </c>
      <c r="E4318">
        <v>12</v>
      </c>
      <c r="F4318" t="s">
        <v>10</v>
      </c>
      <c r="G4318" t="s">
        <v>8</v>
      </c>
      <c r="H4318">
        <v>1</v>
      </c>
    </row>
    <row r="4319" spans="1:9" x14ac:dyDescent="0.2">
      <c r="A4319" t="str">
        <f t="shared" si="314"/>
        <v>39783Vaipahu613AcroporidaeDessous</v>
      </c>
      <c r="B4319" s="1">
        <v>39783</v>
      </c>
      <c r="C4319" t="s">
        <v>23</v>
      </c>
      <c r="D4319" s="19">
        <v>6</v>
      </c>
      <c r="E4319">
        <v>13</v>
      </c>
      <c r="F4319" t="s">
        <v>17</v>
      </c>
      <c r="G4319" t="s">
        <v>8</v>
      </c>
      <c r="H4319">
        <v>1</v>
      </c>
      <c r="I4319" t="s">
        <v>27</v>
      </c>
    </row>
    <row r="4320" spans="1:9" x14ac:dyDescent="0.2">
      <c r="A4320" t="str">
        <f t="shared" si="314"/>
        <v>39783Vaipahu613PocilloporidaeBords</v>
      </c>
      <c r="B4320" s="1">
        <v>39783</v>
      </c>
      <c r="C4320" t="s">
        <v>23</v>
      </c>
      <c r="D4320" s="19">
        <v>6</v>
      </c>
      <c r="E4320">
        <v>13</v>
      </c>
      <c r="F4320" t="s">
        <v>10</v>
      </c>
      <c r="G4320" t="s">
        <v>13</v>
      </c>
      <c r="H4320">
        <v>2</v>
      </c>
      <c r="I4320" t="s">
        <v>27</v>
      </c>
    </row>
    <row r="4321" spans="1:9" x14ac:dyDescent="0.2">
      <c r="A4321" t="str">
        <f t="shared" si="314"/>
        <v>39783Vaipahu613PocilloporidaeDessus</v>
      </c>
      <c r="B4321" s="1">
        <v>39783</v>
      </c>
      <c r="C4321" t="s">
        <v>23</v>
      </c>
      <c r="D4321" s="19">
        <v>6</v>
      </c>
      <c r="E4321">
        <v>13</v>
      </c>
      <c r="F4321" t="s">
        <v>10</v>
      </c>
      <c r="G4321" t="s">
        <v>11</v>
      </c>
      <c r="H4321">
        <v>1</v>
      </c>
      <c r="I4321" t="s">
        <v>27</v>
      </c>
    </row>
    <row r="4322" spans="1:9" x14ac:dyDescent="0.2">
      <c r="A4322" t="str">
        <f t="shared" si="314"/>
        <v>39783Vaipahu613PoritidaeDessous</v>
      </c>
      <c r="B4322" s="1">
        <v>39783</v>
      </c>
      <c r="C4322" t="s">
        <v>23</v>
      </c>
      <c r="D4322" s="19">
        <v>6</v>
      </c>
      <c r="E4322">
        <v>13</v>
      </c>
      <c r="F4322" t="s">
        <v>7</v>
      </c>
      <c r="G4322" t="s">
        <v>8</v>
      </c>
      <c r="H4322">
        <v>1</v>
      </c>
      <c r="I4322" t="s">
        <v>27</v>
      </c>
    </row>
    <row r="4323" spans="1:9" x14ac:dyDescent="0.2">
      <c r="A4323" t="str">
        <f t="shared" si="314"/>
        <v>39783Vaipahu614PocilloporidaeDessous</v>
      </c>
      <c r="B4323" s="1">
        <v>39783</v>
      </c>
      <c r="C4323" t="s">
        <v>23</v>
      </c>
      <c r="D4323" s="19">
        <v>6</v>
      </c>
      <c r="E4323">
        <v>14</v>
      </c>
      <c r="F4323" t="s">
        <v>10</v>
      </c>
      <c r="G4323" t="s">
        <v>8</v>
      </c>
      <c r="H4323">
        <v>1</v>
      </c>
      <c r="I4323" t="s">
        <v>27</v>
      </c>
    </row>
    <row r="4324" spans="1:9" x14ac:dyDescent="0.2">
      <c r="A4324" t="str">
        <f t="shared" si="314"/>
        <v>39783Vaipahu615PocilloporidaeBords</v>
      </c>
      <c r="B4324" s="1">
        <v>39783</v>
      </c>
      <c r="C4324" t="s">
        <v>23</v>
      </c>
      <c r="D4324" s="19">
        <v>6</v>
      </c>
      <c r="E4324">
        <v>15</v>
      </c>
      <c r="F4324" t="s">
        <v>10</v>
      </c>
      <c r="G4324" t="s">
        <v>13</v>
      </c>
      <c r="H4324">
        <v>1</v>
      </c>
      <c r="I4324" t="s">
        <v>27</v>
      </c>
    </row>
    <row r="4325" spans="1:9" x14ac:dyDescent="0.2">
      <c r="A4325" t="str">
        <f t="shared" si="314"/>
        <v>39783Vaipahu615PocilloporidaeDessous</v>
      </c>
      <c r="B4325" s="1">
        <v>39783</v>
      </c>
      <c r="C4325" t="s">
        <v>23</v>
      </c>
      <c r="D4325" s="19">
        <v>6</v>
      </c>
      <c r="E4325">
        <v>15</v>
      </c>
      <c r="F4325" t="s">
        <v>10</v>
      </c>
      <c r="G4325" t="s">
        <v>8</v>
      </c>
      <c r="H4325">
        <v>7</v>
      </c>
      <c r="I4325" t="s">
        <v>27</v>
      </c>
    </row>
    <row r="4326" spans="1:9" x14ac:dyDescent="0.2">
      <c r="A4326" t="str">
        <f t="shared" si="314"/>
        <v>39783Vaipahu615PoritidaeDessous</v>
      </c>
      <c r="B4326" s="1">
        <v>39783</v>
      </c>
      <c r="C4326" t="s">
        <v>23</v>
      </c>
      <c r="D4326" s="19">
        <v>6</v>
      </c>
      <c r="E4326">
        <v>15</v>
      </c>
      <c r="F4326" t="s">
        <v>7</v>
      </c>
      <c r="G4326" t="s">
        <v>8</v>
      </c>
      <c r="H4326">
        <v>1</v>
      </c>
      <c r="I4326" t="s">
        <v>27</v>
      </c>
    </row>
    <row r="4327" spans="1:9" x14ac:dyDescent="0.2">
      <c r="A4327" t="str">
        <f t="shared" si="314"/>
        <v>39783Vaipahu616Autres</v>
      </c>
      <c r="B4327" s="1">
        <v>39783</v>
      </c>
      <c r="C4327" t="s">
        <v>23</v>
      </c>
      <c r="D4327" s="19">
        <v>6</v>
      </c>
      <c r="E4327">
        <v>16</v>
      </c>
      <c r="F4327" t="s">
        <v>14</v>
      </c>
      <c r="H4327">
        <v>0</v>
      </c>
    </row>
    <row r="4328" spans="1:9" x14ac:dyDescent="0.2">
      <c r="A4328" t="str">
        <f t="shared" si="314"/>
        <v>39783Vaipahu617AcroporidaeDessous</v>
      </c>
      <c r="B4328" s="1">
        <v>39783</v>
      </c>
      <c r="C4328" t="s">
        <v>23</v>
      </c>
      <c r="D4328" s="19">
        <v>6</v>
      </c>
      <c r="E4328">
        <v>17</v>
      </c>
      <c r="F4328" t="s">
        <v>17</v>
      </c>
      <c r="G4328" t="s">
        <v>8</v>
      </c>
      <c r="H4328">
        <v>1</v>
      </c>
      <c r="I4328" t="s">
        <v>27</v>
      </c>
    </row>
    <row r="4329" spans="1:9" x14ac:dyDescent="0.2">
      <c r="A4329" t="str">
        <f t="shared" si="314"/>
        <v>39783Vaipahu617PocilloporidaeDessous</v>
      </c>
      <c r="B4329" s="1">
        <v>39783</v>
      </c>
      <c r="C4329" t="s">
        <v>23</v>
      </c>
      <c r="D4329" s="19">
        <v>6</v>
      </c>
      <c r="E4329">
        <v>17</v>
      </c>
      <c r="F4329" t="s">
        <v>10</v>
      </c>
      <c r="G4329" t="s">
        <v>8</v>
      </c>
      <c r="H4329">
        <v>5</v>
      </c>
      <c r="I4329" t="s">
        <v>27</v>
      </c>
    </row>
    <row r="4330" spans="1:9" x14ac:dyDescent="0.2">
      <c r="A4330" t="str">
        <f t="shared" si="314"/>
        <v>39783Vaipahu617PoritidaeBords</v>
      </c>
      <c r="B4330" s="1">
        <v>39783</v>
      </c>
      <c r="C4330" t="s">
        <v>23</v>
      </c>
      <c r="D4330" s="19">
        <v>6</v>
      </c>
      <c r="E4330">
        <v>17</v>
      </c>
      <c r="F4330" t="s">
        <v>7</v>
      </c>
      <c r="G4330" t="s">
        <v>13</v>
      </c>
      <c r="H4330">
        <v>1</v>
      </c>
      <c r="I4330" t="s">
        <v>27</v>
      </c>
    </row>
    <row r="4331" spans="1:9" x14ac:dyDescent="0.2">
      <c r="A4331" t="str">
        <f t="shared" si="314"/>
        <v>39783Vaipahu617PoritidaeDessous</v>
      </c>
      <c r="B4331" s="1">
        <v>39783</v>
      </c>
      <c r="C4331" t="s">
        <v>23</v>
      </c>
      <c r="D4331" s="19">
        <v>6</v>
      </c>
      <c r="E4331">
        <v>17</v>
      </c>
      <c r="F4331" t="s">
        <v>7</v>
      </c>
      <c r="G4331" t="s">
        <v>8</v>
      </c>
      <c r="H4331">
        <v>1</v>
      </c>
      <c r="I4331" t="s">
        <v>27</v>
      </c>
    </row>
    <row r="4332" spans="1:9" x14ac:dyDescent="0.2">
      <c r="A4332" t="str">
        <f t="shared" si="314"/>
        <v>39783Vaipahu618PocilloporidaeDessous</v>
      </c>
      <c r="B4332" s="1">
        <v>39783</v>
      </c>
      <c r="C4332" t="s">
        <v>23</v>
      </c>
      <c r="D4332" s="19">
        <v>6</v>
      </c>
      <c r="E4332">
        <v>18</v>
      </c>
      <c r="F4332" t="s">
        <v>10</v>
      </c>
      <c r="G4332" t="s">
        <v>8</v>
      </c>
      <c r="H4332">
        <v>3</v>
      </c>
      <c r="I4332" t="s">
        <v>27</v>
      </c>
    </row>
    <row r="4333" spans="1:9" x14ac:dyDescent="0.2">
      <c r="A4333" t="str">
        <f t="shared" si="314"/>
        <v>39783Vaipahu618PocilloporidaeDessus</v>
      </c>
      <c r="B4333" s="1">
        <v>39783</v>
      </c>
      <c r="C4333" t="s">
        <v>23</v>
      </c>
      <c r="D4333" s="19">
        <v>6</v>
      </c>
      <c r="E4333">
        <v>18</v>
      </c>
      <c r="F4333" t="s">
        <v>10</v>
      </c>
      <c r="G4333" t="s">
        <v>11</v>
      </c>
      <c r="H4333">
        <v>2</v>
      </c>
      <c r="I4333" t="s">
        <v>27</v>
      </c>
    </row>
    <row r="4334" spans="1:9" x14ac:dyDescent="0.2">
      <c r="A4334" t="str">
        <f t="shared" si="314"/>
        <v>39783Vaipahu618PoritidaeBords</v>
      </c>
      <c r="B4334" s="1">
        <v>39783</v>
      </c>
      <c r="C4334" t="s">
        <v>23</v>
      </c>
      <c r="D4334" s="19">
        <v>6</v>
      </c>
      <c r="E4334">
        <v>18</v>
      </c>
      <c r="F4334" t="s">
        <v>7</v>
      </c>
      <c r="G4334" t="s">
        <v>13</v>
      </c>
      <c r="H4334">
        <v>1</v>
      </c>
      <c r="I4334" t="s">
        <v>27</v>
      </c>
    </row>
    <row r="4335" spans="1:9" x14ac:dyDescent="0.2">
      <c r="A4335" t="str">
        <f t="shared" si="314"/>
        <v>39783Vaipahu619PocilloporidaeDessous</v>
      </c>
      <c r="B4335" s="1">
        <v>39783</v>
      </c>
      <c r="C4335" t="s">
        <v>23</v>
      </c>
      <c r="D4335" s="19">
        <v>6</v>
      </c>
      <c r="E4335">
        <v>19</v>
      </c>
      <c r="F4335" t="s">
        <v>10</v>
      </c>
      <c r="G4335" t="s">
        <v>8</v>
      </c>
      <c r="H4335">
        <v>1</v>
      </c>
      <c r="I4335" t="s">
        <v>27</v>
      </c>
    </row>
    <row r="4336" spans="1:9" x14ac:dyDescent="0.2">
      <c r="A4336" t="str">
        <f t="shared" si="314"/>
        <v>39783Vaipahu619PocilloporidaeDessus</v>
      </c>
      <c r="B4336" s="1">
        <v>39783</v>
      </c>
      <c r="C4336" t="s">
        <v>23</v>
      </c>
      <c r="D4336" s="19">
        <v>6</v>
      </c>
      <c r="E4336">
        <v>19</v>
      </c>
      <c r="F4336" t="s">
        <v>10</v>
      </c>
      <c r="G4336" t="s">
        <v>11</v>
      </c>
      <c r="H4336">
        <v>1</v>
      </c>
      <c r="I4336" t="s">
        <v>27</v>
      </c>
    </row>
    <row r="4337" spans="1:9" x14ac:dyDescent="0.2">
      <c r="A4337" t="str">
        <f t="shared" si="314"/>
        <v>39783Vaipahu620PocilloporidaeBords</v>
      </c>
      <c r="B4337" s="1">
        <v>39783</v>
      </c>
      <c r="C4337" t="s">
        <v>23</v>
      </c>
      <c r="D4337" s="19">
        <v>6</v>
      </c>
      <c r="E4337">
        <v>20</v>
      </c>
      <c r="F4337" t="s">
        <v>10</v>
      </c>
      <c r="G4337" t="s">
        <v>13</v>
      </c>
      <c r="H4337">
        <v>1</v>
      </c>
      <c r="I4337" t="s">
        <v>27</v>
      </c>
    </row>
    <row r="4338" spans="1:9" x14ac:dyDescent="0.2">
      <c r="A4338" t="str">
        <f t="shared" si="314"/>
        <v>39783Vaipahu620PocilloporidaeDessous</v>
      </c>
      <c r="B4338" s="1">
        <v>39783</v>
      </c>
      <c r="C4338" t="s">
        <v>23</v>
      </c>
      <c r="D4338" s="19">
        <v>6</v>
      </c>
      <c r="E4338">
        <v>20</v>
      </c>
      <c r="F4338" t="s">
        <v>10</v>
      </c>
      <c r="G4338" t="s">
        <v>8</v>
      </c>
      <c r="H4338">
        <v>12</v>
      </c>
      <c r="I4338" t="s">
        <v>27</v>
      </c>
    </row>
    <row r="4339" spans="1:9" x14ac:dyDescent="0.2">
      <c r="A4339" t="str">
        <f t="shared" si="314"/>
        <v>39783Vaipahu1221PocilloporidaeBords</v>
      </c>
      <c r="B4339" s="1">
        <v>39783</v>
      </c>
      <c r="C4339" t="s">
        <v>23</v>
      </c>
      <c r="D4339" s="19">
        <v>12</v>
      </c>
      <c r="E4339">
        <v>21</v>
      </c>
      <c r="F4339" t="s">
        <v>10</v>
      </c>
      <c r="G4339" t="s">
        <v>13</v>
      </c>
      <c r="H4339">
        <v>1</v>
      </c>
      <c r="I4339" t="s">
        <v>27</v>
      </c>
    </row>
    <row r="4340" spans="1:9" x14ac:dyDescent="0.2">
      <c r="A4340" t="str">
        <f t="shared" si="314"/>
        <v>39783Vaipahu1221PocilloporidaeDessous</v>
      </c>
      <c r="B4340" s="1">
        <v>39783</v>
      </c>
      <c r="C4340" t="s">
        <v>23</v>
      </c>
      <c r="D4340" s="19">
        <v>12</v>
      </c>
      <c r="E4340">
        <v>21</v>
      </c>
      <c r="F4340" t="s">
        <v>10</v>
      </c>
      <c r="G4340" t="s">
        <v>8</v>
      </c>
      <c r="H4340">
        <v>1</v>
      </c>
      <c r="I4340" t="s">
        <v>27</v>
      </c>
    </row>
    <row r="4341" spans="1:9" x14ac:dyDescent="0.2">
      <c r="A4341" t="str">
        <f t="shared" si="314"/>
        <v>39783Vaipahu1222PocilloporidaeDessus</v>
      </c>
      <c r="B4341" s="1">
        <v>39783</v>
      </c>
      <c r="C4341" t="s">
        <v>23</v>
      </c>
      <c r="D4341" s="19">
        <v>12</v>
      </c>
      <c r="E4341">
        <v>22</v>
      </c>
      <c r="F4341" t="s">
        <v>10</v>
      </c>
      <c r="G4341" t="s">
        <v>11</v>
      </c>
      <c r="H4341">
        <v>2</v>
      </c>
      <c r="I4341" t="s">
        <v>27</v>
      </c>
    </row>
    <row r="4342" spans="1:9" x14ac:dyDescent="0.2">
      <c r="A4342" t="str">
        <f t="shared" si="314"/>
        <v>39783Vaipahu1222PoritidaeDessus</v>
      </c>
      <c r="B4342" s="1">
        <v>39783</v>
      </c>
      <c r="C4342" t="s">
        <v>23</v>
      </c>
      <c r="D4342" s="19">
        <v>12</v>
      </c>
      <c r="E4342">
        <v>22</v>
      </c>
      <c r="F4342" t="s">
        <v>7</v>
      </c>
      <c r="G4342" t="s">
        <v>11</v>
      </c>
      <c r="H4342">
        <v>1</v>
      </c>
      <c r="I4342" t="s">
        <v>27</v>
      </c>
    </row>
    <row r="4343" spans="1:9" x14ac:dyDescent="0.2">
      <c r="A4343" t="str">
        <f t="shared" si="314"/>
        <v>39783Vaipahu1223PocilloporidaeDessous</v>
      </c>
      <c r="B4343" s="1">
        <v>39783</v>
      </c>
      <c r="C4343" t="s">
        <v>23</v>
      </c>
      <c r="D4343" s="19">
        <v>12</v>
      </c>
      <c r="E4343">
        <v>23</v>
      </c>
      <c r="F4343" t="s">
        <v>10</v>
      </c>
      <c r="G4343" t="s">
        <v>8</v>
      </c>
      <c r="H4343">
        <v>2</v>
      </c>
      <c r="I4343" t="s">
        <v>27</v>
      </c>
    </row>
    <row r="4344" spans="1:9" x14ac:dyDescent="0.2">
      <c r="A4344" t="str">
        <f t="shared" si="314"/>
        <v>39783Vaipahu1224PocilloporidaeDessus</v>
      </c>
      <c r="B4344" s="1">
        <v>39783</v>
      </c>
      <c r="C4344" t="s">
        <v>23</v>
      </c>
      <c r="D4344" s="19">
        <v>12</v>
      </c>
      <c r="E4344">
        <v>24</v>
      </c>
      <c r="F4344" t="s">
        <v>10</v>
      </c>
      <c r="G4344" t="s">
        <v>11</v>
      </c>
      <c r="H4344">
        <v>1</v>
      </c>
      <c r="I4344" t="s">
        <v>27</v>
      </c>
    </row>
    <row r="4345" spans="1:9" x14ac:dyDescent="0.2">
      <c r="A4345" t="str">
        <f t="shared" si="314"/>
        <v>39783Vaipahu1225PocilloporidaeDessous</v>
      </c>
      <c r="B4345" s="1">
        <v>39783</v>
      </c>
      <c r="C4345" t="s">
        <v>23</v>
      </c>
      <c r="D4345" s="19">
        <v>12</v>
      </c>
      <c r="E4345">
        <v>25</v>
      </c>
      <c r="F4345" t="s">
        <v>10</v>
      </c>
      <c r="G4345" t="s">
        <v>8</v>
      </c>
      <c r="H4345">
        <v>1</v>
      </c>
      <c r="I4345" t="s">
        <v>27</v>
      </c>
    </row>
    <row r="4346" spans="1:9" x14ac:dyDescent="0.2">
      <c r="A4346" t="str">
        <f t="shared" si="314"/>
        <v>39783Vaipahu1225PocilloporidaeDessus</v>
      </c>
      <c r="B4346" s="1">
        <v>39783</v>
      </c>
      <c r="C4346" t="s">
        <v>23</v>
      </c>
      <c r="D4346" s="19">
        <v>12</v>
      </c>
      <c r="E4346">
        <v>25</v>
      </c>
      <c r="F4346" t="s">
        <v>10</v>
      </c>
      <c r="G4346" t="s">
        <v>11</v>
      </c>
      <c r="H4346">
        <v>1</v>
      </c>
      <c r="I4346" t="s">
        <v>27</v>
      </c>
    </row>
    <row r="4347" spans="1:9" x14ac:dyDescent="0.2">
      <c r="A4347" t="str">
        <f t="shared" si="314"/>
        <v>39783Vaipahu1226PocilloporidaeDessus</v>
      </c>
      <c r="B4347" s="1">
        <v>39783</v>
      </c>
      <c r="C4347" t="s">
        <v>23</v>
      </c>
      <c r="D4347" s="19">
        <v>12</v>
      </c>
      <c r="E4347">
        <v>26</v>
      </c>
      <c r="F4347" t="s">
        <v>10</v>
      </c>
      <c r="G4347" t="s">
        <v>11</v>
      </c>
      <c r="H4347">
        <v>1</v>
      </c>
      <c r="I4347" t="s">
        <v>27</v>
      </c>
    </row>
    <row r="4348" spans="1:9" x14ac:dyDescent="0.2">
      <c r="A4348" t="str">
        <f t="shared" si="314"/>
        <v>39783Vaipahu1227Autres</v>
      </c>
      <c r="B4348" s="1">
        <v>39783</v>
      </c>
      <c r="C4348" t="s">
        <v>23</v>
      </c>
      <c r="D4348" s="19">
        <v>12</v>
      </c>
      <c r="E4348">
        <v>27</v>
      </c>
      <c r="F4348" t="s">
        <v>14</v>
      </c>
      <c r="H4348">
        <v>0</v>
      </c>
    </row>
    <row r="4349" spans="1:9" x14ac:dyDescent="0.2">
      <c r="A4349" t="str">
        <f t="shared" si="314"/>
        <v>39783Vaipahu1228PocilloporidaeBords</v>
      </c>
      <c r="B4349" s="1">
        <v>39783</v>
      </c>
      <c r="C4349" t="s">
        <v>23</v>
      </c>
      <c r="D4349" s="19">
        <v>12</v>
      </c>
      <c r="E4349">
        <v>28</v>
      </c>
      <c r="F4349" t="s">
        <v>10</v>
      </c>
      <c r="G4349" t="s">
        <v>13</v>
      </c>
      <c r="H4349">
        <v>2</v>
      </c>
      <c r="I4349" t="s">
        <v>27</v>
      </c>
    </row>
    <row r="4350" spans="1:9" x14ac:dyDescent="0.2">
      <c r="A4350" t="str">
        <f t="shared" si="314"/>
        <v>39783Vaipahu1228PocilloporidaeDessous</v>
      </c>
      <c r="B4350" s="1">
        <v>39783</v>
      </c>
      <c r="C4350" t="s">
        <v>23</v>
      </c>
      <c r="D4350" s="19">
        <v>12</v>
      </c>
      <c r="E4350">
        <v>28</v>
      </c>
      <c r="F4350" t="s">
        <v>10</v>
      </c>
      <c r="G4350" t="s">
        <v>8</v>
      </c>
      <c r="H4350">
        <v>1</v>
      </c>
      <c r="I4350" t="s">
        <v>27</v>
      </c>
    </row>
    <row r="4351" spans="1:9" x14ac:dyDescent="0.2">
      <c r="A4351" t="str">
        <f t="shared" ref="A4351:A4414" si="315">B4351 &amp; C4351&amp; D4351&amp; E4351 &amp; F4351 &amp;G4351</f>
        <v>39783Vaipahu1228PoritidaeDessous</v>
      </c>
      <c r="B4351" s="1">
        <v>39783</v>
      </c>
      <c r="C4351" t="s">
        <v>23</v>
      </c>
      <c r="D4351" s="19">
        <v>12</v>
      </c>
      <c r="E4351">
        <v>28</v>
      </c>
      <c r="F4351" t="s">
        <v>7</v>
      </c>
      <c r="G4351" t="s">
        <v>8</v>
      </c>
      <c r="H4351">
        <v>1</v>
      </c>
      <c r="I4351" t="s">
        <v>27</v>
      </c>
    </row>
    <row r="4352" spans="1:9" x14ac:dyDescent="0.2">
      <c r="A4352" t="str">
        <f t="shared" si="315"/>
        <v>39783Vaipahu1229PocilloporidaeBords</v>
      </c>
      <c r="B4352" s="1">
        <v>39783</v>
      </c>
      <c r="C4352" t="s">
        <v>23</v>
      </c>
      <c r="D4352" s="19">
        <v>12</v>
      </c>
      <c r="E4352">
        <v>29</v>
      </c>
      <c r="F4352" t="s">
        <v>10</v>
      </c>
      <c r="G4352" t="s">
        <v>13</v>
      </c>
      <c r="H4352">
        <v>1</v>
      </c>
      <c r="I4352" t="s">
        <v>27</v>
      </c>
    </row>
    <row r="4353" spans="1:9" x14ac:dyDescent="0.2">
      <c r="A4353" t="str">
        <f t="shared" si="315"/>
        <v>39783Vaipahu1229PoritidaeDessous</v>
      </c>
      <c r="B4353" s="1">
        <v>39783</v>
      </c>
      <c r="C4353" t="s">
        <v>23</v>
      </c>
      <c r="D4353" s="19">
        <v>12</v>
      </c>
      <c r="E4353">
        <v>29</v>
      </c>
      <c r="F4353" t="s">
        <v>7</v>
      </c>
      <c r="G4353" t="s">
        <v>8</v>
      </c>
      <c r="H4353">
        <v>1</v>
      </c>
      <c r="I4353" t="s">
        <v>27</v>
      </c>
    </row>
    <row r="4354" spans="1:9" x14ac:dyDescent="0.2">
      <c r="A4354" t="str">
        <f t="shared" si="315"/>
        <v>39783Vaipahu1230PocilloporidaeDessus</v>
      </c>
      <c r="B4354" s="1">
        <v>39783</v>
      </c>
      <c r="C4354" t="s">
        <v>23</v>
      </c>
      <c r="D4354" s="19">
        <v>12</v>
      </c>
      <c r="E4354">
        <v>30</v>
      </c>
      <c r="F4354" t="s">
        <v>10</v>
      </c>
      <c r="G4354" t="s">
        <v>11</v>
      </c>
      <c r="H4354">
        <v>1</v>
      </c>
      <c r="I4354" t="s">
        <v>27</v>
      </c>
    </row>
    <row r="4355" spans="1:9" x14ac:dyDescent="0.2">
      <c r="A4355" t="str">
        <f t="shared" si="315"/>
        <v>39783Vaipahu1231Autres</v>
      </c>
      <c r="B4355" s="1">
        <v>39783</v>
      </c>
      <c r="C4355" t="s">
        <v>23</v>
      </c>
      <c r="D4355" s="19">
        <v>12</v>
      </c>
      <c r="E4355">
        <v>31</v>
      </c>
      <c r="F4355" t="s">
        <v>14</v>
      </c>
      <c r="H4355">
        <v>0</v>
      </c>
    </row>
    <row r="4356" spans="1:9" x14ac:dyDescent="0.2">
      <c r="A4356" t="str">
        <f t="shared" si="315"/>
        <v>39783Vaipahu1232PocilloporidaeBords</v>
      </c>
      <c r="B4356" s="1">
        <v>39783</v>
      </c>
      <c r="C4356" t="s">
        <v>23</v>
      </c>
      <c r="D4356" s="19">
        <v>12</v>
      </c>
      <c r="E4356">
        <v>32</v>
      </c>
      <c r="F4356" t="s">
        <v>10</v>
      </c>
      <c r="G4356" t="s">
        <v>13</v>
      </c>
      <c r="H4356">
        <v>1</v>
      </c>
      <c r="I4356" t="s">
        <v>27</v>
      </c>
    </row>
    <row r="4357" spans="1:9" x14ac:dyDescent="0.2">
      <c r="A4357" t="str">
        <f t="shared" si="315"/>
        <v>39783Vaipahu1232PocilloporidaeDessous</v>
      </c>
      <c r="B4357" s="1">
        <v>39783</v>
      </c>
      <c r="C4357" t="s">
        <v>23</v>
      </c>
      <c r="D4357" s="19">
        <v>12</v>
      </c>
      <c r="E4357">
        <v>32</v>
      </c>
      <c r="F4357" t="s">
        <v>10</v>
      </c>
      <c r="G4357" t="s">
        <v>8</v>
      </c>
      <c r="H4357">
        <v>1</v>
      </c>
      <c r="I4357" t="s">
        <v>27</v>
      </c>
    </row>
    <row r="4358" spans="1:9" x14ac:dyDescent="0.2">
      <c r="A4358" t="str">
        <f t="shared" si="315"/>
        <v>39783Vaipahu1233Autres</v>
      </c>
      <c r="B4358" s="1">
        <v>39783</v>
      </c>
      <c r="C4358" t="s">
        <v>23</v>
      </c>
      <c r="D4358" s="19">
        <v>12</v>
      </c>
      <c r="E4358">
        <v>33</v>
      </c>
      <c r="F4358" t="s">
        <v>14</v>
      </c>
      <c r="H4358">
        <v>0</v>
      </c>
    </row>
    <row r="4359" spans="1:9" x14ac:dyDescent="0.2">
      <c r="A4359" t="str">
        <f t="shared" si="315"/>
        <v>39783Vaipahu1234PocilloporidaeDessus</v>
      </c>
      <c r="B4359" s="1">
        <v>39783</v>
      </c>
      <c r="C4359" t="s">
        <v>23</v>
      </c>
      <c r="D4359" s="19">
        <v>12</v>
      </c>
      <c r="E4359">
        <v>34</v>
      </c>
      <c r="F4359" t="s">
        <v>10</v>
      </c>
      <c r="G4359" t="s">
        <v>11</v>
      </c>
      <c r="H4359">
        <v>1</v>
      </c>
      <c r="I4359" t="s">
        <v>27</v>
      </c>
    </row>
    <row r="4360" spans="1:9" x14ac:dyDescent="0.2">
      <c r="A4360" t="str">
        <f t="shared" si="315"/>
        <v>39783Vaipahu1235AutresDessus</v>
      </c>
      <c r="B4360" s="1">
        <v>39783</v>
      </c>
      <c r="C4360" t="s">
        <v>23</v>
      </c>
      <c r="D4360" s="19">
        <v>12</v>
      </c>
      <c r="E4360">
        <v>35</v>
      </c>
      <c r="F4360" t="s">
        <v>14</v>
      </c>
      <c r="G4360" t="s">
        <v>11</v>
      </c>
      <c r="H4360">
        <v>1</v>
      </c>
    </row>
    <row r="4361" spans="1:9" x14ac:dyDescent="0.2">
      <c r="A4361" t="str">
        <f t="shared" si="315"/>
        <v>39783Vaipahu1236PocilloporidaeBords</v>
      </c>
      <c r="B4361" s="1">
        <v>39783</v>
      </c>
      <c r="C4361" t="s">
        <v>23</v>
      </c>
      <c r="D4361" s="19">
        <v>12</v>
      </c>
      <c r="E4361">
        <v>36</v>
      </c>
      <c r="F4361" t="s">
        <v>10</v>
      </c>
      <c r="G4361" t="s">
        <v>13</v>
      </c>
      <c r="H4361">
        <v>1</v>
      </c>
      <c r="I4361" t="s">
        <v>27</v>
      </c>
    </row>
    <row r="4362" spans="1:9" x14ac:dyDescent="0.2">
      <c r="A4362" t="str">
        <f t="shared" si="315"/>
        <v>39783Vaipahu1236PoritidaeBords</v>
      </c>
      <c r="B4362" s="1">
        <v>39783</v>
      </c>
      <c r="C4362" t="s">
        <v>23</v>
      </c>
      <c r="D4362" s="19">
        <v>12</v>
      </c>
      <c r="E4362">
        <v>36</v>
      </c>
      <c r="F4362" t="s">
        <v>7</v>
      </c>
      <c r="G4362" t="s">
        <v>13</v>
      </c>
      <c r="H4362">
        <v>1</v>
      </c>
      <c r="I4362" t="s">
        <v>27</v>
      </c>
    </row>
    <row r="4363" spans="1:9" x14ac:dyDescent="0.2">
      <c r="A4363" t="str">
        <f t="shared" si="315"/>
        <v>39783Vaipahu1237PocilloporidaeDessous</v>
      </c>
      <c r="B4363" s="1">
        <v>39783</v>
      </c>
      <c r="C4363" t="s">
        <v>23</v>
      </c>
      <c r="D4363" s="19">
        <v>12</v>
      </c>
      <c r="E4363">
        <v>37</v>
      </c>
      <c r="F4363" t="s">
        <v>10</v>
      </c>
      <c r="G4363" t="s">
        <v>8</v>
      </c>
      <c r="H4363">
        <v>1</v>
      </c>
      <c r="I4363" t="s">
        <v>27</v>
      </c>
    </row>
    <row r="4364" spans="1:9" x14ac:dyDescent="0.2">
      <c r="A4364" t="str">
        <f t="shared" si="315"/>
        <v>39783Vaipahu1238PocilloporidaeBords</v>
      </c>
      <c r="B4364" s="1">
        <v>39783</v>
      </c>
      <c r="C4364" t="s">
        <v>23</v>
      </c>
      <c r="D4364" s="19">
        <v>12</v>
      </c>
      <c r="E4364">
        <v>38</v>
      </c>
      <c r="F4364" t="s">
        <v>10</v>
      </c>
      <c r="G4364" t="s">
        <v>13</v>
      </c>
      <c r="H4364">
        <v>1</v>
      </c>
      <c r="I4364" t="s">
        <v>27</v>
      </c>
    </row>
    <row r="4365" spans="1:9" x14ac:dyDescent="0.2">
      <c r="A4365" t="str">
        <f t="shared" si="315"/>
        <v>39783Vaipahu1238PoritidaeBords</v>
      </c>
      <c r="B4365" s="1">
        <v>39783</v>
      </c>
      <c r="C4365" t="s">
        <v>23</v>
      </c>
      <c r="D4365" s="19">
        <v>12</v>
      </c>
      <c r="E4365">
        <v>38</v>
      </c>
      <c r="F4365" t="s">
        <v>7</v>
      </c>
      <c r="G4365" t="s">
        <v>13</v>
      </c>
      <c r="H4365">
        <v>1</v>
      </c>
      <c r="I4365" t="s">
        <v>27</v>
      </c>
    </row>
    <row r="4366" spans="1:9" x14ac:dyDescent="0.2">
      <c r="A4366" t="str">
        <f t="shared" si="315"/>
        <v>39783Vaipahu1239</v>
      </c>
      <c r="B4366" s="1">
        <v>39783</v>
      </c>
      <c r="C4366" t="s">
        <v>23</v>
      </c>
      <c r="D4366" s="19">
        <v>12</v>
      </c>
      <c r="E4366">
        <v>39</v>
      </c>
      <c r="F4366" t="s">
        <v>27</v>
      </c>
      <c r="G4366" t="s">
        <v>27</v>
      </c>
      <c r="H4366" t="s">
        <v>27</v>
      </c>
      <c r="I4366" t="s">
        <v>31</v>
      </c>
    </row>
    <row r="4367" spans="1:9" x14ac:dyDescent="0.2">
      <c r="A4367" t="str">
        <f t="shared" si="315"/>
        <v>39783Vaipahu1240PocilloporidaeBords</v>
      </c>
      <c r="B4367" s="1">
        <v>39783</v>
      </c>
      <c r="C4367" t="s">
        <v>23</v>
      </c>
      <c r="D4367" s="19">
        <v>12</v>
      </c>
      <c r="E4367">
        <v>40</v>
      </c>
      <c r="F4367" t="s">
        <v>10</v>
      </c>
      <c r="G4367" t="s">
        <v>13</v>
      </c>
      <c r="H4367">
        <v>2</v>
      </c>
      <c r="I4367" t="s">
        <v>27</v>
      </c>
    </row>
    <row r="4368" spans="1:9" x14ac:dyDescent="0.2">
      <c r="A4368" t="str">
        <f t="shared" si="315"/>
        <v>39783Vaipahu1240PoritidaeBords</v>
      </c>
      <c r="B4368" s="1">
        <v>39783</v>
      </c>
      <c r="C4368" t="s">
        <v>23</v>
      </c>
      <c r="D4368" s="19">
        <v>12</v>
      </c>
      <c r="E4368">
        <v>40</v>
      </c>
      <c r="F4368" t="s">
        <v>7</v>
      </c>
      <c r="G4368" t="s">
        <v>13</v>
      </c>
      <c r="H4368">
        <v>1</v>
      </c>
      <c r="I4368" t="s">
        <v>27</v>
      </c>
    </row>
    <row r="4369" spans="1:9" x14ac:dyDescent="0.2">
      <c r="A4369" t="str">
        <f t="shared" si="315"/>
        <v>39783Vaipahu1841</v>
      </c>
      <c r="B4369" s="1">
        <v>39783</v>
      </c>
      <c r="C4369" t="s">
        <v>23</v>
      </c>
      <c r="D4369" s="19">
        <v>18</v>
      </c>
      <c r="E4369">
        <v>41</v>
      </c>
      <c r="F4369" t="s">
        <v>27</v>
      </c>
      <c r="G4369" t="s">
        <v>27</v>
      </c>
      <c r="H4369" t="s">
        <v>27</v>
      </c>
      <c r="I4369" t="s">
        <v>31</v>
      </c>
    </row>
    <row r="4370" spans="1:9" x14ac:dyDescent="0.2">
      <c r="A4370" t="str">
        <f t="shared" si="315"/>
        <v>39783Vaipahu1842PocilloporidaeDessous</v>
      </c>
      <c r="B4370" s="1">
        <v>39783</v>
      </c>
      <c r="C4370" t="s">
        <v>23</v>
      </c>
      <c r="D4370" s="19">
        <v>18</v>
      </c>
      <c r="E4370">
        <v>42</v>
      </c>
      <c r="F4370" t="s">
        <v>10</v>
      </c>
      <c r="G4370" t="s">
        <v>8</v>
      </c>
      <c r="H4370">
        <v>2</v>
      </c>
      <c r="I4370" t="s">
        <v>27</v>
      </c>
    </row>
    <row r="4371" spans="1:9" x14ac:dyDescent="0.2">
      <c r="A4371" t="str">
        <f t="shared" si="315"/>
        <v>39783Vaipahu1843Autres</v>
      </c>
      <c r="B4371" s="1">
        <v>39783</v>
      </c>
      <c r="C4371" t="s">
        <v>23</v>
      </c>
      <c r="D4371" s="19">
        <v>18</v>
      </c>
      <c r="E4371">
        <v>43</v>
      </c>
      <c r="F4371" t="s">
        <v>14</v>
      </c>
      <c r="H4371">
        <v>0</v>
      </c>
    </row>
    <row r="4372" spans="1:9" x14ac:dyDescent="0.2">
      <c r="A4372" t="str">
        <f t="shared" si="315"/>
        <v>39783Vaipahu1844AcroporidaeDessous</v>
      </c>
      <c r="B4372" s="1">
        <v>39783</v>
      </c>
      <c r="C4372" t="s">
        <v>23</v>
      </c>
      <c r="D4372" s="19">
        <v>18</v>
      </c>
      <c r="E4372">
        <v>44</v>
      </c>
      <c r="F4372" t="s">
        <v>17</v>
      </c>
      <c r="G4372" t="s">
        <v>8</v>
      </c>
      <c r="H4372">
        <v>1</v>
      </c>
      <c r="I4372" t="s">
        <v>27</v>
      </c>
    </row>
    <row r="4373" spans="1:9" x14ac:dyDescent="0.2">
      <c r="A4373" t="str">
        <f t="shared" si="315"/>
        <v>39783Vaipahu1844PocilloporidaeDessous</v>
      </c>
      <c r="B4373" s="1">
        <v>39783</v>
      </c>
      <c r="C4373" t="s">
        <v>23</v>
      </c>
      <c r="D4373" s="19">
        <v>18</v>
      </c>
      <c r="E4373">
        <v>44</v>
      </c>
      <c r="F4373" t="s">
        <v>10</v>
      </c>
      <c r="G4373" t="s">
        <v>8</v>
      </c>
      <c r="H4373">
        <v>3</v>
      </c>
      <c r="I4373" t="s">
        <v>27</v>
      </c>
    </row>
    <row r="4374" spans="1:9" x14ac:dyDescent="0.2">
      <c r="A4374" t="str">
        <f t="shared" si="315"/>
        <v>39783Vaipahu1844PoritidaeDessous</v>
      </c>
      <c r="B4374" s="1">
        <v>39783</v>
      </c>
      <c r="C4374" t="s">
        <v>23</v>
      </c>
      <c r="D4374" s="19">
        <v>18</v>
      </c>
      <c r="E4374">
        <v>44</v>
      </c>
      <c r="F4374" t="s">
        <v>7</v>
      </c>
      <c r="G4374" t="s">
        <v>8</v>
      </c>
      <c r="H4374">
        <v>1</v>
      </c>
      <c r="I4374" t="s">
        <v>27</v>
      </c>
    </row>
    <row r="4375" spans="1:9" x14ac:dyDescent="0.2">
      <c r="A4375" t="str">
        <f t="shared" si="315"/>
        <v>39783Vaipahu1845PocilloporidaeDessous</v>
      </c>
      <c r="B4375" s="1">
        <v>39783</v>
      </c>
      <c r="C4375" t="s">
        <v>23</v>
      </c>
      <c r="D4375" s="19">
        <v>18</v>
      </c>
      <c r="E4375">
        <v>45</v>
      </c>
      <c r="F4375" t="s">
        <v>10</v>
      </c>
      <c r="G4375" t="s">
        <v>8</v>
      </c>
      <c r="H4375">
        <v>6</v>
      </c>
      <c r="I4375" t="s">
        <v>27</v>
      </c>
    </row>
    <row r="4376" spans="1:9" x14ac:dyDescent="0.2">
      <c r="A4376" t="str">
        <f t="shared" si="315"/>
        <v>39783Vaipahu1846PocilloporidaeBords</v>
      </c>
      <c r="B4376" s="1">
        <v>39783</v>
      </c>
      <c r="C4376" t="s">
        <v>23</v>
      </c>
      <c r="D4376" s="19">
        <v>18</v>
      </c>
      <c r="E4376">
        <v>46</v>
      </c>
      <c r="F4376" t="s">
        <v>10</v>
      </c>
      <c r="G4376" t="s">
        <v>13</v>
      </c>
      <c r="H4376">
        <v>3</v>
      </c>
      <c r="I4376" t="s">
        <v>27</v>
      </c>
    </row>
    <row r="4377" spans="1:9" x14ac:dyDescent="0.2">
      <c r="A4377" t="str">
        <f t="shared" si="315"/>
        <v>39783Vaipahu1847PocilloporidaeDessous</v>
      </c>
      <c r="B4377" s="1">
        <v>39783</v>
      </c>
      <c r="C4377" t="s">
        <v>23</v>
      </c>
      <c r="D4377" s="19">
        <v>18</v>
      </c>
      <c r="E4377">
        <v>47</v>
      </c>
      <c r="F4377" t="s">
        <v>10</v>
      </c>
      <c r="G4377" t="s">
        <v>8</v>
      </c>
      <c r="H4377">
        <v>1</v>
      </c>
      <c r="I4377" t="s">
        <v>27</v>
      </c>
    </row>
    <row r="4378" spans="1:9" x14ac:dyDescent="0.2">
      <c r="A4378" t="str">
        <f t="shared" si="315"/>
        <v>39783Vaipahu1847PoritidaeDessus</v>
      </c>
      <c r="B4378" s="1">
        <v>39783</v>
      </c>
      <c r="C4378" t="s">
        <v>23</v>
      </c>
      <c r="D4378" s="19">
        <v>18</v>
      </c>
      <c r="E4378">
        <v>47</v>
      </c>
      <c r="F4378" t="s">
        <v>7</v>
      </c>
      <c r="G4378" t="s">
        <v>11</v>
      </c>
      <c r="H4378">
        <v>3</v>
      </c>
      <c r="I4378" t="s">
        <v>27</v>
      </c>
    </row>
    <row r="4379" spans="1:9" x14ac:dyDescent="0.2">
      <c r="A4379" t="str">
        <f t="shared" si="315"/>
        <v>39783Vaipahu1848PocilloporidaeDessous</v>
      </c>
      <c r="B4379" s="1">
        <v>39783</v>
      </c>
      <c r="C4379" t="s">
        <v>23</v>
      </c>
      <c r="D4379" s="19">
        <v>18</v>
      </c>
      <c r="E4379">
        <v>48</v>
      </c>
      <c r="F4379" t="s">
        <v>10</v>
      </c>
      <c r="G4379" t="s">
        <v>8</v>
      </c>
      <c r="H4379">
        <v>5</v>
      </c>
      <c r="I4379" t="s">
        <v>27</v>
      </c>
    </row>
    <row r="4380" spans="1:9" x14ac:dyDescent="0.2">
      <c r="A4380" t="str">
        <f t="shared" si="315"/>
        <v>39783Vaipahu1849Autres</v>
      </c>
      <c r="B4380" s="1">
        <v>39783</v>
      </c>
      <c r="C4380" t="s">
        <v>23</v>
      </c>
      <c r="D4380" s="19">
        <v>18</v>
      </c>
      <c r="E4380">
        <v>49</v>
      </c>
      <c r="F4380" t="s">
        <v>14</v>
      </c>
      <c r="H4380">
        <v>0</v>
      </c>
    </row>
    <row r="4381" spans="1:9" x14ac:dyDescent="0.2">
      <c r="A4381" t="str">
        <f t="shared" si="315"/>
        <v>39783Vaipahu1850PocilloporidaeBords</v>
      </c>
      <c r="B4381" s="1">
        <v>39783</v>
      </c>
      <c r="C4381" t="s">
        <v>23</v>
      </c>
      <c r="D4381" s="19">
        <v>18</v>
      </c>
      <c r="E4381">
        <v>50</v>
      </c>
      <c r="F4381" t="s">
        <v>10</v>
      </c>
      <c r="G4381" t="s">
        <v>13</v>
      </c>
      <c r="H4381">
        <v>1</v>
      </c>
      <c r="I4381" t="s">
        <v>27</v>
      </c>
    </row>
    <row r="4382" spans="1:9" x14ac:dyDescent="0.2">
      <c r="A4382" t="str">
        <f t="shared" si="315"/>
        <v>39783Vaipahu1850PocilloporidaeDessus</v>
      </c>
      <c r="B4382" s="1">
        <v>39783</v>
      </c>
      <c r="C4382" t="s">
        <v>23</v>
      </c>
      <c r="D4382" s="19">
        <v>18</v>
      </c>
      <c r="E4382">
        <v>50</v>
      </c>
      <c r="F4382" t="s">
        <v>10</v>
      </c>
      <c r="G4382" t="s">
        <v>11</v>
      </c>
      <c r="H4382">
        <v>2</v>
      </c>
      <c r="I4382" t="s">
        <v>27</v>
      </c>
    </row>
    <row r="4383" spans="1:9" x14ac:dyDescent="0.2">
      <c r="A4383" t="str">
        <f t="shared" si="315"/>
        <v>39783Vaipahu1850PoritidaeDessus</v>
      </c>
      <c r="B4383" s="1">
        <v>39783</v>
      </c>
      <c r="C4383" t="s">
        <v>23</v>
      </c>
      <c r="D4383" s="19">
        <v>18</v>
      </c>
      <c r="E4383">
        <v>50</v>
      </c>
      <c r="F4383" t="s">
        <v>7</v>
      </c>
      <c r="G4383" t="s">
        <v>11</v>
      </c>
      <c r="H4383">
        <v>3</v>
      </c>
      <c r="I4383" t="s">
        <v>27</v>
      </c>
    </row>
    <row r="4384" spans="1:9" x14ac:dyDescent="0.2">
      <c r="A4384" t="str">
        <f t="shared" si="315"/>
        <v>39783Vaipahu1851Autres</v>
      </c>
      <c r="B4384" s="1">
        <v>39783</v>
      </c>
      <c r="C4384" t="s">
        <v>23</v>
      </c>
      <c r="D4384" s="19">
        <v>18</v>
      </c>
      <c r="E4384">
        <v>51</v>
      </c>
      <c r="F4384" t="s">
        <v>14</v>
      </c>
      <c r="H4384">
        <v>0</v>
      </c>
    </row>
    <row r="4385" spans="1:9" x14ac:dyDescent="0.2">
      <c r="A4385" t="str">
        <f t="shared" si="315"/>
        <v>39783Vaipahu1852PocilloporidaeBords</v>
      </c>
      <c r="B4385" s="1">
        <v>39783</v>
      </c>
      <c r="C4385" t="s">
        <v>23</v>
      </c>
      <c r="D4385" s="19">
        <v>18</v>
      </c>
      <c r="E4385">
        <v>52</v>
      </c>
      <c r="F4385" t="s">
        <v>10</v>
      </c>
      <c r="G4385" t="s">
        <v>13</v>
      </c>
      <c r="H4385">
        <v>1</v>
      </c>
      <c r="I4385" t="s">
        <v>27</v>
      </c>
    </row>
    <row r="4386" spans="1:9" x14ac:dyDescent="0.2">
      <c r="A4386" t="str">
        <f t="shared" si="315"/>
        <v>39783Vaipahu1852PocilloporidaeDessus</v>
      </c>
      <c r="B4386" s="1">
        <v>39783</v>
      </c>
      <c r="C4386" t="s">
        <v>23</v>
      </c>
      <c r="D4386" s="19">
        <v>18</v>
      </c>
      <c r="E4386">
        <v>52</v>
      </c>
      <c r="F4386" t="s">
        <v>10</v>
      </c>
      <c r="G4386" t="s">
        <v>11</v>
      </c>
      <c r="H4386">
        <v>1</v>
      </c>
      <c r="I4386" t="s">
        <v>27</v>
      </c>
    </row>
    <row r="4387" spans="1:9" x14ac:dyDescent="0.2">
      <c r="A4387" t="str">
        <f t="shared" si="315"/>
        <v>39783Vaipahu1852PoritidaeBords</v>
      </c>
      <c r="B4387" s="1">
        <v>39783</v>
      </c>
      <c r="C4387" t="s">
        <v>23</v>
      </c>
      <c r="D4387" s="19">
        <v>18</v>
      </c>
      <c r="E4387">
        <v>52</v>
      </c>
      <c r="F4387" t="s">
        <v>7</v>
      </c>
      <c r="G4387" t="s">
        <v>13</v>
      </c>
      <c r="H4387">
        <v>1</v>
      </c>
      <c r="I4387" t="s">
        <v>27</v>
      </c>
    </row>
    <row r="4388" spans="1:9" x14ac:dyDescent="0.2">
      <c r="A4388" t="str">
        <f t="shared" si="315"/>
        <v>39783Vaipahu1853PoritidaeDessous</v>
      </c>
      <c r="B4388" s="1">
        <v>39783</v>
      </c>
      <c r="C4388" t="s">
        <v>23</v>
      </c>
      <c r="D4388" s="19">
        <v>18</v>
      </c>
      <c r="E4388">
        <v>53</v>
      </c>
      <c r="F4388" t="s">
        <v>7</v>
      </c>
      <c r="G4388" t="s">
        <v>8</v>
      </c>
      <c r="H4388">
        <v>1</v>
      </c>
      <c r="I4388" t="s">
        <v>27</v>
      </c>
    </row>
    <row r="4389" spans="1:9" x14ac:dyDescent="0.2">
      <c r="A4389" t="str">
        <f t="shared" si="315"/>
        <v>39783Vaipahu1854PocilloporidaeDessous</v>
      </c>
      <c r="B4389" s="1">
        <v>39783</v>
      </c>
      <c r="C4389" t="s">
        <v>23</v>
      </c>
      <c r="D4389" s="19">
        <v>18</v>
      </c>
      <c r="E4389">
        <v>54</v>
      </c>
      <c r="F4389" t="s">
        <v>10</v>
      </c>
      <c r="G4389" t="s">
        <v>8</v>
      </c>
      <c r="H4389">
        <v>2</v>
      </c>
      <c r="I4389" t="s">
        <v>27</v>
      </c>
    </row>
    <row r="4390" spans="1:9" x14ac:dyDescent="0.2">
      <c r="A4390" t="str">
        <f t="shared" si="315"/>
        <v>39783Vaipahu1855Autres</v>
      </c>
      <c r="B4390" s="1">
        <v>39783</v>
      </c>
      <c r="C4390" t="s">
        <v>23</v>
      </c>
      <c r="D4390" s="19">
        <v>18</v>
      </c>
      <c r="E4390">
        <v>55</v>
      </c>
      <c r="F4390" t="s">
        <v>14</v>
      </c>
      <c r="H4390">
        <v>0</v>
      </c>
    </row>
    <row r="4391" spans="1:9" x14ac:dyDescent="0.2">
      <c r="A4391" t="str">
        <f t="shared" si="315"/>
        <v>39783Vaipahu1856PocilloporidaeBords</v>
      </c>
      <c r="B4391" s="1">
        <v>39783</v>
      </c>
      <c r="C4391" t="s">
        <v>23</v>
      </c>
      <c r="D4391" s="19">
        <v>18</v>
      </c>
      <c r="E4391">
        <v>56</v>
      </c>
      <c r="F4391" t="s">
        <v>10</v>
      </c>
      <c r="G4391" t="s">
        <v>13</v>
      </c>
      <c r="H4391">
        <v>2</v>
      </c>
      <c r="I4391" t="s">
        <v>27</v>
      </c>
    </row>
    <row r="4392" spans="1:9" x14ac:dyDescent="0.2">
      <c r="A4392" t="str">
        <f t="shared" si="315"/>
        <v>39783Vaipahu1857PocilloporidaeBords</v>
      </c>
      <c r="B4392" s="1">
        <v>39783</v>
      </c>
      <c r="C4392" t="s">
        <v>23</v>
      </c>
      <c r="D4392" s="19">
        <v>18</v>
      </c>
      <c r="E4392">
        <v>57</v>
      </c>
      <c r="F4392" t="s">
        <v>10</v>
      </c>
      <c r="G4392" t="s">
        <v>13</v>
      </c>
      <c r="H4392">
        <v>3</v>
      </c>
      <c r="I4392" t="s">
        <v>27</v>
      </c>
    </row>
    <row r="4393" spans="1:9" x14ac:dyDescent="0.2">
      <c r="A4393" t="str">
        <f t="shared" si="315"/>
        <v>39783Vaipahu1857PocilloporidaeDessous</v>
      </c>
      <c r="B4393" s="1">
        <v>39783</v>
      </c>
      <c r="C4393" t="s">
        <v>23</v>
      </c>
      <c r="D4393" s="19">
        <v>18</v>
      </c>
      <c r="E4393">
        <v>57</v>
      </c>
      <c r="F4393" t="s">
        <v>10</v>
      </c>
      <c r="G4393" t="s">
        <v>8</v>
      </c>
      <c r="H4393">
        <v>2</v>
      </c>
      <c r="I4393" t="s">
        <v>27</v>
      </c>
    </row>
    <row r="4394" spans="1:9" x14ac:dyDescent="0.2">
      <c r="A4394" t="str">
        <f t="shared" si="315"/>
        <v>39783Vaipahu1857PoritidaeBords</v>
      </c>
      <c r="B4394" s="1">
        <v>39783</v>
      </c>
      <c r="C4394" t="s">
        <v>23</v>
      </c>
      <c r="D4394" s="19">
        <v>18</v>
      </c>
      <c r="E4394">
        <v>57</v>
      </c>
      <c r="F4394" t="s">
        <v>7</v>
      </c>
      <c r="G4394" t="s">
        <v>13</v>
      </c>
      <c r="H4394">
        <v>1</v>
      </c>
      <c r="I4394" t="s">
        <v>27</v>
      </c>
    </row>
    <row r="4395" spans="1:9" x14ac:dyDescent="0.2">
      <c r="A4395" t="str">
        <f t="shared" si="315"/>
        <v>39783Vaipahu1858PocilloporidaeBords</v>
      </c>
      <c r="B4395" s="1">
        <v>39783</v>
      </c>
      <c r="C4395" t="s">
        <v>23</v>
      </c>
      <c r="D4395" s="19">
        <v>18</v>
      </c>
      <c r="E4395">
        <v>58</v>
      </c>
      <c r="F4395" t="s">
        <v>10</v>
      </c>
      <c r="G4395" t="s">
        <v>13</v>
      </c>
      <c r="H4395">
        <v>2</v>
      </c>
      <c r="I4395" t="s">
        <v>27</v>
      </c>
    </row>
    <row r="4396" spans="1:9" x14ac:dyDescent="0.2">
      <c r="A4396" t="str">
        <f t="shared" si="315"/>
        <v>39783Vaipahu1858PocilloporidaeDessous</v>
      </c>
      <c r="B4396" s="1">
        <v>39783</v>
      </c>
      <c r="C4396" t="s">
        <v>23</v>
      </c>
      <c r="D4396" s="19">
        <v>18</v>
      </c>
      <c r="E4396">
        <v>58</v>
      </c>
      <c r="F4396" t="s">
        <v>10</v>
      </c>
      <c r="G4396" t="s">
        <v>8</v>
      </c>
      <c r="H4396">
        <v>1</v>
      </c>
      <c r="I4396" t="s">
        <v>27</v>
      </c>
    </row>
    <row r="4397" spans="1:9" x14ac:dyDescent="0.2">
      <c r="A4397" t="str">
        <f t="shared" si="315"/>
        <v>39783Vaipahu1858PoritidaeBords</v>
      </c>
      <c r="B4397" s="1">
        <v>39783</v>
      </c>
      <c r="C4397" t="s">
        <v>23</v>
      </c>
      <c r="D4397" s="19">
        <v>18</v>
      </c>
      <c r="E4397">
        <v>58</v>
      </c>
      <c r="F4397" t="s">
        <v>7</v>
      </c>
      <c r="G4397" t="s">
        <v>13</v>
      </c>
      <c r="H4397">
        <v>3</v>
      </c>
      <c r="I4397" t="s">
        <v>27</v>
      </c>
    </row>
    <row r="4398" spans="1:9" x14ac:dyDescent="0.2">
      <c r="A4398" t="str">
        <f t="shared" si="315"/>
        <v>39783Vaipahu1859Autres</v>
      </c>
      <c r="B4398" s="1">
        <v>39783</v>
      </c>
      <c r="C4398" t="s">
        <v>23</v>
      </c>
      <c r="D4398" s="19">
        <v>18</v>
      </c>
      <c r="E4398">
        <v>59</v>
      </c>
      <c r="F4398" t="s">
        <v>14</v>
      </c>
      <c r="H4398">
        <v>0</v>
      </c>
    </row>
    <row r="4399" spans="1:9" x14ac:dyDescent="0.2">
      <c r="A4399" t="str">
        <f t="shared" si="315"/>
        <v>39783Vaipahu1860PocilloporidaeDessus</v>
      </c>
      <c r="B4399" s="1">
        <v>39783</v>
      </c>
      <c r="C4399" t="s">
        <v>23</v>
      </c>
      <c r="D4399" s="19">
        <v>18</v>
      </c>
      <c r="E4399">
        <v>60</v>
      </c>
      <c r="F4399" t="s">
        <v>10</v>
      </c>
      <c r="G4399" t="s">
        <v>11</v>
      </c>
      <c r="H4399">
        <v>1</v>
      </c>
      <c r="I4399" t="s">
        <v>27</v>
      </c>
    </row>
    <row r="4400" spans="1:9" x14ac:dyDescent="0.2">
      <c r="A4400" t="str">
        <f t="shared" si="315"/>
        <v>39783Tiahura661Autres</v>
      </c>
      <c r="B4400" s="1">
        <v>39783</v>
      </c>
      <c r="C4400" t="s">
        <v>24</v>
      </c>
      <c r="D4400" s="19">
        <v>6</v>
      </c>
      <c r="E4400">
        <v>61</v>
      </c>
      <c r="F4400" t="s">
        <v>14</v>
      </c>
      <c r="H4400">
        <v>0</v>
      </c>
    </row>
    <row r="4401" spans="1:9" x14ac:dyDescent="0.2">
      <c r="A4401" t="str">
        <f t="shared" si="315"/>
        <v>39783Tiahura662Autres</v>
      </c>
      <c r="B4401" s="1">
        <v>39783</v>
      </c>
      <c r="C4401" t="s">
        <v>24</v>
      </c>
      <c r="D4401" s="19">
        <v>6</v>
      </c>
      <c r="E4401">
        <v>62</v>
      </c>
      <c r="F4401" t="s">
        <v>14</v>
      </c>
      <c r="H4401">
        <v>0</v>
      </c>
    </row>
    <row r="4402" spans="1:9" x14ac:dyDescent="0.2">
      <c r="A4402" t="str">
        <f t="shared" si="315"/>
        <v>39783Tiahura663PocilloporidaeBords</v>
      </c>
      <c r="B4402" s="1">
        <v>39783</v>
      </c>
      <c r="C4402" t="s">
        <v>24</v>
      </c>
      <c r="D4402" s="19">
        <v>6</v>
      </c>
      <c r="E4402">
        <v>63</v>
      </c>
      <c r="F4402" t="s">
        <v>10</v>
      </c>
      <c r="G4402" t="s">
        <v>13</v>
      </c>
      <c r="H4402">
        <v>1</v>
      </c>
      <c r="I4402" t="s">
        <v>27</v>
      </c>
    </row>
    <row r="4403" spans="1:9" x14ac:dyDescent="0.2">
      <c r="A4403" t="str">
        <f t="shared" si="315"/>
        <v>39783Tiahura663PocilloporidaeDessous</v>
      </c>
      <c r="B4403" s="1">
        <v>39783</v>
      </c>
      <c r="C4403" t="s">
        <v>24</v>
      </c>
      <c r="D4403" s="19">
        <v>6</v>
      </c>
      <c r="E4403">
        <v>63</v>
      </c>
      <c r="F4403" t="s">
        <v>10</v>
      </c>
      <c r="G4403" t="s">
        <v>8</v>
      </c>
      <c r="H4403">
        <v>2</v>
      </c>
      <c r="I4403" t="s">
        <v>27</v>
      </c>
    </row>
    <row r="4404" spans="1:9" x14ac:dyDescent="0.2">
      <c r="A4404" t="str">
        <f t="shared" si="315"/>
        <v>39783Tiahura664Autres</v>
      </c>
      <c r="B4404" s="1">
        <v>39783</v>
      </c>
      <c r="C4404" t="s">
        <v>24</v>
      </c>
      <c r="D4404" s="19">
        <v>6</v>
      </c>
      <c r="E4404">
        <v>64</v>
      </c>
      <c r="F4404" t="s">
        <v>14</v>
      </c>
      <c r="H4404">
        <v>0</v>
      </c>
    </row>
    <row r="4405" spans="1:9" x14ac:dyDescent="0.2">
      <c r="A4405" t="str">
        <f t="shared" si="315"/>
        <v>39783Tiahura665PocilloporidaeBords</v>
      </c>
      <c r="B4405" s="1">
        <v>39783</v>
      </c>
      <c r="C4405" t="s">
        <v>24</v>
      </c>
      <c r="D4405" s="19">
        <v>6</v>
      </c>
      <c r="E4405">
        <v>65</v>
      </c>
      <c r="F4405" t="s">
        <v>10</v>
      </c>
      <c r="G4405" t="s">
        <v>13</v>
      </c>
      <c r="H4405">
        <v>1</v>
      </c>
      <c r="I4405" t="s">
        <v>27</v>
      </c>
    </row>
    <row r="4406" spans="1:9" x14ac:dyDescent="0.2">
      <c r="A4406" t="str">
        <f t="shared" si="315"/>
        <v>39783Tiahura665PocilloporidaeDessous</v>
      </c>
      <c r="B4406" s="1">
        <v>39783</v>
      </c>
      <c r="C4406" t="s">
        <v>24</v>
      </c>
      <c r="D4406" s="19">
        <v>6</v>
      </c>
      <c r="E4406">
        <v>65</v>
      </c>
      <c r="F4406" t="s">
        <v>10</v>
      </c>
      <c r="G4406" t="s">
        <v>8</v>
      </c>
      <c r="H4406">
        <v>2</v>
      </c>
      <c r="I4406" t="s">
        <v>27</v>
      </c>
    </row>
    <row r="4407" spans="1:9" x14ac:dyDescent="0.2">
      <c r="A4407" t="str">
        <f t="shared" si="315"/>
        <v>39783Tiahura666Autres</v>
      </c>
      <c r="B4407" s="1">
        <v>39783</v>
      </c>
      <c r="C4407" t="s">
        <v>24</v>
      </c>
      <c r="D4407" s="19">
        <v>6</v>
      </c>
      <c r="E4407">
        <v>66</v>
      </c>
      <c r="F4407" t="s">
        <v>14</v>
      </c>
      <c r="H4407">
        <v>0</v>
      </c>
    </row>
    <row r="4408" spans="1:9" x14ac:dyDescent="0.2">
      <c r="A4408" t="str">
        <f t="shared" si="315"/>
        <v>39783Tiahura667Autres</v>
      </c>
      <c r="B4408" s="1">
        <v>39783</v>
      </c>
      <c r="C4408" t="s">
        <v>24</v>
      </c>
      <c r="D4408" s="19">
        <v>6</v>
      </c>
      <c r="E4408">
        <v>67</v>
      </c>
      <c r="F4408" t="s">
        <v>14</v>
      </c>
      <c r="H4408">
        <v>0</v>
      </c>
    </row>
    <row r="4409" spans="1:9" x14ac:dyDescent="0.2">
      <c r="A4409" t="str">
        <f t="shared" si="315"/>
        <v>39783Tiahura668PocilloporidaeBords</v>
      </c>
      <c r="B4409" s="1">
        <v>39783</v>
      </c>
      <c r="C4409" t="s">
        <v>24</v>
      </c>
      <c r="D4409" s="19">
        <v>6</v>
      </c>
      <c r="E4409">
        <v>68</v>
      </c>
      <c r="F4409" t="s">
        <v>10</v>
      </c>
      <c r="G4409" t="s">
        <v>13</v>
      </c>
      <c r="H4409">
        <v>2</v>
      </c>
      <c r="I4409" t="s">
        <v>27</v>
      </c>
    </row>
    <row r="4410" spans="1:9" x14ac:dyDescent="0.2">
      <c r="A4410" t="str">
        <f t="shared" si="315"/>
        <v>39783Tiahura668PocilloporidaeDessous</v>
      </c>
      <c r="B4410" s="1">
        <v>39783</v>
      </c>
      <c r="C4410" t="s">
        <v>24</v>
      </c>
      <c r="D4410" s="19">
        <v>6</v>
      </c>
      <c r="E4410">
        <v>68</v>
      </c>
      <c r="F4410" t="s">
        <v>10</v>
      </c>
      <c r="G4410" t="s">
        <v>8</v>
      </c>
      <c r="H4410">
        <v>3</v>
      </c>
      <c r="I4410" t="s">
        <v>27</v>
      </c>
    </row>
    <row r="4411" spans="1:9" x14ac:dyDescent="0.2">
      <c r="A4411" t="str">
        <f t="shared" si="315"/>
        <v>39783Tiahura669PocilloporidaeDessous</v>
      </c>
      <c r="B4411" s="1">
        <v>39783</v>
      </c>
      <c r="C4411" t="s">
        <v>24</v>
      </c>
      <c r="D4411" s="19">
        <v>6</v>
      </c>
      <c r="E4411">
        <v>69</v>
      </c>
      <c r="F4411" t="s">
        <v>10</v>
      </c>
      <c r="G4411" t="s">
        <v>8</v>
      </c>
      <c r="H4411">
        <v>1</v>
      </c>
      <c r="I4411" t="s">
        <v>27</v>
      </c>
    </row>
    <row r="4412" spans="1:9" x14ac:dyDescent="0.2">
      <c r="A4412" t="str">
        <f t="shared" si="315"/>
        <v>39783Tiahura670PocilloporidaeDessous</v>
      </c>
      <c r="B4412" s="1">
        <v>39783</v>
      </c>
      <c r="C4412" t="s">
        <v>24</v>
      </c>
      <c r="D4412" s="19">
        <v>6</v>
      </c>
      <c r="E4412">
        <v>70</v>
      </c>
      <c r="F4412" t="s">
        <v>10</v>
      </c>
      <c r="G4412" t="s">
        <v>8</v>
      </c>
      <c r="H4412">
        <v>1</v>
      </c>
      <c r="I4412" t="s">
        <v>27</v>
      </c>
    </row>
    <row r="4413" spans="1:9" x14ac:dyDescent="0.2">
      <c r="A4413" t="str">
        <f t="shared" si="315"/>
        <v>39783Tiahura671Autres</v>
      </c>
      <c r="B4413" s="1">
        <v>39783</v>
      </c>
      <c r="C4413" t="s">
        <v>24</v>
      </c>
      <c r="D4413" s="19">
        <v>6</v>
      </c>
      <c r="E4413">
        <v>71</v>
      </c>
      <c r="F4413" t="s">
        <v>14</v>
      </c>
      <c r="H4413">
        <v>0</v>
      </c>
    </row>
    <row r="4414" spans="1:9" x14ac:dyDescent="0.2">
      <c r="A4414" t="str">
        <f t="shared" si="315"/>
        <v>39783Tiahura672Autres</v>
      </c>
      <c r="B4414" s="1">
        <v>39783</v>
      </c>
      <c r="C4414" t="s">
        <v>24</v>
      </c>
      <c r="D4414" s="19">
        <v>6</v>
      </c>
      <c r="E4414">
        <v>72</v>
      </c>
      <c r="F4414" t="s">
        <v>14</v>
      </c>
      <c r="H4414">
        <v>0</v>
      </c>
    </row>
    <row r="4415" spans="1:9" x14ac:dyDescent="0.2">
      <c r="A4415" t="str">
        <f t="shared" ref="A4415:A4478" si="316">B4415 &amp; C4415&amp; D4415&amp; E4415 &amp; F4415 &amp;G4415</f>
        <v>39783Tiahura673PocilloporidaeBords</v>
      </c>
      <c r="B4415" s="1">
        <v>39783</v>
      </c>
      <c r="C4415" t="s">
        <v>24</v>
      </c>
      <c r="D4415" s="19">
        <v>6</v>
      </c>
      <c r="E4415">
        <v>73</v>
      </c>
      <c r="F4415" t="s">
        <v>10</v>
      </c>
      <c r="G4415" t="s">
        <v>13</v>
      </c>
      <c r="H4415">
        <v>1</v>
      </c>
      <c r="I4415" t="s">
        <v>27</v>
      </c>
    </row>
    <row r="4416" spans="1:9" x14ac:dyDescent="0.2">
      <c r="A4416" t="str">
        <f t="shared" si="316"/>
        <v>39783Tiahura673PocilloporidaeDessous</v>
      </c>
      <c r="B4416" s="1">
        <v>39783</v>
      </c>
      <c r="C4416" t="s">
        <v>24</v>
      </c>
      <c r="D4416" s="19">
        <v>6</v>
      </c>
      <c r="E4416">
        <v>73</v>
      </c>
      <c r="F4416" t="s">
        <v>10</v>
      </c>
      <c r="G4416" t="s">
        <v>8</v>
      </c>
      <c r="H4416">
        <v>4</v>
      </c>
      <c r="I4416" t="s">
        <v>27</v>
      </c>
    </row>
    <row r="4417" spans="1:9" x14ac:dyDescent="0.2">
      <c r="A4417" t="str">
        <f t="shared" si="316"/>
        <v>39783Tiahura674CassésDessous</v>
      </c>
      <c r="B4417" s="1">
        <v>39783</v>
      </c>
      <c r="C4417" t="s">
        <v>24</v>
      </c>
      <c r="D4417" s="19">
        <v>6</v>
      </c>
      <c r="E4417">
        <v>74</v>
      </c>
      <c r="F4417" t="s">
        <v>12</v>
      </c>
      <c r="G4417" t="s">
        <v>8</v>
      </c>
      <c r="H4417">
        <v>1</v>
      </c>
      <c r="I4417" t="s">
        <v>27</v>
      </c>
    </row>
    <row r="4418" spans="1:9" x14ac:dyDescent="0.2">
      <c r="A4418" t="str">
        <f t="shared" si="316"/>
        <v>39783Tiahura674PocilloporidaeDessous</v>
      </c>
      <c r="B4418" s="1">
        <v>39783</v>
      </c>
      <c r="C4418" t="s">
        <v>24</v>
      </c>
      <c r="D4418" s="19">
        <v>6</v>
      </c>
      <c r="E4418">
        <v>74</v>
      </c>
      <c r="F4418" t="s">
        <v>10</v>
      </c>
      <c r="G4418" t="s">
        <v>8</v>
      </c>
      <c r="H4418">
        <v>2</v>
      </c>
      <c r="I4418" t="s">
        <v>27</v>
      </c>
    </row>
    <row r="4419" spans="1:9" x14ac:dyDescent="0.2">
      <c r="A4419" t="str">
        <f t="shared" si="316"/>
        <v>39783Tiahura674PoritidaeBords</v>
      </c>
      <c r="B4419" s="1">
        <v>39783</v>
      </c>
      <c r="C4419" t="s">
        <v>24</v>
      </c>
      <c r="D4419" s="19">
        <v>6</v>
      </c>
      <c r="E4419">
        <v>74</v>
      </c>
      <c r="F4419" t="s">
        <v>7</v>
      </c>
      <c r="G4419" t="s">
        <v>13</v>
      </c>
      <c r="H4419">
        <v>1</v>
      </c>
      <c r="I4419" t="s">
        <v>27</v>
      </c>
    </row>
    <row r="4420" spans="1:9" x14ac:dyDescent="0.2">
      <c r="A4420" t="str">
        <f t="shared" si="316"/>
        <v>39783Tiahura675Autres</v>
      </c>
      <c r="B4420" s="1">
        <v>39783</v>
      </c>
      <c r="C4420" t="s">
        <v>24</v>
      </c>
      <c r="D4420" s="19">
        <v>6</v>
      </c>
      <c r="E4420">
        <v>75</v>
      </c>
      <c r="F4420" t="s">
        <v>14</v>
      </c>
      <c r="H4420">
        <v>0</v>
      </c>
    </row>
    <row r="4421" spans="1:9" x14ac:dyDescent="0.2">
      <c r="A4421" t="str">
        <f t="shared" si="316"/>
        <v>39783Tiahura676PocilloporidaeDessous</v>
      </c>
      <c r="B4421" s="1">
        <v>39783</v>
      </c>
      <c r="C4421" t="s">
        <v>24</v>
      </c>
      <c r="D4421" s="19">
        <v>6</v>
      </c>
      <c r="E4421">
        <v>76</v>
      </c>
      <c r="F4421" t="s">
        <v>10</v>
      </c>
      <c r="G4421" t="s">
        <v>8</v>
      </c>
      <c r="H4421">
        <v>2</v>
      </c>
      <c r="I4421" t="s">
        <v>27</v>
      </c>
    </row>
    <row r="4422" spans="1:9" x14ac:dyDescent="0.2">
      <c r="A4422" t="str">
        <f t="shared" si="316"/>
        <v>39783Tiahura676PocilloporidaeDessus</v>
      </c>
      <c r="B4422" s="1">
        <v>39783</v>
      </c>
      <c r="C4422" t="s">
        <v>24</v>
      </c>
      <c r="D4422" s="19">
        <v>6</v>
      </c>
      <c r="E4422">
        <v>76</v>
      </c>
      <c r="F4422" t="s">
        <v>10</v>
      </c>
      <c r="G4422" t="s">
        <v>11</v>
      </c>
      <c r="H4422">
        <v>1</v>
      </c>
      <c r="I4422" t="s">
        <v>27</v>
      </c>
    </row>
    <row r="4423" spans="1:9" x14ac:dyDescent="0.2">
      <c r="A4423" t="str">
        <f t="shared" si="316"/>
        <v>39783Tiahura677Autres</v>
      </c>
      <c r="B4423" s="1">
        <v>39783</v>
      </c>
      <c r="C4423" t="s">
        <v>24</v>
      </c>
      <c r="D4423" s="19">
        <v>6</v>
      </c>
      <c r="E4423">
        <v>77</v>
      </c>
      <c r="F4423" t="s">
        <v>14</v>
      </c>
      <c r="H4423">
        <v>0</v>
      </c>
    </row>
    <row r="4424" spans="1:9" x14ac:dyDescent="0.2">
      <c r="A4424" t="str">
        <f t="shared" si="316"/>
        <v>39783Tiahura678PoritidaeBords</v>
      </c>
      <c r="B4424" s="1">
        <v>39783</v>
      </c>
      <c r="C4424" t="s">
        <v>24</v>
      </c>
      <c r="D4424" s="19">
        <v>6</v>
      </c>
      <c r="E4424">
        <v>78</v>
      </c>
      <c r="F4424" t="s">
        <v>7</v>
      </c>
      <c r="G4424" t="s">
        <v>13</v>
      </c>
      <c r="H4424">
        <v>1</v>
      </c>
      <c r="I4424" t="s">
        <v>27</v>
      </c>
    </row>
    <row r="4425" spans="1:9" x14ac:dyDescent="0.2">
      <c r="A4425" t="str">
        <f t="shared" si="316"/>
        <v>39783Tiahura679PocilloporidaeBords</v>
      </c>
      <c r="B4425" s="1">
        <v>39783</v>
      </c>
      <c r="C4425" t="s">
        <v>24</v>
      </c>
      <c r="D4425" s="19">
        <v>6</v>
      </c>
      <c r="E4425">
        <v>79</v>
      </c>
      <c r="F4425" t="s">
        <v>10</v>
      </c>
      <c r="G4425" t="s">
        <v>13</v>
      </c>
      <c r="H4425">
        <v>1</v>
      </c>
      <c r="I4425" t="s">
        <v>27</v>
      </c>
    </row>
    <row r="4426" spans="1:9" x14ac:dyDescent="0.2">
      <c r="A4426" t="str">
        <f t="shared" si="316"/>
        <v>39783Tiahura679PocilloporidaeDessous</v>
      </c>
      <c r="B4426" s="1">
        <v>39783</v>
      </c>
      <c r="C4426" t="s">
        <v>24</v>
      </c>
      <c r="D4426" s="19">
        <v>6</v>
      </c>
      <c r="E4426">
        <v>79</v>
      </c>
      <c r="F4426" t="s">
        <v>10</v>
      </c>
      <c r="G4426" t="s">
        <v>8</v>
      </c>
      <c r="H4426">
        <v>1</v>
      </c>
      <c r="I4426" t="s">
        <v>27</v>
      </c>
    </row>
    <row r="4427" spans="1:9" x14ac:dyDescent="0.2">
      <c r="A4427" t="str">
        <f t="shared" si="316"/>
        <v>39783Tiahura680PocilloporidaeDessous</v>
      </c>
      <c r="B4427" s="1">
        <v>39783</v>
      </c>
      <c r="C4427" t="s">
        <v>24</v>
      </c>
      <c r="D4427" s="19">
        <v>6</v>
      </c>
      <c r="E4427">
        <v>80</v>
      </c>
      <c r="F4427" t="s">
        <v>10</v>
      </c>
      <c r="G4427" t="s">
        <v>8</v>
      </c>
      <c r="H4427">
        <v>3</v>
      </c>
      <c r="I4427" t="s">
        <v>27</v>
      </c>
    </row>
    <row r="4428" spans="1:9" x14ac:dyDescent="0.2">
      <c r="A4428" t="str">
        <f t="shared" si="316"/>
        <v>39783Tiahura1281PoritidaeDessus</v>
      </c>
      <c r="B4428" s="1">
        <v>39783</v>
      </c>
      <c r="C4428" t="s">
        <v>24</v>
      </c>
      <c r="D4428" s="19">
        <v>12</v>
      </c>
      <c r="E4428">
        <v>81</v>
      </c>
      <c r="F4428" t="s">
        <v>7</v>
      </c>
      <c r="G4428" t="s">
        <v>11</v>
      </c>
      <c r="H4428">
        <v>1</v>
      </c>
      <c r="I4428" t="s">
        <v>27</v>
      </c>
    </row>
    <row r="4429" spans="1:9" x14ac:dyDescent="0.2">
      <c r="A4429" t="str">
        <f t="shared" si="316"/>
        <v>39783Tiahura1282PocilloporidaeBords</v>
      </c>
      <c r="B4429" s="1">
        <v>39783</v>
      </c>
      <c r="C4429" t="s">
        <v>24</v>
      </c>
      <c r="D4429" s="19">
        <v>12</v>
      </c>
      <c r="E4429">
        <v>82</v>
      </c>
      <c r="F4429" t="s">
        <v>10</v>
      </c>
      <c r="G4429" t="s">
        <v>13</v>
      </c>
      <c r="H4429">
        <v>1</v>
      </c>
      <c r="I4429" t="s">
        <v>27</v>
      </c>
    </row>
    <row r="4430" spans="1:9" x14ac:dyDescent="0.2">
      <c r="A4430" t="str">
        <f t="shared" si="316"/>
        <v>39783Tiahura1283Autres</v>
      </c>
      <c r="B4430" s="1">
        <v>39783</v>
      </c>
      <c r="C4430" t="s">
        <v>24</v>
      </c>
      <c r="D4430" s="19">
        <v>12</v>
      </c>
      <c r="E4430">
        <v>83</v>
      </c>
      <c r="F4430" t="s">
        <v>14</v>
      </c>
      <c r="H4430">
        <v>0</v>
      </c>
    </row>
    <row r="4431" spans="1:9" x14ac:dyDescent="0.2">
      <c r="A4431" t="str">
        <f t="shared" si="316"/>
        <v>39783Tiahura1284Autres</v>
      </c>
      <c r="B4431" s="1">
        <v>39783</v>
      </c>
      <c r="C4431" t="s">
        <v>24</v>
      </c>
      <c r="D4431" s="19">
        <v>12</v>
      </c>
      <c r="E4431">
        <v>84</v>
      </c>
      <c r="F4431" t="s">
        <v>14</v>
      </c>
      <c r="H4431">
        <v>0</v>
      </c>
    </row>
    <row r="4432" spans="1:9" x14ac:dyDescent="0.2">
      <c r="A4432" t="str">
        <f t="shared" si="316"/>
        <v>39783Tiahura1285PocilloporidaeDessous</v>
      </c>
      <c r="B4432" s="1">
        <v>39783</v>
      </c>
      <c r="C4432" t="s">
        <v>24</v>
      </c>
      <c r="D4432" s="19">
        <v>12</v>
      </c>
      <c r="E4432">
        <v>85</v>
      </c>
      <c r="F4432" t="s">
        <v>10</v>
      </c>
      <c r="G4432" t="s">
        <v>8</v>
      </c>
      <c r="H4432">
        <v>1</v>
      </c>
      <c r="I4432" t="s">
        <v>27</v>
      </c>
    </row>
    <row r="4433" spans="1:9" x14ac:dyDescent="0.2">
      <c r="A4433" t="str">
        <f t="shared" si="316"/>
        <v>39783Tiahura1286PocilloporidaeDessous</v>
      </c>
      <c r="B4433" s="1">
        <v>39783</v>
      </c>
      <c r="C4433" t="s">
        <v>24</v>
      </c>
      <c r="D4433" s="19">
        <v>12</v>
      </c>
      <c r="E4433">
        <v>86</v>
      </c>
      <c r="F4433" t="s">
        <v>10</v>
      </c>
      <c r="G4433" t="s">
        <v>8</v>
      </c>
      <c r="H4433">
        <v>1</v>
      </c>
      <c r="I4433" t="s">
        <v>27</v>
      </c>
    </row>
    <row r="4434" spans="1:9" x14ac:dyDescent="0.2">
      <c r="A4434" t="str">
        <f t="shared" si="316"/>
        <v>39783Tiahura1287Autres</v>
      </c>
      <c r="B4434" s="1">
        <v>39783</v>
      </c>
      <c r="C4434" t="s">
        <v>24</v>
      </c>
      <c r="D4434" s="19">
        <v>12</v>
      </c>
      <c r="E4434">
        <v>87</v>
      </c>
      <c r="F4434" t="s">
        <v>14</v>
      </c>
      <c r="H4434">
        <v>0</v>
      </c>
    </row>
    <row r="4435" spans="1:9" x14ac:dyDescent="0.2">
      <c r="A4435" t="str">
        <f t="shared" si="316"/>
        <v>39783Tiahura1288PocilloporidaeDessous</v>
      </c>
      <c r="B4435" s="1">
        <v>39783</v>
      </c>
      <c r="C4435" t="s">
        <v>24</v>
      </c>
      <c r="D4435" s="19">
        <v>12</v>
      </c>
      <c r="E4435">
        <v>88</v>
      </c>
      <c r="F4435" t="s">
        <v>10</v>
      </c>
      <c r="G4435" t="s">
        <v>8</v>
      </c>
      <c r="H4435">
        <v>2</v>
      </c>
      <c r="I4435" t="s">
        <v>27</v>
      </c>
    </row>
    <row r="4436" spans="1:9" x14ac:dyDescent="0.2">
      <c r="A4436" t="str">
        <f t="shared" si="316"/>
        <v>39783Tiahura1288PoritidaeDessous</v>
      </c>
      <c r="B4436" s="1">
        <v>39783</v>
      </c>
      <c r="C4436" t="s">
        <v>24</v>
      </c>
      <c r="D4436" s="19">
        <v>12</v>
      </c>
      <c r="E4436">
        <v>88</v>
      </c>
      <c r="F4436" t="s">
        <v>7</v>
      </c>
      <c r="G4436" t="s">
        <v>8</v>
      </c>
      <c r="H4436">
        <v>3</v>
      </c>
      <c r="I4436" t="s">
        <v>27</v>
      </c>
    </row>
    <row r="4437" spans="1:9" x14ac:dyDescent="0.2">
      <c r="A4437" t="str">
        <f t="shared" si="316"/>
        <v>39783Tiahura1289Autres</v>
      </c>
      <c r="B4437" s="1">
        <v>39783</v>
      </c>
      <c r="C4437" t="s">
        <v>24</v>
      </c>
      <c r="D4437" s="19">
        <v>12</v>
      </c>
      <c r="E4437">
        <v>89</v>
      </c>
      <c r="F4437" t="s">
        <v>14</v>
      </c>
      <c r="H4437">
        <v>0</v>
      </c>
    </row>
    <row r="4438" spans="1:9" x14ac:dyDescent="0.2">
      <c r="A4438" t="str">
        <f t="shared" si="316"/>
        <v>39783Tiahura1290Autres</v>
      </c>
      <c r="B4438" s="1">
        <v>39783</v>
      </c>
      <c r="C4438" t="s">
        <v>24</v>
      </c>
      <c r="D4438" s="19">
        <v>12</v>
      </c>
      <c r="E4438">
        <v>90</v>
      </c>
      <c r="F4438" t="s">
        <v>14</v>
      </c>
      <c r="H4438">
        <v>0</v>
      </c>
    </row>
    <row r="4439" spans="1:9" x14ac:dyDescent="0.2">
      <c r="A4439" t="str">
        <f t="shared" si="316"/>
        <v>39783Tiahura1291PocilloporidaeDessous</v>
      </c>
      <c r="B4439" s="1">
        <v>39783</v>
      </c>
      <c r="C4439" t="s">
        <v>24</v>
      </c>
      <c r="D4439" s="19">
        <v>12</v>
      </c>
      <c r="E4439">
        <v>91</v>
      </c>
      <c r="F4439" t="s">
        <v>10</v>
      </c>
      <c r="G4439" t="s">
        <v>8</v>
      </c>
      <c r="H4439">
        <v>2</v>
      </c>
      <c r="I4439" t="s">
        <v>27</v>
      </c>
    </row>
    <row r="4440" spans="1:9" x14ac:dyDescent="0.2">
      <c r="A4440" t="str">
        <f t="shared" si="316"/>
        <v>39783Tiahura1292AcroporidaeDessous</v>
      </c>
      <c r="B4440" s="1">
        <v>39783</v>
      </c>
      <c r="C4440" t="s">
        <v>24</v>
      </c>
      <c r="D4440" s="19">
        <v>12</v>
      </c>
      <c r="E4440">
        <v>92</v>
      </c>
      <c r="F4440" t="s">
        <v>17</v>
      </c>
      <c r="G4440" t="s">
        <v>8</v>
      </c>
      <c r="H4440">
        <v>1</v>
      </c>
      <c r="I4440" t="s">
        <v>27</v>
      </c>
    </row>
    <row r="4441" spans="1:9" x14ac:dyDescent="0.2">
      <c r="A4441" t="str">
        <f t="shared" si="316"/>
        <v>39783Tiahura1293PocilloporidaeBords</v>
      </c>
      <c r="B4441" s="1">
        <v>39783</v>
      </c>
      <c r="C4441" t="s">
        <v>24</v>
      </c>
      <c r="D4441" s="19">
        <v>12</v>
      </c>
      <c r="E4441">
        <v>93</v>
      </c>
      <c r="F4441" t="s">
        <v>10</v>
      </c>
      <c r="G4441" t="s">
        <v>13</v>
      </c>
      <c r="H4441">
        <v>1</v>
      </c>
      <c r="I4441" t="s">
        <v>27</v>
      </c>
    </row>
    <row r="4442" spans="1:9" x14ac:dyDescent="0.2">
      <c r="A4442" t="str">
        <f t="shared" si="316"/>
        <v>39783Tiahura1294PocilloporidaeDessous</v>
      </c>
      <c r="B4442" s="1">
        <v>39783</v>
      </c>
      <c r="C4442" t="s">
        <v>24</v>
      </c>
      <c r="D4442" s="19">
        <v>12</v>
      </c>
      <c r="E4442">
        <v>94</v>
      </c>
      <c r="F4442" t="s">
        <v>10</v>
      </c>
      <c r="G4442" t="s">
        <v>8</v>
      </c>
      <c r="H4442">
        <v>1</v>
      </c>
      <c r="I4442" t="s">
        <v>27</v>
      </c>
    </row>
    <row r="4443" spans="1:9" x14ac:dyDescent="0.2">
      <c r="A4443" t="str">
        <f t="shared" si="316"/>
        <v>39783Tiahura1295PocilloporidaeDessous</v>
      </c>
      <c r="B4443" s="1">
        <v>39783</v>
      </c>
      <c r="C4443" t="s">
        <v>24</v>
      </c>
      <c r="D4443" s="19">
        <v>12</v>
      </c>
      <c r="E4443">
        <v>95</v>
      </c>
      <c r="F4443" t="s">
        <v>10</v>
      </c>
      <c r="G4443" t="s">
        <v>8</v>
      </c>
      <c r="H4443">
        <v>1</v>
      </c>
      <c r="I4443" t="s">
        <v>27</v>
      </c>
    </row>
    <row r="4444" spans="1:9" x14ac:dyDescent="0.2">
      <c r="A4444" t="str">
        <f t="shared" si="316"/>
        <v>39783Tiahura1296PocilloporidaeDessous</v>
      </c>
      <c r="B4444" s="1">
        <v>39783</v>
      </c>
      <c r="C4444" t="s">
        <v>24</v>
      </c>
      <c r="D4444" s="19">
        <v>12</v>
      </c>
      <c r="E4444">
        <v>96</v>
      </c>
      <c r="F4444" t="s">
        <v>10</v>
      </c>
      <c r="G4444" t="s">
        <v>8</v>
      </c>
      <c r="H4444">
        <v>1</v>
      </c>
      <c r="I4444" t="s">
        <v>27</v>
      </c>
    </row>
    <row r="4445" spans="1:9" x14ac:dyDescent="0.2">
      <c r="A4445" t="str">
        <f t="shared" si="316"/>
        <v>39783Tiahura1297PoritidaeBords</v>
      </c>
      <c r="B4445" s="1">
        <v>39783</v>
      </c>
      <c r="C4445" t="s">
        <v>24</v>
      </c>
      <c r="D4445" s="19">
        <v>12</v>
      </c>
      <c r="E4445">
        <v>97</v>
      </c>
      <c r="F4445" t="s">
        <v>7</v>
      </c>
      <c r="G4445" t="s">
        <v>13</v>
      </c>
      <c r="H4445">
        <v>1</v>
      </c>
      <c r="I4445" t="s">
        <v>27</v>
      </c>
    </row>
    <row r="4446" spans="1:9" x14ac:dyDescent="0.2">
      <c r="A4446" t="str">
        <f t="shared" si="316"/>
        <v>39783Tiahura1298PocilloporidaeBords</v>
      </c>
      <c r="B4446" s="1">
        <v>39783</v>
      </c>
      <c r="C4446" t="s">
        <v>24</v>
      </c>
      <c r="D4446" s="19">
        <v>12</v>
      </c>
      <c r="E4446">
        <v>98</v>
      </c>
      <c r="F4446" t="s">
        <v>10</v>
      </c>
      <c r="G4446" t="s">
        <v>13</v>
      </c>
      <c r="H4446">
        <v>2</v>
      </c>
      <c r="I4446" t="s">
        <v>27</v>
      </c>
    </row>
    <row r="4447" spans="1:9" x14ac:dyDescent="0.2">
      <c r="A4447" t="str">
        <f t="shared" si="316"/>
        <v>39783Tiahura1299PocilloporidaeDessous</v>
      </c>
      <c r="B4447" s="1">
        <v>39783</v>
      </c>
      <c r="C4447" t="s">
        <v>24</v>
      </c>
      <c r="D4447" s="19">
        <v>12</v>
      </c>
      <c r="E4447">
        <v>99</v>
      </c>
      <c r="F4447" t="s">
        <v>10</v>
      </c>
      <c r="G4447" t="s">
        <v>8</v>
      </c>
      <c r="H4447">
        <v>1</v>
      </c>
      <c r="I4447" t="s">
        <v>27</v>
      </c>
    </row>
    <row r="4448" spans="1:9" x14ac:dyDescent="0.2">
      <c r="A4448" t="str">
        <f t="shared" si="316"/>
        <v>39783Tiahura12100PocilloporidaeDessus</v>
      </c>
      <c r="B4448" s="1">
        <v>39783</v>
      </c>
      <c r="C4448" t="s">
        <v>24</v>
      </c>
      <c r="D4448" s="19">
        <v>12</v>
      </c>
      <c r="E4448">
        <v>100</v>
      </c>
      <c r="F4448" t="s">
        <v>10</v>
      </c>
      <c r="G4448" t="s">
        <v>11</v>
      </c>
      <c r="H4448">
        <v>1</v>
      </c>
      <c r="I4448" t="s">
        <v>27</v>
      </c>
    </row>
    <row r="4449" spans="1:9" x14ac:dyDescent="0.2">
      <c r="A4449" t="str">
        <f t="shared" si="316"/>
        <v>39783Tiahura18101Autres</v>
      </c>
      <c r="B4449" s="1">
        <v>39783</v>
      </c>
      <c r="C4449" t="s">
        <v>24</v>
      </c>
      <c r="D4449" s="19">
        <v>18</v>
      </c>
      <c r="E4449">
        <v>101</v>
      </c>
      <c r="F4449" t="s">
        <v>14</v>
      </c>
      <c r="H4449">
        <v>0</v>
      </c>
    </row>
    <row r="4450" spans="1:9" x14ac:dyDescent="0.2">
      <c r="A4450" t="str">
        <f t="shared" si="316"/>
        <v>39783Tiahura18102PocilloporidaeDessus</v>
      </c>
      <c r="B4450" s="1">
        <v>39783</v>
      </c>
      <c r="C4450" t="s">
        <v>24</v>
      </c>
      <c r="D4450" s="19">
        <v>18</v>
      </c>
      <c r="E4450">
        <v>102</v>
      </c>
      <c r="F4450" t="s">
        <v>10</v>
      </c>
      <c r="G4450" t="s">
        <v>11</v>
      </c>
      <c r="H4450">
        <v>1</v>
      </c>
      <c r="I4450" t="s">
        <v>27</v>
      </c>
    </row>
    <row r="4451" spans="1:9" x14ac:dyDescent="0.2">
      <c r="A4451" t="str">
        <f t="shared" si="316"/>
        <v>39783Tiahura18103Autres</v>
      </c>
      <c r="B4451" s="1">
        <v>39783</v>
      </c>
      <c r="C4451" t="s">
        <v>24</v>
      </c>
      <c r="D4451" s="19">
        <v>18</v>
      </c>
      <c r="E4451">
        <v>103</v>
      </c>
      <c r="F4451" t="s">
        <v>14</v>
      </c>
      <c r="H4451">
        <v>0</v>
      </c>
    </row>
    <row r="4452" spans="1:9" x14ac:dyDescent="0.2">
      <c r="A4452" t="str">
        <f t="shared" si="316"/>
        <v>39783Tiahura18104Autres</v>
      </c>
      <c r="B4452" s="1">
        <v>39783</v>
      </c>
      <c r="C4452" t="s">
        <v>24</v>
      </c>
      <c r="D4452" s="19">
        <v>18</v>
      </c>
      <c r="E4452">
        <v>104</v>
      </c>
      <c r="F4452" t="s">
        <v>14</v>
      </c>
      <c r="H4452">
        <v>0</v>
      </c>
    </row>
    <row r="4453" spans="1:9" x14ac:dyDescent="0.2">
      <c r="A4453" t="str">
        <f t="shared" si="316"/>
        <v>39783Tiahura18105PocilloporidaeDessous</v>
      </c>
      <c r="B4453" s="1">
        <v>39783</v>
      </c>
      <c r="C4453" t="s">
        <v>24</v>
      </c>
      <c r="D4453" s="19">
        <v>18</v>
      </c>
      <c r="E4453">
        <v>105</v>
      </c>
      <c r="F4453" t="s">
        <v>10</v>
      </c>
      <c r="G4453" t="s">
        <v>8</v>
      </c>
      <c r="H4453">
        <v>1</v>
      </c>
      <c r="I4453" t="s">
        <v>27</v>
      </c>
    </row>
    <row r="4454" spans="1:9" x14ac:dyDescent="0.2">
      <c r="A4454" t="str">
        <f t="shared" si="316"/>
        <v>39783Tiahura18106Autres</v>
      </c>
      <c r="B4454" s="1">
        <v>39783</v>
      </c>
      <c r="C4454" t="s">
        <v>24</v>
      </c>
      <c r="D4454" s="19">
        <v>18</v>
      </c>
      <c r="E4454">
        <v>106</v>
      </c>
      <c r="F4454" t="s">
        <v>14</v>
      </c>
      <c r="H4454">
        <v>0</v>
      </c>
    </row>
    <row r="4455" spans="1:9" x14ac:dyDescent="0.2">
      <c r="A4455" t="str">
        <f t="shared" si="316"/>
        <v>39783Tiahura18107PocilloporidaeBords</v>
      </c>
      <c r="B4455" s="1">
        <v>39783</v>
      </c>
      <c r="C4455" t="s">
        <v>24</v>
      </c>
      <c r="D4455" s="19">
        <v>18</v>
      </c>
      <c r="E4455">
        <v>107</v>
      </c>
      <c r="F4455" t="s">
        <v>10</v>
      </c>
      <c r="G4455" t="s">
        <v>13</v>
      </c>
      <c r="H4455">
        <v>1</v>
      </c>
      <c r="I4455" t="s">
        <v>27</v>
      </c>
    </row>
    <row r="4456" spans="1:9" x14ac:dyDescent="0.2">
      <c r="A4456" t="str">
        <f t="shared" si="316"/>
        <v>39783Tiahura18108Autres</v>
      </c>
      <c r="B4456" s="1">
        <v>39783</v>
      </c>
      <c r="C4456" t="s">
        <v>24</v>
      </c>
      <c r="D4456" s="19">
        <v>18</v>
      </c>
      <c r="E4456">
        <v>108</v>
      </c>
      <c r="F4456" t="s">
        <v>14</v>
      </c>
      <c r="H4456">
        <v>0</v>
      </c>
    </row>
    <row r="4457" spans="1:9" x14ac:dyDescent="0.2">
      <c r="A4457" t="str">
        <f t="shared" si="316"/>
        <v>39783Tiahura18109Autres</v>
      </c>
      <c r="B4457" s="1">
        <v>39783</v>
      </c>
      <c r="C4457" t="s">
        <v>24</v>
      </c>
      <c r="D4457" s="19">
        <v>18</v>
      </c>
      <c r="E4457">
        <v>109</v>
      </c>
      <c r="F4457" t="s">
        <v>14</v>
      </c>
      <c r="H4457">
        <v>0</v>
      </c>
    </row>
    <row r="4458" spans="1:9" x14ac:dyDescent="0.2">
      <c r="A4458" t="str">
        <f t="shared" si="316"/>
        <v>39783Tiahura18110Autres</v>
      </c>
      <c r="B4458" s="1">
        <v>39783</v>
      </c>
      <c r="C4458" t="s">
        <v>24</v>
      </c>
      <c r="D4458" s="19">
        <v>18</v>
      </c>
      <c r="E4458">
        <v>110</v>
      </c>
      <c r="F4458" t="s">
        <v>14</v>
      </c>
      <c r="H4458">
        <v>0</v>
      </c>
    </row>
    <row r="4459" spans="1:9" x14ac:dyDescent="0.2">
      <c r="A4459" t="str">
        <f t="shared" si="316"/>
        <v>39783Tiahura18111PocilloporidaeDessous</v>
      </c>
      <c r="B4459" s="1">
        <v>39783</v>
      </c>
      <c r="C4459" t="s">
        <v>24</v>
      </c>
      <c r="D4459" s="19">
        <v>18</v>
      </c>
      <c r="E4459">
        <v>111</v>
      </c>
      <c r="F4459" t="s">
        <v>10</v>
      </c>
      <c r="G4459" t="s">
        <v>8</v>
      </c>
      <c r="H4459">
        <v>1</v>
      </c>
      <c r="I4459" t="s">
        <v>27</v>
      </c>
    </row>
    <row r="4460" spans="1:9" x14ac:dyDescent="0.2">
      <c r="A4460" t="str">
        <f t="shared" si="316"/>
        <v>39783Tiahura18111PocilloporidaeDessus</v>
      </c>
      <c r="B4460" s="1">
        <v>39783</v>
      </c>
      <c r="C4460" t="s">
        <v>24</v>
      </c>
      <c r="D4460" s="19">
        <v>18</v>
      </c>
      <c r="E4460">
        <v>111</v>
      </c>
      <c r="F4460" t="s">
        <v>10</v>
      </c>
      <c r="G4460" t="s">
        <v>11</v>
      </c>
      <c r="H4460">
        <v>1</v>
      </c>
      <c r="I4460" t="s">
        <v>27</v>
      </c>
    </row>
    <row r="4461" spans="1:9" x14ac:dyDescent="0.2">
      <c r="A4461" t="str">
        <f t="shared" si="316"/>
        <v>39783Tiahura18112PocilloporidaeDessus</v>
      </c>
      <c r="B4461" s="1">
        <v>39783</v>
      </c>
      <c r="C4461" t="s">
        <v>24</v>
      </c>
      <c r="D4461" s="19">
        <v>18</v>
      </c>
      <c r="E4461">
        <v>112</v>
      </c>
      <c r="F4461" t="s">
        <v>10</v>
      </c>
      <c r="G4461" t="s">
        <v>11</v>
      </c>
      <c r="H4461">
        <v>1</v>
      </c>
      <c r="I4461" t="s">
        <v>27</v>
      </c>
    </row>
    <row r="4462" spans="1:9" x14ac:dyDescent="0.2">
      <c r="A4462" t="str">
        <f t="shared" si="316"/>
        <v>39783Tiahura18113Autres</v>
      </c>
      <c r="B4462" s="1">
        <v>39783</v>
      </c>
      <c r="C4462" t="s">
        <v>24</v>
      </c>
      <c r="D4462" s="19">
        <v>18</v>
      </c>
      <c r="E4462">
        <v>113</v>
      </c>
      <c r="F4462" t="s">
        <v>14</v>
      </c>
      <c r="H4462">
        <v>0</v>
      </c>
    </row>
    <row r="4463" spans="1:9" x14ac:dyDescent="0.2">
      <c r="A4463" t="str">
        <f t="shared" si="316"/>
        <v>39783Tiahura18114PocilloporidaeBords</v>
      </c>
      <c r="B4463" s="1">
        <v>39783</v>
      </c>
      <c r="C4463" t="s">
        <v>24</v>
      </c>
      <c r="D4463" s="19">
        <v>18</v>
      </c>
      <c r="E4463">
        <v>114</v>
      </c>
      <c r="F4463" t="s">
        <v>10</v>
      </c>
      <c r="G4463" t="s">
        <v>13</v>
      </c>
      <c r="H4463">
        <v>1</v>
      </c>
      <c r="I4463" t="s">
        <v>27</v>
      </c>
    </row>
    <row r="4464" spans="1:9" x14ac:dyDescent="0.2">
      <c r="A4464" t="str">
        <f t="shared" si="316"/>
        <v>39783Tiahura18115Autres</v>
      </c>
      <c r="B4464" s="1">
        <v>39783</v>
      </c>
      <c r="C4464" t="s">
        <v>24</v>
      </c>
      <c r="D4464" s="19">
        <v>18</v>
      </c>
      <c r="E4464">
        <v>115</v>
      </c>
      <c r="F4464" t="s">
        <v>14</v>
      </c>
      <c r="H4464">
        <v>0</v>
      </c>
    </row>
    <row r="4465" spans="1:9" x14ac:dyDescent="0.2">
      <c r="A4465" t="str">
        <f t="shared" si="316"/>
        <v>39783Tiahura18116Autres</v>
      </c>
      <c r="B4465" s="1">
        <v>39783</v>
      </c>
      <c r="C4465" t="s">
        <v>24</v>
      </c>
      <c r="D4465" s="19">
        <v>18</v>
      </c>
      <c r="E4465">
        <v>116</v>
      </c>
      <c r="F4465" t="s">
        <v>14</v>
      </c>
      <c r="H4465">
        <v>0</v>
      </c>
    </row>
    <row r="4466" spans="1:9" x14ac:dyDescent="0.2">
      <c r="A4466" t="str">
        <f t="shared" si="316"/>
        <v>39783Tiahura18117PocilloporidaeDessous</v>
      </c>
      <c r="B4466" s="1">
        <v>39783</v>
      </c>
      <c r="C4466" t="s">
        <v>24</v>
      </c>
      <c r="D4466" s="19">
        <v>18</v>
      </c>
      <c r="E4466">
        <v>117</v>
      </c>
      <c r="F4466" t="s">
        <v>10</v>
      </c>
      <c r="G4466" t="s">
        <v>8</v>
      </c>
      <c r="H4466">
        <v>1</v>
      </c>
      <c r="I4466" t="s">
        <v>27</v>
      </c>
    </row>
    <row r="4467" spans="1:9" x14ac:dyDescent="0.2">
      <c r="A4467" t="str">
        <f t="shared" si="316"/>
        <v>39783Tiahura18118PocilloporidaeBords</v>
      </c>
      <c r="B4467" s="1">
        <v>39783</v>
      </c>
      <c r="C4467" t="s">
        <v>24</v>
      </c>
      <c r="D4467" s="19">
        <v>18</v>
      </c>
      <c r="E4467">
        <v>118</v>
      </c>
      <c r="F4467" t="s">
        <v>10</v>
      </c>
      <c r="G4467" t="s">
        <v>13</v>
      </c>
      <c r="H4467">
        <v>1</v>
      </c>
      <c r="I4467" t="s">
        <v>27</v>
      </c>
    </row>
    <row r="4468" spans="1:9" x14ac:dyDescent="0.2">
      <c r="A4468" t="str">
        <f t="shared" si="316"/>
        <v>39783Tiahura18119Autres</v>
      </c>
      <c r="B4468" s="1">
        <v>39783</v>
      </c>
      <c r="C4468" t="s">
        <v>24</v>
      </c>
      <c r="D4468" s="19">
        <v>18</v>
      </c>
      <c r="E4468">
        <v>119</v>
      </c>
      <c r="F4468" t="s">
        <v>14</v>
      </c>
      <c r="H4468">
        <v>0</v>
      </c>
    </row>
    <row r="4469" spans="1:9" x14ac:dyDescent="0.2">
      <c r="A4469" t="str">
        <f t="shared" si="316"/>
        <v>39783Tiahura18120PocilloporidaeBords</v>
      </c>
      <c r="B4469" s="1">
        <v>39783</v>
      </c>
      <c r="C4469" t="s">
        <v>24</v>
      </c>
      <c r="D4469" s="19">
        <v>18</v>
      </c>
      <c r="E4469">
        <v>120</v>
      </c>
      <c r="F4469" t="s">
        <v>10</v>
      </c>
      <c r="G4469" t="s">
        <v>13</v>
      </c>
      <c r="H4469">
        <v>4</v>
      </c>
      <c r="I4469" t="s">
        <v>27</v>
      </c>
    </row>
    <row r="4470" spans="1:9" x14ac:dyDescent="0.2">
      <c r="A4470" t="str">
        <f t="shared" si="316"/>
        <v>39783Haapiti6121Autres</v>
      </c>
      <c r="B4470" s="1">
        <v>39783</v>
      </c>
      <c r="C4470" t="s">
        <v>25</v>
      </c>
      <c r="D4470" s="19">
        <v>6</v>
      </c>
      <c r="E4470">
        <v>121</v>
      </c>
      <c r="F4470" t="s">
        <v>14</v>
      </c>
      <c r="H4470">
        <v>0</v>
      </c>
    </row>
    <row r="4471" spans="1:9" x14ac:dyDescent="0.2">
      <c r="A4471" t="str">
        <f t="shared" si="316"/>
        <v>39783Haapiti6122PocilloporidaeDessous</v>
      </c>
      <c r="B4471" s="1">
        <v>39783</v>
      </c>
      <c r="C4471" t="s">
        <v>25</v>
      </c>
      <c r="D4471" s="19">
        <v>6</v>
      </c>
      <c r="E4471">
        <v>122</v>
      </c>
      <c r="F4471" t="s">
        <v>10</v>
      </c>
      <c r="G4471" t="s">
        <v>8</v>
      </c>
      <c r="H4471">
        <v>1</v>
      </c>
      <c r="I4471" t="s">
        <v>27</v>
      </c>
    </row>
    <row r="4472" spans="1:9" x14ac:dyDescent="0.2">
      <c r="A4472" t="str">
        <f t="shared" si="316"/>
        <v>39783Haapiti6123Autres</v>
      </c>
      <c r="B4472" s="1">
        <v>39783</v>
      </c>
      <c r="C4472" t="s">
        <v>25</v>
      </c>
      <c r="D4472" s="19">
        <v>6</v>
      </c>
      <c r="E4472">
        <v>123</v>
      </c>
      <c r="F4472" t="s">
        <v>14</v>
      </c>
      <c r="H4472">
        <v>0</v>
      </c>
    </row>
    <row r="4473" spans="1:9" x14ac:dyDescent="0.2">
      <c r="A4473" t="str">
        <f t="shared" si="316"/>
        <v>39783Haapiti6124PocilloporidaeBords</v>
      </c>
      <c r="B4473" s="1">
        <v>39783</v>
      </c>
      <c r="C4473" t="s">
        <v>25</v>
      </c>
      <c r="D4473" s="19">
        <v>6</v>
      </c>
      <c r="E4473">
        <v>124</v>
      </c>
      <c r="F4473" t="s">
        <v>10</v>
      </c>
      <c r="G4473" t="s">
        <v>13</v>
      </c>
      <c r="H4473">
        <v>1</v>
      </c>
      <c r="I4473" t="s">
        <v>27</v>
      </c>
    </row>
    <row r="4474" spans="1:9" x14ac:dyDescent="0.2">
      <c r="A4474" t="str">
        <f t="shared" si="316"/>
        <v>39783Haapiti6125Autres</v>
      </c>
      <c r="B4474" s="1">
        <v>39783</v>
      </c>
      <c r="C4474" t="s">
        <v>25</v>
      </c>
      <c r="D4474" s="19">
        <v>6</v>
      </c>
      <c r="E4474">
        <v>125</v>
      </c>
      <c r="F4474" t="s">
        <v>14</v>
      </c>
      <c r="H4474">
        <v>0</v>
      </c>
    </row>
    <row r="4475" spans="1:9" x14ac:dyDescent="0.2">
      <c r="A4475" t="str">
        <f t="shared" si="316"/>
        <v>39783Haapiti6126PocilloporidaeBords</v>
      </c>
      <c r="B4475" s="1">
        <v>39783</v>
      </c>
      <c r="C4475" t="s">
        <v>25</v>
      </c>
      <c r="D4475" s="19">
        <v>6</v>
      </c>
      <c r="E4475">
        <v>126</v>
      </c>
      <c r="F4475" t="s">
        <v>10</v>
      </c>
      <c r="G4475" t="s">
        <v>13</v>
      </c>
      <c r="H4475">
        <v>1</v>
      </c>
      <c r="I4475" t="s">
        <v>27</v>
      </c>
    </row>
    <row r="4476" spans="1:9" x14ac:dyDescent="0.2">
      <c r="A4476" t="str">
        <f t="shared" si="316"/>
        <v>39783Haapiti6127Autres</v>
      </c>
      <c r="B4476" s="1">
        <v>39783</v>
      </c>
      <c r="C4476" t="s">
        <v>25</v>
      </c>
      <c r="D4476" s="19">
        <v>6</v>
      </c>
      <c r="E4476">
        <v>127</v>
      </c>
      <c r="F4476" t="s">
        <v>14</v>
      </c>
      <c r="H4476">
        <v>0</v>
      </c>
    </row>
    <row r="4477" spans="1:9" x14ac:dyDescent="0.2">
      <c r="A4477" t="str">
        <f t="shared" si="316"/>
        <v>39783Haapiti6128PocilloporidaeBords</v>
      </c>
      <c r="B4477" s="1">
        <v>39783</v>
      </c>
      <c r="C4477" t="s">
        <v>25</v>
      </c>
      <c r="D4477" s="19">
        <v>6</v>
      </c>
      <c r="E4477">
        <v>128</v>
      </c>
      <c r="F4477" t="s">
        <v>10</v>
      </c>
      <c r="G4477" t="s">
        <v>13</v>
      </c>
      <c r="H4477">
        <v>1</v>
      </c>
      <c r="I4477" t="s">
        <v>27</v>
      </c>
    </row>
    <row r="4478" spans="1:9" x14ac:dyDescent="0.2">
      <c r="A4478" t="str">
        <f t="shared" si="316"/>
        <v>39783Haapiti6129Autres</v>
      </c>
      <c r="B4478" s="1">
        <v>39783</v>
      </c>
      <c r="C4478" t="s">
        <v>25</v>
      </c>
      <c r="D4478" s="19">
        <v>6</v>
      </c>
      <c r="E4478">
        <v>129</v>
      </c>
      <c r="F4478" t="s">
        <v>14</v>
      </c>
      <c r="H4478">
        <v>0</v>
      </c>
    </row>
    <row r="4479" spans="1:9" x14ac:dyDescent="0.2">
      <c r="A4479" t="str">
        <f t="shared" ref="A4479:A4542" si="317">B4479 &amp; C4479&amp; D4479&amp; E4479 &amp; F4479 &amp;G4479</f>
        <v>39783Haapiti6130Autres</v>
      </c>
      <c r="B4479" s="1">
        <v>39783</v>
      </c>
      <c r="C4479" t="s">
        <v>25</v>
      </c>
      <c r="D4479" s="19">
        <v>6</v>
      </c>
      <c r="E4479">
        <v>130</v>
      </c>
      <c r="F4479" t="s">
        <v>14</v>
      </c>
      <c r="H4479">
        <v>0</v>
      </c>
    </row>
    <row r="4480" spans="1:9" x14ac:dyDescent="0.2">
      <c r="A4480" t="str">
        <f t="shared" si="317"/>
        <v>39783Haapiti6131Autres</v>
      </c>
      <c r="B4480" s="1">
        <v>39783</v>
      </c>
      <c r="C4480" t="s">
        <v>25</v>
      </c>
      <c r="D4480" s="19">
        <v>6</v>
      </c>
      <c r="E4480">
        <v>131</v>
      </c>
      <c r="F4480" t="s">
        <v>14</v>
      </c>
      <c r="H4480">
        <v>0</v>
      </c>
    </row>
    <row r="4481" spans="1:9" x14ac:dyDescent="0.2">
      <c r="A4481" t="str">
        <f t="shared" si="317"/>
        <v>39783Haapiti6132PocilloporidaeDessous</v>
      </c>
      <c r="B4481" s="1">
        <v>39783</v>
      </c>
      <c r="C4481" t="s">
        <v>25</v>
      </c>
      <c r="D4481" s="19">
        <v>6</v>
      </c>
      <c r="E4481">
        <v>132</v>
      </c>
      <c r="F4481" t="s">
        <v>10</v>
      </c>
      <c r="G4481" t="s">
        <v>8</v>
      </c>
      <c r="H4481">
        <v>1</v>
      </c>
      <c r="I4481" t="s">
        <v>27</v>
      </c>
    </row>
    <row r="4482" spans="1:9" x14ac:dyDescent="0.2">
      <c r="A4482" t="str">
        <f t="shared" si="317"/>
        <v>39783Haapiti6133Autres</v>
      </c>
      <c r="B4482" s="1">
        <v>39783</v>
      </c>
      <c r="C4482" t="s">
        <v>25</v>
      </c>
      <c r="D4482" s="19">
        <v>6</v>
      </c>
      <c r="E4482">
        <v>133</v>
      </c>
      <c r="F4482" t="s">
        <v>14</v>
      </c>
      <c r="H4482">
        <v>0</v>
      </c>
    </row>
    <row r="4483" spans="1:9" x14ac:dyDescent="0.2">
      <c r="A4483" t="str">
        <f t="shared" si="317"/>
        <v>39783Haapiti6134PocilloporidaeDessous</v>
      </c>
      <c r="B4483" s="1">
        <v>39783</v>
      </c>
      <c r="C4483" t="s">
        <v>25</v>
      </c>
      <c r="D4483" s="19">
        <v>6</v>
      </c>
      <c r="E4483">
        <v>134</v>
      </c>
      <c r="F4483" t="s">
        <v>10</v>
      </c>
      <c r="G4483" t="s">
        <v>8</v>
      </c>
      <c r="H4483">
        <v>1</v>
      </c>
      <c r="I4483" t="s">
        <v>27</v>
      </c>
    </row>
    <row r="4484" spans="1:9" x14ac:dyDescent="0.2">
      <c r="A4484" t="str">
        <f t="shared" si="317"/>
        <v>39783Haapiti6135Autres</v>
      </c>
      <c r="B4484" s="1">
        <v>39783</v>
      </c>
      <c r="C4484" t="s">
        <v>25</v>
      </c>
      <c r="D4484" s="19">
        <v>6</v>
      </c>
      <c r="E4484">
        <v>135</v>
      </c>
      <c r="F4484" t="s">
        <v>14</v>
      </c>
      <c r="H4484">
        <v>0</v>
      </c>
    </row>
    <row r="4485" spans="1:9" x14ac:dyDescent="0.2">
      <c r="A4485" t="str">
        <f t="shared" si="317"/>
        <v>39783Haapiti6136Autres</v>
      </c>
      <c r="B4485" s="1">
        <v>39783</v>
      </c>
      <c r="C4485" t="s">
        <v>25</v>
      </c>
      <c r="D4485" s="19">
        <v>6</v>
      </c>
      <c r="E4485">
        <v>136</v>
      </c>
      <c r="F4485" t="s">
        <v>14</v>
      </c>
      <c r="H4485">
        <v>0</v>
      </c>
    </row>
    <row r="4486" spans="1:9" x14ac:dyDescent="0.2">
      <c r="A4486" t="str">
        <f t="shared" si="317"/>
        <v>39783Haapiti6137PoritidaeDessous</v>
      </c>
      <c r="B4486" s="1">
        <v>39783</v>
      </c>
      <c r="C4486" t="s">
        <v>25</v>
      </c>
      <c r="D4486" s="19">
        <v>6</v>
      </c>
      <c r="E4486">
        <v>137</v>
      </c>
      <c r="F4486" t="s">
        <v>7</v>
      </c>
      <c r="G4486" t="s">
        <v>8</v>
      </c>
      <c r="H4486">
        <v>1</v>
      </c>
      <c r="I4486" t="s">
        <v>27</v>
      </c>
    </row>
    <row r="4487" spans="1:9" x14ac:dyDescent="0.2">
      <c r="A4487" t="str">
        <f t="shared" si="317"/>
        <v>39783Haapiti6138PocilloporidaeDessous</v>
      </c>
      <c r="B4487" s="1">
        <v>39783</v>
      </c>
      <c r="C4487" t="s">
        <v>25</v>
      </c>
      <c r="D4487" s="19">
        <v>6</v>
      </c>
      <c r="E4487">
        <v>138</v>
      </c>
      <c r="F4487" t="s">
        <v>10</v>
      </c>
      <c r="G4487" t="s">
        <v>8</v>
      </c>
      <c r="H4487">
        <v>1</v>
      </c>
      <c r="I4487" t="s">
        <v>27</v>
      </c>
    </row>
    <row r="4488" spans="1:9" x14ac:dyDescent="0.2">
      <c r="A4488" t="str">
        <f t="shared" si="317"/>
        <v>39783Haapiti6139Autres</v>
      </c>
      <c r="B4488" s="1">
        <v>39783</v>
      </c>
      <c r="C4488" t="s">
        <v>25</v>
      </c>
      <c r="D4488" s="19">
        <v>6</v>
      </c>
      <c r="E4488">
        <v>139</v>
      </c>
      <c r="F4488" t="s">
        <v>14</v>
      </c>
      <c r="H4488">
        <v>0</v>
      </c>
    </row>
    <row r="4489" spans="1:9" x14ac:dyDescent="0.2">
      <c r="A4489" t="str">
        <f t="shared" si="317"/>
        <v>39783Haapiti6140Autres</v>
      </c>
      <c r="B4489" s="1">
        <v>39783</v>
      </c>
      <c r="C4489" t="s">
        <v>25</v>
      </c>
      <c r="D4489" s="19">
        <v>6</v>
      </c>
      <c r="E4489">
        <v>140</v>
      </c>
      <c r="F4489" t="s">
        <v>14</v>
      </c>
      <c r="H4489">
        <v>0</v>
      </c>
    </row>
    <row r="4490" spans="1:9" x14ac:dyDescent="0.2">
      <c r="A4490" t="str">
        <f t="shared" si="317"/>
        <v>39783Haapiti12141PocilloporidaeDessous</v>
      </c>
      <c r="B4490" s="1">
        <v>39783</v>
      </c>
      <c r="C4490" t="s">
        <v>25</v>
      </c>
      <c r="D4490" s="19">
        <v>12</v>
      </c>
      <c r="E4490">
        <v>141</v>
      </c>
      <c r="F4490" t="s">
        <v>10</v>
      </c>
      <c r="G4490" t="s">
        <v>8</v>
      </c>
      <c r="H4490">
        <v>1</v>
      </c>
      <c r="I4490" t="s">
        <v>27</v>
      </c>
    </row>
    <row r="4491" spans="1:9" x14ac:dyDescent="0.2">
      <c r="A4491" t="str">
        <f t="shared" si="317"/>
        <v>39783Haapiti12142Autres</v>
      </c>
      <c r="B4491" s="1">
        <v>39783</v>
      </c>
      <c r="C4491" t="s">
        <v>25</v>
      </c>
      <c r="D4491" s="19">
        <v>12</v>
      </c>
      <c r="E4491">
        <v>142</v>
      </c>
      <c r="F4491" t="s">
        <v>14</v>
      </c>
      <c r="H4491">
        <v>0</v>
      </c>
    </row>
    <row r="4492" spans="1:9" x14ac:dyDescent="0.2">
      <c r="A4492" t="str">
        <f t="shared" si="317"/>
        <v>39783Haapiti12143Autres</v>
      </c>
      <c r="B4492" s="1">
        <v>39783</v>
      </c>
      <c r="C4492" t="s">
        <v>25</v>
      </c>
      <c r="D4492" s="19">
        <v>12</v>
      </c>
      <c r="E4492">
        <v>143</v>
      </c>
      <c r="F4492" t="s">
        <v>14</v>
      </c>
      <c r="H4492">
        <v>0</v>
      </c>
    </row>
    <row r="4493" spans="1:9" x14ac:dyDescent="0.2">
      <c r="A4493" t="str">
        <f t="shared" si="317"/>
        <v>39783Haapiti12144PocilloporidaeDessous</v>
      </c>
      <c r="B4493" s="1">
        <v>39783</v>
      </c>
      <c r="C4493" t="s">
        <v>25</v>
      </c>
      <c r="D4493" s="19">
        <v>12</v>
      </c>
      <c r="E4493">
        <v>144</v>
      </c>
      <c r="F4493" t="s">
        <v>10</v>
      </c>
      <c r="G4493" t="s">
        <v>8</v>
      </c>
      <c r="H4493">
        <v>1</v>
      </c>
      <c r="I4493" t="s">
        <v>27</v>
      </c>
    </row>
    <row r="4494" spans="1:9" x14ac:dyDescent="0.2">
      <c r="A4494" t="str">
        <f t="shared" si="317"/>
        <v>39783Haapiti12145PocilloporidaeDessus</v>
      </c>
      <c r="B4494" s="1">
        <v>39783</v>
      </c>
      <c r="C4494" t="s">
        <v>25</v>
      </c>
      <c r="D4494" s="19">
        <v>12</v>
      </c>
      <c r="E4494">
        <v>145</v>
      </c>
      <c r="F4494" t="s">
        <v>10</v>
      </c>
      <c r="G4494" t="s">
        <v>11</v>
      </c>
      <c r="H4494">
        <v>1</v>
      </c>
      <c r="I4494" t="s">
        <v>27</v>
      </c>
    </row>
    <row r="4495" spans="1:9" x14ac:dyDescent="0.2">
      <c r="A4495" t="str">
        <f t="shared" si="317"/>
        <v>39783Haapiti12146PocilloporidaeDessous</v>
      </c>
      <c r="B4495" s="1">
        <v>39783</v>
      </c>
      <c r="C4495" t="s">
        <v>25</v>
      </c>
      <c r="D4495" s="19">
        <v>12</v>
      </c>
      <c r="E4495">
        <v>146</v>
      </c>
      <c r="F4495" t="s">
        <v>10</v>
      </c>
      <c r="G4495" t="s">
        <v>8</v>
      </c>
      <c r="H4495">
        <v>1</v>
      </c>
    </row>
    <row r="4496" spans="1:9" x14ac:dyDescent="0.2">
      <c r="A4496" t="str">
        <f t="shared" si="317"/>
        <v>39783Haapiti12147PocilloporidaeDessous</v>
      </c>
      <c r="B4496" s="1">
        <v>39783</v>
      </c>
      <c r="C4496" t="s">
        <v>25</v>
      </c>
      <c r="D4496" s="19">
        <v>12</v>
      </c>
      <c r="E4496">
        <v>147</v>
      </c>
      <c r="F4496" t="s">
        <v>10</v>
      </c>
      <c r="G4496" t="s">
        <v>8</v>
      </c>
      <c r="H4496">
        <v>1</v>
      </c>
      <c r="I4496" t="s">
        <v>27</v>
      </c>
    </row>
    <row r="4497" spans="1:9" x14ac:dyDescent="0.2">
      <c r="A4497" t="str">
        <f t="shared" si="317"/>
        <v>39783Haapiti12148PoritidaeBords</v>
      </c>
      <c r="B4497" s="1">
        <v>39783</v>
      </c>
      <c r="C4497" t="s">
        <v>25</v>
      </c>
      <c r="D4497" s="19">
        <v>12</v>
      </c>
      <c r="E4497">
        <v>148</v>
      </c>
      <c r="F4497" t="s">
        <v>7</v>
      </c>
      <c r="G4497" t="s">
        <v>13</v>
      </c>
      <c r="H4497">
        <v>1</v>
      </c>
      <c r="I4497" t="s">
        <v>27</v>
      </c>
    </row>
    <row r="4498" spans="1:9" x14ac:dyDescent="0.2">
      <c r="A4498" t="str">
        <f t="shared" si="317"/>
        <v>39783Haapiti12149Autres</v>
      </c>
      <c r="B4498" s="1">
        <v>39783</v>
      </c>
      <c r="C4498" t="s">
        <v>25</v>
      </c>
      <c r="D4498" s="19">
        <v>12</v>
      </c>
      <c r="E4498">
        <v>149</v>
      </c>
      <c r="F4498" t="s">
        <v>14</v>
      </c>
      <c r="H4498">
        <v>0</v>
      </c>
    </row>
    <row r="4499" spans="1:9" x14ac:dyDescent="0.2">
      <c r="A4499" t="str">
        <f t="shared" si="317"/>
        <v>39783Haapiti12150Autres</v>
      </c>
      <c r="B4499" s="1">
        <v>39783</v>
      </c>
      <c r="C4499" t="s">
        <v>25</v>
      </c>
      <c r="D4499" s="19">
        <v>12</v>
      </c>
      <c r="E4499">
        <v>150</v>
      </c>
      <c r="F4499" t="s">
        <v>14</v>
      </c>
      <c r="H4499">
        <v>0</v>
      </c>
    </row>
    <row r="4500" spans="1:9" x14ac:dyDescent="0.2">
      <c r="A4500" t="str">
        <f t="shared" si="317"/>
        <v>39783Haapiti12151Autres</v>
      </c>
      <c r="B4500" s="1">
        <v>39783</v>
      </c>
      <c r="C4500" t="s">
        <v>25</v>
      </c>
      <c r="D4500" s="19">
        <v>12</v>
      </c>
      <c r="E4500">
        <v>151</v>
      </c>
      <c r="F4500" t="s">
        <v>14</v>
      </c>
      <c r="H4500">
        <v>0</v>
      </c>
    </row>
    <row r="4501" spans="1:9" x14ac:dyDescent="0.2">
      <c r="A4501" t="str">
        <f t="shared" si="317"/>
        <v>39783Haapiti12152Autres</v>
      </c>
      <c r="B4501" s="1">
        <v>39783</v>
      </c>
      <c r="C4501" t="s">
        <v>25</v>
      </c>
      <c r="D4501" s="19">
        <v>12</v>
      </c>
      <c r="E4501">
        <v>152</v>
      </c>
      <c r="F4501" t="s">
        <v>14</v>
      </c>
      <c r="H4501">
        <v>0</v>
      </c>
    </row>
    <row r="4502" spans="1:9" x14ac:dyDescent="0.2">
      <c r="A4502" t="str">
        <f t="shared" si="317"/>
        <v>39783Haapiti12153Autres</v>
      </c>
      <c r="B4502" s="1">
        <v>39783</v>
      </c>
      <c r="C4502" t="s">
        <v>25</v>
      </c>
      <c r="D4502" s="19">
        <v>12</v>
      </c>
      <c r="E4502">
        <v>153</v>
      </c>
      <c r="F4502" t="s">
        <v>14</v>
      </c>
      <c r="H4502">
        <v>0</v>
      </c>
    </row>
    <row r="4503" spans="1:9" x14ac:dyDescent="0.2">
      <c r="A4503" t="str">
        <f t="shared" si="317"/>
        <v>39783Haapiti12154Autres</v>
      </c>
      <c r="B4503" s="1">
        <v>39783</v>
      </c>
      <c r="C4503" t="s">
        <v>25</v>
      </c>
      <c r="D4503" s="19">
        <v>12</v>
      </c>
      <c r="E4503">
        <v>154</v>
      </c>
      <c r="F4503" t="s">
        <v>14</v>
      </c>
      <c r="H4503">
        <v>0</v>
      </c>
    </row>
    <row r="4504" spans="1:9" x14ac:dyDescent="0.2">
      <c r="A4504" t="str">
        <f t="shared" si="317"/>
        <v>39783Haapiti12155Autres</v>
      </c>
      <c r="B4504" s="1">
        <v>39783</v>
      </c>
      <c r="C4504" t="s">
        <v>25</v>
      </c>
      <c r="D4504" s="19">
        <v>12</v>
      </c>
      <c r="E4504">
        <v>155</v>
      </c>
      <c r="F4504" t="s">
        <v>14</v>
      </c>
      <c r="H4504">
        <v>0</v>
      </c>
    </row>
    <row r="4505" spans="1:9" x14ac:dyDescent="0.2">
      <c r="A4505" t="str">
        <f t="shared" si="317"/>
        <v>39783Haapiti12156Autres</v>
      </c>
      <c r="B4505" s="1">
        <v>39783</v>
      </c>
      <c r="C4505" t="s">
        <v>25</v>
      </c>
      <c r="D4505" s="19">
        <v>12</v>
      </c>
      <c r="E4505">
        <v>156</v>
      </c>
      <c r="F4505" t="s">
        <v>14</v>
      </c>
      <c r="H4505">
        <v>0</v>
      </c>
    </row>
    <row r="4506" spans="1:9" x14ac:dyDescent="0.2">
      <c r="A4506" t="str">
        <f t="shared" si="317"/>
        <v>39783Haapiti12157PocilloporidaeDessous</v>
      </c>
      <c r="B4506" s="1">
        <v>39783</v>
      </c>
      <c r="C4506" t="s">
        <v>25</v>
      </c>
      <c r="D4506" s="19">
        <v>12</v>
      </c>
      <c r="E4506">
        <v>157</v>
      </c>
      <c r="F4506" t="s">
        <v>10</v>
      </c>
      <c r="G4506" t="s">
        <v>8</v>
      </c>
      <c r="H4506">
        <v>3</v>
      </c>
      <c r="I4506" t="s">
        <v>27</v>
      </c>
    </row>
    <row r="4507" spans="1:9" x14ac:dyDescent="0.2">
      <c r="A4507" t="str">
        <f t="shared" si="317"/>
        <v>39783Haapiti12157PocilloporidaeDessus</v>
      </c>
      <c r="B4507" s="1">
        <v>39783</v>
      </c>
      <c r="C4507" t="s">
        <v>25</v>
      </c>
      <c r="D4507" s="19">
        <v>12</v>
      </c>
      <c r="E4507">
        <v>157</v>
      </c>
      <c r="F4507" t="s">
        <v>10</v>
      </c>
      <c r="G4507" t="s">
        <v>11</v>
      </c>
      <c r="H4507">
        <v>1</v>
      </c>
      <c r="I4507" t="s">
        <v>27</v>
      </c>
    </row>
    <row r="4508" spans="1:9" x14ac:dyDescent="0.2">
      <c r="A4508" t="str">
        <f t="shared" si="317"/>
        <v>39783Haapiti12158Autres</v>
      </c>
      <c r="B4508" s="1">
        <v>39783</v>
      </c>
      <c r="C4508" t="s">
        <v>25</v>
      </c>
      <c r="D4508" s="19">
        <v>12</v>
      </c>
      <c r="E4508">
        <v>158</v>
      </c>
      <c r="F4508" t="s">
        <v>14</v>
      </c>
      <c r="H4508">
        <v>0</v>
      </c>
    </row>
    <row r="4509" spans="1:9" x14ac:dyDescent="0.2">
      <c r="A4509" t="str">
        <f t="shared" si="317"/>
        <v>39783Haapiti12159Autres</v>
      </c>
      <c r="B4509" s="1">
        <v>39783</v>
      </c>
      <c r="C4509" t="s">
        <v>25</v>
      </c>
      <c r="D4509" s="19">
        <v>12</v>
      </c>
      <c r="E4509">
        <v>159</v>
      </c>
      <c r="F4509" t="s">
        <v>14</v>
      </c>
      <c r="H4509">
        <v>0</v>
      </c>
    </row>
    <row r="4510" spans="1:9" x14ac:dyDescent="0.2">
      <c r="A4510" t="str">
        <f t="shared" si="317"/>
        <v>39783Haapiti12160PocilloporidaeDessous</v>
      </c>
      <c r="B4510" s="1">
        <v>39783</v>
      </c>
      <c r="C4510" t="s">
        <v>25</v>
      </c>
      <c r="D4510" s="19">
        <v>12</v>
      </c>
      <c r="E4510">
        <v>160</v>
      </c>
      <c r="F4510" t="s">
        <v>10</v>
      </c>
      <c r="G4510" t="s">
        <v>8</v>
      </c>
      <c r="H4510">
        <v>1</v>
      </c>
      <c r="I4510" t="s">
        <v>27</v>
      </c>
    </row>
    <row r="4511" spans="1:9" x14ac:dyDescent="0.2">
      <c r="A4511" t="str">
        <f t="shared" si="317"/>
        <v>39783Haapiti18161PocilloporidaeDessous</v>
      </c>
      <c r="B4511" s="1">
        <v>39783</v>
      </c>
      <c r="C4511" t="s">
        <v>25</v>
      </c>
      <c r="D4511" s="19">
        <v>18</v>
      </c>
      <c r="E4511">
        <v>161</v>
      </c>
      <c r="F4511" t="s">
        <v>10</v>
      </c>
      <c r="G4511" t="s">
        <v>8</v>
      </c>
      <c r="H4511">
        <v>3</v>
      </c>
      <c r="I4511" t="s">
        <v>27</v>
      </c>
    </row>
    <row r="4512" spans="1:9" x14ac:dyDescent="0.2">
      <c r="A4512" t="str">
        <f t="shared" si="317"/>
        <v>39783Haapiti18161PocilloporidaeDessus</v>
      </c>
      <c r="B4512" s="1">
        <v>39783</v>
      </c>
      <c r="C4512" t="s">
        <v>25</v>
      </c>
      <c r="D4512" s="19">
        <v>18</v>
      </c>
      <c r="E4512">
        <v>161</v>
      </c>
      <c r="F4512" t="s">
        <v>10</v>
      </c>
      <c r="G4512" t="s">
        <v>11</v>
      </c>
      <c r="H4512">
        <v>1</v>
      </c>
      <c r="I4512" t="s">
        <v>27</v>
      </c>
    </row>
    <row r="4513" spans="1:9" x14ac:dyDescent="0.2">
      <c r="A4513" t="str">
        <f t="shared" si="317"/>
        <v>39783Haapiti18162Autres</v>
      </c>
      <c r="B4513" s="1">
        <v>39783</v>
      </c>
      <c r="C4513" t="s">
        <v>25</v>
      </c>
      <c r="D4513" s="19">
        <v>18</v>
      </c>
      <c r="E4513">
        <v>162</v>
      </c>
      <c r="F4513" t="s">
        <v>14</v>
      </c>
      <c r="H4513">
        <v>0</v>
      </c>
    </row>
    <row r="4514" spans="1:9" x14ac:dyDescent="0.2">
      <c r="A4514" t="str">
        <f t="shared" si="317"/>
        <v>39783Haapiti18163Autres</v>
      </c>
      <c r="B4514" s="1">
        <v>39783</v>
      </c>
      <c r="C4514" t="s">
        <v>25</v>
      </c>
      <c r="D4514" s="19">
        <v>18</v>
      </c>
      <c r="E4514">
        <v>163</v>
      </c>
      <c r="F4514" t="s">
        <v>14</v>
      </c>
      <c r="H4514">
        <v>0</v>
      </c>
    </row>
    <row r="4515" spans="1:9" x14ac:dyDescent="0.2">
      <c r="A4515" t="str">
        <f t="shared" si="317"/>
        <v>39783Haapiti18164PocilloporidaeDessous</v>
      </c>
      <c r="B4515" s="1">
        <v>39783</v>
      </c>
      <c r="C4515" t="s">
        <v>25</v>
      </c>
      <c r="D4515" s="19">
        <v>18</v>
      </c>
      <c r="E4515">
        <v>164</v>
      </c>
      <c r="F4515" t="s">
        <v>10</v>
      </c>
      <c r="G4515" t="s">
        <v>8</v>
      </c>
      <c r="H4515">
        <v>1</v>
      </c>
      <c r="I4515" t="s">
        <v>27</v>
      </c>
    </row>
    <row r="4516" spans="1:9" x14ac:dyDescent="0.2">
      <c r="A4516" t="str">
        <f t="shared" si="317"/>
        <v>39783Haapiti18164PoritidaeBords</v>
      </c>
      <c r="B4516" s="1">
        <v>39783</v>
      </c>
      <c r="C4516" t="s">
        <v>25</v>
      </c>
      <c r="D4516" s="19">
        <v>18</v>
      </c>
      <c r="E4516">
        <v>164</v>
      </c>
      <c r="F4516" t="s">
        <v>7</v>
      </c>
      <c r="G4516" t="s">
        <v>13</v>
      </c>
      <c r="H4516">
        <v>4</v>
      </c>
      <c r="I4516" t="s">
        <v>27</v>
      </c>
    </row>
    <row r="4517" spans="1:9" x14ac:dyDescent="0.2">
      <c r="A4517" t="str">
        <f t="shared" si="317"/>
        <v>39783Haapiti18164PoritidaeDessus</v>
      </c>
      <c r="B4517" s="1">
        <v>39783</v>
      </c>
      <c r="C4517" t="s">
        <v>25</v>
      </c>
      <c r="D4517" s="19">
        <v>18</v>
      </c>
      <c r="E4517">
        <v>164</v>
      </c>
      <c r="F4517" t="s">
        <v>7</v>
      </c>
      <c r="G4517" t="s">
        <v>11</v>
      </c>
      <c r="H4517">
        <v>3</v>
      </c>
      <c r="I4517" t="s">
        <v>27</v>
      </c>
    </row>
    <row r="4518" spans="1:9" x14ac:dyDescent="0.2">
      <c r="A4518" t="str">
        <f t="shared" si="317"/>
        <v>39783Haapiti18165PocilloporidaeDessus</v>
      </c>
      <c r="B4518" s="1">
        <v>39783</v>
      </c>
      <c r="C4518" t="s">
        <v>25</v>
      </c>
      <c r="D4518" s="19">
        <v>18</v>
      </c>
      <c r="E4518">
        <v>165</v>
      </c>
      <c r="F4518" t="s">
        <v>10</v>
      </c>
      <c r="G4518" t="s">
        <v>11</v>
      </c>
      <c r="H4518">
        <v>3</v>
      </c>
      <c r="I4518" t="s">
        <v>27</v>
      </c>
    </row>
    <row r="4519" spans="1:9" x14ac:dyDescent="0.2">
      <c r="A4519" t="str">
        <f t="shared" si="317"/>
        <v>39783Haapiti18166CassésBords</v>
      </c>
      <c r="B4519" s="1">
        <v>39783</v>
      </c>
      <c r="C4519" t="s">
        <v>25</v>
      </c>
      <c r="D4519" s="19">
        <v>18</v>
      </c>
      <c r="E4519">
        <v>166</v>
      </c>
      <c r="F4519" t="s">
        <v>12</v>
      </c>
      <c r="G4519" t="s">
        <v>13</v>
      </c>
      <c r="H4519">
        <v>1</v>
      </c>
      <c r="I4519" t="s">
        <v>27</v>
      </c>
    </row>
    <row r="4520" spans="1:9" x14ac:dyDescent="0.2">
      <c r="A4520" t="str">
        <f t="shared" si="317"/>
        <v>39783Haapiti18166PocilloporidaeBords</v>
      </c>
      <c r="B4520" s="1">
        <v>39783</v>
      </c>
      <c r="C4520" t="s">
        <v>25</v>
      </c>
      <c r="D4520" s="19">
        <v>18</v>
      </c>
      <c r="E4520">
        <v>166</v>
      </c>
      <c r="F4520" t="s">
        <v>10</v>
      </c>
      <c r="G4520" t="s">
        <v>13</v>
      </c>
      <c r="H4520">
        <v>1</v>
      </c>
      <c r="I4520" t="s">
        <v>27</v>
      </c>
    </row>
    <row r="4521" spans="1:9" x14ac:dyDescent="0.2">
      <c r="A4521" t="str">
        <f t="shared" si="317"/>
        <v>39783Haapiti18167Autres</v>
      </c>
      <c r="B4521" s="1">
        <v>39783</v>
      </c>
      <c r="C4521" t="s">
        <v>25</v>
      </c>
      <c r="D4521" s="19">
        <v>18</v>
      </c>
      <c r="E4521">
        <v>167</v>
      </c>
      <c r="F4521" t="s">
        <v>14</v>
      </c>
      <c r="H4521">
        <v>0</v>
      </c>
    </row>
    <row r="4522" spans="1:9" x14ac:dyDescent="0.2">
      <c r="A4522" t="str">
        <f t="shared" si="317"/>
        <v>39783Haapiti18168PocilloporidaeDessous</v>
      </c>
      <c r="B4522" s="1">
        <v>39783</v>
      </c>
      <c r="C4522" t="s">
        <v>25</v>
      </c>
      <c r="D4522" s="19">
        <v>18</v>
      </c>
      <c r="E4522">
        <v>168</v>
      </c>
      <c r="F4522" t="s">
        <v>10</v>
      </c>
      <c r="G4522" t="s">
        <v>8</v>
      </c>
      <c r="H4522">
        <v>1</v>
      </c>
      <c r="I4522" t="s">
        <v>27</v>
      </c>
    </row>
    <row r="4523" spans="1:9" x14ac:dyDescent="0.2">
      <c r="A4523" t="str">
        <f t="shared" si="317"/>
        <v>39783Haapiti18169PocilloporidaeBords</v>
      </c>
      <c r="B4523" s="1">
        <v>39783</v>
      </c>
      <c r="C4523" t="s">
        <v>25</v>
      </c>
      <c r="D4523" s="19">
        <v>18</v>
      </c>
      <c r="E4523">
        <v>169</v>
      </c>
      <c r="F4523" t="s">
        <v>10</v>
      </c>
      <c r="G4523" t="s">
        <v>13</v>
      </c>
      <c r="H4523">
        <v>3</v>
      </c>
      <c r="I4523" t="s">
        <v>27</v>
      </c>
    </row>
    <row r="4524" spans="1:9" x14ac:dyDescent="0.2">
      <c r="A4524" t="str">
        <f t="shared" si="317"/>
        <v>39783Haapiti18169PocilloporidaeDessous</v>
      </c>
      <c r="B4524" s="1">
        <v>39783</v>
      </c>
      <c r="C4524" t="s">
        <v>25</v>
      </c>
      <c r="D4524" s="19">
        <v>18</v>
      </c>
      <c r="E4524">
        <v>169</v>
      </c>
      <c r="F4524" t="s">
        <v>10</v>
      </c>
      <c r="G4524" t="s">
        <v>8</v>
      </c>
      <c r="H4524">
        <v>1</v>
      </c>
      <c r="I4524" t="s">
        <v>27</v>
      </c>
    </row>
    <row r="4525" spans="1:9" x14ac:dyDescent="0.2">
      <c r="A4525" t="str">
        <f t="shared" si="317"/>
        <v>39783Haapiti18170Autres</v>
      </c>
      <c r="B4525" s="1">
        <v>39783</v>
      </c>
      <c r="C4525" t="s">
        <v>25</v>
      </c>
      <c r="D4525" s="19">
        <v>18</v>
      </c>
      <c r="E4525">
        <v>170</v>
      </c>
      <c r="F4525" t="s">
        <v>14</v>
      </c>
      <c r="H4525">
        <v>0</v>
      </c>
    </row>
    <row r="4526" spans="1:9" x14ac:dyDescent="0.2">
      <c r="A4526" t="str">
        <f t="shared" si="317"/>
        <v>39783Haapiti18171PocilloporidaeBords</v>
      </c>
      <c r="B4526" s="1">
        <v>39783</v>
      </c>
      <c r="C4526" t="s">
        <v>25</v>
      </c>
      <c r="D4526" s="19">
        <v>18</v>
      </c>
      <c r="E4526">
        <v>171</v>
      </c>
      <c r="F4526" t="s">
        <v>10</v>
      </c>
      <c r="G4526" t="s">
        <v>13</v>
      </c>
      <c r="H4526">
        <v>1</v>
      </c>
      <c r="I4526" t="s">
        <v>27</v>
      </c>
    </row>
    <row r="4527" spans="1:9" x14ac:dyDescent="0.2">
      <c r="A4527" t="str">
        <f t="shared" si="317"/>
        <v>39783Haapiti18172PocilloporidaeDessus</v>
      </c>
      <c r="B4527" s="1">
        <v>39783</v>
      </c>
      <c r="C4527" t="s">
        <v>25</v>
      </c>
      <c r="D4527" s="19">
        <v>18</v>
      </c>
      <c r="E4527">
        <v>172</v>
      </c>
      <c r="F4527" t="s">
        <v>10</v>
      </c>
      <c r="G4527" t="s">
        <v>11</v>
      </c>
      <c r="H4527">
        <v>1</v>
      </c>
      <c r="I4527" t="s">
        <v>27</v>
      </c>
    </row>
    <row r="4528" spans="1:9" x14ac:dyDescent="0.2">
      <c r="A4528" t="str">
        <f t="shared" si="317"/>
        <v>39783Haapiti18173Autres</v>
      </c>
      <c r="B4528" s="1">
        <v>39783</v>
      </c>
      <c r="C4528" t="s">
        <v>25</v>
      </c>
      <c r="D4528" s="19">
        <v>18</v>
      </c>
      <c r="E4528">
        <v>173</v>
      </c>
      <c r="F4528" t="s">
        <v>14</v>
      </c>
      <c r="H4528">
        <v>0</v>
      </c>
    </row>
    <row r="4529" spans="1:9" x14ac:dyDescent="0.2">
      <c r="A4529" t="str">
        <f t="shared" si="317"/>
        <v>39783Haapiti18174Autres</v>
      </c>
      <c r="B4529" s="1">
        <v>39783</v>
      </c>
      <c r="C4529" t="s">
        <v>25</v>
      </c>
      <c r="D4529" s="19">
        <v>18</v>
      </c>
      <c r="E4529">
        <v>174</v>
      </c>
      <c r="F4529" t="s">
        <v>14</v>
      </c>
      <c r="H4529">
        <v>0</v>
      </c>
    </row>
    <row r="4530" spans="1:9" x14ac:dyDescent="0.2">
      <c r="A4530" t="str">
        <f t="shared" si="317"/>
        <v>39783Haapiti18175PocilloporidaeDessous</v>
      </c>
      <c r="B4530" s="1">
        <v>39783</v>
      </c>
      <c r="C4530" t="s">
        <v>25</v>
      </c>
      <c r="D4530" s="19">
        <v>18</v>
      </c>
      <c r="E4530">
        <v>175</v>
      </c>
      <c r="F4530" t="s">
        <v>10</v>
      </c>
      <c r="G4530" t="s">
        <v>8</v>
      </c>
      <c r="H4530">
        <v>3</v>
      </c>
      <c r="I4530" t="s">
        <v>27</v>
      </c>
    </row>
    <row r="4531" spans="1:9" x14ac:dyDescent="0.2">
      <c r="A4531" t="str">
        <f t="shared" si="317"/>
        <v>39783Haapiti18176PocilloporidaeDessous</v>
      </c>
      <c r="B4531" s="1">
        <v>39783</v>
      </c>
      <c r="C4531" t="s">
        <v>25</v>
      </c>
      <c r="D4531" s="19">
        <v>18</v>
      </c>
      <c r="E4531">
        <v>176</v>
      </c>
      <c r="F4531" t="s">
        <v>10</v>
      </c>
      <c r="G4531" t="s">
        <v>8</v>
      </c>
      <c r="H4531">
        <v>1</v>
      </c>
      <c r="I4531" t="s">
        <v>27</v>
      </c>
    </row>
    <row r="4532" spans="1:9" x14ac:dyDescent="0.2">
      <c r="A4532" t="str">
        <f t="shared" si="317"/>
        <v>39783Haapiti18177Autres</v>
      </c>
      <c r="B4532" s="1">
        <v>39783</v>
      </c>
      <c r="C4532" t="s">
        <v>25</v>
      </c>
      <c r="D4532" s="19">
        <v>18</v>
      </c>
      <c r="E4532">
        <v>177</v>
      </c>
      <c r="F4532" t="s">
        <v>14</v>
      </c>
      <c r="H4532">
        <v>0</v>
      </c>
    </row>
    <row r="4533" spans="1:9" x14ac:dyDescent="0.2">
      <c r="A4533" t="str">
        <f t="shared" si="317"/>
        <v>39783Haapiti18178Autres</v>
      </c>
      <c r="B4533" s="1">
        <v>39783</v>
      </c>
      <c r="C4533" t="s">
        <v>25</v>
      </c>
      <c r="D4533" s="19">
        <v>18</v>
      </c>
      <c r="E4533">
        <v>178</v>
      </c>
      <c r="F4533" t="s">
        <v>14</v>
      </c>
      <c r="H4533">
        <v>0</v>
      </c>
    </row>
    <row r="4534" spans="1:9" x14ac:dyDescent="0.2">
      <c r="A4534" t="str">
        <f t="shared" si="317"/>
        <v>39783Haapiti18179PoritidaeDessous</v>
      </c>
      <c r="B4534" s="1">
        <v>39783</v>
      </c>
      <c r="C4534" t="s">
        <v>25</v>
      </c>
      <c r="D4534" s="19">
        <v>18</v>
      </c>
      <c r="E4534">
        <v>179</v>
      </c>
      <c r="F4534" t="s">
        <v>7</v>
      </c>
      <c r="G4534" t="s">
        <v>8</v>
      </c>
      <c r="H4534">
        <v>2</v>
      </c>
      <c r="I4534" t="s">
        <v>27</v>
      </c>
    </row>
    <row r="4535" spans="1:9" x14ac:dyDescent="0.2">
      <c r="A4535" t="str">
        <f t="shared" si="317"/>
        <v>39783Haapiti18180Autres</v>
      </c>
      <c r="B4535" s="1">
        <v>39783</v>
      </c>
      <c r="C4535" t="s">
        <v>25</v>
      </c>
      <c r="D4535" s="19">
        <v>18</v>
      </c>
      <c r="E4535">
        <v>180</v>
      </c>
      <c r="F4535" t="s">
        <v>14</v>
      </c>
      <c r="H4535">
        <v>0</v>
      </c>
    </row>
    <row r="4536" spans="1:9" x14ac:dyDescent="0.2">
      <c r="A4536" t="str">
        <f t="shared" si="317"/>
        <v>40057Vaipahu61Autres</v>
      </c>
      <c r="B4536" s="1">
        <v>40057</v>
      </c>
      <c r="C4536" t="s">
        <v>23</v>
      </c>
      <c r="D4536" s="19">
        <v>6</v>
      </c>
      <c r="E4536">
        <v>1</v>
      </c>
      <c r="F4536" t="s">
        <v>14</v>
      </c>
      <c r="H4536">
        <v>0</v>
      </c>
    </row>
    <row r="4537" spans="1:9" x14ac:dyDescent="0.2">
      <c r="A4537" t="str">
        <f t="shared" si="317"/>
        <v>40057Vaipahu62Autres</v>
      </c>
      <c r="B4537" s="1">
        <v>40057</v>
      </c>
      <c r="C4537" t="s">
        <v>23</v>
      </c>
      <c r="D4537" s="19">
        <v>6</v>
      </c>
      <c r="E4537">
        <v>2</v>
      </c>
      <c r="F4537" t="s">
        <v>14</v>
      </c>
      <c r="H4537">
        <v>0</v>
      </c>
    </row>
    <row r="4538" spans="1:9" x14ac:dyDescent="0.2">
      <c r="A4538" t="str">
        <f t="shared" si="317"/>
        <v>40057Vaipahu63Autres</v>
      </c>
      <c r="B4538" s="1">
        <v>40057</v>
      </c>
      <c r="C4538" t="s">
        <v>23</v>
      </c>
      <c r="D4538" s="19">
        <v>6</v>
      </c>
      <c r="E4538">
        <v>3</v>
      </c>
      <c r="F4538" t="s">
        <v>14</v>
      </c>
      <c r="H4538">
        <v>0</v>
      </c>
    </row>
    <row r="4539" spans="1:9" x14ac:dyDescent="0.2">
      <c r="A4539" t="str">
        <f t="shared" si="317"/>
        <v>40057Vaipahu64Autres</v>
      </c>
      <c r="B4539" s="1">
        <v>40057</v>
      </c>
      <c r="C4539" t="s">
        <v>23</v>
      </c>
      <c r="D4539" s="19">
        <v>6</v>
      </c>
      <c r="E4539">
        <v>4</v>
      </c>
      <c r="F4539" t="s">
        <v>14</v>
      </c>
      <c r="H4539">
        <v>0</v>
      </c>
    </row>
    <row r="4540" spans="1:9" x14ac:dyDescent="0.2">
      <c r="A4540" t="str">
        <f t="shared" si="317"/>
        <v>40057Vaipahu65Autres</v>
      </c>
      <c r="B4540" s="1">
        <v>40057</v>
      </c>
      <c r="C4540" t="s">
        <v>23</v>
      </c>
      <c r="D4540" s="19">
        <v>6</v>
      </c>
      <c r="E4540">
        <v>5</v>
      </c>
      <c r="F4540" t="s">
        <v>14</v>
      </c>
      <c r="H4540">
        <v>0</v>
      </c>
    </row>
    <row r="4541" spans="1:9" x14ac:dyDescent="0.2">
      <c r="A4541" t="str">
        <f t="shared" si="317"/>
        <v>40057Vaipahu66Autres</v>
      </c>
      <c r="B4541" s="1">
        <v>40057</v>
      </c>
      <c r="C4541" t="s">
        <v>23</v>
      </c>
      <c r="D4541" s="19">
        <v>6</v>
      </c>
      <c r="E4541">
        <v>6</v>
      </c>
      <c r="F4541" t="s">
        <v>14</v>
      </c>
      <c r="H4541">
        <v>0</v>
      </c>
    </row>
    <row r="4542" spans="1:9" x14ac:dyDescent="0.2">
      <c r="A4542" t="str">
        <f t="shared" si="317"/>
        <v>40057Vaipahu67Autres</v>
      </c>
      <c r="B4542" s="1">
        <v>40057</v>
      </c>
      <c r="C4542" t="s">
        <v>23</v>
      </c>
      <c r="D4542" s="19">
        <v>6</v>
      </c>
      <c r="E4542">
        <v>7</v>
      </c>
      <c r="F4542" t="s">
        <v>14</v>
      </c>
      <c r="H4542">
        <v>0</v>
      </c>
    </row>
    <row r="4543" spans="1:9" x14ac:dyDescent="0.2">
      <c r="A4543" t="str">
        <f t="shared" ref="A4543:A4606" si="318">B4543 &amp; C4543&amp; D4543&amp; E4543 &amp; F4543 &amp;G4543</f>
        <v>40057Vaipahu68Autres</v>
      </c>
      <c r="B4543" s="1">
        <v>40057</v>
      </c>
      <c r="C4543" t="s">
        <v>23</v>
      </c>
      <c r="D4543" s="19">
        <v>6</v>
      </c>
      <c r="E4543">
        <v>8</v>
      </c>
      <c r="F4543" t="s">
        <v>14</v>
      </c>
      <c r="H4543">
        <v>0</v>
      </c>
    </row>
    <row r="4544" spans="1:9" x14ac:dyDescent="0.2">
      <c r="A4544" t="str">
        <f t="shared" si="318"/>
        <v>40057Vaipahu69Autres</v>
      </c>
      <c r="B4544" s="1">
        <v>40057</v>
      </c>
      <c r="C4544" t="s">
        <v>23</v>
      </c>
      <c r="D4544" s="19">
        <v>6</v>
      </c>
      <c r="E4544">
        <v>9</v>
      </c>
      <c r="F4544" t="s">
        <v>14</v>
      </c>
      <c r="H4544">
        <v>0</v>
      </c>
    </row>
    <row r="4545" spans="1:9" x14ac:dyDescent="0.2">
      <c r="A4545" t="str">
        <f t="shared" si="318"/>
        <v>40057Vaipahu610PocilloporidaeBords</v>
      </c>
      <c r="B4545" s="1">
        <v>40057</v>
      </c>
      <c r="C4545" t="s">
        <v>23</v>
      </c>
      <c r="D4545" s="19">
        <v>6</v>
      </c>
      <c r="E4545">
        <v>10</v>
      </c>
      <c r="F4545" t="s">
        <v>10</v>
      </c>
      <c r="G4545" t="s">
        <v>13</v>
      </c>
      <c r="H4545">
        <v>1</v>
      </c>
      <c r="I4545" t="s">
        <v>27</v>
      </c>
    </row>
    <row r="4546" spans="1:9" x14ac:dyDescent="0.2">
      <c r="A4546" t="str">
        <f t="shared" si="318"/>
        <v>40057Vaipahu611PocilloporidaeDessous</v>
      </c>
      <c r="B4546" s="1">
        <v>40057</v>
      </c>
      <c r="C4546" t="s">
        <v>23</v>
      </c>
      <c r="D4546" s="19">
        <v>6</v>
      </c>
      <c r="E4546">
        <v>11</v>
      </c>
      <c r="F4546" t="s">
        <v>10</v>
      </c>
      <c r="G4546" t="s">
        <v>8</v>
      </c>
      <c r="H4546">
        <v>1</v>
      </c>
      <c r="I4546" t="s">
        <v>27</v>
      </c>
    </row>
    <row r="4547" spans="1:9" x14ac:dyDescent="0.2">
      <c r="A4547" t="str">
        <f t="shared" si="318"/>
        <v>40057Vaipahu612Autres</v>
      </c>
      <c r="B4547" s="1">
        <v>40057</v>
      </c>
      <c r="C4547" t="s">
        <v>23</v>
      </c>
      <c r="D4547" s="19">
        <v>6</v>
      </c>
      <c r="E4547">
        <v>12</v>
      </c>
      <c r="F4547" t="s">
        <v>14</v>
      </c>
      <c r="H4547">
        <v>0</v>
      </c>
    </row>
    <row r="4548" spans="1:9" x14ac:dyDescent="0.2">
      <c r="A4548" t="str">
        <f t="shared" si="318"/>
        <v>40057Vaipahu613Autres</v>
      </c>
      <c r="B4548" s="1">
        <v>40057</v>
      </c>
      <c r="C4548" t="s">
        <v>23</v>
      </c>
      <c r="D4548" s="19">
        <v>6</v>
      </c>
      <c r="E4548">
        <v>13</v>
      </c>
      <c r="F4548" t="s">
        <v>14</v>
      </c>
      <c r="H4548">
        <v>0</v>
      </c>
    </row>
    <row r="4549" spans="1:9" x14ac:dyDescent="0.2">
      <c r="A4549" t="str">
        <f t="shared" si="318"/>
        <v>40057Vaipahu614Autres</v>
      </c>
      <c r="B4549" s="1">
        <v>40057</v>
      </c>
      <c r="C4549" t="s">
        <v>23</v>
      </c>
      <c r="D4549" s="19">
        <v>6</v>
      </c>
      <c r="E4549">
        <v>14</v>
      </c>
      <c r="F4549" t="s">
        <v>14</v>
      </c>
      <c r="H4549">
        <v>0</v>
      </c>
    </row>
    <row r="4550" spans="1:9" x14ac:dyDescent="0.2">
      <c r="A4550" t="str">
        <f t="shared" si="318"/>
        <v>40057Vaipahu615Autres</v>
      </c>
      <c r="B4550" s="1">
        <v>40057</v>
      </c>
      <c r="C4550" t="s">
        <v>23</v>
      </c>
      <c r="D4550" s="19">
        <v>6</v>
      </c>
      <c r="E4550">
        <v>15</v>
      </c>
      <c r="F4550" t="s">
        <v>14</v>
      </c>
      <c r="H4550">
        <v>0</v>
      </c>
    </row>
    <row r="4551" spans="1:9" x14ac:dyDescent="0.2">
      <c r="A4551" t="str">
        <f t="shared" si="318"/>
        <v>40057Vaipahu616Autres</v>
      </c>
      <c r="B4551" s="1">
        <v>40057</v>
      </c>
      <c r="C4551" t="s">
        <v>23</v>
      </c>
      <c r="D4551" s="19">
        <v>6</v>
      </c>
      <c r="E4551">
        <v>16</v>
      </c>
      <c r="F4551" t="s">
        <v>14</v>
      </c>
      <c r="H4551">
        <v>0</v>
      </c>
    </row>
    <row r="4552" spans="1:9" x14ac:dyDescent="0.2">
      <c r="A4552" t="str">
        <f t="shared" si="318"/>
        <v>40057Vaipahu617AcroporidaeDessus</v>
      </c>
      <c r="B4552" s="1">
        <v>40057</v>
      </c>
      <c r="C4552" t="s">
        <v>23</v>
      </c>
      <c r="D4552" s="19">
        <v>6</v>
      </c>
      <c r="E4552">
        <v>17</v>
      </c>
      <c r="F4552" t="s">
        <v>17</v>
      </c>
      <c r="G4552" t="s">
        <v>11</v>
      </c>
      <c r="H4552">
        <v>1</v>
      </c>
      <c r="I4552" t="s">
        <v>27</v>
      </c>
    </row>
    <row r="4553" spans="1:9" x14ac:dyDescent="0.2">
      <c r="A4553" t="str">
        <f t="shared" si="318"/>
        <v>40057Vaipahu617PocilloporidaeDessous</v>
      </c>
      <c r="B4553" s="1">
        <v>40057</v>
      </c>
      <c r="C4553" t="s">
        <v>23</v>
      </c>
      <c r="D4553" s="19">
        <v>6</v>
      </c>
      <c r="E4553">
        <v>17</v>
      </c>
      <c r="F4553" t="s">
        <v>10</v>
      </c>
      <c r="G4553" t="s">
        <v>8</v>
      </c>
      <c r="H4553">
        <v>1</v>
      </c>
      <c r="I4553" t="s">
        <v>27</v>
      </c>
    </row>
    <row r="4554" spans="1:9" x14ac:dyDescent="0.2">
      <c r="A4554" t="str">
        <f t="shared" si="318"/>
        <v>40057Vaipahu618Autres</v>
      </c>
      <c r="B4554" s="1">
        <v>40057</v>
      </c>
      <c r="C4554" t="s">
        <v>23</v>
      </c>
      <c r="D4554" s="19">
        <v>6</v>
      </c>
      <c r="E4554">
        <v>18</v>
      </c>
      <c r="F4554" t="s">
        <v>14</v>
      </c>
      <c r="H4554">
        <v>0</v>
      </c>
    </row>
    <row r="4555" spans="1:9" x14ac:dyDescent="0.2">
      <c r="A4555" t="str">
        <f t="shared" si="318"/>
        <v>40057Vaipahu619Autres</v>
      </c>
      <c r="B4555" s="1">
        <v>40057</v>
      </c>
      <c r="C4555" t="s">
        <v>23</v>
      </c>
      <c r="D4555" s="19">
        <v>6</v>
      </c>
      <c r="E4555">
        <v>19</v>
      </c>
      <c r="F4555" t="s">
        <v>14</v>
      </c>
      <c r="H4555">
        <v>0</v>
      </c>
    </row>
    <row r="4556" spans="1:9" x14ac:dyDescent="0.2">
      <c r="A4556" t="str">
        <f t="shared" si="318"/>
        <v>40057Vaipahu620Autres</v>
      </c>
      <c r="B4556" s="1">
        <v>40057</v>
      </c>
      <c r="C4556" t="s">
        <v>23</v>
      </c>
      <c r="D4556" s="19">
        <v>6</v>
      </c>
      <c r="E4556">
        <v>20</v>
      </c>
      <c r="F4556" t="s">
        <v>14</v>
      </c>
      <c r="H4556">
        <v>0</v>
      </c>
    </row>
    <row r="4557" spans="1:9" x14ac:dyDescent="0.2">
      <c r="A4557" t="str">
        <f t="shared" si="318"/>
        <v>40057Vaipahu1221Autres</v>
      </c>
      <c r="B4557" s="1">
        <v>40057</v>
      </c>
      <c r="C4557" t="s">
        <v>23</v>
      </c>
      <c r="D4557" s="19">
        <v>12</v>
      </c>
      <c r="E4557">
        <v>21</v>
      </c>
      <c r="F4557" t="s">
        <v>14</v>
      </c>
      <c r="H4557">
        <v>0</v>
      </c>
    </row>
    <row r="4558" spans="1:9" x14ac:dyDescent="0.2">
      <c r="A4558" t="str">
        <f t="shared" si="318"/>
        <v>40057Vaipahu1222Autres</v>
      </c>
      <c r="B4558" s="1">
        <v>40057</v>
      </c>
      <c r="C4558" t="s">
        <v>23</v>
      </c>
      <c r="D4558" s="19">
        <v>12</v>
      </c>
      <c r="E4558">
        <v>22</v>
      </c>
      <c r="F4558" t="s">
        <v>14</v>
      </c>
      <c r="H4558">
        <v>0</v>
      </c>
    </row>
    <row r="4559" spans="1:9" x14ac:dyDescent="0.2">
      <c r="A4559" t="str">
        <f t="shared" si="318"/>
        <v>40057Vaipahu1223PocilloporidaeDessous</v>
      </c>
      <c r="B4559" s="1">
        <v>40057</v>
      </c>
      <c r="C4559" t="s">
        <v>23</v>
      </c>
      <c r="D4559" s="19">
        <v>12</v>
      </c>
      <c r="E4559">
        <v>23</v>
      </c>
      <c r="F4559" t="s">
        <v>10</v>
      </c>
      <c r="G4559" t="s">
        <v>8</v>
      </c>
      <c r="H4559">
        <v>1</v>
      </c>
      <c r="I4559" t="s">
        <v>27</v>
      </c>
    </row>
    <row r="4560" spans="1:9" x14ac:dyDescent="0.2">
      <c r="A4560" t="str">
        <f t="shared" si="318"/>
        <v>40057Vaipahu1224Autres</v>
      </c>
      <c r="B4560" s="1">
        <v>40057</v>
      </c>
      <c r="C4560" t="s">
        <v>23</v>
      </c>
      <c r="D4560" s="19">
        <v>12</v>
      </c>
      <c r="E4560">
        <v>24</v>
      </c>
      <c r="F4560" t="s">
        <v>14</v>
      </c>
      <c r="H4560">
        <v>0</v>
      </c>
    </row>
    <row r="4561" spans="1:9" x14ac:dyDescent="0.2">
      <c r="A4561" t="str">
        <f t="shared" si="318"/>
        <v>40057Vaipahu1225Autres</v>
      </c>
      <c r="B4561" s="1">
        <v>40057</v>
      </c>
      <c r="C4561" t="s">
        <v>23</v>
      </c>
      <c r="D4561" s="19">
        <v>12</v>
      </c>
      <c r="E4561">
        <v>25</v>
      </c>
      <c r="F4561" t="s">
        <v>14</v>
      </c>
      <c r="H4561">
        <v>0</v>
      </c>
    </row>
    <row r="4562" spans="1:9" x14ac:dyDescent="0.2">
      <c r="A4562" t="str">
        <f t="shared" si="318"/>
        <v>40057Vaipahu1226Autres</v>
      </c>
      <c r="B4562" s="1">
        <v>40057</v>
      </c>
      <c r="C4562" t="s">
        <v>23</v>
      </c>
      <c r="D4562" s="19">
        <v>12</v>
      </c>
      <c r="E4562">
        <v>26</v>
      </c>
      <c r="F4562" t="s">
        <v>14</v>
      </c>
      <c r="H4562">
        <v>0</v>
      </c>
    </row>
    <row r="4563" spans="1:9" x14ac:dyDescent="0.2">
      <c r="A4563" t="str">
        <f t="shared" si="318"/>
        <v>40057Vaipahu1227Autres</v>
      </c>
      <c r="B4563" s="1">
        <v>40057</v>
      </c>
      <c r="C4563" t="s">
        <v>23</v>
      </c>
      <c r="D4563" s="19">
        <v>12</v>
      </c>
      <c r="E4563">
        <v>27</v>
      </c>
      <c r="F4563" t="s">
        <v>14</v>
      </c>
      <c r="H4563">
        <v>0</v>
      </c>
    </row>
    <row r="4564" spans="1:9" x14ac:dyDescent="0.2">
      <c r="A4564" t="str">
        <f t="shared" si="318"/>
        <v>40057Vaipahu1228Autres</v>
      </c>
      <c r="B4564" s="1">
        <v>40057</v>
      </c>
      <c r="C4564" t="s">
        <v>23</v>
      </c>
      <c r="D4564" s="19">
        <v>12</v>
      </c>
      <c r="E4564">
        <v>28</v>
      </c>
      <c r="F4564" t="s">
        <v>14</v>
      </c>
      <c r="H4564">
        <v>0</v>
      </c>
    </row>
    <row r="4565" spans="1:9" x14ac:dyDescent="0.2">
      <c r="A4565" t="str">
        <f t="shared" si="318"/>
        <v>40057Vaipahu1229Autres</v>
      </c>
      <c r="B4565" s="1">
        <v>40057</v>
      </c>
      <c r="C4565" t="s">
        <v>23</v>
      </c>
      <c r="D4565" s="19">
        <v>12</v>
      </c>
      <c r="E4565">
        <v>29</v>
      </c>
      <c r="F4565" t="s">
        <v>14</v>
      </c>
      <c r="H4565">
        <v>0</v>
      </c>
    </row>
    <row r="4566" spans="1:9" x14ac:dyDescent="0.2">
      <c r="A4566" t="str">
        <f t="shared" si="318"/>
        <v>40057Vaipahu1230Autres</v>
      </c>
      <c r="B4566" s="1">
        <v>40057</v>
      </c>
      <c r="C4566" t="s">
        <v>23</v>
      </c>
      <c r="D4566" s="19">
        <v>12</v>
      </c>
      <c r="E4566">
        <v>30</v>
      </c>
      <c r="F4566" t="s">
        <v>14</v>
      </c>
      <c r="H4566">
        <v>0</v>
      </c>
    </row>
    <row r="4567" spans="1:9" x14ac:dyDescent="0.2">
      <c r="A4567" t="str">
        <f t="shared" si="318"/>
        <v>40057Vaipahu1231PoritidaeDessous</v>
      </c>
      <c r="B4567" s="1">
        <v>40057</v>
      </c>
      <c r="C4567" t="s">
        <v>23</v>
      </c>
      <c r="D4567" s="19">
        <v>12</v>
      </c>
      <c r="E4567">
        <v>31</v>
      </c>
      <c r="F4567" t="s">
        <v>7</v>
      </c>
      <c r="G4567" t="s">
        <v>8</v>
      </c>
      <c r="H4567">
        <v>1</v>
      </c>
      <c r="I4567" t="s">
        <v>27</v>
      </c>
    </row>
    <row r="4568" spans="1:9" x14ac:dyDescent="0.2">
      <c r="A4568" t="str">
        <f t="shared" si="318"/>
        <v>40057Vaipahu1232Autres</v>
      </c>
      <c r="B4568" s="1">
        <v>40057</v>
      </c>
      <c r="C4568" t="s">
        <v>23</v>
      </c>
      <c r="D4568" s="19">
        <v>12</v>
      </c>
      <c r="E4568">
        <v>32</v>
      </c>
      <c r="F4568" t="s">
        <v>14</v>
      </c>
      <c r="H4568">
        <v>0</v>
      </c>
    </row>
    <row r="4569" spans="1:9" x14ac:dyDescent="0.2">
      <c r="A4569" t="str">
        <f t="shared" si="318"/>
        <v>40057Vaipahu1233Autres</v>
      </c>
      <c r="B4569" s="1">
        <v>40057</v>
      </c>
      <c r="C4569" t="s">
        <v>23</v>
      </c>
      <c r="D4569" s="19">
        <v>12</v>
      </c>
      <c r="E4569">
        <v>33</v>
      </c>
      <c r="F4569" t="s">
        <v>14</v>
      </c>
      <c r="H4569">
        <v>0</v>
      </c>
    </row>
    <row r="4570" spans="1:9" x14ac:dyDescent="0.2">
      <c r="A4570" t="str">
        <f t="shared" si="318"/>
        <v>40057Vaipahu1234Autres</v>
      </c>
      <c r="B4570" s="1">
        <v>40057</v>
      </c>
      <c r="C4570" t="s">
        <v>23</v>
      </c>
      <c r="D4570" s="19">
        <v>12</v>
      </c>
      <c r="E4570">
        <v>34</v>
      </c>
      <c r="F4570" t="s">
        <v>14</v>
      </c>
      <c r="H4570">
        <v>0</v>
      </c>
    </row>
    <row r="4571" spans="1:9" x14ac:dyDescent="0.2">
      <c r="A4571" t="str">
        <f t="shared" si="318"/>
        <v>40057Vaipahu1235Autres</v>
      </c>
      <c r="B4571" s="1">
        <v>40057</v>
      </c>
      <c r="C4571" t="s">
        <v>23</v>
      </c>
      <c r="D4571" s="19">
        <v>12</v>
      </c>
      <c r="E4571">
        <v>35</v>
      </c>
      <c r="F4571" t="s">
        <v>14</v>
      </c>
      <c r="H4571">
        <v>0</v>
      </c>
    </row>
    <row r="4572" spans="1:9" x14ac:dyDescent="0.2">
      <c r="A4572" t="str">
        <f t="shared" si="318"/>
        <v>40057Vaipahu1236Autres</v>
      </c>
      <c r="B4572" s="1">
        <v>40057</v>
      </c>
      <c r="C4572" t="s">
        <v>23</v>
      </c>
      <c r="D4572" s="19">
        <v>12</v>
      </c>
      <c r="E4572">
        <v>36</v>
      </c>
      <c r="F4572" t="s">
        <v>14</v>
      </c>
      <c r="H4572">
        <v>0</v>
      </c>
    </row>
    <row r="4573" spans="1:9" x14ac:dyDescent="0.2">
      <c r="A4573" t="str">
        <f t="shared" si="318"/>
        <v>40057Vaipahu1237Autres</v>
      </c>
      <c r="B4573" s="1">
        <v>40057</v>
      </c>
      <c r="C4573" t="s">
        <v>23</v>
      </c>
      <c r="D4573" s="19">
        <v>12</v>
      </c>
      <c r="E4573">
        <v>37</v>
      </c>
      <c r="F4573" t="s">
        <v>14</v>
      </c>
      <c r="H4573">
        <v>0</v>
      </c>
    </row>
    <row r="4574" spans="1:9" x14ac:dyDescent="0.2">
      <c r="A4574" t="str">
        <f t="shared" si="318"/>
        <v>40057Vaipahu1238PocilloporidaeBords</v>
      </c>
      <c r="B4574" s="1">
        <v>40057</v>
      </c>
      <c r="C4574" t="s">
        <v>23</v>
      </c>
      <c r="D4574" s="19">
        <v>12</v>
      </c>
      <c r="E4574">
        <v>38</v>
      </c>
      <c r="F4574" t="s">
        <v>10</v>
      </c>
      <c r="G4574" t="s">
        <v>13</v>
      </c>
      <c r="H4574">
        <v>1</v>
      </c>
      <c r="I4574" t="s">
        <v>27</v>
      </c>
    </row>
    <row r="4575" spans="1:9" x14ac:dyDescent="0.2">
      <c r="A4575" t="str">
        <f t="shared" si="318"/>
        <v>40057Vaipahu1239Autres</v>
      </c>
      <c r="B4575" s="1">
        <v>40057</v>
      </c>
      <c r="C4575" t="s">
        <v>23</v>
      </c>
      <c r="D4575" s="19">
        <v>12</v>
      </c>
      <c r="E4575">
        <v>39</v>
      </c>
      <c r="F4575" t="s">
        <v>14</v>
      </c>
      <c r="H4575">
        <v>0</v>
      </c>
    </row>
    <row r="4576" spans="1:9" x14ac:dyDescent="0.2">
      <c r="A4576" t="str">
        <f t="shared" si="318"/>
        <v>40057Vaipahu1240Autres</v>
      </c>
      <c r="B4576" s="1">
        <v>40057</v>
      </c>
      <c r="C4576" t="s">
        <v>23</v>
      </c>
      <c r="D4576" s="19">
        <v>12</v>
      </c>
      <c r="E4576">
        <v>40</v>
      </c>
      <c r="F4576" t="s">
        <v>14</v>
      </c>
      <c r="H4576">
        <v>0</v>
      </c>
    </row>
    <row r="4577" spans="1:8" x14ac:dyDescent="0.2">
      <c r="A4577" t="str">
        <f t="shared" si="318"/>
        <v>40057Vaipahu1841Autres</v>
      </c>
      <c r="B4577" s="1">
        <v>40057</v>
      </c>
      <c r="C4577" t="s">
        <v>23</v>
      </c>
      <c r="D4577" s="19">
        <v>18</v>
      </c>
      <c r="E4577">
        <v>41</v>
      </c>
      <c r="F4577" t="s">
        <v>14</v>
      </c>
      <c r="H4577">
        <v>0</v>
      </c>
    </row>
    <row r="4578" spans="1:8" x14ac:dyDescent="0.2">
      <c r="A4578" t="str">
        <f t="shared" si="318"/>
        <v>40057Vaipahu1842Autres</v>
      </c>
      <c r="B4578" s="1">
        <v>40057</v>
      </c>
      <c r="C4578" t="s">
        <v>23</v>
      </c>
      <c r="D4578" s="19">
        <v>18</v>
      </c>
      <c r="E4578">
        <v>42</v>
      </c>
      <c r="F4578" t="s">
        <v>14</v>
      </c>
      <c r="H4578">
        <v>0</v>
      </c>
    </row>
    <row r="4579" spans="1:8" x14ac:dyDescent="0.2">
      <c r="A4579" t="str">
        <f t="shared" si="318"/>
        <v>40057Vaipahu1843Autres</v>
      </c>
      <c r="B4579" s="1">
        <v>40057</v>
      </c>
      <c r="C4579" t="s">
        <v>23</v>
      </c>
      <c r="D4579" s="19">
        <v>18</v>
      </c>
      <c r="E4579">
        <v>43</v>
      </c>
      <c r="F4579" t="s">
        <v>14</v>
      </c>
      <c r="H4579">
        <v>0</v>
      </c>
    </row>
    <row r="4580" spans="1:8" x14ac:dyDescent="0.2">
      <c r="A4580" t="str">
        <f t="shared" si="318"/>
        <v>40057Vaipahu1844Autres</v>
      </c>
      <c r="B4580" s="1">
        <v>40057</v>
      </c>
      <c r="C4580" t="s">
        <v>23</v>
      </c>
      <c r="D4580" s="19">
        <v>18</v>
      </c>
      <c r="E4580">
        <v>44</v>
      </c>
      <c r="F4580" t="s">
        <v>14</v>
      </c>
      <c r="H4580">
        <v>0</v>
      </c>
    </row>
    <row r="4581" spans="1:8" x14ac:dyDescent="0.2">
      <c r="A4581" t="str">
        <f t="shared" si="318"/>
        <v>40057Vaipahu1845Autres</v>
      </c>
      <c r="B4581" s="1">
        <v>40057</v>
      </c>
      <c r="C4581" t="s">
        <v>23</v>
      </c>
      <c r="D4581" s="19">
        <v>18</v>
      </c>
      <c r="E4581">
        <v>45</v>
      </c>
      <c r="F4581" t="s">
        <v>14</v>
      </c>
      <c r="H4581">
        <v>0</v>
      </c>
    </row>
    <row r="4582" spans="1:8" x14ac:dyDescent="0.2">
      <c r="A4582" t="str">
        <f t="shared" si="318"/>
        <v>40057Vaipahu1846Autres</v>
      </c>
      <c r="B4582" s="1">
        <v>40057</v>
      </c>
      <c r="C4582" t="s">
        <v>23</v>
      </c>
      <c r="D4582" s="19">
        <v>18</v>
      </c>
      <c r="E4582">
        <v>46</v>
      </c>
      <c r="F4582" t="s">
        <v>14</v>
      </c>
      <c r="H4582">
        <v>0</v>
      </c>
    </row>
    <row r="4583" spans="1:8" x14ac:dyDescent="0.2">
      <c r="A4583" t="str">
        <f t="shared" si="318"/>
        <v>40057Vaipahu1847Autres</v>
      </c>
      <c r="B4583" s="1">
        <v>40057</v>
      </c>
      <c r="C4583" t="s">
        <v>23</v>
      </c>
      <c r="D4583" s="19">
        <v>18</v>
      </c>
      <c r="E4583">
        <v>47</v>
      </c>
      <c r="F4583" t="s">
        <v>14</v>
      </c>
      <c r="H4583">
        <v>0</v>
      </c>
    </row>
    <row r="4584" spans="1:8" x14ac:dyDescent="0.2">
      <c r="A4584" t="str">
        <f t="shared" si="318"/>
        <v>40057Vaipahu1848Autres</v>
      </c>
      <c r="B4584" s="1">
        <v>40057</v>
      </c>
      <c r="C4584" t="s">
        <v>23</v>
      </c>
      <c r="D4584" s="19">
        <v>18</v>
      </c>
      <c r="E4584">
        <v>48</v>
      </c>
      <c r="F4584" t="s">
        <v>14</v>
      </c>
      <c r="H4584">
        <v>0</v>
      </c>
    </row>
    <row r="4585" spans="1:8" x14ac:dyDescent="0.2">
      <c r="A4585" t="str">
        <f t="shared" si="318"/>
        <v>40057Vaipahu1849Autres</v>
      </c>
      <c r="B4585" s="1">
        <v>40057</v>
      </c>
      <c r="C4585" t="s">
        <v>23</v>
      </c>
      <c r="D4585" s="19">
        <v>18</v>
      </c>
      <c r="E4585">
        <v>49</v>
      </c>
      <c r="F4585" t="s">
        <v>14</v>
      </c>
      <c r="H4585">
        <v>0</v>
      </c>
    </row>
    <row r="4586" spans="1:8" x14ac:dyDescent="0.2">
      <c r="A4586" t="str">
        <f t="shared" si="318"/>
        <v>40057Vaipahu1850Autres</v>
      </c>
      <c r="B4586" s="1">
        <v>40057</v>
      </c>
      <c r="C4586" t="s">
        <v>23</v>
      </c>
      <c r="D4586" s="19">
        <v>18</v>
      </c>
      <c r="E4586">
        <v>50</v>
      </c>
      <c r="F4586" t="s">
        <v>14</v>
      </c>
      <c r="H4586">
        <v>0</v>
      </c>
    </row>
    <row r="4587" spans="1:8" x14ac:dyDescent="0.2">
      <c r="A4587" t="str">
        <f t="shared" si="318"/>
        <v>40057Vaipahu1851Autres</v>
      </c>
      <c r="B4587" s="1">
        <v>40057</v>
      </c>
      <c r="C4587" t="s">
        <v>23</v>
      </c>
      <c r="D4587" s="19">
        <v>18</v>
      </c>
      <c r="E4587">
        <v>51</v>
      </c>
      <c r="F4587" t="s">
        <v>14</v>
      </c>
      <c r="H4587">
        <v>0</v>
      </c>
    </row>
    <row r="4588" spans="1:8" x14ac:dyDescent="0.2">
      <c r="A4588" t="str">
        <f t="shared" si="318"/>
        <v>40057Vaipahu1852Autres</v>
      </c>
      <c r="B4588" s="1">
        <v>40057</v>
      </c>
      <c r="C4588" t="s">
        <v>23</v>
      </c>
      <c r="D4588" s="19">
        <v>18</v>
      </c>
      <c r="E4588">
        <v>52</v>
      </c>
      <c r="F4588" t="s">
        <v>14</v>
      </c>
      <c r="H4588">
        <v>0</v>
      </c>
    </row>
    <row r="4589" spans="1:8" x14ac:dyDescent="0.2">
      <c r="A4589" t="str">
        <f t="shared" si="318"/>
        <v>40057Vaipahu1853Autres</v>
      </c>
      <c r="B4589" s="1">
        <v>40057</v>
      </c>
      <c r="C4589" t="s">
        <v>23</v>
      </c>
      <c r="D4589" s="19">
        <v>18</v>
      </c>
      <c r="E4589">
        <v>53</v>
      </c>
      <c r="F4589" t="s">
        <v>14</v>
      </c>
      <c r="H4589">
        <v>0</v>
      </c>
    </row>
    <row r="4590" spans="1:8" x14ac:dyDescent="0.2">
      <c r="A4590" t="str">
        <f t="shared" si="318"/>
        <v>40057Vaipahu1854Autres</v>
      </c>
      <c r="B4590" s="1">
        <v>40057</v>
      </c>
      <c r="C4590" t="s">
        <v>23</v>
      </c>
      <c r="D4590" s="19">
        <v>18</v>
      </c>
      <c r="E4590">
        <v>54</v>
      </c>
      <c r="F4590" t="s">
        <v>14</v>
      </c>
      <c r="H4590">
        <v>0</v>
      </c>
    </row>
    <row r="4591" spans="1:8" x14ac:dyDescent="0.2">
      <c r="A4591" t="str">
        <f t="shared" si="318"/>
        <v>40057Vaipahu1855Autres</v>
      </c>
      <c r="B4591" s="1">
        <v>40057</v>
      </c>
      <c r="C4591" t="s">
        <v>23</v>
      </c>
      <c r="D4591" s="19">
        <v>18</v>
      </c>
      <c r="E4591">
        <v>55</v>
      </c>
      <c r="F4591" t="s">
        <v>14</v>
      </c>
      <c r="H4591">
        <v>0</v>
      </c>
    </row>
    <row r="4592" spans="1:8" x14ac:dyDescent="0.2">
      <c r="A4592" t="str">
        <f t="shared" si="318"/>
        <v>40057Vaipahu1856Autres</v>
      </c>
      <c r="B4592" s="1">
        <v>40057</v>
      </c>
      <c r="C4592" t="s">
        <v>23</v>
      </c>
      <c r="D4592" s="19">
        <v>18</v>
      </c>
      <c r="E4592">
        <v>56</v>
      </c>
      <c r="F4592" t="s">
        <v>14</v>
      </c>
      <c r="H4592">
        <v>0</v>
      </c>
    </row>
    <row r="4593" spans="1:9" x14ac:dyDescent="0.2">
      <c r="A4593" t="str">
        <f t="shared" si="318"/>
        <v>40057Vaipahu1857Autres</v>
      </c>
      <c r="B4593" s="1">
        <v>40057</v>
      </c>
      <c r="C4593" t="s">
        <v>23</v>
      </c>
      <c r="D4593" s="19">
        <v>18</v>
      </c>
      <c r="E4593">
        <v>57</v>
      </c>
      <c r="F4593" t="s">
        <v>14</v>
      </c>
      <c r="H4593">
        <v>0</v>
      </c>
    </row>
    <row r="4594" spans="1:9" x14ac:dyDescent="0.2">
      <c r="A4594" t="str">
        <f t="shared" si="318"/>
        <v>40057Vaipahu1858Autres</v>
      </c>
      <c r="B4594" s="1">
        <v>40057</v>
      </c>
      <c r="C4594" t="s">
        <v>23</v>
      </c>
      <c r="D4594" s="19">
        <v>18</v>
      </c>
      <c r="E4594">
        <v>58</v>
      </c>
      <c r="F4594" t="s">
        <v>14</v>
      </c>
      <c r="H4594">
        <v>0</v>
      </c>
    </row>
    <row r="4595" spans="1:9" x14ac:dyDescent="0.2">
      <c r="A4595" t="str">
        <f t="shared" si="318"/>
        <v>40057Vaipahu1859Autres</v>
      </c>
      <c r="B4595" s="1">
        <v>40057</v>
      </c>
      <c r="C4595" t="s">
        <v>23</v>
      </c>
      <c r="D4595" s="19">
        <v>18</v>
      </c>
      <c r="E4595">
        <v>59</v>
      </c>
      <c r="F4595" t="s">
        <v>14</v>
      </c>
      <c r="H4595">
        <v>0</v>
      </c>
    </row>
    <row r="4596" spans="1:9" x14ac:dyDescent="0.2">
      <c r="A4596" t="str">
        <f t="shared" si="318"/>
        <v>40057Vaipahu1860Autres</v>
      </c>
      <c r="B4596" s="1">
        <v>40057</v>
      </c>
      <c r="C4596" t="s">
        <v>23</v>
      </c>
      <c r="D4596" s="19">
        <v>18</v>
      </c>
      <c r="E4596">
        <v>60</v>
      </c>
      <c r="F4596" t="s">
        <v>14</v>
      </c>
      <c r="H4596">
        <v>0</v>
      </c>
    </row>
    <row r="4597" spans="1:9" x14ac:dyDescent="0.2">
      <c r="A4597" t="str">
        <f t="shared" si="318"/>
        <v>40057Tiahura661Autres</v>
      </c>
      <c r="B4597" s="1">
        <v>40057</v>
      </c>
      <c r="C4597" t="s">
        <v>24</v>
      </c>
      <c r="D4597" s="19">
        <v>6</v>
      </c>
      <c r="E4597">
        <v>61</v>
      </c>
      <c r="F4597" t="s">
        <v>14</v>
      </c>
      <c r="H4597">
        <v>0</v>
      </c>
    </row>
    <row r="4598" spans="1:9" x14ac:dyDescent="0.2">
      <c r="A4598" t="str">
        <f t="shared" si="318"/>
        <v>40057Tiahura662Autres</v>
      </c>
      <c r="B4598" s="1">
        <v>40057</v>
      </c>
      <c r="C4598" t="s">
        <v>24</v>
      </c>
      <c r="D4598" s="19">
        <v>6</v>
      </c>
      <c r="E4598">
        <v>62</v>
      </c>
      <c r="F4598" t="s">
        <v>14</v>
      </c>
      <c r="H4598">
        <v>0</v>
      </c>
    </row>
    <row r="4599" spans="1:9" x14ac:dyDescent="0.2">
      <c r="A4599" t="str">
        <f t="shared" si="318"/>
        <v>40057Tiahura663PocilloporidaeDessus</v>
      </c>
      <c r="B4599" s="1">
        <v>40057</v>
      </c>
      <c r="C4599" t="s">
        <v>24</v>
      </c>
      <c r="D4599" s="19">
        <v>6</v>
      </c>
      <c r="E4599">
        <v>63</v>
      </c>
      <c r="F4599" t="s">
        <v>10</v>
      </c>
      <c r="G4599" t="s">
        <v>11</v>
      </c>
      <c r="H4599">
        <v>1</v>
      </c>
      <c r="I4599" t="s">
        <v>27</v>
      </c>
    </row>
    <row r="4600" spans="1:9" x14ac:dyDescent="0.2">
      <c r="A4600" t="str">
        <f t="shared" si="318"/>
        <v>40057Tiahura664Autres</v>
      </c>
      <c r="B4600" s="1">
        <v>40057</v>
      </c>
      <c r="C4600" t="s">
        <v>24</v>
      </c>
      <c r="D4600" s="19">
        <v>6</v>
      </c>
      <c r="E4600">
        <v>64</v>
      </c>
      <c r="F4600" t="s">
        <v>14</v>
      </c>
      <c r="H4600">
        <v>0</v>
      </c>
    </row>
    <row r="4601" spans="1:9" x14ac:dyDescent="0.2">
      <c r="A4601" t="str">
        <f t="shared" si="318"/>
        <v>40057Tiahura665Autres</v>
      </c>
      <c r="B4601" s="1">
        <v>40057</v>
      </c>
      <c r="C4601" t="s">
        <v>24</v>
      </c>
      <c r="D4601" s="19">
        <v>6</v>
      </c>
      <c r="E4601">
        <v>65</v>
      </c>
      <c r="F4601" t="s">
        <v>14</v>
      </c>
      <c r="H4601">
        <v>0</v>
      </c>
    </row>
    <row r="4602" spans="1:9" x14ac:dyDescent="0.2">
      <c r="A4602" t="str">
        <f t="shared" si="318"/>
        <v>40057Tiahura666Autres</v>
      </c>
      <c r="B4602" s="1">
        <v>40057</v>
      </c>
      <c r="C4602" t="s">
        <v>24</v>
      </c>
      <c r="D4602" s="19">
        <v>6</v>
      </c>
      <c r="E4602">
        <v>66</v>
      </c>
      <c r="F4602" t="s">
        <v>14</v>
      </c>
      <c r="H4602">
        <v>0</v>
      </c>
    </row>
    <row r="4603" spans="1:9" x14ac:dyDescent="0.2">
      <c r="A4603" t="str">
        <f t="shared" si="318"/>
        <v>40057Tiahura667Autres</v>
      </c>
      <c r="B4603" s="1">
        <v>40057</v>
      </c>
      <c r="C4603" t="s">
        <v>24</v>
      </c>
      <c r="D4603" s="19">
        <v>6</v>
      </c>
      <c r="E4603">
        <v>67</v>
      </c>
      <c r="F4603" t="s">
        <v>14</v>
      </c>
      <c r="H4603">
        <v>0</v>
      </c>
    </row>
    <row r="4604" spans="1:9" x14ac:dyDescent="0.2">
      <c r="A4604" t="str">
        <f t="shared" si="318"/>
        <v>40057Tiahura668Autres</v>
      </c>
      <c r="B4604" s="1">
        <v>40057</v>
      </c>
      <c r="C4604" t="s">
        <v>24</v>
      </c>
      <c r="D4604" s="19">
        <v>6</v>
      </c>
      <c r="E4604">
        <v>68</v>
      </c>
      <c r="F4604" t="s">
        <v>14</v>
      </c>
      <c r="H4604">
        <v>0</v>
      </c>
    </row>
    <row r="4605" spans="1:9" x14ac:dyDescent="0.2">
      <c r="A4605" t="str">
        <f t="shared" si="318"/>
        <v>40057Tiahura669Autres</v>
      </c>
      <c r="B4605" s="1">
        <v>40057</v>
      </c>
      <c r="C4605" t="s">
        <v>24</v>
      </c>
      <c r="D4605" s="19">
        <v>6</v>
      </c>
      <c r="E4605">
        <v>69</v>
      </c>
      <c r="F4605" t="s">
        <v>14</v>
      </c>
      <c r="H4605">
        <v>0</v>
      </c>
    </row>
    <row r="4606" spans="1:9" x14ac:dyDescent="0.2">
      <c r="A4606" t="str">
        <f t="shared" si="318"/>
        <v>40057Tiahura670Autres</v>
      </c>
      <c r="B4606" s="1">
        <v>40057</v>
      </c>
      <c r="C4606" t="s">
        <v>24</v>
      </c>
      <c r="D4606" s="19">
        <v>6</v>
      </c>
      <c r="E4606">
        <v>70</v>
      </c>
      <c r="F4606" t="s">
        <v>14</v>
      </c>
      <c r="H4606">
        <v>0</v>
      </c>
    </row>
    <row r="4607" spans="1:9" x14ac:dyDescent="0.2">
      <c r="A4607" t="str">
        <f t="shared" ref="A4607:A4670" si="319">B4607 &amp; C4607&amp; D4607&amp; E4607 &amp; F4607 &amp;G4607</f>
        <v>40057Tiahura671Autres</v>
      </c>
      <c r="B4607" s="1">
        <v>40057</v>
      </c>
      <c r="C4607" t="s">
        <v>24</v>
      </c>
      <c r="D4607" s="19">
        <v>6</v>
      </c>
      <c r="E4607">
        <v>71</v>
      </c>
      <c r="F4607" t="s">
        <v>14</v>
      </c>
      <c r="H4607">
        <v>0</v>
      </c>
    </row>
    <row r="4608" spans="1:9" x14ac:dyDescent="0.2">
      <c r="A4608" t="str">
        <f t="shared" si="319"/>
        <v>40057Tiahura672Autres</v>
      </c>
      <c r="B4608" s="1">
        <v>40057</v>
      </c>
      <c r="C4608" t="s">
        <v>24</v>
      </c>
      <c r="D4608" s="19">
        <v>6</v>
      </c>
      <c r="E4608">
        <v>72</v>
      </c>
      <c r="F4608" t="s">
        <v>14</v>
      </c>
      <c r="H4608">
        <v>0</v>
      </c>
    </row>
    <row r="4609" spans="1:9" x14ac:dyDescent="0.2">
      <c r="A4609" t="str">
        <f t="shared" si="319"/>
        <v>40057Tiahura673Autres</v>
      </c>
      <c r="B4609" s="1">
        <v>40057</v>
      </c>
      <c r="C4609" t="s">
        <v>24</v>
      </c>
      <c r="D4609" s="19">
        <v>6</v>
      </c>
      <c r="E4609">
        <v>73</v>
      </c>
      <c r="F4609" t="s">
        <v>14</v>
      </c>
      <c r="H4609">
        <v>0</v>
      </c>
    </row>
    <row r="4610" spans="1:9" x14ac:dyDescent="0.2">
      <c r="A4610" t="str">
        <f t="shared" si="319"/>
        <v>40057Tiahura674PoritidaeDessous</v>
      </c>
      <c r="B4610" s="1">
        <v>40057</v>
      </c>
      <c r="C4610" t="s">
        <v>24</v>
      </c>
      <c r="D4610" s="19">
        <v>6</v>
      </c>
      <c r="E4610">
        <v>74</v>
      </c>
      <c r="F4610" t="s">
        <v>7</v>
      </c>
      <c r="G4610" t="s">
        <v>8</v>
      </c>
      <c r="H4610">
        <v>1</v>
      </c>
      <c r="I4610" t="s">
        <v>27</v>
      </c>
    </row>
    <row r="4611" spans="1:9" x14ac:dyDescent="0.2">
      <c r="A4611" t="str">
        <f t="shared" si="319"/>
        <v>40057Tiahura675Autres</v>
      </c>
      <c r="B4611" s="1">
        <v>40057</v>
      </c>
      <c r="C4611" t="s">
        <v>24</v>
      </c>
      <c r="D4611" s="19">
        <v>6</v>
      </c>
      <c r="E4611">
        <v>75</v>
      </c>
      <c r="F4611" t="s">
        <v>14</v>
      </c>
      <c r="H4611">
        <v>0</v>
      </c>
    </row>
    <row r="4612" spans="1:9" x14ac:dyDescent="0.2">
      <c r="A4612" t="str">
        <f t="shared" si="319"/>
        <v>40057Tiahura676Autres</v>
      </c>
      <c r="B4612" s="1">
        <v>40057</v>
      </c>
      <c r="C4612" t="s">
        <v>24</v>
      </c>
      <c r="D4612" s="19">
        <v>6</v>
      </c>
      <c r="E4612">
        <v>76</v>
      </c>
      <c r="F4612" t="s">
        <v>14</v>
      </c>
      <c r="H4612">
        <v>0</v>
      </c>
    </row>
    <row r="4613" spans="1:9" x14ac:dyDescent="0.2">
      <c r="A4613" t="str">
        <f t="shared" si="319"/>
        <v>40057Tiahura677Autres</v>
      </c>
      <c r="B4613" s="1">
        <v>40057</v>
      </c>
      <c r="C4613" t="s">
        <v>24</v>
      </c>
      <c r="D4613" s="19">
        <v>6</v>
      </c>
      <c r="E4613">
        <v>77</v>
      </c>
      <c r="F4613" t="s">
        <v>14</v>
      </c>
      <c r="H4613">
        <v>0</v>
      </c>
    </row>
    <row r="4614" spans="1:9" x14ac:dyDescent="0.2">
      <c r="A4614" t="str">
        <f t="shared" si="319"/>
        <v>40057Tiahura678Autres</v>
      </c>
      <c r="B4614" s="1">
        <v>40057</v>
      </c>
      <c r="C4614" t="s">
        <v>24</v>
      </c>
      <c r="D4614" s="19">
        <v>6</v>
      </c>
      <c r="E4614">
        <v>78</v>
      </c>
      <c r="F4614" t="s">
        <v>14</v>
      </c>
      <c r="H4614">
        <v>0</v>
      </c>
    </row>
    <row r="4615" spans="1:9" x14ac:dyDescent="0.2">
      <c r="A4615" t="str">
        <f t="shared" si="319"/>
        <v>40057Tiahura679Autres</v>
      </c>
      <c r="B4615" s="1">
        <v>40057</v>
      </c>
      <c r="C4615" t="s">
        <v>24</v>
      </c>
      <c r="D4615" s="19">
        <v>6</v>
      </c>
      <c r="E4615">
        <v>79</v>
      </c>
      <c r="F4615" t="s">
        <v>14</v>
      </c>
      <c r="H4615">
        <v>0</v>
      </c>
    </row>
    <row r="4616" spans="1:9" x14ac:dyDescent="0.2">
      <c r="A4616" t="str">
        <f t="shared" si="319"/>
        <v>40057Tiahura680Autres</v>
      </c>
      <c r="B4616" s="1">
        <v>40057</v>
      </c>
      <c r="C4616" t="s">
        <v>24</v>
      </c>
      <c r="D4616" s="19">
        <v>6</v>
      </c>
      <c r="E4616">
        <v>80</v>
      </c>
      <c r="F4616" t="s">
        <v>14</v>
      </c>
      <c r="H4616">
        <v>0</v>
      </c>
    </row>
    <row r="4617" spans="1:9" x14ac:dyDescent="0.2">
      <c r="A4617" t="str">
        <f t="shared" si="319"/>
        <v>40057Tiahura1281Autres</v>
      </c>
      <c r="B4617" s="1">
        <v>40057</v>
      </c>
      <c r="C4617" t="s">
        <v>24</v>
      </c>
      <c r="D4617" s="19">
        <v>12</v>
      </c>
      <c r="E4617">
        <v>81</v>
      </c>
      <c r="F4617" t="s">
        <v>14</v>
      </c>
      <c r="H4617">
        <v>0</v>
      </c>
    </row>
    <row r="4618" spans="1:9" x14ac:dyDescent="0.2">
      <c r="A4618" t="str">
        <f t="shared" si="319"/>
        <v>40057Tiahura1282Autres</v>
      </c>
      <c r="B4618" s="1">
        <v>40057</v>
      </c>
      <c r="C4618" t="s">
        <v>24</v>
      </c>
      <c r="D4618" s="19">
        <v>12</v>
      </c>
      <c r="E4618">
        <v>82</v>
      </c>
      <c r="F4618" t="s">
        <v>14</v>
      </c>
      <c r="H4618">
        <v>0</v>
      </c>
    </row>
    <row r="4619" spans="1:9" x14ac:dyDescent="0.2">
      <c r="A4619" t="str">
        <f t="shared" si="319"/>
        <v>40057Tiahura1283Autres</v>
      </c>
      <c r="B4619" s="1">
        <v>40057</v>
      </c>
      <c r="C4619" t="s">
        <v>24</v>
      </c>
      <c r="D4619" s="19">
        <v>12</v>
      </c>
      <c r="E4619">
        <v>83</v>
      </c>
      <c r="F4619" t="s">
        <v>14</v>
      </c>
      <c r="H4619">
        <v>0</v>
      </c>
    </row>
    <row r="4620" spans="1:9" x14ac:dyDescent="0.2">
      <c r="A4620" t="str">
        <f t="shared" si="319"/>
        <v>40057Tiahura1284Autres</v>
      </c>
      <c r="B4620" s="1">
        <v>40057</v>
      </c>
      <c r="C4620" t="s">
        <v>24</v>
      </c>
      <c r="D4620" s="19">
        <v>12</v>
      </c>
      <c r="E4620">
        <v>84</v>
      </c>
      <c r="F4620" t="s">
        <v>14</v>
      </c>
      <c r="H4620">
        <v>0</v>
      </c>
    </row>
    <row r="4621" spans="1:9" x14ac:dyDescent="0.2">
      <c r="A4621" t="str">
        <f t="shared" si="319"/>
        <v>40057Tiahura1285PoritidaeDessous</v>
      </c>
      <c r="B4621" s="1">
        <v>40057</v>
      </c>
      <c r="C4621" t="s">
        <v>24</v>
      </c>
      <c r="D4621" s="19">
        <v>12</v>
      </c>
      <c r="E4621">
        <v>85</v>
      </c>
      <c r="F4621" t="s">
        <v>7</v>
      </c>
      <c r="G4621" t="s">
        <v>8</v>
      </c>
      <c r="H4621">
        <v>1</v>
      </c>
      <c r="I4621" t="s">
        <v>27</v>
      </c>
    </row>
    <row r="4622" spans="1:9" x14ac:dyDescent="0.2">
      <c r="A4622" t="str">
        <f t="shared" si="319"/>
        <v>40057Tiahura1286Autres</v>
      </c>
      <c r="B4622" s="1">
        <v>40057</v>
      </c>
      <c r="C4622" t="s">
        <v>24</v>
      </c>
      <c r="D4622" s="19">
        <v>12</v>
      </c>
      <c r="E4622">
        <v>86</v>
      </c>
      <c r="F4622" t="s">
        <v>14</v>
      </c>
      <c r="H4622">
        <v>0</v>
      </c>
    </row>
    <row r="4623" spans="1:9" x14ac:dyDescent="0.2">
      <c r="A4623" t="str">
        <f t="shared" si="319"/>
        <v>40057Tiahura1287Autres</v>
      </c>
      <c r="B4623" s="1">
        <v>40057</v>
      </c>
      <c r="C4623" t="s">
        <v>24</v>
      </c>
      <c r="D4623" s="19">
        <v>12</v>
      </c>
      <c r="E4623">
        <v>87</v>
      </c>
      <c r="F4623" t="s">
        <v>14</v>
      </c>
      <c r="H4623">
        <v>0</v>
      </c>
    </row>
    <row r="4624" spans="1:9" x14ac:dyDescent="0.2">
      <c r="A4624" t="str">
        <f t="shared" si="319"/>
        <v>40057Tiahura1288PoritidaeDessous</v>
      </c>
      <c r="B4624" s="1">
        <v>40057</v>
      </c>
      <c r="C4624" t="s">
        <v>24</v>
      </c>
      <c r="D4624" s="19">
        <v>12</v>
      </c>
      <c r="E4624">
        <v>88</v>
      </c>
      <c r="F4624" t="s">
        <v>7</v>
      </c>
      <c r="G4624" t="s">
        <v>8</v>
      </c>
      <c r="H4624">
        <v>1</v>
      </c>
      <c r="I4624" t="s">
        <v>27</v>
      </c>
    </row>
    <row r="4625" spans="1:9" x14ac:dyDescent="0.2">
      <c r="A4625" t="str">
        <f t="shared" si="319"/>
        <v>40057Tiahura1289Autres</v>
      </c>
      <c r="B4625" s="1">
        <v>40057</v>
      </c>
      <c r="C4625" t="s">
        <v>24</v>
      </c>
      <c r="D4625" s="19">
        <v>12</v>
      </c>
      <c r="E4625">
        <v>89</v>
      </c>
      <c r="F4625" t="s">
        <v>14</v>
      </c>
      <c r="H4625">
        <v>0</v>
      </c>
    </row>
    <row r="4626" spans="1:9" x14ac:dyDescent="0.2">
      <c r="A4626" t="str">
        <f t="shared" si="319"/>
        <v>40057Tiahura1290Autres</v>
      </c>
      <c r="B4626" s="1">
        <v>40057</v>
      </c>
      <c r="C4626" t="s">
        <v>24</v>
      </c>
      <c r="D4626" s="19">
        <v>12</v>
      </c>
      <c r="E4626">
        <v>90</v>
      </c>
      <c r="F4626" t="s">
        <v>14</v>
      </c>
      <c r="H4626">
        <v>0</v>
      </c>
    </row>
    <row r="4627" spans="1:9" x14ac:dyDescent="0.2">
      <c r="A4627" t="str">
        <f t="shared" si="319"/>
        <v>40057Tiahura1291Autres</v>
      </c>
      <c r="B4627" s="1">
        <v>40057</v>
      </c>
      <c r="C4627" t="s">
        <v>24</v>
      </c>
      <c r="D4627" s="19">
        <v>12</v>
      </c>
      <c r="E4627">
        <v>91</v>
      </c>
      <c r="F4627" t="s">
        <v>14</v>
      </c>
      <c r="H4627">
        <v>0</v>
      </c>
    </row>
    <row r="4628" spans="1:9" x14ac:dyDescent="0.2">
      <c r="A4628" t="str">
        <f t="shared" si="319"/>
        <v>40057Tiahura1292Autres</v>
      </c>
      <c r="B4628" s="1">
        <v>40057</v>
      </c>
      <c r="C4628" t="s">
        <v>24</v>
      </c>
      <c r="D4628" s="19">
        <v>12</v>
      </c>
      <c r="E4628">
        <v>92</v>
      </c>
      <c r="F4628" t="s">
        <v>14</v>
      </c>
      <c r="H4628">
        <v>0</v>
      </c>
    </row>
    <row r="4629" spans="1:9" x14ac:dyDescent="0.2">
      <c r="A4629" t="str">
        <f t="shared" si="319"/>
        <v>40057Tiahura1293Autres</v>
      </c>
      <c r="B4629" s="1">
        <v>40057</v>
      </c>
      <c r="C4629" t="s">
        <v>24</v>
      </c>
      <c r="D4629" s="19">
        <v>12</v>
      </c>
      <c r="E4629">
        <v>93</v>
      </c>
      <c r="F4629" t="s">
        <v>14</v>
      </c>
      <c r="H4629">
        <v>0</v>
      </c>
    </row>
    <row r="4630" spans="1:9" x14ac:dyDescent="0.2">
      <c r="A4630" t="str">
        <f t="shared" si="319"/>
        <v>40057Tiahura1294Autres</v>
      </c>
      <c r="B4630" s="1">
        <v>40057</v>
      </c>
      <c r="C4630" t="s">
        <v>24</v>
      </c>
      <c r="D4630" s="19">
        <v>12</v>
      </c>
      <c r="E4630">
        <v>94</v>
      </c>
      <c r="F4630" t="s">
        <v>14</v>
      </c>
      <c r="H4630">
        <v>0</v>
      </c>
    </row>
    <row r="4631" spans="1:9" x14ac:dyDescent="0.2">
      <c r="A4631" t="str">
        <f t="shared" si="319"/>
        <v>40057Tiahura1295Autres</v>
      </c>
      <c r="B4631" s="1">
        <v>40057</v>
      </c>
      <c r="C4631" t="s">
        <v>24</v>
      </c>
      <c r="D4631" s="19">
        <v>12</v>
      </c>
      <c r="E4631">
        <v>95</v>
      </c>
      <c r="F4631" t="s">
        <v>14</v>
      </c>
      <c r="H4631">
        <v>0</v>
      </c>
    </row>
    <row r="4632" spans="1:9" x14ac:dyDescent="0.2">
      <c r="A4632" t="str">
        <f t="shared" si="319"/>
        <v>40057Tiahura1296Autres</v>
      </c>
      <c r="B4632" s="1">
        <v>40057</v>
      </c>
      <c r="C4632" t="s">
        <v>24</v>
      </c>
      <c r="D4632" s="19">
        <v>12</v>
      </c>
      <c r="E4632">
        <v>96</v>
      </c>
      <c r="F4632" t="s">
        <v>14</v>
      </c>
      <c r="H4632">
        <v>0</v>
      </c>
    </row>
    <row r="4633" spans="1:9" x14ac:dyDescent="0.2">
      <c r="A4633" t="str">
        <f t="shared" si="319"/>
        <v>40057Tiahura1297Autres</v>
      </c>
      <c r="B4633" s="1">
        <v>40057</v>
      </c>
      <c r="C4633" t="s">
        <v>24</v>
      </c>
      <c r="D4633" s="19">
        <v>12</v>
      </c>
      <c r="E4633">
        <v>97</v>
      </c>
      <c r="F4633" t="s">
        <v>14</v>
      </c>
      <c r="H4633">
        <v>0</v>
      </c>
    </row>
    <row r="4634" spans="1:9" x14ac:dyDescent="0.2">
      <c r="A4634" t="str">
        <f t="shared" si="319"/>
        <v>40057Tiahura1298Autres</v>
      </c>
      <c r="B4634" s="1">
        <v>40057</v>
      </c>
      <c r="C4634" t="s">
        <v>24</v>
      </c>
      <c r="D4634" s="19">
        <v>12</v>
      </c>
      <c r="E4634">
        <v>98</v>
      </c>
      <c r="F4634" t="s">
        <v>14</v>
      </c>
      <c r="H4634">
        <v>0</v>
      </c>
    </row>
    <row r="4635" spans="1:9" x14ac:dyDescent="0.2">
      <c r="A4635" t="str">
        <f t="shared" si="319"/>
        <v>40057Tiahura1299PoritidaeDessous</v>
      </c>
      <c r="B4635" s="1">
        <v>40057</v>
      </c>
      <c r="C4635" t="s">
        <v>24</v>
      </c>
      <c r="D4635" s="19">
        <v>12</v>
      </c>
      <c r="E4635">
        <v>99</v>
      </c>
      <c r="F4635" t="s">
        <v>7</v>
      </c>
      <c r="G4635" t="s">
        <v>8</v>
      </c>
      <c r="H4635">
        <v>2</v>
      </c>
      <c r="I4635" t="s">
        <v>27</v>
      </c>
    </row>
    <row r="4636" spans="1:9" x14ac:dyDescent="0.2">
      <c r="A4636" t="str">
        <f t="shared" si="319"/>
        <v>40057Tiahura12100Autres</v>
      </c>
      <c r="B4636" s="1">
        <v>40057</v>
      </c>
      <c r="C4636" t="s">
        <v>24</v>
      </c>
      <c r="D4636" s="19">
        <v>12</v>
      </c>
      <c r="E4636">
        <v>100</v>
      </c>
      <c r="F4636" t="s">
        <v>14</v>
      </c>
      <c r="H4636">
        <v>0</v>
      </c>
    </row>
    <row r="4637" spans="1:9" x14ac:dyDescent="0.2">
      <c r="A4637" t="str">
        <f t="shared" si="319"/>
        <v>40057Tiahura18101Autres</v>
      </c>
      <c r="B4637" s="1">
        <v>40057</v>
      </c>
      <c r="C4637" t="s">
        <v>24</v>
      </c>
      <c r="D4637" s="19">
        <v>18</v>
      </c>
      <c r="E4637">
        <v>101</v>
      </c>
      <c r="F4637" t="s">
        <v>14</v>
      </c>
      <c r="H4637">
        <v>0</v>
      </c>
    </row>
    <row r="4638" spans="1:9" x14ac:dyDescent="0.2">
      <c r="A4638" t="str">
        <f t="shared" si="319"/>
        <v>40057Tiahura18102Autres</v>
      </c>
      <c r="B4638" s="1">
        <v>40057</v>
      </c>
      <c r="C4638" t="s">
        <v>24</v>
      </c>
      <c r="D4638" s="19">
        <v>18</v>
      </c>
      <c r="E4638">
        <v>102</v>
      </c>
      <c r="F4638" t="s">
        <v>14</v>
      </c>
      <c r="H4638">
        <v>0</v>
      </c>
    </row>
    <row r="4639" spans="1:9" x14ac:dyDescent="0.2">
      <c r="A4639" t="str">
        <f t="shared" si="319"/>
        <v>40057Tiahura18103Autres</v>
      </c>
      <c r="B4639" s="1">
        <v>40057</v>
      </c>
      <c r="C4639" t="s">
        <v>24</v>
      </c>
      <c r="D4639" s="19">
        <v>18</v>
      </c>
      <c r="E4639">
        <v>103</v>
      </c>
      <c r="F4639" t="s">
        <v>14</v>
      </c>
      <c r="H4639">
        <v>0</v>
      </c>
    </row>
    <row r="4640" spans="1:9" x14ac:dyDescent="0.2">
      <c r="A4640" t="str">
        <f t="shared" si="319"/>
        <v>40057Tiahura18104Autres</v>
      </c>
      <c r="B4640" s="1">
        <v>40057</v>
      </c>
      <c r="C4640" t="s">
        <v>24</v>
      </c>
      <c r="D4640" s="19">
        <v>18</v>
      </c>
      <c r="E4640">
        <v>104</v>
      </c>
      <c r="F4640" t="s">
        <v>14</v>
      </c>
      <c r="H4640">
        <v>0</v>
      </c>
    </row>
    <row r="4641" spans="1:9" x14ac:dyDescent="0.2">
      <c r="A4641" t="str">
        <f t="shared" si="319"/>
        <v>40057Tiahura18105Autres</v>
      </c>
      <c r="B4641" s="1">
        <v>40057</v>
      </c>
      <c r="C4641" t="s">
        <v>24</v>
      </c>
      <c r="D4641" s="19">
        <v>18</v>
      </c>
      <c r="E4641">
        <v>105</v>
      </c>
      <c r="F4641" t="s">
        <v>14</v>
      </c>
      <c r="H4641">
        <v>0</v>
      </c>
    </row>
    <row r="4642" spans="1:9" x14ac:dyDescent="0.2">
      <c r="A4642" t="str">
        <f t="shared" si="319"/>
        <v>40057Tiahura18106Autres</v>
      </c>
      <c r="B4642" s="1">
        <v>40057</v>
      </c>
      <c r="C4642" t="s">
        <v>24</v>
      </c>
      <c r="D4642" s="19">
        <v>18</v>
      </c>
      <c r="E4642">
        <v>106</v>
      </c>
      <c r="F4642" t="s">
        <v>14</v>
      </c>
      <c r="H4642">
        <v>0</v>
      </c>
    </row>
    <row r="4643" spans="1:9" x14ac:dyDescent="0.2">
      <c r="A4643" t="str">
        <f t="shared" si="319"/>
        <v>40057Tiahura18107Autres</v>
      </c>
      <c r="B4643" s="1">
        <v>40057</v>
      </c>
      <c r="C4643" t="s">
        <v>24</v>
      </c>
      <c r="D4643" s="19">
        <v>18</v>
      </c>
      <c r="E4643">
        <v>107</v>
      </c>
      <c r="F4643" t="s">
        <v>14</v>
      </c>
      <c r="H4643">
        <v>0</v>
      </c>
    </row>
    <row r="4644" spans="1:9" x14ac:dyDescent="0.2">
      <c r="A4644" t="str">
        <f t="shared" si="319"/>
        <v>40057Tiahura18108Autres</v>
      </c>
      <c r="B4644" s="1">
        <v>40057</v>
      </c>
      <c r="C4644" t="s">
        <v>24</v>
      </c>
      <c r="D4644" s="19">
        <v>18</v>
      </c>
      <c r="E4644">
        <v>108</v>
      </c>
      <c r="F4644" t="s">
        <v>14</v>
      </c>
      <c r="H4644">
        <v>0</v>
      </c>
    </row>
    <row r="4645" spans="1:9" x14ac:dyDescent="0.2">
      <c r="A4645" t="str">
        <f t="shared" si="319"/>
        <v>40057Tiahura18109Autres</v>
      </c>
      <c r="B4645" s="1">
        <v>40057</v>
      </c>
      <c r="C4645" t="s">
        <v>24</v>
      </c>
      <c r="D4645" s="19">
        <v>18</v>
      </c>
      <c r="E4645">
        <v>109</v>
      </c>
      <c r="F4645" t="s">
        <v>14</v>
      </c>
      <c r="H4645">
        <v>0</v>
      </c>
    </row>
    <row r="4646" spans="1:9" x14ac:dyDescent="0.2">
      <c r="A4646" t="str">
        <f t="shared" si="319"/>
        <v>40057Tiahura18110Autres</v>
      </c>
      <c r="B4646" s="1">
        <v>40057</v>
      </c>
      <c r="C4646" t="s">
        <v>24</v>
      </c>
      <c r="D4646" s="19">
        <v>18</v>
      </c>
      <c r="E4646">
        <v>110</v>
      </c>
      <c r="F4646" t="s">
        <v>14</v>
      </c>
      <c r="H4646">
        <v>0</v>
      </c>
    </row>
    <row r="4647" spans="1:9" x14ac:dyDescent="0.2">
      <c r="A4647" t="str">
        <f t="shared" si="319"/>
        <v>40057Tiahura18111Autres</v>
      </c>
      <c r="B4647" s="1">
        <v>40057</v>
      </c>
      <c r="C4647" t="s">
        <v>24</v>
      </c>
      <c r="D4647" s="19">
        <v>18</v>
      </c>
      <c r="E4647">
        <v>111</v>
      </c>
      <c r="F4647" t="s">
        <v>14</v>
      </c>
      <c r="H4647">
        <v>0</v>
      </c>
    </row>
    <row r="4648" spans="1:9" x14ac:dyDescent="0.2">
      <c r="A4648" t="str">
        <f t="shared" si="319"/>
        <v>40057Tiahura18112Autres</v>
      </c>
      <c r="B4648" s="1">
        <v>40057</v>
      </c>
      <c r="C4648" t="s">
        <v>24</v>
      </c>
      <c r="D4648" s="19">
        <v>18</v>
      </c>
      <c r="E4648">
        <v>112</v>
      </c>
      <c r="F4648" t="s">
        <v>14</v>
      </c>
      <c r="H4648">
        <v>0</v>
      </c>
    </row>
    <row r="4649" spans="1:9" x14ac:dyDescent="0.2">
      <c r="A4649" t="str">
        <f t="shared" si="319"/>
        <v>40057Tiahura18113PoritidaeDessous</v>
      </c>
      <c r="B4649" s="1">
        <v>40057</v>
      </c>
      <c r="C4649" t="s">
        <v>24</v>
      </c>
      <c r="D4649" s="19">
        <v>18</v>
      </c>
      <c r="E4649">
        <v>113</v>
      </c>
      <c r="F4649" t="s">
        <v>7</v>
      </c>
      <c r="G4649" t="s">
        <v>8</v>
      </c>
      <c r="H4649">
        <v>1</v>
      </c>
      <c r="I4649" t="s">
        <v>27</v>
      </c>
    </row>
    <row r="4650" spans="1:9" x14ac:dyDescent="0.2">
      <c r="A4650" t="str">
        <f t="shared" si="319"/>
        <v>40057Tiahura18114Autres</v>
      </c>
      <c r="B4650" s="1">
        <v>40057</v>
      </c>
      <c r="C4650" t="s">
        <v>24</v>
      </c>
      <c r="D4650" s="19">
        <v>18</v>
      </c>
      <c r="E4650">
        <v>114</v>
      </c>
      <c r="F4650" t="s">
        <v>14</v>
      </c>
      <c r="H4650">
        <v>0</v>
      </c>
    </row>
    <row r="4651" spans="1:9" x14ac:dyDescent="0.2">
      <c r="A4651" t="str">
        <f t="shared" si="319"/>
        <v>40057Tiahura18115Autres</v>
      </c>
      <c r="B4651" s="1">
        <v>40057</v>
      </c>
      <c r="C4651" t="s">
        <v>24</v>
      </c>
      <c r="D4651" s="19">
        <v>18</v>
      </c>
      <c r="E4651">
        <v>115</v>
      </c>
      <c r="F4651" t="s">
        <v>14</v>
      </c>
      <c r="H4651">
        <v>0</v>
      </c>
    </row>
    <row r="4652" spans="1:9" x14ac:dyDescent="0.2">
      <c r="A4652" t="str">
        <f t="shared" si="319"/>
        <v>40057Tiahura18116Autres</v>
      </c>
      <c r="B4652" s="1">
        <v>40057</v>
      </c>
      <c r="C4652" t="s">
        <v>24</v>
      </c>
      <c r="D4652" s="19">
        <v>18</v>
      </c>
      <c r="E4652">
        <v>116</v>
      </c>
      <c r="F4652" t="s">
        <v>14</v>
      </c>
      <c r="H4652">
        <v>0</v>
      </c>
    </row>
    <row r="4653" spans="1:9" x14ac:dyDescent="0.2">
      <c r="A4653" t="str">
        <f t="shared" si="319"/>
        <v>40057Tiahura18117Autres</v>
      </c>
      <c r="B4653" s="1">
        <v>40057</v>
      </c>
      <c r="C4653" t="s">
        <v>24</v>
      </c>
      <c r="D4653" s="19">
        <v>18</v>
      </c>
      <c r="E4653">
        <v>117</v>
      </c>
      <c r="F4653" t="s">
        <v>14</v>
      </c>
      <c r="H4653">
        <v>0</v>
      </c>
    </row>
    <row r="4654" spans="1:9" x14ac:dyDescent="0.2">
      <c r="A4654" t="str">
        <f t="shared" si="319"/>
        <v>40057Tiahura18118Autres</v>
      </c>
      <c r="B4654" s="1">
        <v>40057</v>
      </c>
      <c r="C4654" t="s">
        <v>24</v>
      </c>
      <c r="D4654" s="19">
        <v>18</v>
      </c>
      <c r="E4654">
        <v>118</v>
      </c>
      <c r="F4654" t="s">
        <v>14</v>
      </c>
      <c r="H4654">
        <v>0</v>
      </c>
    </row>
    <row r="4655" spans="1:9" x14ac:dyDescent="0.2">
      <c r="A4655" t="str">
        <f t="shared" si="319"/>
        <v>40057Tiahura18119Autres</v>
      </c>
      <c r="B4655" s="1">
        <v>40057</v>
      </c>
      <c r="C4655" t="s">
        <v>24</v>
      </c>
      <c r="D4655" s="19">
        <v>18</v>
      </c>
      <c r="E4655">
        <v>119</v>
      </c>
      <c r="F4655" t="s">
        <v>14</v>
      </c>
      <c r="H4655">
        <v>0</v>
      </c>
    </row>
    <row r="4656" spans="1:9" x14ac:dyDescent="0.2">
      <c r="A4656" t="str">
        <f t="shared" si="319"/>
        <v>40057Tiahura18120Autres</v>
      </c>
      <c r="B4656" s="1">
        <v>40057</v>
      </c>
      <c r="C4656" t="s">
        <v>24</v>
      </c>
      <c r="D4656" s="19">
        <v>18</v>
      </c>
      <c r="E4656">
        <v>120</v>
      </c>
      <c r="F4656" t="s">
        <v>14</v>
      </c>
      <c r="H4656">
        <v>0</v>
      </c>
    </row>
    <row r="4657" spans="1:9" x14ac:dyDescent="0.2">
      <c r="A4657" t="str">
        <f t="shared" si="319"/>
        <v>40057Haapiti6121Autres</v>
      </c>
      <c r="B4657" s="1">
        <v>40057</v>
      </c>
      <c r="C4657" t="s">
        <v>25</v>
      </c>
      <c r="D4657" s="19">
        <v>6</v>
      </c>
      <c r="E4657">
        <v>121</v>
      </c>
      <c r="F4657" t="s">
        <v>14</v>
      </c>
      <c r="H4657">
        <v>0</v>
      </c>
    </row>
    <row r="4658" spans="1:9" x14ac:dyDescent="0.2">
      <c r="A4658" t="str">
        <f t="shared" si="319"/>
        <v>40057Haapiti6122Autres</v>
      </c>
      <c r="B4658" s="1">
        <v>40057</v>
      </c>
      <c r="C4658" t="s">
        <v>25</v>
      </c>
      <c r="D4658" s="19">
        <v>6</v>
      </c>
      <c r="E4658">
        <v>122</v>
      </c>
      <c r="F4658" t="s">
        <v>14</v>
      </c>
      <c r="H4658">
        <v>0</v>
      </c>
    </row>
    <row r="4659" spans="1:9" x14ac:dyDescent="0.2">
      <c r="A4659" t="str">
        <f t="shared" si="319"/>
        <v>40057Haapiti6123Autres</v>
      </c>
      <c r="B4659" s="1">
        <v>40057</v>
      </c>
      <c r="C4659" t="s">
        <v>25</v>
      </c>
      <c r="D4659" s="19">
        <v>6</v>
      </c>
      <c r="E4659">
        <v>123</v>
      </c>
      <c r="F4659" t="s">
        <v>14</v>
      </c>
      <c r="H4659">
        <v>0</v>
      </c>
    </row>
    <row r="4660" spans="1:9" x14ac:dyDescent="0.2">
      <c r="A4660" t="str">
        <f t="shared" si="319"/>
        <v>40057Haapiti6124Autres</v>
      </c>
      <c r="B4660" s="1">
        <v>40057</v>
      </c>
      <c r="C4660" t="s">
        <v>25</v>
      </c>
      <c r="D4660" s="19">
        <v>6</v>
      </c>
      <c r="E4660">
        <v>124</v>
      </c>
      <c r="F4660" t="s">
        <v>14</v>
      </c>
      <c r="H4660">
        <v>0</v>
      </c>
    </row>
    <row r="4661" spans="1:9" x14ac:dyDescent="0.2">
      <c r="A4661" t="str">
        <f t="shared" si="319"/>
        <v>40057Haapiti6125</v>
      </c>
      <c r="B4661" s="1">
        <v>40057</v>
      </c>
      <c r="C4661" t="s">
        <v>25</v>
      </c>
      <c r="D4661" s="19">
        <v>6</v>
      </c>
      <c r="E4661">
        <v>125</v>
      </c>
      <c r="F4661" t="s">
        <v>27</v>
      </c>
      <c r="G4661" t="s">
        <v>27</v>
      </c>
      <c r="H4661" t="s">
        <v>27</v>
      </c>
      <c r="I4661" t="s">
        <v>31</v>
      </c>
    </row>
    <row r="4662" spans="1:9" x14ac:dyDescent="0.2">
      <c r="A4662" t="str">
        <f t="shared" si="319"/>
        <v>40057Haapiti6126Autres</v>
      </c>
      <c r="B4662" s="1">
        <v>40057</v>
      </c>
      <c r="C4662" t="s">
        <v>25</v>
      </c>
      <c r="D4662" s="19">
        <v>6</v>
      </c>
      <c r="E4662">
        <v>126</v>
      </c>
      <c r="F4662" t="s">
        <v>14</v>
      </c>
      <c r="H4662">
        <v>0</v>
      </c>
    </row>
    <row r="4663" spans="1:9" x14ac:dyDescent="0.2">
      <c r="A4663" t="str">
        <f t="shared" si="319"/>
        <v>40057Haapiti6127Autres</v>
      </c>
      <c r="B4663" s="1">
        <v>40057</v>
      </c>
      <c r="C4663" t="s">
        <v>25</v>
      </c>
      <c r="D4663" s="19">
        <v>6</v>
      </c>
      <c r="E4663">
        <v>127</v>
      </c>
      <c r="F4663" t="s">
        <v>14</v>
      </c>
      <c r="H4663">
        <v>0</v>
      </c>
    </row>
    <row r="4664" spans="1:9" x14ac:dyDescent="0.2">
      <c r="A4664" t="str">
        <f t="shared" si="319"/>
        <v>40057Haapiti6128Autres</v>
      </c>
      <c r="B4664" s="1">
        <v>40057</v>
      </c>
      <c r="C4664" t="s">
        <v>25</v>
      </c>
      <c r="D4664" s="19">
        <v>6</v>
      </c>
      <c r="E4664">
        <v>128</v>
      </c>
      <c r="F4664" t="s">
        <v>14</v>
      </c>
      <c r="H4664">
        <v>0</v>
      </c>
    </row>
    <row r="4665" spans="1:9" x14ac:dyDescent="0.2">
      <c r="A4665" t="str">
        <f t="shared" si="319"/>
        <v>40057Haapiti6129Autres</v>
      </c>
      <c r="B4665" s="1">
        <v>40057</v>
      </c>
      <c r="C4665" t="s">
        <v>25</v>
      </c>
      <c r="D4665" s="19">
        <v>6</v>
      </c>
      <c r="E4665">
        <v>129</v>
      </c>
      <c r="F4665" t="s">
        <v>14</v>
      </c>
      <c r="H4665">
        <v>0</v>
      </c>
    </row>
    <row r="4666" spans="1:9" x14ac:dyDescent="0.2">
      <c r="A4666" t="str">
        <f t="shared" si="319"/>
        <v>40057Haapiti6130Autres</v>
      </c>
      <c r="B4666" s="1">
        <v>40057</v>
      </c>
      <c r="C4666" t="s">
        <v>25</v>
      </c>
      <c r="D4666" s="19">
        <v>6</v>
      </c>
      <c r="E4666">
        <v>130</v>
      </c>
      <c r="F4666" t="s">
        <v>14</v>
      </c>
      <c r="H4666">
        <v>0</v>
      </c>
    </row>
    <row r="4667" spans="1:9" x14ac:dyDescent="0.2">
      <c r="A4667" t="str">
        <f t="shared" si="319"/>
        <v>40057Haapiti6131Autres</v>
      </c>
      <c r="B4667" s="1">
        <v>40057</v>
      </c>
      <c r="C4667" t="s">
        <v>25</v>
      </c>
      <c r="D4667" s="19">
        <v>6</v>
      </c>
      <c r="E4667">
        <v>131</v>
      </c>
      <c r="F4667" t="s">
        <v>14</v>
      </c>
      <c r="H4667">
        <v>0</v>
      </c>
    </row>
    <row r="4668" spans="1:9" x14ac:dyDescent="0.2">
      <c r="A4668" t="str">
        <f t="shared" si="319"/>
        <v>40057Haapiti6132Autres</v>
      </c>
      <c r="B4668" s="1">
        <v>40057</v>
      </c>
      <c r="C4668" t="s">
        <v>25</v>
      </c>
      <c r="D4668" s="19">
        <v>6</v>
      </c>
      <c r="E4668">
        <v>132</v>
      </c>
      <c r="F4668" t="s">
        <v>14</v>
      </c>
      <c r="H4668">
        <v>0</v>
      </c>
    </row>
    <row r="4669" spans="1:9" x14ac:dyDescent="0.2">
      <c r="A4669" t="str">
        <f t="shared" si="319"/>
        <v>40057Haapiti6133Autres</v>
      </c>
      <c r="B4669" s="1">
        <v>40057</v>
      </c>
      <c r="C4669" t="s">
        <v>25</v>
      </c>
      <c r="D4669" s="19">
        <v>6</v>
      </c>
      <c r="E4669">
        <v>133</v>
      </c>
      <c r="F4669" t="s">
        <v>14</v>
      </c>
      <c r="H4669">
        <v>0</v>
      </c>
    </row>
    <row r="4670" spans="1:9" x14ac:dyDescent="0.2">
      <c r="A4670" t="str">
        <f t="shared" si="319"/>
        <v>40057Haapiti6134Autres</v>
      </c>
      <c r="B4670" s="1">
        <v>40057</v>
      </c>
      <c r="C4670" t="s">
        <v>25</v>
      </c>
      <c r="D4670" s="19">
        <v>6</v>
      </c>
      <c r="E4670">
        <v>134</v>
      </c>
      <c r="F4670" t="s">
        <v>14</v>
      </c>
      <c r="H4670">
        <v>0</v>
      </c>
    </row>
    <row r="4671" spans="1:9" x14ac:dyDescent="0.2">
      <c r="A4671" t="str">
        <f t="shared" ref="A4671:A4734" si="320">B4671 &amp; C4671&amp; D4671&amp; E4671 &amp; F4671 &amp;G4671</f>
        <v>40057Haapiti6135Autres</v>
      </c>
      <c r="B4671" s="1">
        <v>40057</v>
      </c>
      <c r="C4671" t="s">
        <v>25</v>
      </c>
      <c r="D4671" s="19">
        <v>6</v>
      </c>
      <c r="E4671">
        <v>135</v>
      </c>
      <c r="F4671" t="s">
        <v>14</v>
      </c>
      <c r="H4671">
        <v>0</v>
      </c>
    </row>
    <row r="4672" spans="1:9" x14ac:dyDescent="0.2">
      <c r="A4672" t="str">
        <f t="shared" si="320"/>
        <v>40057Haapiti6136Autres</v>
      </c>
      <c r="B4672" s="1">
        <v>40057</v>
      </c>
      <c r="C4672" t="s">
        <v>25</v>
      </c>
      <c r="D4672" s="19">
        <v>6</v>
      </c>
      <c r="E4672">
        <v>136</v>
      </c>
      <c r="F4672" t="s">
        <v>14</v>
      </c>
      <c r="H4672">
        <v>0</v>
      </c>
    </row>
    <row r="4673" spans="1:8" x14ac:dyDescent="0.2">
      <c r="A4673" t="str">
        <f t="shared" si="320"/>
        <v>40057Haapiti6137Autres</v>
      </c>
      <c r="B4673" s="1">
        <v>40057</v>
      </c>
      <c r="C4673" t="s">
        <v>25</v>
      </c>
      <c r="D4673" s="19">
        <v>6</v>
      </c>
      <c r="E4673">
        <v>137</v>
      </c>
      <c r="F4673" t="s">
        <v>14</v>
      </c>
      <c r="H4673">
        <v>0</v>
      </c>
    </row>
    <row r="4674" spans="1:8" x14ac:dyDescent="0.2">
      <c r="A4674" t="str">
        <f t="shared" si="320"/>
        <v>40057Haapiti6138Autres</v>
      </c>
      <c r="B4674" s="1">
        <v>40057</v>
      </c>
      <c r="C4674" t="s">
        <v>25</v>
      </c>
      <c r="D4674" s="19">
        <v>6</v>
      </c>
      <c r="E4674">
        <v>138</v>
      </c>
      <c r="F4674" t="s">
        <v>14</v>
      </c>
      <c r="H4674">
        <v>0</v>
      </c>
    </row>
    <row r="4675" spans="1:8" x14ac:dyDescent="0.2">
      <c r="A4675" t="str">
        <f t="shared" si="320"/>
        <v>40057Haapiti6139Autres</v>
      </c>
      <c r="B4675" s="1">
        <v>40057</v>
      </c>
      <c r="C4675" t="s">
        <v>25</v>
      </c>
      <c r="D4675" s="19">
        <v>6</v>
      </c>
      <c r="E4675">
        <v>139</v>
      </c>
      <c r="F4675" t="s">
        <v>14</v>
      </c>
      <c r="H4675">
        <v>0</v>
      </c>
    </row>
    <row r="4676" spans="1:8" x14ac:dyDescent="0.2">
      <c r="A4676" t="str">
        <f t="shared" si="320"/>
        <v>40057Haapiti6140Autres</v>
      </c>
      <c r="B4676" s="1">
        <v>40057</v>
      </c>
      <c r="C4676" t="s">
        <v>25</v>
      </c>
      <c r="D4676" s="19">
        <v>6</v>
      </c>
      <c r="E4676">
        <v>140</v>
      </c>
      <c r="F4676" t="s">
        <v>14</v>
      </c>
      <c r="H4676">
        <v>0</v>
      </c>
    </row>
    <row r="4677" spans="1:8" x14ac:dyDescent="0.2">
      <c r="A4677" t="str">
        <f t="shared" si="320"/>
        <v>40057Haapiti12141Autres</v>
      </c>
      <c r="B4677" s="1">
        <v>40057</v>
      </c>
      <c r="C4677" t="s">
        <v>25</v>
      </c>
      <c r="D4677" s="19">
        <v>12</v>
      </c>
      <c r="E4677">
        <v>141</v>
      </c>
      <c r="F4677" t="s">
        <v>14</v>
      </c>
      <c r="H4677">
        <v>0</v>
      </c>
    </row>
    <row r="4678" spans="1:8" x14ac:dyDescent="0.2">
      <c r="A4678" t="str">
        <f t="shared" si="320"/>
        <v>40057Haapiti12142Autres</v>
      </c>
      <c r="B4678" s="1">
        <v>40057</v>
      </c>
      <c r="C4678" t="s">
        <v>25</v>
      </c>
      <c r="D4678" s="19">
        <v>12</v>
      </c>
      <c r="E4678">
        <v>142</v>
      </c>
      <c r="F4678" t="s">
        <v>14</v>
      </c>
      <c r="H4678">
        <v>0</v>
      </c>
    </row>
    <row r="4679" spans="1:8" x14ac:dyDescent="0.2">
      <c r="A4679" t="str">
        <f t="shared" si="320"/>
        <v>40057Haapiti12143Autres</v>
      </c>
      <c r="B4679" s="1">
        <v>40057</v>
      </c>
      <c r="C4679" t="s">
        <v>25</v>
      </c>
      <c r="D4679" s="19">
        <v>12</v>
      </c>
      <c r="E4679">
        <v>143</v>
      </c>
      <c r="F4679" t="s">
        <v>14</v>
      </c>
      <c r="H4679">
        <v>0</v>
      </c>
    </row>
    <row r="4680" spans="1:8" x14ac:dyDescent="0.2">
      <c r="A4680" t="str">
        <f t="shared" si="320"/>
        <v>40057Haapiti12144Autres</v>
      </c>
      <c r="B4680" s="1">
        <v>40057</v>
      </c>
      <c r="C4680" t="s">
        <v>25</v>
      </c>
      <c r="D4680" s="19">
        <v>12</v>
      </c>
      <c r="E4680">
        <v>144</v>
      </c>
      <c r="F4680" t="s">
        <v>14</v>
      </c>
      <c r="H4680">
        <v>0</v>
      </c>
    </row>
    <row r="4681" spans="1:8" x14ac:dyDescent="0.2">
      <c r="A4681" t="str">
        <f t="shared" si="320"/>
        <v>40057Haapiti12145Autres</v>
      </c>
      <c r="B4681" s="1">
        <v>40057</v>
      </c>
      <c r="C4681" t="s">
        <v>25</v>
      </c>
      <c r="D4681" s="19">
        <v>12</v>
      </c>
      <c r="E4681">
        <v>145</v>
      </c>
      <c r="F4681" t="s">
        <v>14</v>
      </c>
      <c r="H4681">
        <v>0</v>
      </c>
    </row>
    <row r="4682" spans="1:8" x14ac:dyDescent="0.2">
      <c r="A4682" t="str">
        <f t="shared" si="320"/>
        <v>40057Haapiti12146Autres</v>
      </c>
      <c r="B4682" s="1">
        <v>40057</v>
      </c>
      <c r="C4682" t="s">
        <v>25</v>
      </c>
      <c r="D4682" s="19">
        <v>12</v>
      </c>
      <c r="E4682">
        <v>146</v>
      </c>
      <c r="F4682" t="s">
        <v>14</v>
      </c>
      <c r="H4682">
        <v>0</v>
      </c>
    </row>
    <row r="4683" spans="1:8" x14ac:dyDescent="0.2">
      <c r="A4683" t="str">
        <f t="shared" si="320"/>
        <v>40057Haapiti12147Autres</v>
      </c>
      <c r="B4683" s="1">
        <v>40057</v>
      </c>
      <c r="C4683" t="s">
        <v>25</v>
      </c>
      <c r="D4683" s="19">
        <v>12</v>
      </c>
      <c r="E4683">
        <v>147</v>
      </c>
      <c r="F4683" t="s">
        <v>14</v>
      </c>
      <c r="H4683">
        <v>0</v>
      </c>
    </row>
    <row r="4684" spans="1:8" x14ac:dyDescent="0.2">
      <c r="A4684" t="str">
        <f t="shared" si="320"/>
        <v>40057Haapiti12148Autres</v>
      </c>
      <c r="B4684" s="1">
        <v>40057</v>
      </c>
      <c r="C4684" t="s">
        <v>25</v>
      </c>
      <c r="D4684" s="19">
        <v>12</v>
      </c>
      <c r="E4684">
        <v>148</v>
      </c>
      <c r="F4684" t="s">
        <v>14</v>
      </c>
      <c r="H4684">
        <v>0</v>
      </c>
    </row>
    <row r="4685" spans="1:8" x14ac:dyDescent="0.2">
      <c r="A4685" t="str">
        <f t="shared" si="320"/>
        <v>40057Haapiti12149Autres</v>
      </c>
      <c r="B4685" s="1">
        <v>40057</v>
      </c>
      <c r="C4685" t="s">
        <v>25</v>
      </c>
      <c r="D4685" s="19">
        <v>12</v>
      </c>
      <c r="E4685">
        <v>149</v>
      </c>
      <c r="F4685" t="s">
        <v>14</v>
      </c>
      <c r="H4685">
        <v>0</v>
      </c>
    </row>
    <row r="4686" spans="1:8" x14ac:dyDescent="0.2">
      <c r="A4686" t="str">
        <f t="shared" si="320"/>
        <v>40057Haapiti12150Autres</v>
      </c>
      <c r="B4686" s="1">
        <v>40057</v>
      </c>
      <c r="C4686" t="s">
        <v>25</v>
      </c>
      <c r="D4686" s="19">
        <v>12</v>
      </c>
      <c r="E4686">
        <v>150</v>
      </c>
      <c r="F4686" t="s">
        <v>14</v>
      </c>
      <c r="H4686">
        <v>0</v>
      </c>
    </row>
    <row r="4687" spans="1:8" x14ac:dyDescent="0.2">
      <c r="A4687" t="str">
        <f t="shared" si="320"/>
        <v>40057Haapiti12151Autres</v>
      </c>
      <c r="B4687" s="1">
        <v>40057</v>
      </c>
      <c r="C4687" t="s">
        <v>25</v>
      </c>
      <c r="D4687" s="19">
        <v>12</v>
      </c>
      <c r="E4687">
        <v>151</v>
      </c>
      <c r="F4687" t="s">
        <v>14</v>
      </c>
      <c r="H4687">
        <v>0</v>
      </c>
    </row>
    <row r="4688" spans="1:8" x14ac:dyDescent="0.2">
      <c r="A4688" t="str">
        <f t="shared" si="320"/>
        <v>40057Haapiti12152Autres</v>
      </c>
      <c r="B4688" s="1">
        <v>40057</v>
      </c>
      <c r="C4688" t="s">
        <v>25</v>
      </c>
      <c r="D4688" s="19">
        <v>12</v>
      </c>
      <c r="E4688">
        <v>152</v>
      </c>
      <c r="F4688" t="s">
        <v>14</v>
      </c>
      <c r="H4688">
        <v>0</v>
      </c>
    </row>
    <row r="4689" spans="1:9" x14ac:dyDescent="0.2">
      <c r="A4689" t="str">
        <f t="shared" si="320"/>
        <v>40057Haapiti12153Autres</v>
      </c>
      <c r="B4689" s="1">
        <v>40057</v>
      </c>
      <c r="C4689" t="s">
        <v>25</v>
      </c>
      <c r="D4689" s="19">
        <v>12</v>
      </c>
      <c r="E4689">
        <v>153</v>
      </c>
      <c r="F4689" t="s">
        <v>14</v>
      </c>
      <c r="H4689">
        <v>0</v>
      </c>
    </row>
    <row r="4690" spans="1:9" x14ac:dyDescent="0.2">
      <c r="A4690" t="str">
        <f t="shared" si="320"/>
        <v>40057Haapiti12154Autres</v>
      </c>
      <c r="B4690" s="1">
        <v>40057</v>
      </c>
      <c r="C4690" t="s">
        <v>25</v>
      </c>
      <c r="D4690" s="19">
        <v>12</v>
      </c>
      <c r="E4690">
        <v>154</v>
      </c>
      <c r="F4690" t="s">
        <v>14</v>
      </c>
      <c r="H4690">
        <v>0</v>
      </c>
    </row>
    <row r="4691" spans="1:9" x14ac:dyDescent="0.2">
      <c r="A4691" t="str">
        <f t="shared" si="320"/>
        <v>40057Haapiti12155Autres</v>
      </c>
      <c r="B4691" s="1">
        <v>40057</v>
      </c>
      <c r="C4691" t="s">
        <v>25</v>
      </c>
      <c r="D4691" s="19">
        <v>12</v>
      </c>
      <c r="E4691">
        <v>155</v>
      </c>
      <c r="F4691" t="s">
        <v>14</v>
      </c>
      <c r="H4691">
        <v>0</v>
      </c>
    </row>
    <row r="4692" spans="1:9" x14ac:dyDescent="0.2">
      <c r="A4692" t="str">
        <f t="shared" si="320"/>
        <v>40057Haapiti12156Autres</v>
      </c>
      <c r="B4692" s="1">
        <v>40057</v>
      </c>
      <c r="C4692" t="s">
        <v>25</v>
      </c>
      <c r="D4692" s="19">
        <v>12</v>
      </c>
      <c r="E4692">
        <v>156</v>
      </c>
      <c r="F4692" t="s">
        <v>14</v>
      </c>
      <c r="H4692">
        <v>0</v>
      </c>
    </row>
    <row r="4693" spans="1:9" x14ac:dyDescent="0.2">
      <c r="A4693" t="str">
        <f t="shared" si="320"/>
        <v>40057Haapiti12157Autres</v>
      </c>
      <c r="B4693" s="1">
        <v>40057</v>
      </c>
      <c r="C4693" t="s">
        <v>25</v>
      </c>
      <c r="D4693" s="19">
        <v>12</v>
      </c>
      <c r="E4693">
        <v>157</v>
      </c>
      <c r="F4693" t="s">
        <v>14</v>
      </c>
      <c r="H4693">
        <v>0</v>
      </c>
    </row>
    <row r="4694" spans="1:9" x14ac:dyDescent="0.2">
      <c r="A4694" t="str">
        <f t="shared" si="320"/>
        <v>40057Haapiti12158Autres</v>
      </c>
      <c r="B4694" s="1">
        <v>40057</v>
      </c>
      <c r="C4694" t="s">
        <v>25</v>
      </c>
      <c r="D4694" s="19">
        <v>12</v>
      </c>
      <c r="E4694">
        <v>158</v>
      </c>
      <c r="F4694" t="s">
        <v>14</v>
      </c>
      <c r="H4694">
        <v>0</v>
      </c>
    </row>
    <row r="4695" spans="1:9" x14ac:dyDescent="0.2">
      <c r="A4695" t="str">
        <f t="shared" si="320"/>
        <v>40057Haapiti12159Autres</v>
      </c>
      <c r="B4695" s="1">
        <v>40057</v>
      </c>
      <c r="C4695" t="s">
        <v>25</v>
      </c>
      <c r="D4695" s="19">
        <v>12</v>
      </c>
      <c r="E4695">
        <v>159</v>
      </c>
      <c r="F4695" t="s">
        <v>14</v>
      </c>
      <c r="H4695">
        <v>0</v>
      </c>
    </row>
    <row r="4696" spans="1:9" x14ac:dyDescent="0.2">
      <c r="A4696" t="str">
        <f t="shared" si="320"/>
        <v>40057Haapiti12160Autres</v>
      </c>
      <c r="B4696" s="1">
        <v>40057</v>
      </c>
      <c r="C4696" t="s">
        <v>25</v>
      </c>
      <c r="D4696" s="19">
        <v>12</v>
      </c>
      <c r="E4696">
        <v>160</v>
      </c>
      <c r="F4696" t="s">
        <v>14</v>
      </c>
      <c r="H4696">
        <v>0</v>
      </c>
    </row>
    <row r="4697" spans="1:9" x14ac:dyDescent="0.2">
      <c r="A4697" t="str">
        <f t="shared" si="320"/>
        <v>40057Haapiti18161Autres</v>
      </c>
      <c r="B4697" s="1">
        <v>40057</v>
      </c>
      <c r="C4697" t="s">
        <v>25</v>
      </c>
      <c r="D4697" s="19">
        <v>18</v>
      </c>
      <c r="E4697">
        <v>161</v>
      </c>
      <c r="F4697" t="s">
        <v>14</v>
      </c>
      <c r="H4697">
        <v>0</v>
      </c>
    </row>
    <row r="4698" spans="1:9" x14ac:dyDescent="0.2">
      <c r="A4698" t="str">
        <f t="shared" si="320"/>
        <v>40057Haapiti18162Autres</v>
      </c>
      <c r="B4698" s="1">
        <v>40057</v>
      </c>
      <c r="C4698" t="s">
        <v>25</v>
      </c>
      <c r="D4698" s="19">
        <v>18</v>
      </c>
      <c r="E4698">
        <v>162</v>
      </c>
      <c r="F4698" t="s">
        <v>14</v>
      </c>
      <c r="H4698">
        <v>0</v>
      </c>
    </row>
    <row r="4699" spans="1:9" x14ac:dyDescent="0.2">
      <c r="A4699" t="str">
        <f t="shared" si="320"/>
        <v>40057Haapiti18163Autres</v>
      </c>
      <c r="B4699" s="1">
        <v>40057</v>
      </c>
      <c r="C4699" t="s">
        <v>25</v>
      </c>
      <c r="D4699" s="19">
        <v>18</v>
      </c>
      <c r="E4699">
        <v>163</v>
      </c>
      <c r="F4699" t="s">
        <v>14</v>
      </c>
      <c r="H4699">
        <v>0</v>
      </c>
    </row>
    <row r="4700" spans="1:9" x14ac:dyDescent="0.2">
      <c r="A4700" t="str">
        <f t="shared" si="320"/>
        <v>40057Haapiti18164Autres</v>
      </c>
      <c r="B4700" s="1">
        <v>40057</v>
      </c>
      <c r="C4700" t="s">
        <v>25</v>
      </c>
      <c r="D4700" s="19">
        <v>18</v>
      </c>
      <c r="E4700">
        <v>164</v>
      </c>
      <c r="F4700" t="s">
        <v>14</v>
      </c>
      <c r="H4700">
        <v>0</v>
      </c>
    </row>
    <row r="4701" spans="1:9" x14ac:dyDescent="0.2">
      <c r="A4701" t="str">
        <f t="shared" si="320"/>
        <v>40057Haapiti18165Autres</v>
      </c>
      <c r="B4701" s="1">
        <v>40057</v>
      </c>
      <c r="C4701" t="s">
        <v>25</v>
      </c>
      <c r="D4701" s="19">
        <v>18</v>
      </c>
      <c r="E4701">
        <v>165</v>
      </c>
      <c r="F4701" t="s">
        <v>14</v>
      </c>
      <c r="H4701">
        <v>0</v>
      </c>
    </row>
    <row r="4702" spans="1:9" x14ac:dyDescent="0.2">
      <c r="A4702" t="str">
        <f t="shared" si="320"/>
        <v>40057Haapiti18166Autres</v>
      </c>
      <c r="B4702" s="1">
        <v>40057</v>
      </c>
      <c r="C4702" t="s">
        <v>25</v>
      </c>
      <c r="D4702" s="19">
        <v>18</v>
      </c>
      <c r="E4702">
        <v>166</v>
      </c>
      <c r="F4702" t="s">
        <v>14</v>
      </c>
      <c r="H4702">
        <v>0</v>
      </c>
    </row>
    <row r="4703" spans="1:9" x14ac:dyDescent="0.2">
      <c r="A4703" t="str">
        <f t="shared" si="320"/>
        <v>40057Haapiti18167Autres</v>
      </c>
      <c r="B4703" s="1">
        <v>40057</v>
      </c>
      <c r="C4703" t="s">
        <v>25</v>
      </c>
      <c r="D4703" s="19">
        <v>18</v>
      </c>
      <c r="E4703">
        <v>167</v>
      </c>
      <c r="F4703" t="s">
        <v>14</v>
      </c>
      <c r="H4703">
        <v>0</v>
      </c>
    </row>
    <row r="4704" spans="1:9" x14ac:dyDescent="0.2">
      <c r="A4704" t="str">
        <f t="shared" si="320"/>
        <v>40057Haapiti18168CassésDessus</v>
      </c>
      <c r="B4704" s="1">
        <v>40057</v>
      </c>
      <c r="C4704" t="s">
        <v>25</v>
      </c>
      <c r="D4704" s="19">
        <v>18</v>
      </c>
      <c r="E4704">
        <v>168</v>
      </c>
      <c r="F4704" t="s">
        <v>12</v>
      </c>
      <c r="G4704" t="s">
        <v>11</v>
      </c>
      <c r="H4704">
        <v>1</v>
      </c>
      <c r="I4704" t="s">
        <v>27</v>
      </c>
    </row>
    <row r="4705" spans="1:9" x14ac:dyDescent="0.2">
      <c r="A4705" t="str">
        <f t="shared" si="320"/>
        <v>40057Haapiti18169Autres</v>
      </c>
      <c r="B4705" s="1">
        <v>40057</v>
      </c>
      <c r="C4705" t="s">
        <v>25</v>
      </c>
      <c r="D4705" s="19">
        <v>18</v>
      </c>
      <c r="E4705">
        <v>169</v>
      </c>
      <c r="F4705" t="s">
        <v>14</v>
      </c>
      <c r="H4705">
        <v>0</v>
      </c>
    </row>
    <row r="4706" spans="1:9" x14ac:dyDescent="0.2">
      <c r="A4706" t="str">
        <f t="shared" si="320"/>
        <v>40057Haapiti18170Autres</v>
      </c>
      <c r="B4706" s="1">
        <v>40057</v>
      </c>
      <c r="C4706" t="s">
        <v>25</v>
      </c>
      <c r="D4706" s="19">
        <v>18</v>
      </c>
      <c r="E4706">
        <v>170</v>
      </c>
      <c r="F4706" t="s">
        <v>14</v>
      </c>
      <c r="H4706">
        <v>0</v>
      </c>
    </row>
    <row r="4707" spans="1:9" x14ac:dyDescent="0.2">
      <c r="A4707" t="str">
        <f t="shared" si="320"/>
        <v>40057Haapiti18171Autres</v>
      </c>
      <c r="B4707" s="1">
        <v>40057</v>
      </c>
      <c r="C4707" t="s">
        <v>25</v>
      </c>
      <c r="D4707" s="19">
        <v>18</v>
      </c>
      <c r="E4707">
        <v>171</v>
      </c>
      <c r="F4707" t="s">
        <v>14</v>
      </c>
      <c r="H4707">
        <v>0</v>
      </c>
    </row>
    <row r="4708" spans="1:9" x14ac:dyDescent="0.2">
      <c r="A4708" t="str">
        <f t="shared" si="320"/>
        <v>40057Haapiti18172Autres</v>
      </c>
      <c r="B4708" s="1">
        <v>40057</v>
      </c>
      <c r="C4708" t="s">
        <v>25</v>
      </c>
      <c r="D4708" s="19">
        <v>18</v>
      </c>
      <c r="E4708">
        <v>172</v>
      </c>
      <c r="F4708" t="s">
        <v>14</v>
      </c>
      <c r="H4708">
        <v>0</v>
      </c>
    </row>
    <row r="4709" spans="1:9" x14ac:dyDescent="0.2">
      <c r="A4709" t="str">
        <f t="shared" si="320"/>
        <v>40057Haapiti18173Autres</v>
      </c>
      <c r="B4709" s="1">
        <v>40057</v>
      </c>
      <c r="C4709" t="s">
        <v>25</v>
      </c>
      <c r="D4709" s="19">
        <v>18</v>
      </c>
      <c r="E4709">
        <v>173</v>
      </c>
      <c r="F4709" t="s">
        <v>14</v>
      </c>
      <c r="H4709">
        <v>0</v>
      </c>
    </row>
    <row r="4710" spans="1:9" x14ac:dyDescent="0.2">
      <c r="A4710" t="str">
        <f t="shared" si="320"/>
        <v>40057Haapiti18174Autres</v>
      </c>
      <c r="B4710" s="1">
        <v>40057</v>
      </c>
      <c r="C4710" t="s">
        <v>25</v>
      </c>
      <c r="D4710" s="19">
        <v>18</v>
      </c>
      <c r="E4710">
        <v>174</v>
      </c>
      <c r="F4710" t="s">
        <v>14</v>
      </c>
      <c r="H4710">
        <v>0</v>
      </c>
    </row>
    <row r="4711" spans="1:9" x14ac:dyDescent="0.2">
      <c r="A4711" t="str">
        <f t="shared" si="320"/>
        <v>40057Haapiti18175Autres</v>
      </c>
      <c r="B4711" s="1">
        <v>40057</v>
      </c>
      <c r="C4711" t="s">
        <v>25</v>
      </c>
      <c r="D4711" s="19">
        <v>18</v>
      </c>
      <c r="E4711">
        <v>175</v>
      </c>
      <c r="F4711" t="s">
        <v>14</v>
      </c>
      <c r="H4711">
        <v>0</v>
      </c>
    </row>
    <row r="4712" spans="1:9" x14ac:dyDescent="0.2">
      <c r="A4712" t="str">
        <f t="shared" si="320"/>
        <v>40057Haapiti18176Autres</v>
      </c>
      <c r="B4712" s="1">
        <v>40057</v>
      </c>
      <c r="C4712" t="s">
        <v>25</v>
      </c>
      <c r="D4712" s="19">
        <v>18</v>
      </c>
      <c r="E4712">
        <v>176</v>
      </c>
      <c r="F4712" t="s">
        <v>14</v>
      </c>
      <c r="H4712">
        <v>0</v>
      </c>
    </row>
    <row r="4713" spans="1:9" x14ac:dyDescent="0.2">
      <c r="A4713" t="str">
        <f t="shared" si="320"/>
        <v>40057Haapiti18177Autres</v>
      </c>
      <c r="B4713" s="1">
        <v>40057</v>
      </c>
      <c r="C4713" t="s">
        <v>25</v>
      </c>
      <c r="D4713" s="19">
        <v>18</v>
      </c>
      <c r="E4713">
        <v>177</v>
      </c>
      <c r="F4713" t="s">
        <v>14</v>
      </c>
      <c r="H4713">
        <v>0</v>
      </c>
    </row>
    <row r="4714" spans="1:9" x14ac:dyDescent="0.2">
      <c r="A4714" t="str">
        <f t="shared" si="320"/>
        <v>40057Haapiti18178Autres</v>
      </c>
      <c r="B4714" s="1">
        <v>40057</v>
      </c>
      <c r="C4714" t="s">
        <v>25</v>
      </c>
      <c r="D4714" s="19">
        <v>18</v>
      </c>
      <c r="E4714">
        <v>178</v>
      </c>
      <c r="F4714" t="s">
        <v>14</v>
      </c>
      <c r="H4714">
        <v>0</v>
      </c>
    </row>
    <row r="4715" spans="1:9" x14ac:dyDescent="0.2">
      <c r="A4715" t="str">
        <f t="shared" si="320"/>
        <v>40057Haapiti18179Autres</v>
      </c>
      <c r="B4715" s="1">
        <v>40057</v>
      </c>
      <c r="C4715" t="s">
        <v>25</v>
      </c>
      <c r="D4715" s="19">
        <v>18</v>
      </c>
      <c r="E4715">
        <v>179</v>
      </c>
      <c r="F4715" t="s">
        <v>14</v>
      </c>
      <c r="H4715">
        <v>0</v>
      </c>
    </row>
    <row r="4716" spans="1:9" x14ac:dyDescent="0.2">
      <c r="A4716" t="str">
        <f t="shared" si="320"/>
        <v>40057Haapiti18180Autres</v>
      </c>
      <c r="B4716" s="1">
        <v>40057</v>
      </c>
      <c r="C4716" t="s">
        <v>25</v>
      </c>
      <c r="D4716" s="19">
        <v>18</v>
      </c>
      <c r="E4716">
        <v>180</v>
      </c>
      <c r="F4716" t="s">
        <v>14</v>
      </c>
      <c r="H4716">
        <v>0</v>
      </c>
    </row>
    <row r="4717" spans="1:9" x14ac:dyDescent="0.2">
      <c r="A4717" t="str">
        <f t="shared" si="320"/>
        <v>40148Vaipahu61</v>
      </c>
      <c r="B4717" s="1">
        <v>40148</v>
      </c>
      <c r="C4717" t="s">
        <v>23</v>
      </c>
      <c r="D4717" s="19">
        <v>6</v>
      </c>
      <c r="E4717">
        <v>1</v>
      </c>
      <c r="F4717" t="s">
        <v>27</v>
      </c>
      <c r="G4717" t="s">
        <v>27</v>
      </c>
      <c r="H4717" t="s">
        <v>27</v>
      </c>
      <c r="I4717" t="s">
        <v>31</v>
      </c>
    </row>
    <row r="4718" spans="1:9" x14ac:dyDescent="0.2">
      <c r="A4718" t="str">
        <f t="shared" si="320"/>
        <v>40148Vaipahu62PocilloporidaeBords</v>
      </c>
      <c r="B4718" s="1">
        <v>40148</v>
      </c>
      <c r="C4718" t="s">
        <v>23</v>
      </c>
      <c r="D4718" s="19">
        <v>6</v>
      </c>
      <c r="E4718">
        <v>2</v>
      </c>
      <c r="F4718" t="s">
        <v>10</v>
      </c>
      <c r="G4718" t="s">
        <v>13</v>
      </c>
      <c r="H4718">
        <v>5</v>
      </c>
      <c r="I4718" t="s">
        <v>27</v>
      </c>
    </row>
    <row r="4719" spans="1:9" x14ac:dyDescent="0.2">
      <c r="A4719" t="str">
        <f t="shared" si="320"/>
        <v>40148Vaipahu63</v>
      </c>
      <c r="B4719" s="1">
        <v>40148</v>
      </c>
      <c r="C4719" t="s">
        <v>23</v>
      </c>
      <c r="D4719" s="19">
        <v>6</v>
      </c>
      <c r="E4719">
        <v>3</v>
      </c>
      <c r="F4719" t="s">
        <v>27</v>
      </c>
      <c r="G4719" t="s">
        <v>27</v>
      </c>
      <c r="H4719" t="s">
        <v>27</v>
      </c>
      <c r="I4719" t="s">
        <v>31</v>
      </c>
    </row>
    <row r="4720" spans="1:9" x14ac:dyDescent="0.2">
      <c r="A4720" t="str">
        <f t="shared" si="320"/>
        <v>40148Vaipahu64Autres</v>
      </c>
      <c r="B4720" s="1">
        <v>40148</v>
      </c>
      <c r="C4720" t="s">
        <v>23</v>
      </c>
      <c r="D4720" s="19">
        <v>6</v>
      </c>
      <c r="E4720">
        <v>4</v>
      </c>
      <c r="F4720" t="s">
        <v>14</v>
      </c>
      <c r="H4720">
        <v>0</v>
      </c>
    </row>
    <row r="4721" spans="1:9" x14ac:dyDescent="0.2">
      <c r="A4721" t="str">
        <f t="shared" si="320"/>
        <v>40148Vaipahu65Autres</v>
      </c>
      <c r="B4721" s="1">
        <v>40148</v>
      </c>
      <c r="C4721" t="s">
        <v>23</v>
      </c>
      <c r="D4721" s="19">
        <v>6</v>
      </c>
      <c r="E4721">
        <v>5</v>
      </c>
      <c r="F4721" t="s">
        <v>14</v>
      </c>
      <c r="H4721">
        <v>0</v>
      </c>
    </row>
    <row r="4722" spans="1:9" x14ac:dyDescent="0.2">
      <c r="A4722" t="str">
        <f t="shared" si="320"/>
        <v>40148Vaipahu66CassésDessous</v>
      </c>
      <c r="B4722" s="1">
        <v>40148</v>
      </c>
      <c r="C4722" t="s">
        <v>23</v>
      </c>
      <c r="D4722" s="19">
        <v>6</v>
      </c>
      <c r="E4722">
        <v>6</v>
      </c>
      <c r="F4722" t="s">
        <v>12</v>
      </c>
      <c r="G4722" t="s">
        <v>8</v>
      </c>
      <c r="H4722">
        <v>1</v>
      </c>
    </row>
    <row r="4723" spans="1:9" x14ac:dyDescent="0.2">
      <c r="A4723" t="str">
        <f t="shared" si="320"/>
        <v>40148Vaipahu66PocilloporidaeBords</v>
      </c>
      <c r="B4723" s="1">
        <v>40148</v>
      </c>
      <c r="C4723" t="s">
        <v>23</v>
      </c>
      <c r="D4723" s="19">
        <v>6</v>
      </c>
      <c r="E4723">
        <v>6</v>
      </c>
      <c r="F4723" t="s">
        <v>10</v>
      </c>
      <c r="G4723" t="s">
        <v>13</v>
      </c>
      <c r="H4723">
        <v>3</v>
      </c>
    </row>
    <row r="4724" spans="1:9" x14ac:dyDescent="0.2">
      <c r="A4724" t="str">
        <f t="shared" si="320"/>
        <v>40148Vaipahu66PocilloporidaeDessous</v>
      </c>
      <c r="B4724" s="1">
        <v>40148</v>
      </c>
      <c r="C4724" t="s">
        <v>23</v>
      </c>
      <c r="D4724" s="19">
        <v>6</v>
      </c>
      <c r="E4724">
        <v>6</v>
      </c>
      <c r="F4724" t="s">
        <v>10</v>
      </c>
      <c r="G4724" t="s">
        <v>8</v>
      </c>
      <c r="H4724">
        <v>8</v>
      </c>
    </row>
    <row r="4725" spans="1:9" x14ac:dyDescent="0.2">
      <c r="A4725" t="str">
        <f t="shared" si="320"/>
        <v>40148Vaipahu67</v>
      </c>
      <c r="B4725" s="1">
        <v>40148</v>
      </c>
      <c r="C4725" t="s">
        <v>23</v>
      </c>
      <c r="D4725" s="19">
        <v>6</v>
      </c>
      <c r="E4725">
        <v>7</v>
      </c>
      <c r="F4725" t="s">
        <v>27</v>
      </c>
      <c r="G4725" t="s">
        <v>27</v>
      </c>
      <c r="H4725" t="s">
        <v>27</v>
      </c>
      <c r="I4725" t="s">
        <v>31</v>
      </c>
    </row>
    <row r="4726" spans="1:9" x14ac:dyDescent="0.2">
      <c r="A4726" t="str">
        <f t="shared" si="320"/>
        <v>40148Vaipahu68</v>
      </c>
      <c r="B4726" s="1">
        <v>40148</v>
      </c>
      <c r="C4726" t="s">
        <v>23</v>
      </c>
      <c r="D4726" s="19">
        <v>6</v>
      </c>
      <c r="E4726">
        <v>8</v>
      </c>
      <c r="F4726" t="s">
        <v>27</v>
      </c>
      <c r="G4726" t="s">
        <v>27</v>
      </c>
      <c r="H4726" t="s">
        <v>27</v>
      </c>
      <c r="I4726" t="s">
        <v>31</v>
      </c>
    </row>
    <row r="4727" spans="1:9" x14ac:dyDescent="0.2">
      <c r="A4727" t="str">
        <f t="shared" si="320"/>
        <v>40148Vaipahu69</v>
      </c>
      <c r="B4727" s="1">
        <v>40148</v>
      </c>
      <c r="C4727" t="s">
        <v>23</v>
      </c>
      <c r="D4727" s="19">
        <v>6</v>
      </c>
      <c r="E4727">
        <v>9</v>
      </c>
      <c r="F4727" t="s">
        <v>27</v>
      </c>
      <c r="G4727" t="s">
        <v>27</v>
      </c>
      <c r="H4727" t="s">
        <v>27</v>
      </c>
      <c r="I4727" t="s">
        <v>31</v>
      </c>
    </row>
    <row r="4728" spans="1:9" x14ac:dyDescent="0.2">
      <c r="A4728" t="str">
        <f t="shared" si="320"/>
        <v>40148Vaipahu610PocilloporidaeDessus</v>
      </c>
      <c r="B4728" s="1">
        <v>40148</v>
      </c>
      <c r="C4728" t="s">
        <v>23</v>
      </c>
      <c r="D4728" s="19">
        <v>6</v>
      </c>
      <c r="E4728">
        <v>10</v>
      </c>
      <c r="F4728" t="s">
        <v>10</v>
      </c>
      <c r="G4728" t="s">
        <v>11</v>
      </c>
      <c r="H4728">
        <v>1</v>
      </c>
      <c r="I4728" t="s">
        <v>27</v>
      </c>
    </row>
    <row r="4729" spans="1:9" x14ac:dyDescent="0.2">
      <c r="A4729" t="str">
        <f t="shared" si="320"/>
        <v>40148Vaipahu611</v>
      </c>
      <c r="B4729" s="1">
        <v>40148</v>
      </c>
      <c r="C4729" t="s">
        <v>23</v>
      </c>
      <c r="D4729" s="19">
        <v>6</v>
      </c>
      <c r="E4729">
        <v>11</v>
      </c>
      <c r="F4729" t="s">
        <v>27</v>
      </c>
      <c r="G4729" t="s">
        <v>27</v>
      </c>
      <c r="H4729" t="s">
        <v>27</v>
      </c>
      <c r="I4729" t="s">
        <v>31</v>
      </c>
    </row>
    <row r="4730" spans="1:9" x14ac:dyDescent="0.2">
      <c r="A4730" t="str">
        <f t="shared" si="320"/>
        <v>40148Vaipahu612</v>
      </c>
      <c r="B4730" s="1">
        <v>40148</v>
      </c>
      <c r="C4730" t="s">
        <v>23</v>
      </c>
      <c r="D4730" s="19">
        <v>6</v>
      </c>
      <c r="E4730">
        <v>12</v>
      </c>
      <c r="F4730" t="s">
        <v>27</v>
      </c>
      <c r="G4730" t="s">
        <v>27</v>
      </c>
      <c r="H4730" t="s">
        <v>27</v>
      </c>
      <c r="I4730" t="s">
        <v>31</v>
      </c>
    </row>
    <row r="4731" spans="1:9" x14ac:dyDescent="0.2">
      <c r="A4731" t="str">
        <f t="shared" si="320"/>
        <v>40148Vaipahu613</v>
      </c>
      <c r="B4731" s="1">
        <v>40148</v>
      </c>
      <c r="C4731" t="s">
        <v>23</v>
      </c>
      <c r="D4731" s="19">
        <v>6</v>
      </c>
      <c r="E4731">
        <v>13</v>
      </c>
      <c r="F4731" t="s">
        <v>27</v>
      </c>
      <c r="G4731" t="s">
        <v>27</v>
      </c>
      <c r="H4731" t="s">
        <v>27</v>
      </c>
      <c r="I4731" t="s">
        <v>31</v>
      </c>
    </row>
    <row r="4732" spans="1:9" x14ac:dyDescent="0.2">
      <c r="A4732" t="str">
        <f t="shared" si="320"/>
        <v>40148Vaipahu614PocilloporidaeDessus</v>
      </c>
      <c r="B4732" s="1">
        <v>40148</v>
      </c>
      <c r="C4732" t="s">
        <v>23</v>
      </c>
      <c r="D4732" s="19">
        <v>6</v>
      </c>
      <c r="E4732">
        <v>14</v>
      </c>
      <c r="F4732" t="s">
        <v>10</v>
      </c>
      <c r="G4732" t="s">
        <v>11</v>
      </c>
      <c r="H4732">
        <v>1</v>
      </c>
      <c r="I4732" t="s">
        <v>27</v>
      </c>
    </row>
    <row r="4733" spans="1:9" x14ac:dyDescent="0.2">
      <c r="A4733" t="str">
        <f t="shared" si="320"/>
        <v>40148Vaipahu615CassésDessous</v>
      </c>
      <c r="B4733" s="1">
        <v>40148</v>
      </c>
      <c r="C4733" t="s">
        <v>23</v>
      </c>
      <c r="D4733" s="19">
        <v>6</v>
      </c>
      <c r="E4733">
        <v>15</v>
      </c>
      <c r="F4733" t="s">
        <v>12</v>
      </c>
      <c r="G4733" t="s">
        <v>8</v>
      </c>
      <c r="H4733">
        <v>1</v>
      </c>
      <c r="I4733" t="s">
        <v>27</v>
      </c>
    </row>
    <row r="4734" spans="1:9" x14ac:dyDescent="0.2">
      <c r="A4734" t="str">
        <f t="shared" si="320"/>
        <v>40148Vaipahu615PocilloporidaeBords</v>
      </c>
      <c r="B4734" s="1">
        <v>40148</v>
      </c>
      <c r="C4734" t="s">
        <v>23</v>
      </c>
      <c r="D4734" s="19">
        <v>6</v>
      </c>
      <c r="E4734">
        <v>15</v>
      </c>
      <c r="F4734" t="s">
        <v>10</v>
      </c>
      <c r="G4734" t="s">
        <v>13</v>
      </c>
      <c r="H4734">
        <v>2</v>
      </c>
      <c r="I4734" t="s">
        <v>27</v>
      </c>
    </row>
    <row r="4735" spans="1:9" x14ac:dyDescent="0.2">
      <c r="A4735" t="str">
        <f t="shared" ref="A4735:A4798" si="321">B4735 &amp; C4735&amp; D4735&amp; E4735 &amp; F4735 &amp;G4735</f>
        <v>40148Vaipahu615PocilloporidaeDessous</v>
      </c>
      <c r="B4735" s="1">
        <v>40148</v>
      </c>
      <c r="C4735" t="s">
        <v>23</v>
      </c>
      <c r="D4735" s="19">
        <v>6</v>
      </c>
      <c r="E4735">
        <v>15</v>
      </c>
      <c r="F4735" t="s">
        <v>10</v>
      </c>
      <c r="G4735" t="s">
        <v>8</v>
      </c>
      <c r="H4735">
        <v>2</v>
      </c>
      <c r="I4735" t="s">
        <v>27</v>
      </c>
    </row>
    <row r="4736" spans="1:9" x14ac:dyDescent="0.2">
      <c r="A4736" t="str">
        <f t="shared" si="321"/>
        <v>40148Vaipahu615PoritidaeBords</v>
      </c>
      <c r="B4736" s="1">
        <v>40148</v>
      </c>
      <c r="C4736" t="s">
        <v>23</v>
      </c>
      <c r="D4736" s="19">
        <v>6</v>
      </c>
      <c r="E4736">
        <v>15</v>
      </c>
      <c r="F4736" t="s">
        <v>7</v>
      </c>
      <c r="G4736" t="s">
        <v>13</v>
      </c>
      <c r="H4736">
        <v>1</v>
      </c>
      <c r="I4736" t="s">
        <v>27</v>
      </c>
    </row>
    <row r="4737" spans="1:9" x14ac:dyDescent="0.2">
      <c r="A4737" t="str">
        <f t="shared" si="321"/>
        <v>40148Vaipahu615PoritidaeDessus</v>
      </c>
      <c r="B4737" s="1">
        <v>40148</v>
      </c>
      <c r="C4737" t="s">
        <v>23</v>
      </c>
      <c r="D4737" s="19">
        <v>6</v>
      </c>
      <c r="E4737">
        <v>15</v>
      </c>
      <c r="F4737" t="s">
        <v>7</v>
      </c>
      <c r="G4737" t="s">
        <v>11</v>
      </c>
      <c r="H4737">
        <v>1</v>
      </c>
      <c r="I4737" t="s">
        <v>27</v>
      </c>
    </row>
    <row r="4738" spans="1:9" x14ac:dyDescent="0.2">
      <c r="A4738" t="str">
        <f t="shared" si="321"/>
        <v>40148Vaipahu616</v>
      </c>
      <c r="B4738" s="1">
        <v>40148</v>
      </c>
      <c r="C4738" t="s">
        <v>23</v>
      </c>
      <c r="D4738" s="19">
        <v>6</v>
      </c>
      <c r="E4738">
        <v>16</v>
      </c>
      <c r="F4738" t="s">
        <v>27</v>
      </c>
      <c r="G4738" t="s">
        <v>27</v>
      </c>
      <c r="H4738" t="s">
        <v>27</v>
      </c>
      <c r="I4738" t="s">
        <v>31</v>
      </c>
    </row>
    <row r="4739" spans="1:9" x14ac:dyDescent="0.2">
      <c r="A4739" t="str">
        <f t="shared" si="321"/>
        <v>40148Vaipahu617</v>
      </c>
      <c r="B4739" s="1">
        <v>40148</v>
      </c>
      <c r="C4739" t="s">
        <v>23</v>
      </c>
      <c r="D4739" s="19">
        <v>6</v>
      </c>
      <c r="E4739">
        <v>17</v>
      </c>
      <c r="F4739" t="s">
        <v>27</v>
      </c>
      <c r="G4739" t="s">
        <v>27</v>
      </c>
      <c r="H4739" t="s">
        <v>27</v>
      </c>
      <c r="I4739" t="s">
        <v>31</v>
      </c>
    </row>
    <row r="4740" spans="1:9" x14ac:dyDescent="0.2">
      <c r="A4740" t="str">
        <f t="shared" si="321"/>
        <v>40148Vaipahu618PocilloporidaeBords</v>
      </c>
      <c r="B4740" s="1">
        <v>40148</v>
      </c>
      <c r="C4740" t="s">
        <v>23</v>
      </c>
      <c r="D4740" s="19">
        <v>6</v>
      </c>
      <c r="E4740">
        <v>18</v>
      </c>
      <c r="F4740" t="s">
        <v>10</v>
      </c>
      <c r="G4740" t="s">
        <v>13</v>
      </c>
      <c r="H4740">
        <v>1</v>
      </c>
      <c r="I4740" t="s">
        <v>27</v>
      </c>
    </row>
    <row r="4741" spans="1:9" x14ac:dyDescent="0.2">
      <c r="A4741" t="str">
        <f t="shared" si="321"/>
        <v>40148Vaipahu618PocilloporidaeDessous</v>
      </c>
      <c r="B4741" s="1">
        <v>40148</v>
      </c>
      <c r="C4741" t="s">
        <v>23</v>
      </c>
      <c r="D4741" s="19">
        <v>6</v>
      </c>
      <c r="E4741">
        <v>18</v>
      </c>
      <c r="F4741" t="s">
        <v>10</v>
      </c>
      <c r="G4741" t="s">
        <v>8</v>
      </c>
      <c r="H4741">
        <v>2</v>
      </c>
      <c r="I4741" t="s">
        <v>27</v>
      </c>
    </row>
    <row r="4742" spans="1:9" x14ac:dyDescent="0.2">
      <c r="A4742" t="str">
        <f t="shared" si="321"/>
        <v>40148Vaipahu618PoritidaeBords</v>
      </c>
      <c r="B4742" s="1">
        <v>40148</v>
      </c>
      <c r="C4742" t="s">
        <v>23</v>
      </c>
      <c r="D4742" s="19">
        <v>6</v>
      </c>
      <c r="E4742">
        <v>18</v>
      </c>
      <c r="F4742" t="s">
        <v>7</v>
      </c>
      <c r="G4742" t="s">
        <v>13</v>
      </c>
      <c r="H4742">
        <v>1</v>
      </c>
      <c r="I4742" t="s">
        <v>27</v>
      </c>
    </row>
    <row r="4743" spans="1:9" x14ac:dyDescent="0.2">
      <c r="A4743" t="str">
        <f t="shared" si="321"/>
        <v>40148Vaipahu618PoritidaeDessous</v>
      </c>
      <c r="B4743" s="1">
        <v>40148</v>
      </c>
      <c r="C4743" t="s">
        <v>23</v>
      </c>
      <c r="D4743" s="19">
        <v>6</v>
      </c>
      <c r="E4743">
        <v>18</v>
      </c>
      <c r="F4743" t="s">
        <v>7</v>
      </c>
      <c r="G4743" t="s">
        <v>8</v>
      </c>
      <c r="H4743">
        <v>1</v>
      </c>
      <c r="I4743" t="s">
        <v>27</v>
      </c>
    </row>
    <row r="4744" spans="1:9" x14ac:dyDescent="0.2">
      <c r="A4744" t="str">
        <f t="shared" si="321"/>
        <v>40148Vaipahu619PoritidaeBords</v>
      </c>
      <c r="B4744" s="1">
        <v>40148</v>
      </c>
      <c r="C4744" t="s">
        <v>23</v>
      </c>
      <c r="D4744" s="19">
        <v>6</v>
      </c>
      <c r="E4744">
        <v>19</v>
      </c>
      <c r="F4744" t="s">
        <v>7</v>
      </c>
      <c r="G4744" t="s">
        <v>13</v>
      </c>
      <c r="H4744">
        <v>1</v>
      </c>
    </row>
    <row r="4745" spans="1:9" x14ac:dyDescent="0.2">
      <c r="A4745" t="str">
        <f t="shared" si="321"/>
        <v>40148Vaipahu620PocilloporidaeDessous</v>
      </c>
      <c r="B4745" s="1">
        <v>40148</v>
      </c>
      <c r="C4745" t="s">
        <v>23</v>
      </c>
      <c r="D4745" s="19">
        <v>6</v>
      </c>
      <c r="E4745">
        <v>20</v>
      </c>
      <c r="F4745" t="s">
        <v>10</v>
      </c>
      <c r="G4745" t="s">
        <v>8</v>
      </c>
      <c r="H4745">
        <v>1</v>
      </c>
      <c r="I4745" t="s">
        <v>27</v>
      </c>
    </row>
    <row r="4746" spans="1:9" x14ac:dyDescent="0.2">
      <c r="A4746" t="str">
        <f t="shared" si="321"/>
        <v>40148Vaipahu1221</v>
      </c>
      <c r="B4746" s="1">
        <v>40148</v>
      </c>
      <c r="C4746" t="s">
        <v>23</v>
      </c>
      <c r="D4746" s="19">
        <v>12</v>
      </c>
      <c r="E4746">
        <v>21</v>
      </c>
      <c r="F4746" t="s">
        <v>27</v>
      </c>
      <c r="G4746" t="s">
        <v>27</v>
      </c>
      <c r="H4746" t="s">
        <v>27</v>
      </c>
      <c r="I4746" t="s">
        <v>31</v>
      </c>
    </row>
    <row r="4747" spans="1:9" x14ac:dyDescent="0.2">
      <c r="A4747" t="str">
        <f t="shared" si="321"/>
        <v>40148Vaipahu1222</v>
      </c>
      <c r="B4747" s="1">
        <v>40148</v>
      </c>
      <c r="C4747" t="s">
        <v>23</v>
      </c>
      <c r="D4747" s="19">
        <v>12</v>
      </c>
      <c r="E4747">
        <v>22</v>
      </c>
      <c r="F4747" t="s">
        <v>27</v>
      </c>
      <c r="G4747" t="s">
        <v>27</v>
      </c>
      <c r="H4747" t="s">
        <v>27</v>
      </c>
      <c r="I4747" t="s">
        <v>31</v>
      </c>
    </row>
    <row r="4748" spans="1:9" x14ac:dyDescent="0.2">
      <c r="A4748" t="str">
        <f t="shared" si="321"/>
        <v>40148Vaipahu1223AcroporidaeBords</v>
      </c>
      <c r="B4748" s="1">
        <v>40148</v>
      </c>
      <c r="C4748" t="s">
        <v>23</v>
      </c>
      <c r="D4748" s="19">
        <v>12</v>
      </c>
      <c r="E4748">
        <v>23</v>
      </c>
      <c r="F4748" t="s">
        <v>17</v>
      </c>
      <c r="G4748" t="s">
        <v>13</v>
      </c>
      <c r="H4748">
        <v>1</v>
      </c>
      <c r="I4748" t="s">
        <v>27</v>
      </c>
    </row>
    <row r="4749" spans="1:9" x14ac:dyDescent="0.2">
      <c r="A4749" t="str">
        <f t="shared" si="321"/>
        <v>40148Vaipahu1223CassésDessous</v>
      </c>
      <c r="B4749" s="1">
        <v>40148</v>
      </c>
      <c r="C4749" t="s">
        <v>23</v>
      </c>
      <c r="D4749" s="19">
        <v>12</v>
      </c>
      <c r="E4749">
        <v>23</v>
      </c>
      <c r="F4749" t="s">
        <v>12</v>
      </c>
      <c r="G4749" t="s">
        <v>8</v>
      </c>
      <c r="H4749">
        <v>1</v>
      </c>
      <c r="I4749" t="s">
        <v>27</v>
      </c>
    </row>
    <row r="4750" spans="1:9" x14ac:dyDescent="0.2">
      <c r="A4750" t="str">
        <f t="shared" si="321"/>
        <v>40148Vaipahu1223PocilloporidaeBords</v>
      </c>
      <c r="B4750" s="1">
        <v>40148</v>
      </c>
      <c r="C4750" t="s">
        <v>23</v>
      </c>
      <c r="D4750" s="19">
        <v>12</v>
      </c>
      <c r="E4750">
        <v>23</v>
      </c>
      <c r="F4750" t="s">
        <v>10</v>
      </c>
      <c r="G4750" t="s">
        <v>13</v>
      </c>
      <c r="H4750">
        <v>5</v>
      </c>
    </row>
    <row r="4751" spans="1:9" x14ac:dyDescent="0.2">
      <c r="A4751" t="str">
        <f t="shared" si="321"/>
        <v>40148Vaipahu1223PoritidaeBords</v>
      </c>
      <c r="B4751" s="1">
        <v>40148</v>
      </c>
      <c r="C4751" t="s">
        <v>23</v>
      </c>
      <c r="D4751" s="19">
        <v>12</v>
      </c>
      <c r="E4751">
        <v>23</v>
      </c>
      <c r="F4751" t="s">
        <v>7</v>
      </c>
      <c r="G4751" t="s">
        <v>13</v>
      </c>
      <c r="H4751">
        <v>1</v>
      </c>
      <c r="I4751" t="s">
        <v>27</v>
      </c>
    </row>
    <row r="4752" spans="1:9" x14ac:dyDescent="0.2">
      <c r="A4752" t="str">
        <f t="shared" si="321"/>
        <v>40148Vaipahu1223PoritidaeDessous</v>
      </c>
      <c r="B4752" s="1">
        <v>40148</v>
      </c>
      <c r="C4752" t="s">
        <v>23</v>
      </c>
      <c r="D4752" s="19">
        <v>12</v>
      </c>
      <c r="E4752">
        <v>23</v>
      </c>
      <c r="F4752" t="s">
        <v>7</v>
      </c>
      <c r="G4752" t="s">
        <v>8</v>
      </c>
      <c r="H4752">
        <v>1</v>
      </c>
      <c r="I4752" t="s">
        <v>27</v>
      </c>
    </row>
    <row r="4753" spans="1:9" x14ac:dyDescent="0.2">
      <c r="A4753" t="str">
        <f t="shared" si="321"/>
        <v>40148Vaipahu1224</v>
      </c>
      <c r="B4753" s="1">
        <v>40148</v>
      </c>
      <c r="C4753" t="s">
        <v>23</v>
      </c>
      <c r="D4753" s="19">
        <v>12</v>
      </c>
      <c r="E4753">
        <v>24</v>
      </c>
      <c r="F4753" t="s">
        <v>27</v>
      </c>
      <c r="G4753" t="s">
        <v>27</v>
      </c>
      <c r="H4753" t="s">
        <v>27</v>
      </c>
      <c r="I4753" t="s">
        <v>31</v>
      </c>
    </row>
    <row r="4754" spans="1:9" x14ac:dyDescent="0.2">
      <c r="A4754" t="str">
        <f t="shared" si="321"/>
        <v>40148Vaipahu1225</v>
      </c>
      <c r="B4754" s="1">
        <v>40148</v>
      </c>
      <c r="C4754" t="s">
        <v>23</v>
      </c>
      <c r="D4754" s="19">
        <v>12</v>
      </c>
      <c r="E4754">
        <v>25</v>
      </c>
      <c r="F4754" t="s">
        <v>27</v>
      </c>
      <c r="G4754" t="s">
        <v>27</v>
      </c>
      <c r="H4754" t="s">
        <v>27</v>
      </c>
      <c r="I4754" t="s">
        <v>31</v>
      </c>
    </row>
    <row r="4755" spans="1:9" x14ac:dyDescent="0.2">
      <c r="A4755" t="str">
        <f t="shared" si="321"/>
        <v>40148Vaipahu1226Autres</v>
      </c>
      <c r="B4755" s="1">
        <v>40148</v>
      </c>
      <c r="C4755" t="s">
        <v>23</v>
      </c>
      <c r="D4755" s="19">
        <v>12</v>
      </c>
      <c r="E4755">
        <v>26</v>
      </c>
      <c r="F4755" t="s">
        <v>14</v>
      </c>
      <c r="H4755">
        <v>0</v>
      </c>
    </row>
    <row r="4756" spans="1:9" x14ac:dyDescent="0.2">
      <c r="A4756" t="str">
        <f t="shared" si="321"/>
        <v>40148Vaipahu1227Autres</v>
      </c>
      <c r="B4756" s="1">
        <v>40148</v>
      </c>
      <c r="C4756" t="s">
        <v>23</v>
      </c>
      <c r="D4756" s="19">
        <v>12</v>
      </c>
      <c r="E4756">
        <v>27</v>
      </c>
      <c r="F4756" t="s">
        <v>14</v>
      </c>
      <c r="H4756">
        <v>0</v>
      </c>
    </row>
    <row r="4757" spans="1:9" x14ac:dyDescent="0.2">
      <c r="A4757" t="str">
        <f t="shared" si="321"/>
        <v>40148Vaipahu1228PocilloporidaeBords</v>
      </c>
      <c r="B4757" s="1">
        <v>40148</v>
      </c>
      <c r="C4757" t="s">
        <v>23</v>
      </c>
      <c r="D4757" s="19">
        <v>12</v>
      </c>
      <c r="E4757">
        <v>28</v>
      </c>
      <c r="F4757" t="s">
        <v>10</v>
      </c>
      <c r="G4757" t="s">
        <v>13</v>
      </c>
      <c r="H4757">
        <v>2</v>
      </c>
      <c r="I4757" t="s">
        <v>27</v>
      </c>
    </row>
    <row r="4758" spans="1:9" x14ac:dyDescent="0.2">
      <c r="A4758" t="str">
        <f t="shared" si="321"/>
        <v>40148Vaipahu1229Autres</v>
      </c>
      <c r="B4758" s="1">
        <v>40148</v>
      </c>
      <c r="C4758" t="s">
        <v>23</v>
      </c>
      <c r="D4758" s="19">
        <v>12</v>
      </c>
      <c r="E4758">
        <v>29</v>
      </c>
      <c r="F4758" t="s">
        <v>14</v>
      </c>
      <c r="H4758">
        <v>0</v>
      </c>
    </row>
    <row r="4759" spans="1:9" x14ac:dyDescent="0.2">
      <c r="A4759" t="str">
        <f t="shared" si="321"/>
        <v>40148Vaipahu1230</v>
      </c>
      <c r="B4759" s="1">
        <v>40148</v>
      </c>
      <c r="C4759" t="s">
        <v>23</v>
      </c>
      <c r="D4759" s="19">
        <v>12</v>
      </c>
      <c r="E4759">
        <v>30</v>
      </c>
      <c r="F4759" t="s">
        <v>27</v>
      </c>
      <c r="G4759" t="s">
        <v>27</v>
      </c>
      <c r="H4759" t="s">
        <v>27</v>
      </c>
      <c r="I4759" t="s">
        <v>31</v>
      </c>
    </row>
    <row r="4760" spans="1:9" x14ac:dyDescent="0.2">
      <c r="A4760" t="str">
        <f t="shared" si="321"/>
        <v>40148Vaipahu1231</v>
      </c>
      <c r="B4760" s="1">
        <v>40148</v>
      </c>
      <c r="C4760" t="s">
        <v>23</v>
      </c>
      <c r="D4760" s="19">
        <v>12</v>
      </c>
      <c r="E4760">
        <v>31</v>
      </c>
      <c r="F4760" t="s">
        <v>27</v>
      </c>
      <c r="G4760" t="s">
        <v>27</v>
      </c>
      <c r="H4760" t="s">
        <v>27</v>
      </c>
      <c r="I4760" t="s">
        <v>31</v>
      </c>
    </row>
    <row r="4761" spans="1:9" x14ac:dyDescent="0.2">
      <c r="A4761" t="str">
        <f t="shared" si="321"/>
        <v>40148Vaipahu1232</v>
      </c>
      <c r="B4761" s="1">
        <v>40148</v>
      </c>
      <c r="C4761" t="s">
        <v>23</v>
      </c>
      <c r="D4761" s="19">
        <v>12</v>
      </c>
      <c r="E4761">
        <v>32</v>
      </c>
      <c r="F4761" t="s">
        <v>27</v>
      </c>
      <c r="G4761" t="s">
        <v>27</v>
      </c>
      <c r="H4761" t="s">
        <v>27</v>
      </c>
      <c r="I4761" t="s">
        <v>31</v>
      </c>
    </row>
    <row r="4762" spans="1:9" x14ac:dyDescent="0.2">
      <c r="A4762" t="str">
        <f t="shared" si="321"/>
        <v>40148Vaipahu1233PocilloporidaeDessous</v>
      </c>
      <c r="B4762" s="1">
        <v>40148</v>
      </c>
      <c r="C4762" t="s">
        <v>23</v>
      </c>
      <c r="D4762" s="19">
        <v>12</v>
      </c>
      <c r="E4762">
        <v>33</v>
      </c>
      <c r="F4762" t="s">
        <v>10</v>
      </c>
      <c r="G4762" t="s">
        <v>8</v>
      </c>
      <c r="H4762">
        <v>1</v>
      </c>
      <c r="I4762" t="s">
        <v>27</v>
      </c>
    </row>
    <row r="4763" spans="1:9" x14ac:dyDescent="0.2">
      <c r="A4763" t="str">
        <f t="shared" si="321"/>
        <v>40148Vaipahu1234Autres</v>
      </c>
      <c r="B4763" s="1">
        <v>40148</v>
      </c>
      <c r="C4763" t="s">
        <v>23</v>
      </c>
      <c r="D4763" s="19">
        <v>12</v>
      </c>
      <c r="E4763">
        <v>34</v>
      </c>
      <c r="F4763" t="s">
        <v>14</v>
      </c>
      <c r="H4763">
        <v>0</v>
      </c>
    </row>
    <row r="4764" spans="1:9" x14ac:dyDescent="0.2">
      <c r="A4764" t="str">
        <f t="shared" si="321"/>
        <v>40148Vaipahu1235Autres</v>
      </c>
      <c r="B4764" s="1">
        <v>40148</v>
      </c>
      <c r="C4764" t="s">
        <v>23</v>
      </c>
      <c r="D4764" s="19">
        <v>12</v>
      </c>
      <c r="E4764">
        <v>35</v>
      </c>
      <c r="F4764" t="s">
        <v>14</v>
      </c>
      <c r="H4764">
        <v>0</v>
      </c>
    </row>
    <row r="4765" spans="1:9" x14ac:dyDescent="0.2">
      <c r="A4765" t="str">
        <f t="shared" si="321"/>
        <v>40148Vaipahu1236Autres</v>
      </c>
      <c r="B4765" s="1">
        <v>40148</v>
      </c>
      <c r="C4765" t="s">
        <v>23</v>
      </c>
      <c r="D4765" s="19">
        <v>12</v>
      </c>
      <c r="E4765">
        <v>36</v>
      </c>
      <c r="F4765" t="s">
        <v>14</v>
      </c>
      <c r="H4765">
        <v>0</v>
      </c>
    </row>
    <row r="4766" spans="1:9" x14ac:dyDescent="0.2">
      <c r="A4766" t="str">
        <f t="shared" si="321"/>
        <v>40148Vaipahu1237Autres</v>
      </c>
      <c r="B4766" s="1">
        <v>40148</v>
      </c>
      <c r="C4766" t="s">
        <v>23</v>
      </c>
      <c r="D4766" s="19">
        <v>12</v>
      </c>
      <c r="E4766">
        <v>37</v>
      </c>
      <c r="F4766" t="s">
        <v>14</v>
      </c>
      <c r="H4766">
        <v>0</v>
      </c>
    </row>
    <row r="4767" spans="1:9" x14ac:dyDescent="0.2">
      <c r="A4767" t="str">
        <f t="shared" si="321"/>
        <v>40148Vaipahu1238Autres</v>
      </c>
      <c r="B4767" s="1">
        <v>40148</v>
      </c>
      <c r="C4767" t="s">
        <v>23</v>
      </c>
      <c r="D4767" s="19">
        <v>12</v>
      </c>
      <c r="E4767">
        <v>38</v>
      </c>
      <c r="F4767" t="s">
        <v>14</v>
      </c>
      <c r="H4767">
        <v>0</v>
      </c>
    </row>
    <row r="4768" spans="1:9" x14ac:dyDescent="0.2">
      <c r="A4768" t="str">
        <f t="shared" si="321"/>
        <v>40148Vaipahu1239Autres</v>
      </c>
      <c r="B4768" s="1">
        <v>40148</v>
      </c>
      <c r="C4768" t="s">
        <v>23</v>
      </c>
      <c r="D4768" s="19">
        <v>12</v>
      </c>
      <c r="E4768">
        <v>39</v>
      </c>
      <c r="F4768" t="s">
        <v>14</v>
      </c>
      <c r="H4768">
        <v>0</v>
      </c>
    </row>
    <row r="4769" spans="1:9" x14ac:dyDescent="0.2">
      <c r="A4769" t="str">
        <f t="shared" si="321"/>
        <v>40148Vaipahu1240Autres</v>
      </c>
      <c r="B4769" s="1">
        <v>40148</v>
      </c>
      <c r="C4769" t="s">
        <v>23</v>
      </c>
      <c r="D4769" s="19">
        <v>12</v>
      </c>
      <c r="E4769">
        <v>40</v>
      </c>
      <c r="F4769" t="s">
        <v>14</v>
      </c>
      <c r="H4769">
        <v>0</v>
      </c>
    </row>
    <row r="4770" spans="1:9" x14ac:dyDescent="0.2">
      <c r="A4770" t="str">
        <f t="shared" si="321"/>
        <v>40148Vaipahu1841Autres</v>
      </c>
      <c r="B4770" s="1">
        <v>40148</v>
      </c>
      <c r="C4770" t="s">
        <v>23</v>
      </c>
      <c r="D4770" s="19">
        <v>18</v>
      </c>
      <c r="E4770">
        <v>41</v>
      </c>
      <c r="F4770" t="s">
        <v>14</v>
      </c>
      <c r="H4770">
        <v>0</v>
      </c>
    </row>
    <row r="4771" spans="1:9" x14ac:dyDescent="0.2">
      <c r="A4771" t="str">
        <f t="shared" si="321"/>
        <v>40148Vaipahu1842</v>
      </c>
      <c r="B4771" s="1">
        <v>40148</v>
      </c>
      <c r="C4771" t="s">
        <v>23</v>
      </c>
      <c r="D4771" s="19">
        <v>18</v>
      </c>
      <c r="E4771">
        <v>42</v>
      </c>
      <c r="F4771" t="s">
        <v>27</v>
      </c>
      <c r="G4771" t="s">
        <v>27</v>
      </c>
      <c r="H4771" t="s">
        <v>27</v>
      </c>
      <c r="I4771" t="s">
        <v>31</v>
      </c>
    </row>
    <row r="4772" spans="1:9" x14ac:dyDescent="0.2">
      <c r="A4772" t="str">
        <f t="shared" si="321"/>
        <v>40148Vaipahu1843PocilloporidaeBords</v>
      </c>
      <c r="B4772" s="1">
        <v>40148</v>
      </c>
      <c r="C4772" t="s">
        <v>23</v>
      </c>
      <c r="D4772" s="19">
        <v>18</v>
      </c>
      <c r="E4772">
        <v>43</v>
      </c>
      <c r="F4772" t="s">
        <v>10</v>
      </c>
      <c r="G4772" t="s">
        <v>13</v>
      </c>
      <c r="H4772">
        <v>2</v>
      </c>
      <c r="I4772" t="s">
        <v>27</v>
      </c>
    </row>
    <row r="4773" spans="1:9" x14ac:dyDescent="0.2">
      <c r="A4773" t="str">
        <f t="shared" si="321"/>
        <v>40148Vaipahu1843PoritidaeBords</v>
      </c>
      <c r="B4773" s="1">
        <v>40148</v>
      </c>
      <c r="C4773" t="s">
        <v>23</v>
      </c>
      <c r="D4773" s="19">
        <v>18</v>
      </c>
      <c r="E4773">
        <v>43</v>
      </c>
      <c r="F4773" t="s">
        <v>7</v>
      </c>
      <c r="G4773" t="s">
        <v>13</v>
      </c>
      <c r="H4773">
        <v>1</v>
      </c>
      <c r="I4773" t="s">
        <v>27</v>
      </c>
    </row>
    <row r="4774" spans="1:9" x14ac:dyDescent="0.2">
      <c r="A4774" t="str">
        <f t="shared" si="321"/>
        <v>40148Vaipahu1843PoritidaeDessous</v>
      </c>
      <c r="B4774" s="1">
        <v>40148</v>
      </c>
      <c r="C4774" t="s">
        <v>23</v>
      </c>
      <c r="D4774" s="19">
        <v>18</v>
      </c>
      <c r="E4774">
        <v>43</v>
      </c>
      <c r="F4774" t="s">
        <v>7</v>
      </c>
      <c r="G4774" t="s">
        <v>8</v>
      </c>
      <c r="H4774">
        <v>1</v>
      </c>
      <c r="I4774" t="s">
        <v>27</v>
      </c>
    </row>
    <row r="4775" spans="1:9" x14ac:dyDescent="0.2">
      <c r="A4775" t="str">
        <f t="shared" si="321"/>
        <v>40148Vaipahu1844Autres</v>
      </c>
      <c r="B4775" s="1">
        <v>40148</v>
      </c>
      <c r="C4775" t="s">
        <v>23</v>
      </c>
      <c r="D4775" s="19">
        <v>18</v>
      </c>
      <c r="E4775">
        <v>44</v>
      </c>
      <c r="F4775" t="s">
        <v>14</v>
      </c>
      <c r="H4775">
        <v>0</v>
      </c>
    </row>
    <row r="4776" spans="1:9" x14ac:dyDescent="0.2">
      <c r="A4776" t="str">
        <f t="shared" si="321"/>
        <v>40148Vaipahu1845PocilloporidaeBords</v>
      </c>
      <c r="B4776" s="1">
        <v>40148</v>
      </c>
      <c r="C4776" t="s">
        <v>23</v>
      </c>
      <c r="D4776" s="19">
        <v>18</v>
      </c>
      <c r="E4776">
        <v>45</v>
      </c>
      <c r="F4776" t="s">
        <v>10</v>
      </c>
      <c r="G4776" t="s">
        <v>13</v>
      </c>
      <c r="H4776">
        <v>1</v>
      </c>
      <c r="I4776" t="s">
        <v>27</v>
      </c>
    </row>
    <row r="4777" spans="1:9" x14ac:dyDescent="0.2">
      <c r="A4777" t="str">
        <f t="shared" si="321"/>
        <v>40148Vaipahu1845PocilloporidaeDessous</v>
      </c>
      <c r="B4777" s="1">
        <v>40148</v>
      </c>
      <c r="C4777" t="s">
        <v>23</v>
      </c>
      <c r="D4777" s="19">
        <v>18</v>
      </c>
      <c r="E4777">
        <v>45</v>
      </c>
      <c r="F4777" t="s">
        <v>10</v>
      </c>
      <c r="G4777" t="s">
        <v>8</v>
      </c>
      <c r="H4777">
        <v>2</v>
      </c>
      <c r="I4777" t="s">
        <v>27</v>
      </c>
    </row>
    <row r="4778" spans="1:9" x14ac:dyDescent="0.2">
      <c r="A4778" t="str">
        <f t="shared" si="321"/>
        <v>40148Vaipahu1846Autres</v>
      </c>
      <c r="B4778" s="1">
        <v>40148</v>
      </c>
      <c r="C4778" t="s">
        <v>23</v>
      </c>
      <c r="D4778" s="19">
        <v>18</v>
      </c>
      <c r="E4778">
        <v>46</v>
      </c>
      <c r="F4778" t="s">
        <v>14</v>
      </c>
      <c r="H4778">
        <v>0</v>
      </c>
    </row>
    <row r="4779" spans="1:9" x14ac:dyDescent="0.2">
      <c r="A4779" t="str">
        <f t="shared" si="321"/>
        <v>40148Vaipahu1847</v>
      </c>
      <c r="B4779" s="1">
        <v>40148</v>
      </c>
      <c r="C4779" t="s">
        <v>23</v>
      </c>
      <c r="D4779" s="19">
        <v>18</v>
      </c>
      <c r="E4779">
        <v>47</v>
      </c>
      <c r="F4779" t="s">
        <v>27</v>
      </c>
      <c r="G4779" t="s">
        <v>27</v>
      </c>
      <c r="H4779" t="s">
        <v>27</v>
      </c>
      <c r="I4779" t="s">
        <v>31</v>
      </c>
    </row>
    <row r="4780" spans="1:9" x14ac:dyDescent="0.2">
      <c r="A4780" t="str">
        <f t="shared" si="321"/>
        <v>40148Vaipahu1848PocilloporidaeDessous</v>
      </c>
      <c r="B4780" s="1">
        <v>40148</v>
      </c>
      <c r="C4780" t="s">
        <v>23</v>
      </c>
      <c r="D4780" s="19">
        <v>18</v>
      </c>
      <c r="E4780">
        <v>48</v>
      </c>
      <c r="F4780" t="s">
        <v>10</v>
      </c>
      <c r="G4780" t="s">
        <v>8</v>
      </c>
      <c r="H4780">
        <v>2</v>
      </c>
      <c r="I4780" t="s">
        <v>27</v>
      </c>
    </row>
    <row r="4781" spans="1:9" x14ac:dyDescent="0.2">
      <c r="A4781" t="str">
        <f t="shared" si="321"/>
        <v>40148Vaipahu1849Autres</v>
      </c>
      <c r="B4781" s="1">
        <v>40148</v>
      </c>
      <c r="C4781" t="s">
        <v>23</v>
      </c>
      <c r="D4781" s="19">
        <v>18</v>
      </c>
      <c r="E4781">
        <v>49</v>
      </c>
      <c r="F4781" t="s">
        <v>14</v>
      </c>
      <c r="H4781">
        <v>0</v>
      </c>
    </row>
    <row r="4782" spans="1:9" x14ac:dyDescent="0.2">
      <c r="A4782" t="str">
        <f t="shared" si="321"/>
        <v>40148Vaipahu1850Autres</v>
      </c>
      <c r="B4782" s="1">
        <v>40148</v>
      </c>
      <c r="C4782" t="s">
        <v>23</v>
      </c>
      <c r="D4782" s="19">
        <v>18</v>
      </c>
      <c r="E4782">
        <v>50</v>
      </c>
      <c r="F4782" t="s">
        <v>14</v>
      </c>
      <c r="H4782">
        <v>0</v>
      </c>
    </row>
    <row r="4783" spans="1:9" x14ac:dyDescent="0.2">
      <c r="A4783" t="str">
        <f t="shared" si="321"/>
        <v>40148Vaipahu1851Autres</v>
      </c>
      <c r="B4783" s="1">
        <v>40148</v>
      </c>
      <c r="C4783" t="s">
        <v>23</v>
      </c>
      <c r="D4783" s="19">
        <v>18</v>
      </c>
      <c r="E4783">
        <v>51</v>
      </c>
      <c r="F4783" t="s">
        <v>14</v>
      </c>
      <c r="H4783">
        <v>0</v>
      </c>
    </row>
    <row r="4784" spans="1:9" x14ac:dyDescent="0.2">
      <c r="A4784" t="str">
        <f t="shared" si="321"/>
        <v>40148Vaipahu1852Autres</v>
      </c>
      <c r="B4784" s="1">
        <v>40148</v>
      </c>
      <c r="C4784" t="s">
        <v>23</v>
      </c>
      <c r="D4784" s="19">
        <v>18</v>
      </c>
      <c r="E4784">
        <v>52</v>
      </c>
      <c r="F4784" t="s">
        <v>14</v>
      </c>
      <c r="H4784">
        <v>0</v>
      </c>
    </row>
    <row r="4785" spans="1:9" x14ac:dyDescent="0.2">
      <c r="A4785" t="str">
        <f t="shared" si="321"/>
        <v>40148Vaipahu1853</v>
      </c>
      <c r="B4785" s="1">
        <v>40148</v>
      </c>
      <c r="C4785" t="s">
        <v>23</v>
      </c>
      <c r="D4785" s="19">
        <v>18</v>
      </c>
      <c r="E4785">
        <v>53</v>
      </c>
      <c r="I4785" t="s">
        <v>31</v>
      </c>
    </row>
    <row r="4786" spans="1:9" x14ac:dyDescent="0.2">
      <c r="A4786" t="str">
        <f t="shared" si="321"/>
        <v>40148Vaipahu1854</v>
      </c>
      <c r="B4786" s="1">
        <v>40148</v>
      </c>
      <c r="C4786" t="s">
        <v>23</v>
      </c>
      <c r="D4786" s="19">
        <v>18</v>
      </c>
      <c r="E4786">
        <v>54</v>
      </c>
      <c r="F4786" t="s">
        <v>27</v>
      </c>
      <c r="G4786" t="s">
        <v>27</v>
      </c>
      <c r="H4786" t="s">
        <v>27</v>
      </c>
      <c r="I4786" t="s">
        <v>31</v>
      </c>
    </row>
    <row r="4787" spans="1:9" x14ac:dyDescent="0.2">
      <c r="A4787" t="str">
        <f t="shared" si="321"/>
        <v>40148Vaipahu1855</v>
      </c>
      <c r="B4787" s="1">
        <v>40148</v>
      </c>
      <c r="C4787" t="s">
        <v>23</v>
      </c>
      <c r="D4787" s="19">
        <v>18</v>
      </c>
      <c r="E4787">
        <v>55</v>
      </c>
      <c r="F4787" t="s">
        <v>27</v>
      </c>
      <c r="G4787" t="s">
        <v>27</v>
      </c>
      <c r="H4787" t="s">
        <v>27</v>
      </c>
      <c r="I4787" t="s">
        <v>31</v>
      </c>
    </row>
    <row r="4788" spans="1:9" x14ac:dyDescent="0.2">
      <c r="A4788" t="str">
        <f t="shared" si="321"/>
        <v>40148Vaipahu1856PocilloporidaeDessous</v>
      </c>
      <c r="B4788" s="1">
        <v>40148</v>
      </c>
      <c r="C4788" t="s">
        <v>23</v>
      </c>
      <c r="D4788" s="19">
        <v>18</v>
      </c>
      <c r="E4788">
        <v>56</v>
      </c>
      <c r="F4788" t="s">
        <v>10</v>
      </c>
      <c r="G4788" t="s">
        <v>8</v>
      </c>
      <c r="H4788">
        <v>1</v>
      </c>
    </row>
    <row r="4789" spans="1:9" x14ac:dyDescent="0.2">
      <c r="A4789" t="str">
        <f t="shared" si="321"/>
        <v>40148Vaipahu1857Autres</v>
      </c>
      <c r="B4789" s="1">
        <v>40148</v>
      </c>
      <c r="C4789" t="s">
        <v>23</v>
      </c>
      <c r="D4789" s="19">
        <v>18</v>
      </c>
      <c r="E4789">
        <v>57</v>
      </c>
      <c r="F4789" t="s">
        <v>14</v>
      </c>
      <c r="H4789">
        <v>0</v>
      </c>
    </row>
    <row r="4790" spans="1:9" x14ac:dyDescent="0.2">
      <c r="A4790" t="str">
        <f t="shared" si="321"/>
        <v>40148Vaipahu1858</v>
      </c>
      <c r="B4790" s="1">
        <v>40148</v>
      </c>
      <c r="C4790" t="s">
        <v>23</v>
      </c>
      <c r="D4790" s="19">
        <v>18</v>
      </c>
      <c r="E4790">
        <v>58</v>
      </c>
      <c r="F4790" t="s">
        <v>27</v>
      </c>
      <c r="G4790" t="s">
        <v>27</v>
      </c>
      <c r="H4790" t="s">
        <v>27</v>
      </c>
      <c r="I4790" t="s">
        <v>31</v>
      </c>
    </row>
    <row r="4791" spans="1:9" x14ac:dyDescent="0.2">
      <c r="A4791" t="str">
        <f t="shared" si="321"/>
        <v>40148Vaipahu1859</v>
      </c>
      <c r="B4791" s="1">
        <v>40148</v>
      </c>
      <c r="C4791" t="s">
        <v>23</v>
      </c>
      <c r="D4791" s="19">
        <v>18</v>
      </c>
      <c r="E4791">
        <v>59</v>
      </c>
      <c r="F4791" t="s">
        <v>27</v>
      </c>
      <c r="G4791" t="s">
        <v>27</v>
      </c>
      <c r="H4791" t="s">
        <v>27</v>
      </c>
      <c r="I4791" t="s">
        <v>31</v>
      </c>
    </row>
    <row r="4792" spans="1:9" x14ac:dyDescent="0.2">
      <c r="A4792" t="str">
        <f t="shared" si="321"/>
        <v>40148Vaipahu1860Autres</v>
      </c>
      <c r="B4792" s="1">
        <v>40148</v>
      </c>
      <c r="C4792" t="s">
        <v>23</v>
      </c>
      <c r="D4792" s="19">
        <v>18</v>
      </c>
      <c r="E4792">
        <v>60</v>
      </c>
      <c r="F4792" t="s">
        <v>14</v>
      </c>
      <c r="H4792">
        <v>0</v>
      </c>
    </row>
    <row r="4793" spans="1:9" x14ac:dyDescent="0.2">
      <c r="A4793" t="str">
        <f t="shared" si="321"/>
        <v>40148Tiahura661Autres</v>
      </c>
      <c r="B4793" s="1">
        <v>40148</v>
      </c>
      <c r="C4793" t="s">
        <v>24</v>
      </c>
      <c r="D4793" s="19">
        <v>6</v>
      </c>
      <c r="E4793">
        <v>61</v>
      </c>
      <c r="F4793" t="s">
        <v>14</v>
      </c>
      <c r="H4793">
        <v>0</v>
      </c>
    </row>
    <row r="4794" spans="1:9" x14ac:dyDescent="0.2">
      <c r="A4794" t="str">
        <f t="shared" si="321"/>
        <v>40148Tiahura662</v>
      </c>
      <c r="B4794" s="1">
        <v>40148</v>
      </c>
      <c r="C4794" t="s">
        <v>24</v>
      </c>
      <c r="D4794" s="19">
        <v>6</v>
      </c>
      <c r="E4794">
        <v>62</v>
      </c>
      <c r="F4794" t="s">
        <v>27</v>
      </c>
      <c r="G4794" t="s">
        <v>27</v>
      </c>
      <c r="H4794" t="s">
        <v>27</v>
      </c>
      <c r="I4794" t="s">
        <v>31</v>
      </c>
    </row>
    <row r="4795" spans="1:9" x14ac:dyDescent="0.2">
      <c r="A4795" t="str">
        <f t="shared" si="321"/>
        <v>40148Tiahura663PocilloporidaeBords</v>
      </c>
      <c r="B4795" s="1">
        <v>40148</v>
      </c>
      <c r="C4795" t="s">
        <v>24</v>
      </c>
      <c r="D4795" s="19">
        <v>6</v>
      </c>
      <c r="E4795">
        <v>63</v>
      </c>
      <c r="F4795" t="s">
        <v>10</v>
      </c>
      <c r="G4795" t="s">
        <v>13</v>
      </c>
      <c r="H4795">
        <v>1</v>
      </c>
    </row>
    <row r="4796" spans="1:9" x14ac:dyDescent="0.2">
      <c r="A4796" t="str">
        <f t="shared" si="321"/>
        <v>40148Tiahura664AutresBords</v>
      </c>
      <c r="B4796" s="1">
        <v>40148</v>
      </c>
      <c r="C4796" t="s">
        <v>24</v>
      </c>
      <c r="D4796" s="19">
        <v>6</v>
      </c>
      <c r="E4796">
        <v>64</v>
      </c>
      <c r="F4796" t="s">
        <v>14</v>
      </c>
      <c r="G4796" t="s">
        <v>13</v>
      </c>
      <c r="H4796">
        <v>2</v>
      </c>
      <c r="I4796" t="s">
        <v>27</v>
      </c>
    </row>
    <row r="4797" spans="1:9" x14ac:dyDescent="0.2">
      <c r="A4797" t="str">
        <f t="shared" si="321"/>
        <v>40148Tiahura664PocilloporidaeBords</v>
      </c>
      <c r="B4797" s="1">
        <v>40148</v>
      </c>
      <c r="C4797" t="s">
        <v>24</v>
      </c>
      <c r="D4797" s="19">
        <v>6</v>
      </c>
      <c r="E4797">
        <v>64</v>
      </c>
      <c r="F4797" t="s">
        <v>10</v>
      </c>
      <c r="G4797" t="s">
        <v>13</v>
      </c>
      <c r="H4797">
        <v>1</v>
      </c>
      <c r="I4797" t="s">
        <v>27</v>
      </c>
    </row>
    <row r="4798" spans="1:9" x14ac:dyDescent="0.2">
      <c r="A4798" t="str">
        <f t="shared" si="321"/>
        <v>40148Tiahura664PocilloporidaeDessous</v>
      </c>
      <c r="B4798" s="1">
        <v>40148</v>
      </c>
      <c r="C4798" t="s">
        <v>24</v>
      </c>
      <c r="D4798" s="19">
        <v>6</v>
      </c>
      <c r="E4798">
        <v>64</v>
      </c>
      <c r="F4798" t="s">
        <v>10</v>
      </c>
      <c r="G4798" t="s">
        <v>8</v>
      </c>
      <c r="H4798">
        <v>2</v>
      </c>
      <c r="I4798" t="s">
        <v>27</v>
      </c>
    </row>
    <row r="4799" spans="1:9" x14ac:dyDescent="0.2">
      <c r="A4799" t="str">
        <f t="shared" ref="A4799:A4862" si="322">B4799 &amp; C4799&amp; D4799&amp; E4799 &amp; F4799 &amp;G4799</f>
        <v>40148Tiahura665</v>
      </c>
      <c r="B4799" s="1">
        <v>40148</v>
      </c>
      <c r="C4799" t="s">
        <v>24</v>
      </c>
      <c r="D4799" s="19">
        <v>6</v>
      </c>
      <c r="E4799">
        <v>65</v>
      </c>
      <c r="F4799" t="s">
        <v>27</v>
      </c>
      <c r="G4799" t="s">
        <v>27</v>
      </c>
      <c r="H4799" t="s">
        <v>27</v>
      </c>
      <c r="I4799" t="s">
        <v>31</v>
      </c>
    </row>
    <row r="4800" spans="1:9" x14ac:dyDescent="0.2">
      <c r="A4800" t="str">
        <f t="shared" si="322"/>
        <v>40148Tiahura666PocilloporidaeDessus</v>
      </c>
      <c r="B4800" s="1">
        <v>40148</v>
      </c>
      <c r="C4800" t="s">
        <v>24</v>
      </c>
      <c r="D4800" s="19">
        <v>6</v>
      </c>
      <c r="E4800">
        <v>66</v>
      </c>
      <c r="F4800" t="s">
        <v>10</v>
      </c>
      <c r="G4800" t="s">
        <v>11</v>
      </c>
      <c r="H4800">
        <v>2</v>
      </c>
    </row>
    <row r="4801" spans="1:9" x14ac:dyDescent="0.2">
      <c r="A4801" t="str">
        <f t="shared" si="322"/>
        <v>40148Tiahura667PocilloporidaeBords</v>
      </c>
      <c r="B4801" s="1">
        <v>40148</v>
      </c>
      <c r="C4801" t="s">
        <v>24</v>
      </c>
      <c r="D4801" s="19">
        <v>6</v>
      </c>
      <c r="E4801">
        <v>67</v>
      </c>
      <c r="F4801" t="s">
        <v>10</v>
      </c>
      <c r="G4801" t="s">
        <v>13</v>
      </c>
      <c r="H4801">
        <v>1</v>
      </c>
      <c r="I4801" t="s">
        <v>27</v>
      </c>
    </row>
    <row r="4802" spans="1:9" x14ac:dyDescent="0.2">
      <c r="A4802" t="str">
        <f t="shared" si="322"/>
        <v>40148Tiahura667PocilloporidaeDessus</v>
      </c>
      <c r="B4802" s="1">
        <v>40148</v>
      </c>
      <c r="C4802" t="s">
        <v>24</v>
      </c>
      <c r="D4802" s="19">
        <v>6</v>
      </c>
      <c r="E4802">
        <v>67</v>
      </c>
      <c r="F4802" t="s">
        <v>10</v>
      </c>
      <c r="G4802" t="s">
        <v>11</v>
      </c>
      <c r="H4802">
        <v>1</v>
      </c>
      <c r="I4802" t="s">
        <v>27</v>
      </c>
    </row>
    <row r="4803" spans="1:9" x14ac:dyDescent="0.2">
      <c r="A4803" t="str">
        <f t="shared" si="322"/>
        <v>40148Tiahura668</v>
      </c>
      <c r="B4803" s="1">
        <v>40148</v>
      </c>
      <c r="C4803" t="s">
        <v>24</v>
      </c>
      <c r="D4803" s="19">
        <v>6</v>
      </c>
      <c r="E4803">
        <v>68</v>
      </c>
      <c r="F4803" t="s">
        <v>27</v>
      </c>
      <c r="G4803" t="s">
        <v>27</v>
      </c>
      <c r="H4803" t="s">
        <v>27</v>
      </c>
      <c r="I4803" t="s">
        <v>31</v>
      </c>
    </row>
    <row r="4804" spans="1:9" x14ac:dyDescent="0.2">
      <c r="A4804" t="str">
        <f t="shared" si="322"/>
        <v>40148Tiahura669PocilloporidaeBords</v>
      </c>
      <c r="B4804" s="1">
        <v>40148</v>
      </c>
      <c r="C4804" t="s">
        <v>24</v>
      </c>
      <c r="D4804" s="19">
        <v>6</v>
      </c>
      <c r="E4804">
        <v>69</v>
      </c>
      <c r="F4804" t="s">
        <v>10</v>
      </c>
      <c r="G4804" t="s">
        <v>13</v>
      </c>
      <c r="H4804">
        <v>1</v>
      </c>
      <c r="I4804" t="s">
        <v>27</v>
      </c>
    </row>
    <row r="4805" spans="1:9" x14ac:dyDescent="0.2">
      <c r="A4805" t="str">
        <f t="shared" si="322"/>
        <v>40148Tiahura670PocilloporidaeDessous</v>
      </c>
      <c r="B4805" s="1">
        <v>40148</v>
      </c>
      <c r="C4805" t="s">
        <v>24</v>
      </c>
      <c r="D4805" s="19">
        <v>6</v>
      </c>
      <c r="E4805">
        <v>70</v>
      </c>
      <c r="F4805" t="s">
        <v>10</v>
      </c>
      <c r="G4805" t="s">
        <v>8</v>
      </c>
      <c r="H4805">
        <v>1</v>
      </c>
      <c r="I4805" t="s">
        <v>27</v>
      </c>
    </row>
    <row r="4806" spans="1:9" x14ac:dyDescent="0.2">
      <c r="A4806" t="str">
        <f t="shared" si="322"/>
        <v>40148Tiahura671PocilloporidaeDessous</v>
      </c>
      <c r="B4806" s="1">
        <v>40148</v>
      </c>
      <c r="C4806" t="s">
        <v>24</v>
      </c>
      <c r="D4806" s="19">
        <v>6</v>
      </c>
      <c r="E4806">
        <v>71</v>
      </c>
      <c r="F4806" t="s">
        <v>10</v>
      </c>
      <c r="G4806" t="s">
        <v>8</v>
      </c>
      <c r="H4806">
        <v>1</v>
      </c>
      <c r="I4806" t="s">
        <v>27</v>
      </c>
    </row>
    <row r="4807" spans="1:9" x14ac:dyDescent="0.2">
      <c r="A4807" t="str">
        <f t="shared" si="322"/>
        <v>40148Tiahura671PoritidaeBords</v>
      </c>
      <c r="B4807" s="1">
        <v>40148</v>
      </c>
      <c r="C4807" t="s">
        <v>24</v>
      </c>
      <c r="D4807" s="19">
        <v>6</v>
      </c>
      <c r="E4807">
        <v>71</v>
      </c>
      <c r="F4807" t="s">
        <v>7</v>
      </c>
      <c r="G4807" t="s">
        <v>13</v>
      </c>
      <c r="H4807">
        <v>1</v>
      </c>
      <c r="I4807" t="s">
        <v>27</v>
      </c>
    </row>
    <row r="4808" spans="1:9" x14ac:dyDescent="0.2">
      <c r="A4808" t="str">
        <f t="shared" si="322"/>
        <v>40148Tiahura672Autres</v>
      </c>
      <c r="B4808" s="1">
        <v>40148</v>
      </c>
      <c r="C4808" t="s">
        <v>24</v>
      </c>
      <c r="D4808" s="19">
        <v>6</v>
      </c>
      <c r="E4808">
        <v>72</v>
      </c>
      <c r="F4808" t="s">
        <v>14</v>
      </c>
      <c r="H4808">
        <v>0</v>
      </c>
    </row>
    <row r="4809" spans="1:9" x14ac:dyDescent="0.2">
      <c r="A4809" t="str">
        <f t="shared" si="322"/>
        <v>40148Tiahura673Autres</v>
      </c>
      <c r="B4809" s="1">
        <v>40148</v>
      </c>
      <c r="C4809" t="s">
        <v>24</v>
      </c>
      <c r="D4809" s="19">
        <v>6</v>
      </c>
      <c r="E4809">
        <v>73</v>
      </c>
      <c r="F4809" t="s">
        <v>14</v>
      </c>
      <c r="H4809">
        <v>0</v>
      </c>
    </row>
    <row r="4810" spans="1:9" x14ac:dyDescent="0.2">
      <c r="A4810" t="str">
        <f t="shared" si="322"/>
        <v>40148Tiahura674PocilloporidaeBords</v>
      </c>
      <c r="B4810" s="1">
        <v>40148</v>
      </c>
      <c r="C4810" t="s">
        <v>24</v>
      </c>
      <c r="D4810" s="19">
        <v>6</v>
      </c>
      <c r="E4810">
        <v>74</v>
      </c>
      <c r="F4810" t="s">
        <v>10</v>
      </c>
      <c r="G4810" t="s">
        <v>13</v>
      </c>
      <c r="H4810">
        <v>1</v>
      </c>
      <c r="I4810" t="s">
        <v>27</v>
      </c>
    </row>
    <row r="4811" spans="1:9" x14ac:dyDescent="0.2">
      <c r="A4811" t="str">
        <f t="shared" si="322"/>
        <v>40148Tiahura674PoritidaeBords</v>
      </c>
      <c r="B4811" s="1">
        <v>40148</v>
      </c>
      <c r="C4811" t="s">
        <v>24</v>
      </c>
      <c r="D4811" s="19">
        <v>6</v>
      </c>
      <c r="E4811">
        <v>74</v>
      </c>
      <c r="F4811" t="s">
        <v>7</v>
      </c>
      <c r="G4811" t="s">
        <v>13</v>
      </c>
      <c r="H4811">
        <v>1</v>
      </c>
      <c r="I4811" t="s">
        <v>27</v>
      </c>
    </row>
    <row r="4812" spans="1:9" x14ac:dyDescent="0.2">
      <c r="A4812" t="str">
        <f t="shared" si="322"/>
        <v>40148Tiahura675</v>
      </c>
      <c r="B4812" s="1">
        <v>40148</v>
      </c>
      <c r="C4812" t="s">
        <v>24</v>
      </c>
      <c r="D4812" s="19">
        <v>6</v>
      </c>
      <c r="E4812">
        <v>75</v>
      </c>
      <c r="F4812" t="s">
        <v>27</v>
      </c>
      <c r="G4812" t="s">
        <v>27</v>
      </c>
      <c r="H4812" t="s">
        <v>27</v>
      </c>
      <c r="I4812" t="s">
        <v>31</v>
      </c>
    </row>
    <row r="4813" spans="1:9" x14ac:dyDescent="0.2">
      <c r="A4813" t="str">
        <f t="shared" si="322"/>
        <v>40148Tiahura676PocilloporidaeDessous</v>
      </c>
      <c r="B4813" s="1">
        <v>40148</v>
      </c>
      <c r="C4813" t="s">
        <v>24</v>
      </c>
      <c r="D4813" s="19">
        <v>6</v>
      </c>
      <c r="E4813">
        <v>76</v>
      </c>
      <c r="F4813" t="s">
        <v>10</v>
      </c>
      <c r="G4813" t="s">
        <v>8</v>
      </c>
      <c r="H4813">
        <v>1</v>
      </c>
      <c r="I4813" t="s">
        <v>27</v>
      </c>
    </row>
    <row r="4814" spans="1:9" x14ac:dyDescent="0.2">
      <c r="A4814" t="str">
        <f t="shared" si="322"/>
        <v>40148Tiahura677Autres</v>
      </c>
      <c r="B4814" s="1">
        <v>40148</v>
      </c>
      <c r="C4814" t="s">
        <v>24</v>
      </c>
      <c r="D4814" s="19">
        <v>6</v>
      </c>
      <c r="E4814">
        <v>77</v>
      </c>
      <c r="F4814" t="s">
        <v>14</v>
      </c>
      <c r="H4814">
        <v>0</v>
      </c>
    </row>
    <row r="4815" spans="1:9" x14ac:dyDescent="0.2">
      <c r="A4815" t="str">
        <f t="shared" si="322"/>
        <v>40148Tiahura678PocilloporidaeDessous</v>
      </c>
      <c r="B4815" s="1">
        <v>40148</v>
      </c>
      <c r="C4815" t="s">
        <v>24</v>
      </c>
      <c r="D4815" s="19">
        <v>6</v>
      </c>
      <c r="E4815">
        <v>78</v>
      </c>
      <c r="F4815" t="s">
        <v>10</v>
      </c>
      <c r="G4815" t="s">
        <v>8</v>
      </c>
      <c r="H4815">
        <v>3</v>
      </c>
      <c r="I4815" t="s">
        <v>27</v>
      </c>
    </row>
    <row r="4816" spans="1:9" x14ac:dyDescent="0.2">
      <c r="A4816" t="str">
        <f t="shared" si="322"/>
        <v>40148Tiahura679PocilloporidaeDessus</v>
      </c>
      <c r="B4816" s="1">
        <v>40148</v>
      </c>
      <c r="C4816" t="s">
        <v>24</v>
      </c>
      <c r="D4816" s="19">
        <v>6</v>
      </c>
      <c r="E4816">
        <v>79</v>
      </c>
      <c r="F4816" t="s">
        <v>10</v>
      </c>
      <c r="G4816" t="s">
        <v>11</v>
      </c>
      <c r="H4816">
        <v>1</v>
      </c>
      <c r="I4816" t="s">
        <v>27</v>
      </c>
    </row>
    <row r="4817" spans="1:9" x14ac:dyDescent="0.2">
      <c r="A4817" t="str">
        <f t="shared" si="322"/>
        <v>40148Tiahura680PocilloporidaeDessous</v>
      </c>
      <c r="B4817" s="1">
        <v>40148</v>
      </c>
      <c r="C4817" t="s">
        <v>24</v>
      </c>
      <c r="D4817" s="19">
        <v>6</v>
      </c>
      <c r="E4817">
        <v>80</v>
      </c>
      <c r="F4817" t="s">
        <v>10</v>
      </c>
      <c r="G4817" t="s">
        <v>8</v>
      </c>
      <c r="H4817">
        <v>1</v>
      </c>
      <c r="I4817" t="s">
        <v>27</v>
      </c>
    </row>
    <row r="4818" spans="1:9" x14ac:dyDescent="0.2">
      <c r="A4818" t="str">
        <f t="shared" si="322"/>
        <v>40148Tiahura680PocilloporidaeDessus</v>
      </c>
      <c r="B4818" s="1">
        <v>40148</v>
      </c>
      <c r="C4818" t="s">
        <v>24</v>
      </c>
      <c r="D4818" s="19">
        <v>6</v>
      </c>
      <c r="E4818">
        <v>80</v>
      </c>
      <c r="F4818" t="s">
        <v>10</v>
      </c>
      <c r="G4818" t="s">
        <v>11</v>
      </c>
      <c r="H4818">
        <v>2</v>
      </c>
      <c r="I4818" t="s">
        <v>27</v>
      </c>
    </row>
    <row r="4819" spans="1:9" x14ac:dyDescent="0.2">
      <c r="A4819" t="str">
        <f t="shared" si="322"/>
        <v>40148Tiahura1281Autres</v>
      </c>
      <c r="B4819" s="1">
        <v>40148</v>
      </c>
      <c r="C4819" t="s">
        <v>24</v>
      </c>
      <c r="D4819" s="19">
        <v>12</v>
      </c>
      <c r="E4819">
        <v>81</v>
      </c>
      <c r="F4819" t="s">
        <v>14</v>
      </c>
      <c r="H4819">
        <v>0</v>
      </c>
    </row>
    <row r="4820" spans="1:9" x14ac:dyDescent="0.2">
      <c r="A4820" t="str">
        <f t="shared" si="322"/>
        <v>40148Tiahura1282Autres</v>
      </c>
      <c r="B4820" s="1">
        <v>40148</v>
      </c>
      <c r="C4820" t="s">
        <v>24</v>
      </c>
      <c r="D4820" s="19">
        <v>12</v>
      </c>
      <c r="E4820">
        <v>82</v>
      </c>
      <c r="F4820" t="s">
        <v>14</v>
      </c>
      <c r="H4820">
        <v>0</v>
      </c>
    </row>
    <row r="4821" spans="1:9" x14ac:dyDescent="0.2">
      <c r="A4821" t="str">
        <f t="shared" si="322"/>
        <v>40148Tiahura1283Autres</v>
      </c>
      <c r="B4821" s="1">
        <v>40148</v>
      </c>
      <c r="C4821" t="s">
        <v>24</v>
      </c>
      <c r="D4821" s="19">
        <v>12</v>
      </c>
      <c r="E4821">
        <v>83</v>
      </c>
      <c r="F4821" t="s">
        <v>14</v>
      </c>
      <c r="H4821">
        <v>0</v>
      </c>
    </row>
    <row r="4822" spans="1:9" x14ac:dyDescent="0.2">
      <c r="A4822" t="str">
        <f t="shared" si="322"/>
        <v>40148Tiahura1284PoritidaeDessus</v>
      </c>
      <c r="B4822" s="1">
        <v>40148</v>
      </c>
      <c r="C4822" t="s">
        <v>24</v>
      </c>
      <c r="D4822" s="19">
        <v>12</v>
      </c>
      <c r="E4822">
        <v>84</v>
      </c>
      <c r="F4822" t="s">
        <v>7</v>
      </c>
      <c r="G4822" t="s">
        <v>11</v>
      </c>
      <c r="H4822">
        <v>1</v>
      </c>
      <c r="I4822" t="s">
        <v>27</v>
      </c>
    </row>
    <row r="4823" spans="1:9" x14ac:dyDescent="0.2">
      <c r="A4823" t="str">
        <f t="shared" si="322"/>
        <v>40148Tiahura1285</v>
      </c>
      <c r="B4823" s="1">
        <v>40148</v>
      </c>
      <c r="C4823" t="s">
        <v>24</v>
      </c>
      <c r="D4823" s="19">
        <v>12</v>
      </c>
      <c r="E4823">
        <v>85</v>
      </c>
      <c r="F4823" t="s">
        <v>27</v>
      </c>
      <c r="G4823" t="s">
        <v>27</v>
      </c>
      <c r="H4823" t="s">
        <v>27</v>
      </c>
      <c r="I4823" t="s">
        <v>31</v>
      </c>
    </row>
    <row r="4824" spans="1:9" x14ac:dyDescent="0.2">
      <c r="A4824" t="str">
        <f t="shared" si="322"/>
        <v>40148Tiahura1286Autres</v>
      </c>
      <c r="B4824" s="1">
        <v>40148</v>
      </c>
      <c r="C4824" t="s">
        <v>24</v>
      </c>
      <c r="D4824" s="19">
        <v>12</v>
      </c>
      <c r="E4824">
        <v>86</v>
      </c>
      <c r="F4824" t="s">
        <v>14</v>
      </c>
      <c r="H4824">
        <v>0</v>
      </c>
    </row>
    <row r="4825" spans="1:9" x14ac:dyDescent="0.2">
      <c r="A4825" t="str">
        <f t="shared" si="322"/>
        <v>40148Tiahura1287PocilloporidaeDessous</v>
      </c>
      <c r="B4825" s="1">
        <v>40148</v>
      </c>
      <c r="C4825" t="s">
        <v>24</v>
      </c>
      <c r="D4825" s="19">
        <v>12</v>
      </c>
      <c r="E4825">
        <v>87</v>
      </c>
      <c r="F4825" t="s">
        <v>10</v>
      </c>
      <c r="G4825" t="s">
        <v>8</v>
      </c>
      <c r="H4825">
        <v>1</v>
      </c>
      <c r="I4825" t="s">
        <v>27</v>
      </c>
    </row>
    <row r="4826" spans="1:9" x14ac:dyDescent="0.2">
      <c r="A4826" t="str">
        <f t="shared" si="322"/>
        <v>40148Tiahura1288PocilloporidaeDessous</v>
      </c>
      <c r="B4826" s="1">
        <v>40148</v>
      </c>
      <c r="C4826" t="s">
        <v>24</v>
      </c>
      <c r="D4826" s="19">
        <v>12</v>
      </c>
      <c r="E4826">
        <v>88</v>
      </c>
      <c r="F4826" t="s">
        <v>10</v>
      </c>
      <c r="G4826" t="s">
        <v>8</v>
      </c>
      <c r="H4826">
        <v>1</v>
      </c>
      <c r="I4826" t="s">
        <v>27</v>
      </c>
    </row>
    <row r="4827" spans="1:9" x14ac:dyDescent="0.2">
      <c r="A4827" t="str">
        <f t="shared" si="322"/>
        <v>40148Tiahura1289</v>
      </c>
      <c r="B4827" s="1">
        <v>40148</v>
      </c>
      <c r="C4827" t="s">
        <v>24</v>
      </c>
      <c r="D4827" s="19">
        <v>12</v>
      </c>
      <c r="E4827">
        <v>89</v>
      </c>
      <c r="F4827" t="s">
        <v>27</v>
      </c>
      <c r="G4827" t="s">
        <v>27</v>
      </c>
      <c r="H4827" t="s">
        <v>27</v>
      </c>
      <c r="I4827" t="s">
        <v>31</v>
      </c>
    </row>
    <row r="4828" spans="1:9" x14ac:dyDescent="0.2">
      <c r="A4828" t="str">
        <f t="shared" si="322"/>
        <v>40148Tiahura1290Autres</v>
      </c>
      <c r="B4828" s="1">
        <v>40148</v>
      </c>
      <c r="C4828" t="s">
        <v>24</v>
      </c>
      <c r="D4828" s="19">
        <v>12</v>
      </c>
      <c r="E4828">
        <v>90</v>
      </c>
      <c r="F4828" t="s">
        <v>14</v>
      </c>
      <c r="H4828">
        <v>0</v>
      </c>
    </row>
    <row r="4829" spans="1:9" x14ac:dyDescent="0.2">
      <c r="A4829" t="str">
        <f t="shared" si="322"/>
        <v>40148Tiahura1291Autres</v>
      </c>
      <c r="B4829" s="1">
        <v>40148</v>
      </c>
      <c r="C4829" t="s">
        <v>24</v>
      </c>
      <c r="D4829" s="19">
        <v>12</v>
      </c>
      <c r="E4829">
        <v>91</v>
      </c>
      <c r="F4829" t="s">
        <v>14</v>
      </c>
      <c r="H4829">
        <v>0</v>
      </c>
    </row>
    <row r="4830" spans="1:9" x14ac:dyDescent="0.2">
      <c r="A4830" t="str">
        <f t="shared" si="322"/>
        <v>40148Tiahura1292PocilloporidaeDessus</v>
      </c>
      <c r="B4830" s="1">
        <v>40148</v>
      </c>
      <c r="C4830" t="s">
        <v>24</v>
      </c>
      <c r="D4830" s="19">
        <v>12</v>
      </c>
      <c r="E4830">
        <v>92</v>
      </c>
      <c r="F4830" t="s">
        <v>10</v>
      </c>
      <c r="G4830" t="s">
        <v>11</v>
      </c>
      <c r="H4830">
        <v>1</v>
      </c>
      <c r="I4830" t="s">
        <v>27</v>
      </c>
    </row>
    <row r="4831" spans="1:9" x14ac:dyDescent="0.2">
      <c r="A4831" t="str">
        <f t="shared" si="322"/>
        <v>40148Tiahura1293</v>
      </c>
      <c r="B4831" s="1">
        <v>40148</v>
      </c>
      <c r="C4831" t="s">
        <v>24</v>
      </c>
      <c r="D4831" s="19">
        <v>12</v>
      </c>
      <c r="E4831">
        <v>93</v>
      </c>
      <c r="F4831" t="s">
        <v>27</v>
      </c>
      <c r="G4831" t="s">
        <v>27</v>
      </c>
      <c r="H4831" t="s">
        <v>27</v>
      </c>
      <c r="I4831" t="s">
        <v>31</v>
      </c>
    </row>
    <row r="4832" spans="1:9" x14ac:dyDescent="0.2">
      <c r="A4832" t="str">
        <f t="shared" si="322"/>
        <v>40148Tiahura1294PocilloporidaeDessous</v>
      </c>
      <c r="B4832" s="1">
        <v>40148</v>
      </c>
      <c r="C4832" t="s">
        <v>24</v>
      </c>
      <c r="D4832" s="19">
        <v>12</v>
      </c>
      <c r="E4832">
        <v>94</v>
      </c>
      <c r="F4832" t="s">
        <v>10</v>
      </c>
      <c r="G4832" t="s">
        <v>8</v>
      </c>
      <c r="H4832">
        <v>1</v>
      </c>
      <c r="I4832" t="s">
        <v>27</v>
      </c>
    </row>
    <row r="4833" spans="1:9" x14ac:dyDescent="0.2">
      <c r="A4833" t="str">
        <f t="shared" si="322"/>
        <v>40148Tiahura1295PocilloporidaeDessus</v>
      </c>
      <c r="B4833" s="1">
        <v>40148</v>
      </c>
      <c r="C4833" t="s">
        <v>24</v>
      </c>
      <c r="D4833" s="19">
        <v>12</v>
      </c>
      <c r="E4833">
        <v>95</v>
      </c>
      <c r="F4833" t="s">
        <v>10</v>
      </c>
      <c r="G4833" t="s">
        <v>11</v>
      </c>
      <c r="H4833">
        <v>1</v>
      </c>
      <c r="I4833" t="s">
        <v>27</v>
      </c>
    </row>
    <row r="4834" spans="1:9" x14ac:dyDescent="0.2">
      <c r="A4834" t="str">
        <f t="shared" si="322"/>
        <v>40148Tiahura1296Autres</v>
      </c>
      <c r="B4834" s="1">
        <v>40148</v>
      </c>
      <c r="C4834" t="s">
        <v>24</v>
      </c>
      <c r="D4834" s="19">
        <v>12</v>
      </c>
      <c r="E4834">
        <v>96</v>
      </c>
      <c r="F4834" t="s">
        <v>14</v>
      </c>
      <c r="H4834">
        <v>0</v>
      </c>
    </row>
    <row r="4835" spans="1:9" x14ac:dyDescent="0.2">
      <c r="A4835" t="str">
        <f t="shared" si="322"/>
        <v>40148Tiahura1297Autres</v>
      </c>
      <c r="B4835" s="1">
        <v>40148</v>
      </c>
      <c r="C4835" t="s">
        <v>24</v>
      </c>
      <c r="D4835" s="19">
        <v>12</v>
      </c>
      <c r="E4835">
        <v>97</v>
      </c>
      <c r="F4835" t="s">
        <v>14</v>
      </c>
      <c r="H4835">
        <v>0</v>
      </c>
    </row>
    <row r="4836" spans="1:9" x14ac:dyDescent="0.2">
      <c r="A4836" t="str">
        <f t="shared" si="322"/>
        <v>40148Tiahura1298</v>
      </c>
      <c r="B4836" s="1">
        <v>40148</v>
      </c>
      <c r="C4836" t="s">
        <v>24</v>
      </c>
      <c r="D4836" s="19">
        <v>12</v>
      </c>
      <c r="E4836">
        <v>98</v>
      </c>
      <c r="F4836" t="s">
        <v>27</v>
      </c>
      <c r="G4836" t="s">
        <v>27</v>
      </c>
      <c r="H4836" t="s">
        <v>27</v>
      </c>
      <c r="I4836" t="s">
        <v>31</v>
      </c>
    </row>
    <row r="4837" spans="1:9" x14ac:dyDescent="0.2">
      <c r="A4837" t="str">
        <f t="shared" si="322"/>
        <v>40148Tiahura1299PocilloporidaeDessus</v>
      </c>
      <c r="B4837" s="1">
        <v>40148</v>
      </c>
      <c r="C4837" t="s">
        <v>24</v>
      </c>
      <c r="D4837" s="19">
        <v>12</v>
      </c>
      <c r="E4837">
        <v>99</v>
      </c>
      <c r="F4837" t="s">
        <v>10</v>
      </c>
      <c r="G4837" t="s">
        <v>11</v>
      </c>
      <c r="H4837">
        <v>1</v>
      </c>
      <c r="I4837" t="s">
        <v>27</v>
      </c>
    </row>
    <row r="4838" spans="1:9" x14ac:dyDescent="0.2">
      <c r="A4838" t="str">
        <f t="shared" si="322"/>
        <v>40148Tiahura12100</v>
      </c>
      <c r="B4838" s="1">
        <v>40148</v>
      </c>
      <c r="C4838" t="s">
        <v>24</v>
      </c>
      <c r="D4838" s="19">
        <v>12</v>
      </c>
      <c r="E4838">
        <v>100</v>
      </c>
      <c r="F4838" t="s">
        <v>27</v>
      </c>
      <c r="G4838" t="s">
        <v>27</v>
      </c>
      <c r="H4838" t="s">
        <v>27</v>
      </c>
      <c r="I4838" t="s">
        <v>31</v>
      </c>
    </row>
    <row r="4839" spans="1:9" x14ac:dyDescent="0.2">
      <c r="A4839" t="str">
        <f t="shared" si="322"/>
        <v>40148Tiahura18101PocilloporidaeDessous</v>
      </c>
      <c r="B4839" s="1">
        <v>40148</v>
      </c>
      <c r="C4839" t="s">
        <v>24</v>
      </c>
      <c r="D4839" s="19">
        <v>18</v>
      </c>
      <c r="E4839">
        <v>101</v>
      </c>
      <c r="F4839" t="s">
        <v>10</v>
      </c>
      <c r="G4839" t="s">
        <v>8</v>
      </c>
      <c r="H4839">
        <v>1</v>
      </c>
      <c r="I4839" t="s">
        <v>27</v>
      </c>
    </row>
    <row r="4840" spans="1:9" x14ac:dyDescent="0.2">
      <c r="A4840" t="str">
        <f t="shared" si="322"/>
        <v>40148Tiahura18102Autres</v>
      </c>
      <c r="B4840" s="1">
        <v>40148</v>
      </c>
      <c r="C4840" t="s">
        <v>24</v>
      </c>
      <c r="D4840" s="19">
        <v>18</v>
      </c>
      <c r="E4840">
        <v>102</v>
      </c>
      <c r="F4840" t="s">
        <v>14</v>
      </c>
      <c r="H4840">
        <v>0</v>
      </c>
    </row>
    <row r="4841" spans="1:9" x14ac:dyDescent="0.2">
      <c r="A4841" t="str">
        <f t="shared" si="322"/>
        <v>40148Tiahura18103PocilloporidaeDessous</v>
      </c>
      <c r="B4841" s="1">
        <v>40148</v>
      </c>
      <c r="C4841" t="s">
        <v>24</v>
      </c>
      <c r="D4841" s="19">
        <v>18</v>
      </c>
      <c r="E4841">
        <v>103</v>
      </c>
      <c r="F4841" t="s">
        <v>10</v>
      </c>
      <c r="G4841" t="s">
        <v>8</v>
      </c>
      <c r="H4841">
        <v>1</v>
      </c>
    </row>
    <row r="4842" spans="1:9" x14ac:dyDescent="0.2">
      <c r="A4842" t="str">
        <f t="shared" si="322"/>
        <v>40148Tiahura18104Autres</v>
      </c>
      <c r="B4842" s="1">
        <v>40148</v>
      </c>
      <c r="C4842" t="s">
        <v>24</v>
      </c>
      <c r="D4842" s="19">
        <v>18</v>
      </c>
      <c r="E4842">
        <v>104</v>
      </c>
      <c r="F4842" t="s">
        <v>14</v>
      </c>
      <c r="H4842">
        <v>0</v>
      </c>
    </row>
    <row r="4843" spans="1:9" x14ac:dyDescent="0.2">
      <c r="A4843" t="str">
        <f t="shared" si="322"/>
        <v>40148Tiahura18105Autres</v>
      </c>
      <c r="B4843" s="1">
        <v>40148</v>
      </c>
      <c r="C4843" t="s">
        <v>24</v>
      </c>
      <c r="D4843" s="19">
        <v>18</v>
      </c>
      <c r="E4843">
        <v>105</v>
      </c>
      <c r="F4843" t="s">
        <v>14</v>
      </c>
      <c r="H4843">
        <v>0</v>
      </c>
    </row>
    <row r="4844" spans="1:9" x14ac:dyDescent="0.2">
      <c r="A4844" t="str">
        <f t="shared" si="322"/>
        <v>40148Tiahura18106Autres</v>
      </c>
      <c r="B4844" s="1">
        <v>40148</v>
      </c>
      <c r="C4844" t="s">
        <v>24</v>
      </c>
      <c r="D4844" s="19">
        <v>18</v>
      </c>
      <c r="E4844">
        <v>106</v>
      </c>
      <c r="F4844" t="s">
        <v>14</v>
      </c>
      <c r="H4844">
        <v>0</v>
      </c>
    </row>
    <row r="4845" spans="1:9" x14ac:dyDescent="0.2">
      <c r="A4845" t="str">
        <f t="shared" si="322"/>
        <v>40148Tiahura18107Autres</v>
      </c>
      <c r="B4845" s="1">
        <v>40148</v>
      </c>
      <c r="C4845" t="s">
        <v>24</v>
      </c>
      <c r="D4845" s="19">
        <v>18</v>
      </c>
      <c r="E4845">
        <v>107</v>
      </c>
      <c r="F4845" t="s">
        <v>14</v>
      </c>
      <c r="H4845">
        <v>0</v>
      </c>
    </row>
    <row r="4846" spans="1:9" x14ac:dyDescent="0.2">
      <c r="A4846" t="str">
        <f t="shared" si="322"/>
        <v>40148Tiahura18108Autres</v>
      </c>
      <c r="B4846" s="1">
        <v>40148</v>
      </c>
      <c r="C4846" t="s">
        <v>24</v>
      </c>
      <c r="D4846" s="19">
        <v>18</v>
      </c>
      <c r="E4846">
        <v>108</v>
      </c>
      <c r="F4846" t="s">
        <v>14</v>
      </c>
      <c r="H4846">
        <v>0</v>
      </c>
    </row>
    <row r="4847" spans="1:9" x14ac:dyDescent="0.2">
      <c r="A4847" t="str">
        <f t="shared" si="322"/>
        <v>40148Tiahura18109</v>
      </c>
      <c r="B4847" s="1">
        <v>40148</v>
      </c>
      <c r="C4847" t="s">
        <v>24</v>
      </c>
      <c r="D4847" s="19">
        <v>18</v>
      </c>
      <c r="E4847">
        <v>109</v>
      </c>
      <c r="F4847" t="s">
        <v>27</v>
      </c>
      <c r="G4847" t="s">
        <v>27</v>
      </c>
      <c r="H4847" t="s">
        <v>27</v>
      </c>
      <c r="I4847" t="s">
        <v>31</v>
      </c>
    </row>
    <row r="4848" spans="1:9" x14ac:dyDescent="0.2">
      <c r="A4848" t="str">
        <f t="shared" si="322"/>
        <v>40148Tiahura18110Autres</v>
      </c>
      <c r="B4848" s="1">
        <v>40148</v>
      </c>
      <c r="C4848" t="s">
        <v>24</v>
      </c>
      <c r="D4848" s="19">
        <v>18</v>
      </c>
      <c r="E4848">
        <v>110</v>
      </c>
      <c r="F4848" t="s">
        <v>14</v>
      </c>
      <c r="H4848">
        <v>0</v>
      </c>
    </row>
    <row r="4849" spans="1:9" x14ac:dyDescent="0.2">
      <c r="A4849" t="str">
        <f t="shared" si="322"/>
        <v>40148Tiahura18111Autres</v>
      </c>
      <c r="B4849" s="1">
        <v>40148</v>
      </c>
      <c r="C4849" t="s">
        <v>24</v>
      </c>
      <c r="D4849" s="19">
        <v>18</v>
      </c>
      <c r="E4849">
        <v>111</v>
      </c>
      <c r="F4849" t="s">
        <v>14</v>
      </c>
      <c r="H4849">
        <v>0</v>
      </c>
    </row>
    <row r="4850" spans="1:9" x14ac:dyDescent="0.2">
      <c r="A4850" t="str">
        <f t="shared" si="322"/>
        <v>40148Tiahura18112PocilloporidaeBords</v>
      </c>
      <c r="B4850" s="1">
        <v>40148</v>
      </c>
      <c r="C4850" t="s">
        <v>24</v>
      </c>
      <c r="D4850" s="19">
        <v>18</v>
      </c>
      <c r="E4850">
        <v>112</v>
      </c>
      <c r="F4850" t="s">
        <v>10</v>
      </c>
      <c r="G4850" t="s">
        <v>13</v>
      </c>
      <c r="H4850">
        <v>1</v>
      </c>
      <c r="I4850" t="s">
        <v>27</v>
      </c>
    </row>
    <row r="4851" spans="1:9" x14ac:dyDescent="0.2">
      <c r="A4851" t="str">
        <f t="shared" si="322"/>
        <v>40148Tiahura18113Autres</v>
      </c>
      <c r="B4851" s="1">
        <v>40148</v>
      </c>
      <c r="C4851" t="s">
        <v>24</v>
      </c>
      <c r="D4851" s="19">
        <v>18</v>
      </c>
      <c r="E4851">
        <v>113</v>
      </c>
      <c r="F4851" t="s">
        <v>14</v>
      </c>
      <c r="H4851">
        <v>0</v>
      </c>
    </row>
    <row r="4852" spans="1:9" x14ac:dyDescent="0.2">
      <c r="A4852" t="str">
        <f t="shared" si="322"/>
        <v>40148Tiahura18114PocilloporidaeDessous</v>
      </c>
      <c r="B4852" s="1">
        <v>40148</v>
      </c>
      <c r="C4852" t="s">
        <v>24</v>
      </c>
      <c r="D4852" s="19">
        <v>18</v>
      </c>
      <c r="E4852">
        <v>114</v>
      </c>
      <c r="F4852" t="s">
        <v>10</v>
      </c>
      <c r="G4852" t="s">
        <v>8</v>
      </c>
      <c r="H4852">
        <v>1</v>
      </c>
      <c r="I4852" t="s">
        <v>27</v>
      </c>
    </row>
    <row r="4853" spans="1:9" x14ac:dyDescent="0.2">
      <c r="A4853" t="str">
        <f t="shared" si="322"/>
        <v>40148Tiahura18115</v>
      </c>
      <c r="B4853" s="1">
        <v>40148</v>
      </c>
      <c r="C4853" t="s">
        <v>24</v>
      </c>
      <c r="D4853" s="19">
        <v>18</v>
      </c>
      <c r="E4853">
        <v>115</v>
      </c>
      <c r="F4853" t="s">
        <v>27</v>
      </c>
      <c r="G4853" t="s">
        <v>27</v>
      </c>
      <c r="H4853" t="s">
        <v>27</v>
      </c>
      <c r="I4853" t="s">
        <v>31</v>
      </c>
    </row>
    <row r="4854" spans="1:9" x14ac:dyDescent="0.2">
      <c r="A4854" t="str">
        <f t="shared" si="322"/>
        <v>40148Tiahura18116PocilloporidaeDessous</v>
      </c>
      <c r="B4854" s="1">
        <v>40148</v>
      </c>
      <c r="C4854" t="s">
        <v>24</v>
      </c>
      <c r="D4854" s="19">
        <v>18</v>
      </c>
      <c r="E4854">
        <v>116</v>
      </c>
      <c r="F4854" t="s">
        <v>10</v>
      </c>
      <c r="G4854" t="s">
        <v>8</v>
      </c>
      <c r="H4854">
        <v>1</v>
      </c>
      <c r="I4854" t="s">
        <v>27</v>
      </c>
    </row>
    <row r="4855" spans="1:9" x14ac:dyDescent="0.2">
      <c r="A4855" t="str">
        <f t="shared" si="322"/>
        <v>40148Tiahura18116PocilloporidaeDessus</v>
      </c>
      <c r="B4855" s="1">
        <v>40148</v>
      </c>
      <c r="C4855" t="s">
        <v>24</v>
      </c>
      <c r="D4855" s="19">
        <v>18</v>
      </c>
      <c r="E4855">
        <v>116</v>
      </c>
      <c r="F4855" t="s">
        <v>10</v>
      </c>
      <c r="G4855" t="s">
        <v>11</v>
      </c>
      <c r="H4855">
        <v>1</v>
      </c>
      <c r="I4855" t="s">
        <v>27</v>
      </c>
    </row>
    <row r="4856" spans="1:9" x14ac:dyDescent="0.2">
      <c r="A4856" t="str">
        <f t="shared" si="322"/>
        <v>40148Tiahura18117Autres</v>
      </c>
      <c r="B4856" s="1">
        <v>40148</v>
      </c>
      <c r="C4856" t="s">
        <v>24</v>
      </c>
      <c r="D4856" s="19">
        <v>18</v>
      </c>
      <c r="E4856">
        <v>117</v>
      </c>
      <c r="F4856" t="s">
        <v>14</v>
      </c>
      <c r="H4856">
        <v>0</v>
      </c>
    </row>
    <row r="4857" spans="1:9" x14ac:dyDescent="0.2">
      <c r="A4857" t="str">
        <f t="shared" si="322"/>
        <v>40148Tiahura18118Autres</v>
      </c>
      <c r="B4857" s="1">
        <v>40148</v>
      </c>
      <c r="C4857" t="s">
        <v>24</v>
      </c>
      <c r="D4857" s="19">
        <v>18</v>
      </c>
      <c r="E4857">
        <v>118</v>
      </c>
      <c r="F4857" t="s">
        <v>14</v>
      </c>
      <c r="H4857">
        <v>0</v>
      </c>
    </row>
    <row r="4858" spans="1:9" x14ac:dyDescent="0.2">
      <c r="A4858" t="str">
        <f t="shared" si="322"/>
        <v>40148Tiahura18119</v>
      </c>
      <c r="B4858" s="1">
        <v>40148</v>
      </c>
      <c r="C4858" t="s">
        <v>24</v>
      </c>
      <c r="D4858" s="19">
        <v>18</v>
      </c>
      <c r="E4858">
        <v>119</v>
      </c>
      <c r="F4858" t="s">
        <v>27</v>
      </c>
      <c r="G4858" t="s">
        <v>27</v>
      </c>
      <c r="H4858" t="s">
        <v>27</v>
      </c>
      <c r="I4858" t="s">
        <v>31</v>
      </c>
    </row>
    <row r="4859" spans="1:9" x14ac:dyDescent="0.2">
      <c r="A4859" t="str">
        <f t="shared" si="322"/>
        <v>40148Tiahura18120PocilloporidaeBords</v>
      </c>
      <c r="B4859" s="1">
        <v>40148</v>
      </c>
      <c r="C4859" t="s">
        <v>24</v>
      </c>
      <c r="D4859" s="19">
        <v>18</v>
      </c>
      <c r="E4859">
        <v>120</v>
      </c>
      <c r="F4859" t="s">
        <v>10</v>
      </c>
      <c r="G4859" t="s">
        <v>13</v>
      </c>
      <c r="H4859">
        <v>4</v>
      </c>
      <c r="I4859" t="s">
        <v>27</v>
      </c>
    </row>
    <row r="4860" spans="1:9" x14ac:dyDescent="0.2">
      <c r="A4860" t="str">
        <f t="shared" si="322"/>
        <v>40148Tiahura18120PocilloporidaeDessous</v>
      </c>
      <c r="B4860" s="1">
        <v>40148</v>
      </c>
      <c r="C4860" t="s">
        <v>24</v>
      </c>
      <c r="D4860" s="19">
        <v>18</v>
      </c>
      <c r="E4860">
        <v>120</v>
      </c>
      <c r="F4860" t="s">
        <v>10</v>
      </c>
      <c r="G4860" t="s">
        <v>8</v>
      </c>
      <c r="H4860">
        <v>1</v>
      </c>
      <c r="I4860" t="s">
        <v>27</v>
      </c>
    </row>
    <row r="4861" spans="1:9" x14ac:dyDescent="0.2">
      <c r="A4861" t="str">
        <f t="shared" si="322"/>
        <v>40148Tiahura18120PoritidaeDessus</v>
      </c>
      <c r="B4861" s="1">
        <v>40148</v>
      </c>
      <c r="C4861" t="s">
        <v>24</v>
      </c>
      <c r="D4861" s="19">
        <v>18</v>
      </c>
      <c r="E4861">
        <v>120</v>
      </c>
      <c r="F4861" t="s">
        <v>7</v>
      </c>
      <c r="G4861" t="s">
        <v>11</v>
      </c>
      <c r="H4861">
        <v>1</v>
      </c>
      <c r="I4861" t="s">
        <v>27</v>
      </c>
    </row>
    <row r="4862" spans="1:9" x14ac:dyDescent="0.2">
      <c r="A4862" t="str">
        <f t="shared" si="322"/>
        <v>40148Haapiti6121Autres</v>
      </c>
      <c r="B4862" s="1">
        <v>40148</v>
      </c>
      <c r="C4862" t="s">
        <v>25</v>
      </c>
      <c r="D4862" s="19">
        <v>6</v>
      </c>
      <c r="E4862">
        <v>121</v>
      </c>
      <c r="F4862" t="s">
        <v>14</v>
      </c>
      <c r="H4862">
        <v>0</v>
      </c>
    </row>
    <row r="4863" spans="1:9" x14ac:dyDescent="0.2">
      <c r="A4863" t="str">
        <f t="shared" ref="A4863:A4926" si="323">B4863 &amp; C4863&amp; D4863&amp; E4863 &amp; F4863 &amp;G4863</f>
        <v>40148Haapiti6122PocilloporidaeBords</v>
      </c>
      <c r="B4863" s="1">
        <v>40148</v>
      </c>
      <c r="C4863" t="s">
        <v>25</v>
      </c>
      <c r="D4863" s="19">
        <v>6</v>
      </c>
      <c r="E4863">
        <v>122</v>
      </c>
      <c r="F4863" t="s">
        <v>10</v>
      </c>
      <c r="G4863" t="s">
        <v>13</v>
      </c>
      <c r="H4863">
        <v>2</v>
      </c>
      <c r="I4863" t="s">
        <v>27</v>
      </c>
    </row>
    <row r="4864" spans="1:9" x14ac:dyDescent="0.2">
      <c r="A4864" t="str">
        <f t="shared" si="323"/>
        <v>40148Haapiti6123Autres</v>
      </c>
      <c r="B4864" s="1">
        <v>40148</v>
      </c>
      <c r="C4864" t="s">
        <v>25</v>
      </c>
      <c r="D4864" s="19">
        <v>6</v>
      </c>
      <c r="E4864">
        <v>123</v>
      </c>
      <c r="F4864" t="s">
        <v>14</v>
      </c>
      <c r="H4864">
        <v>0</v>
      </c>
    </row>
    <row r="4865" spans="1:9" x14ac:dyDescent="0.2">
      <c r="A4865" t="str">
        <f t="shared" si="323"/>
        <v>40148Haapiti6124AcroporidaeBords</v>
      </c>
      <c r="B4865" s="1">
        <v>40148</v>
      </c>
      <c r="C4865" t="s">
        <v>25</v>
      </c>
      <c r="D4865" s="19">
        <v>6</v>
      </c>
      <c r="E4865">
        <v>124</v>
      </c>
      <c r="F4865" t="s">
        <v>17</v>
      </c>
      <c r="G4865" t="s">
        <v>13</v>
      </c>
      <c r="H4865">
        <v>1</v>
      </c>
      <c r="I4865" t="s">
        <v>27</v>
      </c>
    </row>
    <row r="4866" spans="1:9" x14ac:dyDescent="0.2">
      <c r="A4866" t="str">
        <f t="shared" si="323"/>
        <v>40148Haapiti6124PocilloporidaeBords</v>
      </c>
      <c r="B4866" s="1">
        <v>40148</v>
      </c>
      <c r="C4866" t="s">
        <v>25</v>
      </c>
      <c r="D4866" s="19">
        <v>6</v>
      </c>
      <c r="E4866">
        <v>124</v>
      </c>
      <c r="F4866" t="s">
        <v>10</v>
      </c>
      <c r="G4866" t="s">
        <v>13</v>
      </c>
      <c r="H4866">
        <v>1</v>
      </c>
      <c r="I4866" t="s">
        <v>27</v>
      </c>
    </row>
    <row r="4867" spans="1:9" x14ac:dyDescent="0.2">
      <c r="A4867" t="str">
        <f t="shared" si="323"/>
        <v>40148Haapiti6125Autres</v>
      </c>
      <c r="B4867" s="1">
        <v>40148</v>
      </c>
      <c r="C4867" t="s">
        <v>25</v>
      </c>
      <c r="D4867" s="19">
        <v>6</v>
      </c>
      <c r="E4867">
        <v>125</v>
      </c>
      <c r="F4867" t="s">
        <v>14</v>
      </c>
      <c r="H4867">
        <v>0</v>
      </c>
    </row>
    <row r="4868" spans="1:9" x14ac:dyDescent="0.2">
      <c r="A4868" t="str">
        <f t="shared" si="323"/>
        <v>40148Haapiti6126Autres</v>
      </c>
      <c r="B4868" s="1">
        <v>40148</v>
      </c>
      <c r="C4868" t="s">
        <v>25</v>
      </c>
      <c r="D4868" s="19">
        <v>6</v>
      </c>
      <c r="E4868">
        <v>126</v>
      </c>
      <c r="F4868" t="s">
        <v>14</v>
      </c>
      <c r="H4868">
        <v>0</v>
      </c>
    </row>
    <row r="4869" spans="1:9" x14ac:dyDescent="0.2">
      <c r="A4869" t="str">
        <f t="shared" si="323"/>
        <v>40148Haapiti6127Autres</v>
      </c>
      <c r="B4869" s="1">
        <v>40148</v>
      </c>
      <c r="C4869" t="s">
        <v>25</v>
      </c>
      <c r="D4869" s="19">
        <v>6</v>
      </c>
      <c r="E4869">
        <v>127</v>
      </c>
      <c r="F4869" t="s">
        <v>14</v>
      </c>
      <c r="H4869">
        <v>0</v>
      </c>
    </row>
    <row r="4870" spans="1:9" x14ac:dyDescent="0.2">
      <c r="A4870" t="str">
        <f t="shared" si="323"/>
        <v>40148Haapiti6128Autres</v>
      </c>
      <c r="B4870" s="1">
        <v>40148</v>
      </c>
      <c r="C4870" t="s">
        <v>25</v>
      </c>
      <c r="D4870" s="19">
        <v>6</v>
      </c>
      <c r="E4870">
        <v>128</v>
      </c>
      <c r="F4870" t="s">
        <v>14</v>
      </c>
      <c r="H4870">
        <v>0</v>
      </c>
    </row>
    <row r="4871" spans="1:9" x14ac:dyDescent="0.2">
      <c r="A4871" t="str">
        <f t="shared" si="323"/>
        <v>40148Haapiti6129Autres</v>
      </c>
      <c r="B4871" s="1">
        <v>40148</v>
      </c>
      <c r="C4871" t="s">
        <v>25</v>
      </c>
      <c r="D4871" s="19">
        <v>6</v>
      </c>
      <c r="E4871">
        <v>129</v>
      </c>
      <c r="F4871" t="s">
        <v>14</v>
      </c>
      <c r="H4871">
        <v>0</v>
      </c>
    </row>
    <row r="4872" spans="1:9" x14ac:dyDescent="0.2">
      <c r="A4872" t="str">
        <f t="shared" si="323"/>
        <v>40148Haapiti6130Autres</v>
      </c>
      <c r="B4872" s="1">
        <v>40148</v>
      </c>
      <c r="C4872" t="s">
        <v>25</v>
      </c>
      <c r="D4872" s="19">
        <v>6</v>
      </c>
      <c r="E4872">
        <v>130</v>
      </c>
      <c r="F4872" t="s">
        <v>14</v>
      </c>
      <c r="H4872">
        <v>0</v>
      </c>
    </row>
    <row r="4873" spans="1:9" x14ac:dyDescent="0.2">
      <c r="A4873" t="str">
        <f t="shared" si="323"/>
        <v>40148Haapiti6131PocilloporidaeDessous</v>
      </c>
      <c r="B4873" s="1">
        <v>40148</v>
      </c>
      <c r="C4873" t="s">
        <v>25</v>
      </c>
      <c r="D4873" s="19">
        <v>6</v>
      </c>
      <c r="E4873">
        <v>131</v>
      </c>
      <c r="F4873" t="s">
        <v>10</v>
      </c>
      <c r="G4873" t="s">
        <v>8</v>
      </c>
      <c r="H4873">
        <v>1</v>
      </c>
      <c r="I4873" t="s">
        <v>27</v>
      </c>
    </row>
    <row r="4874" spans="1:9" x14ac:dyDescent="0.2">
      <c r="A4874" t="str">
        <f t="shared" si="323"/>
        <v>40148Haapiti6132PocilloporidaeDessus</v>
      </c>
      <c r="B4874" s="1">
        <v>40148</v>
      </c>
      <c r="C4874" t="s">
        <v>25</v>
      </c>
      <c r="D4874" s="19">
        <v>6</v>
      </c>
      <c r="E4874">
        <v>132</v>
      </c>
      <c r="F4874" t="s">
        <v>10</v>
      </c>
      <c r="G4874" t="s">
        <v>11</v>
      </c>
      <c r="H4874">
        <v>1</v>
      </c>
      <c r="I4874" t="s">
        <v>27</v>
      </c>
    </row>
    <row r="4875" spans="1:9" x14ac:dyDescent="0.2">
      <c r="A4875" t="str">
        <f t="shared" si="323"/>
        <v>40148Haapiti6133PocilloporidaeDessus</v>
      </c>
      <c r="B4875" s="1">
        <v>40148</v>
      </c>
      <c r="C4875" t="s">
        <v>25</v>
      </c>
      <c r="D4875" s="19">
        <v>6</v>
      </c>
      <c r="E4875">
        <v>133</v>
      </c>
      <c r="F4875" t="s">
        <v>10</v>
      </c>
      <c r="G4875" t="s">
        <v>11</v>
      </c>
      <c r="H4875">
        <v>2</v>
      </c>
      <c r="I4875" t="s">
        <v>27</v>
      </c>
    </row>
    <row r="4876" spans="1:9" x14ac:dyDescent="0.2">
      <c r="A4876" t="str">
        <f t="shared" si="323"/>
        <v>40148Haapiti6134Autres</v>
      </c>
      <c r="B4876" s="1">
        <v>40148</v>
      </c>
      <c r="C4876" t="s">
        <v>25</v>
      </c>
      <c r="D4876" s="19">
        <v>6</v>
      </c>
      <c r="E4876">
        <v>134</v>
      </c>
      <c r="F4876" t="s">
        <v>14</v>
      </c>
      <c r="H4876">
        <v>0</v>
      </c>
    </row>
    <row r="4877" spans="1:9" x14ac:dyDescent="0.2">
      <c r="A4877" t="str">
        <f t="shared" si="323"/>
        <v>40148Haapiti6135PocilloporidaeDessous</v>
      </c>
      <c r="B4877" s="1">
        <v>40148</v>
      </c>
      <c r="C4877" t="s">
        <v>25</v>
      </c>
      <c r="D4877" s="19">
        <v>6</v>
      </c>
      <c r="E4877">
        <v>135</v>
      </c>
      <c r="F4877" t="s">
        <v>10</v>
      </c>
      <c r="G4877" t="s">
        <v>8</v>
      </c>
      <c r="H4877">
        <v>1</v>
      </c>
      <c r="I4877" t="s">
        <v>27</v>
      </c>
    </row>
    <row r="4878" spans="1:9" x14ac:dyDescent="0.2">
      <c r="A4878" t="str">
        <f t="shared" si="323"/>
        <v>40148Haapiti6136Autres</v>
      </c>
      <c r="B4878" s="1">
        <v>40148</v>
      </c>
      <c r="C4878" t="s">
        <v>25</v>
      </c>
      <c r="D4878" s="19">
        <v>6</v>
      </c>
      <c r="E4878">
        <v>136</v>
      </c>
      <c r="F4878" t="s">
        <v>14</v>
      </c>
      <c r="H4878">
        <v>0</v>
      </c>
      <c r="I4878" t="s">
        <v>31</v>
      </c>
    </row>
    <row r="4879" spans="1:9" x14ac:dyDescent="0.2">
      <c r="A4879" t="str">
        <f t="shared" si="323"/>
        <v>40148Haapiti6137Autres</v>
      </c>
      <c r="B4879" s="1">
        <v>40148</v>
      </c>
      <c r="C4879" t="s">
        <v>25</v>
      </c>
      <c r="D4879" s="19">
        <v>6</v>
      </c>
      <c r="E4879">
        <v>137</v>
      </c>
      <c r="F4879" t="s">
        <v>14</v>
      </c>
      <c r="H4879">
        <v>0</v>
      </c>
    </row>
    <row r="4880" spans="1:9" x14ac:dyDescent="0.2">
      <c r="A4880" t="str">
        <f t="shared" si="323"/>
        <v>40148Haapiti6138Autres</v>
      </c>
      <c r="B4880" s="1">
        <v>40148</v>
      </c>
      <c r="C4880" t="s">
        <v>25</v>
      </c>
      <c r="D4880" s="19">
        <v>6</v>
      </c>
      <c r="E4880">
        <v>138</v>
      </c>
      <c r="F4880" t="s">
        <v>14</v>
      </c>
      <c r="H4880">
        <v>0</v>
      </c>
    </row>
    <row r="4881" spans="1:9" x14ac:dyDescent="0.2">
      <c r="A4881" t="str">
        <f t="shared" si="323"/>
        <v>40148Haapiti6139Autres</v>
      </c>
      <c r="B4881" s="1">
        <v>40148</v>
      </c>
      <c r="C4881" t="s">
        <v>25</v>
      </c>
      <c r="D4881" s="19">
        <v>6</v>
      </c>
      <c r="E4881">
        <v>139</v>
      </c>
      <c r="F4881" t="s">
        <v>14</v>
      </c>
      <c r="H4881">
        <v>0</v>
      </c>
    </row>
    <row r="4882" spans="1:9" x14ac:dyDescent="0.2">
      <c r="A4882" t="str">
        <f t="shared" si="323"/>
        <v>40148Haapiti6140Autres</v>
      </c>
      <c r="B4882" s="1">
        <v>40148</v>
      </c>
      <c r="C4882" t="s">
        <v>25</v>
      </c>
      <c r="D4882" s="19">
        <v>6</v>
      </c>
      <c r="E4882">
        <v>140</v>
      </c>
      <c r="F4882" t="s">
        <v>14</v>
      </c>
      <c r="H4882">
        <v>0</v>
      </c>
    </row>
    <row r="4883" spans="1:9" x14ac:dyDescent="0.2">
      <c r="A4883" t="str">
        <f t="shared" si="323"/>
        <v>40148Haapiti12141Autres</v>
      </c>
      <c r="B4883" s="1">
        <v>40148</v>
      </c>
      <c r="C4883" t="s">
        <v>25</v>
      </c>
      <c r="D4883" s="19">
        <v>12</v>
      </c>
      <c r="E4883">
        <v>141</v>
      </c>
      <c r="F4883" t="s">
        <v>14</v>
      </c>
      <c r="H4883">
        <v>0</v>
      </c>
    </row>
    <row r="4884" spans="1:9" x14ac:dyDescent="0.2">
      <c r="A4884" t="str">
        <f t="shared" si="323"/>
        <v>40148Haapiti12142Autres</v>
      </c>
      <c r="B4884" s="1">
        <v>40148</v>
      </c>
      <c r="C4884" t="s">
        <v>25</v>
      </c>
      <c r="D4884" s="19">
        <v>12</v>
      </c>
      <c r="E4884">
        <v>142</v>
      </c>
      <c r="F4884" t="s">
        <v>14</v>
      </c>
      <c r="H4884">
        <v>0</v>
      </c>
    </row>
    <row r="4885" spans="1:9" x14ac:dyDescent="0.2">
      <c r="A4885" t="str">
        <f t="shared" si="323"/>
        <v>40148Haapiti12143Autres</v>
      </c>
      <c r="B4885" s="1">
        <v>40148</v>
      </c>
      <c r="C4885" t="s">
        <v>25</v>
      </c>
      <c r="D4885" s="19">
        <v>12</v>
      </c>
      <c r="E4885">
        <v>143</v>
      </c>
      <c r="F4885" t="s">
        <v>14</v>
      </c>
      <c r="H4885">
        <v>0</v>
      </c>
    </row>
    <row r="4886" spans="1:9" x14ac:dyDescent="0.2">
      <c r="A4886" t="str">
        <f t="shared" si="323"/>
        <v>40148Haapiti12144PocilloporidaeDessous</v>
      </c>
      <c r="B4886" s="1">
        <v>40148</v>
      </c>
      <c r="C4886" t="s">
        <v>25</v>
      </c>
      <c r="D4886" s="19">
        <v>12</v>
      </c>
      <c r="E4886">
        <v>144</v>
      </c>
      <c r="F4886" t="s">
        <v>10</v>
      </c>
      <c r="G4886" t="s">
        <v>8</v>
      </c>
      <c r="H4886">
        <v>1</v>
      </c>
      <c r="I4886" t="s">
        <v>27</v>
      </c>
    </row>
    <row r="4887" spans="1:9" x14ac:dyDescent="0.2">
      <c r="A4887" t="str">
        <f t="shared" si="323"/>
        <v>40148Haapiti12145PocilloporidaeDessus</v>
      </c>
      <c r="B4887" s="1">
        <v>40148</v>
      </c>
      <c r="C4887" t="s">
        <v>25</v>
      </c>
      <c r="D4887" s="19">
        <v>12</v>
      </c>
      <c r="E4887">
        <v>145</v>
      </c>
      <c r="F4887" t="s">
        <v>10</v>
      </c>
      <c r="G4887" t="s">
        <v>11</v>
      </c>
      <c r="H4887">
        <v>1</v>
      </c>
      <c r="I4887" t="s">
        <v>27</v>
      </c>
    </row>
    <row r="4888" spans="1:9" x14ac:dyDescent="0.2">
      <c r="A4888" t="str">
        <f t="shared" si="323"/>
        <v>40148Haapiti12146Autres</v>
      </c>
      <c r="B4888" s="1">
        <v>40148</v>
      </c>
      <c r="C4888" t="s">
        <v>25</v>
      </c>
      <c r="D4888" s="19">
        <v>12</v>
      </c>
      <c r="E4888">
        <v>146</v>
      </c>
      <c r="F4888" t="s">
        <v>14</v>
      </c>
      <c r="H4888">
        <v>0</v>
      </c>
    </row>
    <row r="4889" spans="1:9" x14ac:dyDescent="0.2">
      <c r="A4889" t="str">
        <f t="shared" si="323"/>
        <v>40148Haapiti12147Autres</v>
      </c>
      <c r="B4889" s="1">
        <v>40148</v>
      </c>
      <c r="C4889" t="s">
        <v>25</v>
      </c>
      <c r="D4889" s="19">
        <v>12</v>
      </c>
      <c r="E4889">
        <v>147</v>
      </c>
      <c r="F4889" t="s">
        <v>14</v>
      </c>
      <c r="H4889">
        <v>0</v>
      </c>
    </row>
    <row r="4890" spans="1:9" x14ac:dyDescent="0.2">
      <c r="A4890" t="str">
        <f t="shared" si="323"/>
        <v>40148Haapiti12148Autres</v>
      </c>
      <c r="B4890" s="1">
        <v>40148</v>
      </c>
      <c r="C4890" t="s">
        <v>25</v>
      </c>
      <c r="D4890" s="19">
        <v>12</v>
      </c>
      <c r="E4890">
        <v>148</v>
      </c>
      <c r="F4890" t="s">
        <v>14</v>
      </c>
      <c r="H4890">
        <v>0</v>
      </c>
    </row>
    <row r="4891" spans="1:9" x14ac:dyDescent="0.2">
      <c r="A4891" t="str">
        <f t="shared" si="323"/>
        <v>40148Haapiti12149PocilloporidaeDessus</v>
      </c>
      <c r="B4891" s="1">
        <v>40148</v>
      </c>
      <c r="C4891" t="s">
        <v>25</v>
      </c>
      <c r="D4891" s="19">
        <v>12</v>
      </c>
      <c r="E4891">
        <v>149</v>
      </c>
      <c r="F4891" t="s">
        <v>10</v>
      </c>
      <c r="G4891" t="s">
        <v>11</v>
      </c>
      <c r="H4891">
        <v>1</v>
      </c>
      <c r="I4891" t="s">
        <v>27</v>
      </c>
    </row>
    <row r="4892" spans="1:9" x14ac:dyDescent="0.2">
      <c r="A4892" t="str">
        <f t="shared" si="323"/>
        <v>40148Haapiti12150PocilloporidaeBords</v>
      </c>
      <c r="B4892" s="1">
        <v>40148</v>
      </c>
      <c r="C4892" t="s">
        <v>25</v>
      </c>
      <c r="D4892" s="19">
        <v>12</v>
      </c>
      <c r="E4892">
        <v>150</v>
      </c>
      <c r="F4892" t="s">
        <v>10</v>
      </c>
      <c r="G4892" t="s">
        <v>13</v>
      </c>
      <c r="H4892">
        <v>1</v>
      </c>
      <c r="I4892" t="s">
        <v>27</v>
      </c>
    </row>
    <row r="4893" spans="1:9" x14ac:dyDescent="0.2">
      <c r="A4893" t="str">
        <f t="shared" si="323"/>
        <v>40148Haapiti12151Autres</v>
      </c>
      <c r="B4893" s="1">
        <v>40148</v>
      </c>
      <c r="C4893" t="s">
        <v>25</v>
      </c>
      <c r="D4893" s="19">
        <v>12</v>
      </c>
      <c r="E4893">
        <v>151</v>
      </c>
      <c r="F4893" t="s">
        <v>14</v>
      </c>
      <c r="H4893">
        <v>0</v>
      </c>
    </row>
    <row r="4894" spans="1:9" x14ac:dyDescent="0.2">
      <c r="A4894" t="str">
        <f t="shared" si="323"/>
        <v>40148Haapiti12152</v>
      </c>
      <c r="B4894" s="1">
        <v>40148</v>
      </c>
      <c r="C4894" t="s">
        <v>25</v>
      </c>
      <c r="D4894" s="19">
        <v>12</v>
      </c>
      <c r="E4894">
        <v>152</v>
      </c>
      <c r="F4894" t="s">
        <v>27</v>
      </c>
      <c r="G4894" t="s">
        <v>27</v>
      </c>
      <c r="H4894" t="s">
        <v>27</v>
      </c>
      <c r="I4894" t="s">
        <v>31</v>
      </c>
    </row>
    <row r="4895" spans="1:9" x14ac:dyDescent="0.2">
      <c r="A4895" t="str">
        <f t="shared" si="323"/>
        <v>40148Haapiti12153</v>
      </c>
      <c r="B4895" s="1">
        <v>40148</v>
      </c>
      <c r="C4895" t="s">
        <v>25</v>
      </c>
      <c r="D4895" s="19">
        <v>12</v>
      </c>
      <c r="E4895">
        <v>153</v>
      </c>
      <c r="F4895" t="s">
        <v>27</v>
      </c>
      <c r="G4895" t="s">
        <v>27</v>
      </c>
      <c r="H4895" t="s">
        <v>27</v>
      </c>
      <c r="I4895" t="s">
        <v>31</v>
      </c>
    </row>
    <row r="4896" spans="1:9" x14ac:dyDescent="0.2">
      <c r="A4896" t="str">
        <f t="shared" si="323"/>
        <v>40148Haapiti12154Autres</v>
      </c>
      <c r="B4896" s="1">
        <v>40148</v>
      </c>
      <c r="C4896" t="s">
        <v>25</v>
      </c>
      <c r="D4896" s="19">
        <v>12</v>
      </c>
      <c r="E4896">
        <v>154</v>
      </c>
      <c r="F4896" t="s">
        <v>14</v>
      </c>
      <c r="H4896">
        <v>0</v>
      </c>
    </row>
    <row r="4897" spans="1:9" x14ac:dyDescent="0.2">
      <c r="A4897" t="str">
        <f t="shared" si="323"/>
        <v>40148Haapiti12155Autres</v>
      </c>
      <c r="B4897" s="1">
        <v>40148</v>
      </c>
      <c r="C4897" t="s">
        <v>25</v>
      </c>
      <c r="D4897" s="19">
        <v>12</v>
      </c>
      <c r="E4897">
        <v>155</v>
      </c>
      <c r="F4897" t="s">
        <v>14</v>
      </c>
      <c r="H4897">
        <v>0</v>
      </c>
    </row>
    <row r="4898" spans="1:9" x14ac:dyDescent="0.2">
      <c r="A4898" t="str">
        <f t="shared" si="323"/>
        <v>40148Haapiti12156Autres</v>
      </c>
      <c r="B4898" s="1">
        <v>40148</v>
      </c>
      <c r="C4898" t="s">
        <v>25</v>
      </c>
      <c r="D4898" s="19">
        <v>12</v>
      </c>
      <c r="E4898">
        <v>156</v>
      </c>
      <c r="F4898" t="s">
        <v>14</v>
      </c>
      <c r="H4898">
        <v>0</v>
      </c>
    </row>
    <row r="4899" spans="1:9" x14ac:dyDescent="0.2">
      <c r="A4899" t="str">
        <f t="shared" si="323"/>
        <v>40148Haapiti12157</v>
      </c>
      <c r="B4899" s="1">
        <v>40148</v>
      </c>
      <c r="C4899" t="s">
        <v>25</v>
      </c>
      <c r="D4899" s="19">
        <v>12</v>
      </c>
      <c r="E4899">
        <v>157</v>
      </c>
      <c r="F4899" t="s">
        <v>27</v>
      </c>
      <c r="G4899" t="s">
        <v>27</v>
      </c>
      <c r="H4899" t="s">
        <v>27</v>
      </c>
      <c r="I4899" t="s">
        <v>31</v>
      </c>
    </row>
    <row r="4900" spans="1:9" x14ac:dyDescent="0.2">
      <c r="A4900" t="str">
        <f t="shared" si="323"/>
        <v>40148Haapiti12158Autres</v>
      </c>
      <c r="B4900" s="1">
        <v>40148</v>
      </c>
      <c r="C4900" t="s">
        <v>25</v>
      </c>
      <c r="D4900" s="19">
        <v>12</v>
      </c>
      <c r="E4900">
        <v>158</v>
      </c>
      <c r="F4900" t="s">
        <v>14</v>
      </c>
      <c r="H4900">
        <v>0</v>
      </c>
    </row>
    <row r="4901" spans="1:9" x14ac:dyDescent="0.2">
      <c r="A4901" t="str">
        <f t="shared" si="323"/>
        <v>40148Haapiti12159Autres</v>
      </c>
      <c r="B4901" s="1">
        <v>40148</v>
      </c>
      <c r="C4901" t="s">
        <v>25</v>
      </c>
      <c r="D4901" s="19">
        <v>12</v>
      </c>
      <c r="E4901">
        <v>159</v>
      </c>
      <c r="F4901" t="s">
        <v>14</v>
      </c>
      <c r="H4901">
        <v>0</v>
      </c>
    </row>
    <row r="4902" spans="1:9" x14ac:dyDescent="0.2">
      <c r="A4902" t="str">
        <f t="shared" si="323"/>
        <v>40148Haapiti12160Autres</v>
      </c>
      <c r="B4902" s="1">
        <v>40148</v>
      </c>
      <c r="C4902" t="s">
        <v>25</v>
      </c>
      <c r="D4902" s="19">
        <v>12</v>
      </c>
      <c r="E4902">
        <v>160</v>
      </c>
      <c r="F4902" t="s">
        <v>14</v>
      </c>
      <c r="H4902">
        <v>0</v>
      </c>
    </row>
    <row r="4903" spans="1:9" x14ac:dyDescent="0.2">
      <c r="A4903" t="str">
        <f t="shared" si="323"/>
        <v>40148Haapiti18161PocilloporidaeDessous</v>
      </c>
      <c r="B4903" s="1">
        <v>40148</v>
      </c>
      <c r="C4903" t="s">
        <v>25</v>
      </c>
      <c r="D4903" s="19">
        <v>18</v>
      </c>
      <c r="E4903">
        <v>161</v>
      </c>
      <c r="F4903" t="s">
        <v>10</v>
      </c>
      <c r="G4903" t="s">
        <v>8</v>
      </c>
      <c r="H4903">
        <v>1</v>
      </c>
      <c r="I4903" t="s">
        <v>27</v>
      </c>
    </row>
    <row r="4904" spans="1:9" x14ac:dyDescent="0.2">
      <c r="A4904" t="str">
        <f t="shared" si="323"/>
        <v>40148Haapiti18162Autres</v>
      </c>
      <c r="B4904" s="1">
        <v>40148</v>
      </c>
      <c r="C4904" t="s">
        <v>25</v>
      </c>
      <c r="D4904" s="19">
        <v>18</v>
      </c>
      <c r="E4904">
        <v>162</v>
      </c>
      <c r="F4904" t="s">
        <v>14</v>
      </c>
      <c r="H4904">
        <v>0</v>
      </c>
    </row>
    <row r="4905" spans="1:9" x14ac:dyDescent="0.2">
      <c r="A4905" t="str">
        <f t="shared" si="323"/>
        <v>40148Haapiti18163Autres</v>
      </c>
      <c r="B4905" s="1">
        <v>40148</v>
      </c>
      <c r="C4905" t="s">
        <v>25</v>
      </c>
      <c r="D4905" s="19">
        <v>18</v>
      </c>
      <c r="E4905">
        <v>163</v>
      </c>
      <c r="F4905" t="s">
        <v>14</v>
      </c>
      <c r="H4905">
        <v>0</v>
      </c>
    </row>
    <row r="4906" spans="1:9" x14ac:dyDescent="0.2">
      <c r="A4906" t="str">
        <f t="shared" si="323"/>
        <v>40148Haapiti18164Autres</v>
      </c>
      <c r="B4906" s="1">
        <v>40148</v>
      </c>
      <c r="C4906" t="s">
        <v>25</v>
      </c>
      <c r="D4906" s="19">
        <v>18</v>
      </c>
      <c r="E4906">
        <v>164</v>
      </c>
      <c r="F4906" t="s">
        <v>14</v>
      </c>
      <c r="H4906">
        <v>0</v>
      </c>
    </row>
    <row r="4907" spans="1:9" x14ac:dyDescent="0.2">
      <c r="A4907" t="str">
        <f t="shared" si="323"/>
        <v>40148Haapiti18165PocilloporidaeBords</v>
      </c>
      <c r="B4907" s="1">
        <v>40148</v>
      </c>
      <c r="C4907" t="s">
        <v>25</v>
      </c>
      <c r="D4907" s="19">
        <v>18</v>
      </c>
      <c r="E4907">
        <v>165</v>
      </c>
      <c r="F4907" t="s">
        <v>10</v>
      </c>
      <c r="G4907" t="s">
        <v>13</v>
      </c>
      <c r="H4907">
        <v>1</v>
      </c>
      <c r="I4907" t="s">
        <v>27</v>
      </c>
    </row>
    <row r="4908" spans="1:9" x14ac:dyDescent="0.2">
      <c r="A4908" t="str">
        <f t="shared" si="323"/>
        <v>40148Haapiti18166PocilloporidaeBords</v>
      </c>
      <c r="B4908" s="1">
        <v>40148</v>
      </c>
      <c r="C4908" t="s">
        <v>25</v>
      </c>
      <c r="D4908" s="19">
        <v>18</v>
      </c>
      <c r="E4908">
        <v>166</v>
      </c>
      <c r="F4908" t="s">
        <v>10</v>
      </c>
      <c r="G4908" t="s">
        <v>13</v>
      </c>
      <c r="H4908">
        <v>1</v>
      </c>
      <c r="I4908" t="s">
        <v>27</v>
      </c>
    </row>
    <row r="4909" spans="1:9" x14ac:dyDescent="0.2">
      <c r="A4909" t="str">
        <f t="shared" si="323"/>
        <v>40148Haapiti18167PocilloporidaeBords</v>
      </c>
      <c r="B4909" s="1">
        <v>40148</v>
      </c>
      <c r="C4909" t="s">
        <v>25</v>
      </c>
      <c r="D4909" s="19">
        <v>18</v>
      </c>
      <c r="E4909">
        <v>167</v>
      </c>
      <c r="F4909" t="s">
        <v>10</v>
      </c>
      <c r="G4909" t="s">
        <v>13</v>
      </c>
      <c r="H4909">
        <v>1</v>
      </c>
      <c r="I4909" t="s">
        <v>27</v>
      </c>
    </row>
    <row r="4910" spans="1:9" x14ac:dyDescent="0.2">
      <c r="A4910" t="str">
        <f t="shared" si="323"/>
        <v>40148Haapiti18168</v>
      </c>
      <c r="B4910" s="1">
        <v>40148</v>
      </c>
      <c r="C4910" t="s">
        <v>25</v>
      </c>
      <c r="D4910" s="19">
        <v>18</v>
      </c>
      <c r="E4910">
        <v>168</v>
      </c>
      <c r="F4910" t="s">
        <v>27</v>
      </c>
      <c r="G4910" t="s">
        <v>27</v>
      </c>
      <c r="H4910" t="s">
        <v>27</v>
      </c>
      <c r="I4910" t="s">
        <v>31</v>
      </c>
    </row>
    <row r="4911" spans="1:9" x14ac:dyDescent="0.2">
      <c r="A4911" t="str">
        <f t="shared" si="323"/>
        <v>40148Haapiti18169Autres</v>
      </c>
      <c r="B4911" s="1">
        <v>40148</v>
      </c>
      <c r="C4911" t="s">
        <v>25</v>
      </c>
      <c r="D4911" s="19">
        <v>18</v>
      </c>
      <c r="E4911">
        <v>169</v>
      </c>
      <c r="F4911" t="s">
        <v>14</v>
      </c>
      <c r="H4911">
        <v>0</v>
      </c>
    </row>
    <row r="4912" spans="1:9" x14ac:dyDescent="0.2">
      <c r="A4912" t="str">
        <f t="shared" si="323"/>
        <v>40148Haapiti18170PocilloporidaeDessus</v>
      </c>
      <c r="B4912" s="1">
        <v>40148</v>
      </c>
      <c r="C4912" t="s">
        <v>25</v>
      </c>
      <c r="D4912" s="19">
        <v>18</v>
      </c>
      <c r="E4912">
        <v>170</v>
      </c>
      <c r="F4912" t="s">
        <v>10</v>
      </c>
      <c r="G4912" t="s">
        <v>11</v>
      </c>
      <c r="H4912">
        <v>1</v>
      </c>
      <c r="I4912" t="s">
        <v>27</v>
      </c>
    </row>
    <row r="4913" spans="1:9" x14ac:dyDescent="0.2">
      <c r="A4913" t="str">
        <f t="shared" si="323"/>
        <v>40148Haapiti18171Autres</v>
      </c>
      <c r="B4913" s="1">
        <v>40148</v>
      </c>
      <c r="C4913" t="s">
        <v>25</v>
      </c>
      <c r="D4913" s="19">
        <v>18</v>
      </c>
      <c r="E4913">
        <v>171</v>
      </c>
      <c r="F4913" t="s">
        <v>14</v>
      </c>
      <c r="H4913">
        <v>0</v>
      </c>
    </row>
    <row r="4914" spans="1:9" x14ac:dyDescent="0.2">
      <c r="A4914" t="str">
        <f t="shared" si="323"/>
        <v>40148Haapiti18172Autres</v>
      </c>
      <c r="B4914" s="1">
        <v>40148</v>
      </c>
      <c r="C4914" t="s">
        <v>25</v>
      </c>
      <c r="D4914" s="19">
        <v>18</v>
      </c>
      <c r="E4914">
        <v>172</v>
      </c>
      <c r="F4914" t="s">
        <v>14</v>
      </c>
      <c r="H4914">
        <v>0</v>
      </c>
    </row>
    <row r="4915" spans="1:9" x14ac:dyDescent="0.2">
      <c r="A4915" t="str">
        <f t="shared" si="323"/>
        <v>40148Haapiti18173PocilloporidaeBords</v>
      </c>
      <c r="B4915" s="1">
        <v>40148</v>
      </c>
      <c r="C4915" t="s">
        <v>25</v>
      </c>
      <c r="D4915" s="19">
        <v>18</v>
      </c>
      <c r="E4915">
        <v>173</v>
      </c>
      <c r="F4915" t="s">
        <v>10</v>
      </c>
      <c r="G4915" t="s">
        <v>13</v>
      </c>
      <c r="H4915">
        <v>1</v>
      </c>
      <c r="I4915" t="s">
        <v>27</v>
      </c>
    </row>
    <row r="4916" spans="1:9" x14ac:dyDescent="0.2">
      <c r="A4916" t="str">
        <f t="shared" si="323"/>
        <v>40148Haapiti18174Autres</v>
      </c>
      <c r="B4916" s="1">
        <v>40148</v>
      </c>
      <c r="C4916" t="s">
        <v>25</v>
      </c>
      <c r="D4916" s="19">
        <v>18</v>
      </c>
      <c r="E4916">
        <v>174</v>
      </c>
      <c r="F4916" t="s">
        <v>14</v>
      </c>
      <c r="H4916">
        <v>0</v>
      </c>
    </row>
    <row r="4917" spans="1:9" x14ac:dyDescent="0.2">
      <c r="A4917" t="str">
        <f t="shared" si="323"/>
        <v>40148Haapiti18175PocilloporidaeDessous</v>
      </c>
      <c r="B4917" s="1">
        <v>40148</v>
      </c>
      <c r="C4917" t="s">
        <v>25</v>
      </c>
      <c r="D4917" s="19">
        <v>18</v>
      </c>
      <c r="E4917">
        <v>175</v>
      </c>
      <c r="F4917" t="s">
        <v>10</v>
      </c>
      <c r="G4917" t="s">
        <v>8</v>
      </c>
      <c r="H4917">
        <v>1</v>
      </c>
      <c r="I4917" t="s">
        <v>27</v>
      </c>
    </row>
    <row r="4918" spans="1:9" x14ac:dyDescent="0.2">
      <c r="A4918" t="str">
        <f t="shared" si="323"/>
        <v>40148Haapiti18176</v>
      </c>
      <c r="B4918" s="1">
        <v>40148</v>
      </c>
      <c r="C4918" t="s">
        <v>25</v>
      </c>
      <c r="D4918" s="19">
        <v>18</v>
      </c>
      <c r="E4918">
        <v>176</v>
      </c>
      <c r="F4918" t="s">
        <v>27</v>
      </c>
      <c r="G4918" t="s">
        <v>27</v>
      </c>
      <c r="H4918" t="s">
        <v>27</v>
      </c>
      <c r="I4918" t="s">
        <v>31</v>
      </c>
    </row>
    <row r="4919" spans="1:9" x14ac:dyDescent="0.2">
      <c r="A4919" t="str">
        <f t="shared" si="323"/>
        <v>40148Haapiti18177</v>
      </c>
      <c r="B4919" s="1">
        <v>40148</v>
      </c>
      <c r="C4919" t="s">
        <v>25</v>
      </c>
      <c r="D4919" s="19">
        <v>18</v>
      </c>
      <c r="E4919">
        <v>177</v>
      </c>
      <c r="F4919" t="s">
        <v>27</v>
      </c>
      <c r="G4919" t="s">
        <v>27</v>
      </c>
      <c r="H4919" t="s">
        <v>27</v>
      </c>
      <c r="I4919" t="s">
        <v>31</v>
      </c>
    </row>
    <row r="4920" spans="1:9" x14ac:dyDescent="0.2">
      <c r="A4920" t="str">
        <f t="shared" si="323"/>
        <v>40148Haapiti18178PocilloporidaeDessus</v>
      </c>
      <c r="B4920" s="1">
        <v>40148</v>
      </c>
      <c r="C4920" t="s">
        <v>25</v>
      </c>
      <c r="D4920" s="19">
        <v>18</v>
      </c>
      <c r="E4920">
        <v>178</v>
      </c>
      <c r="F4920" t="s">
        <v>10</v>
      </c>
      <c r="G4920" t="s">
        <v>11</v>
      </c>
      <c r="H4920">
        <v>1</v>
      </c>
      <c r="I4920" t="s">
        <v>27</v>
      </c>
    </row>
    <row r="4921" spans="1:9" x14ac:dyDescent="0.2">
      <c r="A4921" t="str">
        <f t="shared" si="323"/>
        <v>40148Haapiti18179Autres</v>
      </c>
      <c r="B4921" s="1">
        <v>40148</v>
      </c>
      <c r="C4921" t="s">
        <v>25</v>
      </c>
      <c r="D4921" s="19">
        <v>18</v>
      </c>
      <c r="E4921">
        <v>179</v>
      </c>
      <c r="F4921" t="s">
        <v>14</v>
      </c>
      <c r="H4921">
        <v>0</v>
      </c>
    </row>
    <row r="4922" spans="1:9" x14ac:dyDescent="0.2">
      <c r="A4922" t="str">
        <f t="shared" si="323"/>
        <v>40148Haapiti18180Autres</v>
      </c>
      <c r="B4922" s="1">
        <v>40148</v>
      </c>
      <c r="C4922" t="s">
        <v>25</v>
      </c>
      <c r="D4922" s="19">
        <v>18</v>
      </c>
      <c r="E4922">
        <v>180</v>
      </c>
      <c r="F4922" t="s">
        <v>14</v>
      </c>
      <c r="H4922">
        <v>0</v>
      </c>
    </row>
    <row r="4923" spans="1:9" x14ac:dyDescent="0.2">
      <c r="A4923" t="str">
        <f t="shared" si="323"/>
        <v>40422Vaipahu61Autres</v>
      </c>
      <c r="B4923" s="1">
        <v>40422</v>
      </c>
      <c r="C4923" t="s">
        <v>23</v>
      </c>
      <c r="D4923" s="19">
        <v>6</v>
      </c>
      <c r="E4923">
        <v>1</v>
      </c>
      <c r="F4923" t="s">
        <v>14</v>
      </c>
      <c r="H4923">
        <v>0</v>
      </c>
    </row>
    <row r="4924" spans="1:9" x14ac:dyDescent="0.2">
      <c r="A4924" t="str">
        <f t="shared" si="323"/>
        <v>40422Vaipahu62Autres</v>
      </c>
      <c r="B4924" s="1">
        <v>40422</v>
      </c>
      <c r="C4924" t="s">
        <v>23</v>
      </c>
      <c r="D4924" s="19">
        <v>6</v>
      </c>
      <c r="E4924">
        <v>2</v>
      </c>
      <c r="F4924" t="s">
        <v>14</v>
      </c>
      <c r="H4924">
        <v>0</v>
      </c>
    </row>
    <row r="4925" spans="1:9" x14ac:dyDescent="0.2">
      <c r="A4925" t="str">
        <f t="shared" si="323"/>
        <v>40422Vaipahu63PocilloporidaeDessous</v>
      </c>
      <c r="B4925" s="1">
        <v>40422</v>
      </c>
      <c r="C4925" t="s">
        <v>23</v>
      </c>
      <c r="D4925" s="19">
        <v>6</v>
      </c>
      <c r="E4925">
        <v>3</v>
      </c>
      <c r="F4925" t="s">
        <v>10</v>
      </c>
      <c r="G4925" t="s">
        <v>8</v>
      </c>
      <c r="H4925">
        <v>1</v>
      </c>
      <c r="I4925" t="s">
        <v>27</v>
      </c>
    </row>
    <row r="4926" spans="1:9" x14ac:dyDescent="0.2">
      <c r="A4926" t="str">
        <f t="shared" si="323"/>
        <v>40422Vaipahu64Autres</v>
      </c>
      <c r="B4926" s="1">
        <v>40422</v>
      </c>
      <c r="C4926" t="s">
        <v>23</v>
      </c>
      <c r="D4926" s="19">
        <v>6</v>
      </c>
      <c r="E4926">
        <v>4</v>
      </c>
      <c r="F4926" t="s">
        <v>14</v>
      </c>
      <c r="H4926">
        <v>0</v>
      </c>
    </row>
    <row r="4927" spans="1:9" x14ac:dyDescent="0.2">
      <c r="A4927" t="str">
        <f t="shared" ref="A4927:A4990" si="324">B4927 &amp; C4927&amp; D4927&amp; E4927 &amp; F4927 &amp;G4927</f>
        <v>40422Vaipahu65PocilloporidaeDessous</v>
      </c>
      <c r="B4927" s="1">
        <v>40422</v>
      </c>
      <c r="C4927" t="s">
        <v>23</v>
      </c>
      <c r="D4927" s="19">
        <v>6</v>
      </c>
      <c r="E4927">
        <v>5</v>
      </c>
      <c r="F4927" t="s">
        <v>10</v>
      </c>
      <c r="G4927" t="s">
        <v>8</v>
      </c>
      <c r="H4927">
        <v>1</v>
      </c>
      <c r="I4927" t="s">
        <v>27</v>
      </c>
    </row>
    <row r="4928" spans="1:9" x14ac:dyDescent="0.2">
      <c r="A4928" t="str">
        <f t="shared" si="324"/>
        <v>40422Vaipahu66Autres</v>
      </c>
      <c r="B4928" s="1">
        <v>40422</v>
      </c>
      <c r="C4928" t="s">
        <v>23</v>
      </c>
      <c r="D4928" s="19">
        <v>6</v>
      </c>
      <c r="E4928">
        <v>6</v>
      </c>
      <c r="F4928" t="s">
        <v>14</v>
      </c>
      <c r="H4928">
        <v>0</v>
      </c>
    </row>
    <row r="4929" spans="1:9" x14ac:dyDescent="0.2">
      <c r="A4929" t="str">
        <f t="shared" si="324"/>
        <v>40422Vaipahu67Autres</v>
      </c>
      <c r="B4929" s="1">
        <v>40422</v>
      </c>
      <c r="C4929" t="s">
        <v>23</v>
      </c>
      <c r="D4929" s="19">
        <v>6</v>
      </c>
      <c r="E4929">
        <v>7</v>
      </c>
      <c r="F4929" t="s">
        <v>14</v>
      </c>
      <c r="H4929">
        <v>0</v>
      </c>
    </row>
    <row r="4930" spans="1:9" x14ac:dyDescent="0.2">
      <c r="A4930" t="str">
        <f t="shared" si="324"/>
        <v>40422Vaipahu68Autres</v>
      </c>
      <c r="B4930" s="1">
        <v>40422</v>
      </c>
      <c r="C4930" t="s">
        <v>23</v>
      </c>
      <c r="D4930" s="19">
        <v>6</v>
      </c>
      <c r="E4930">
        <v>8</v>
      </c>
      <c r="F4930" t="s">
        <v>14</v>
      </c>
      <c r="H4930">
        <v>0</v>
      </c>
    </row>
    <row r="4931" spans="1:9" x14ac:dyDescent="0.2">
      <c r="A4931" t="str">
        <f t="shared" si="324"/>
        <v>40422Vaipahu69PocilloporidaeDessous</v>
      </c>
      <c r="B4931" s="1">
        <v>40422</v>
      </c>
      <c r="C4931" t="s">
        <v>23</v>
      </c>
      <c r="D4931" s="19">
        <v>6</v>
      </c>
      <c r="E4931">
        <v>9</v>
      </c>
      <c r="F4931" t="s">
        <v>10</v>
      </c>
      <c r="G4931" t="s">
        <v>8</v>
      </c>
      <c r="H4931">
        <v>1</v>
      </c>
      <c r="I4931" t="s">
        <v>27</v>
      </c>
    </row>
    <row r="4932" spans="1:9" x14ac:dyDescent="0.2">
      <c r="A4932" t="str">
        <f t="shared" si="324"/>
        <v>40422Vaipahu610Autres</v>
      </c>
      <c r="B4932" s="1">
        <v>40422</v>
      </c>
      <c r="C4932" t="s">
        <v>23</v>
      </c>
      <c r="D4932" s="19">
        <v>6</v>
      </c>
      <c r="E4932">
        <v>10</v>
      </c>
      <c r="F4932" t="s">
        <v>14</v>
      </c>
      <c r="H4932">
        <v>0</v>
      </c>
    </row>
    <row r="4933" spans="1:9" x14ac:dyDescent="0.2">
      <c r="A4933" t="str">
        <f t="shared" si="324"/>
        <v>40422Vaipahu611Autres</v>
      </c>
      <c r="B4933" s="1">
        <v>40422</v>
      </c>
      <c r="C4933" t="s">
        <v>23</v>
      </c>
      <c r="D4933" s="19">
        <v>6</v>
      </c>
      <c r="E4933">
        <v>11</v>
      </c>
      <c r="F4933" t="s">
        <v>14</v>
      </c>
      <c r="H4933">
        <v>0</v>
      </c>
    </row>
    <row r="4934" spans="1:9" x14ac:dyDescent="0.2">
      <c r="A4934" t="str">
        <f t="shared" si="324"/>
        <v>40422Vaipahu612Autres</v>
      </c>
      <c r="B4934" s="1">
        <v>40422</v>
      </c>
      <c r="C4934" t="s">
        <v>23</v>
      </c>
      <c r="D4934" s="19">
        <v>6</v>
      </c>
      <c r="E4934">
        <v>12</v>
      </c>
      <c r="F4934" t="s">
        <v>14</v>
      </c>
      <c r="H4934">
        <v>0</v>
      </c>
    </row>
    <row r="4935" spans="1:9" x14ac:dyDescent="0.2">
      <c r="A4935" t="str">
        <f t="shared" si="324"/>
        <v>40422Vaipahu613Autres</v>
      </c>
      <c r="B4935" s="1">
        <v>40422</v>
      </c>
      <c r="C4935" t="s">
        <v>23</v>
      </c>
      <c r="D4935" s="19">
        <v>6</v>
      </c>
      <c r="E4935">
        <v>13</v>
      </c>
      <c r="F4935" t="s">
        <v>14</v>
      </c>
      <c r="H4935">
        <v>0</v>
      </c>
    </row>
    <row r="4936" spans="1:9" x14ac:dyDescent="0.2">
      <c r="A4936" t="str">
        <f t="shared" si="324"/>
        <v>40422Vaipahu614PocilloporidaeDessus</v>
      </c>
      <c r="B4936" s="1">
        <v>40422</v>
      </c>
      <c r="C4936" t="s">
        <v>23</v>
      </c>
      <c r="D4936" s="19">
        <v>6</v>
      </c>
      <c r="E4936">
        <v>14</v>
      </c>
      <c r="F4936" t="s">
        <v>10</v>
      </c>
      <c r="G4936" t="s">
        <v>11</v>
      </c>
      <c r="H4936">
        <v>1</v>
      </c>
      <c r="I4936" t="s">
        <v>27</v>
      </c>
    </row>
    <row r="4937" spans="1:9" x14ac:dyDescent="0.2">
      <c r="A4937" t="str">
        <f t="shared" si="324"/>
        <v>40422Vaipahu615Autres</v>
      </c>
      <c r="B4937" s="1">
        <v>40422</v>
      </c>
      <c r="C4937" t="s">
        <v>23</v>
      </c>
      <c r="D4937" s="19">
        <v>6</v>
      </c>
      <c r="E4937">
        <v>15</v>
      </c>
      <c r="F4937" t="s">
        <v>14</v>
      </c>
      <c r="H4937">
        <v>0</v>
      </c>
    </row>
    <row r="4938" spans="1:9" x14ac:dyDescent="0.2">
      <c r="A4938" t="str">
        <f t="shared" si="324"/>
        <v>40422Vaipahu616Autres</v>
      </c>
      <c r="B4938" s="1">
        <v>40422</v>
      </c>
      <c r="C4938" t="s">
        <v>23</v>
      </c>
      <c r="D4938" s="19">
        <v>6</v>
      </c>
      <c r="E4938">
        <v>16</v>
      </c>
      <c r="F4938" t="s">
        <v>14</v>
      </c>
      <c r="H4938">
        <v>0</v>
      </c>
    </row>
    <row r="4939" spans="1:9" x14ac:dyDescent="0.2">
      <c r="A4939" t="str">
        <f t="shared" si="324"/>
        <v>40422Vaipahu617PocilloporidaeDessus</v>
      </c>
      <c r="B4939" s="1">
        <v>40422</v>
      </c>
      <c r="C4939" t="s">
        <v>23</v>
      </c>
      <c r="D4939" s="19">
        <v>6</v>
      </c>
      <c r="E4939">
        <v>17</v>
      </c>
      <c r="F4939" t="s">
        <v>10</v>
      </c>
      <c r="G4939" t="s">
        <v>11</v>
      </c>
      <c r="H4939">
        <v>1</v>
      </c>
      <c r="I4939" t="s">
        <v>27</v>
      </c>
    </row>
    <row r="4940" spans="1:9" x14ac:dyDescent="0.2">
      <c r="A4940" t="str">
        <f t="shared" si="324"/>
        <v>40422Vaipahu618Autres</v>
      </c>
      <c r="B4940" s="1">
        <v>40422</v>
      </c>
      <c r="C4940" t="s">
        <v>23</v>
      </c>
      <c r="D4940" s="19">
        <v>6</v>
      </c>
      <c r="E4940">
        <v>18</v>
      </c>
      <c r="F4940" t="s">
        <v>14</v>
      </c>
      <c r="H4940">
        <v>0</v>
      </c>
    </row>
    <row r="4941" spans="1:9" x14ac:dyDescent="0.2">
      <c r="A4941" t="str">
        <f t="shared" si="324"/>
        <v>40422Vaipahu619PocilloporidaeDessous</v>
      </c>
      <c r="B4941" s="1">
        <v>40422</v>
      </c>
      <c r="C4941" t="s">
        <v>23</v>
      </c>
      <c r="D4941" s="19">
        <v>6</v>
      </c>
      <c r="E4941">
        <v>19</v>
      </c>
      <c r="F4941" t="s">
        <v>10</v>
      </c>
      <c r="G4941" t="s">
        <v>8</v>
      </c>
      <c r="H4941">
        <v>1</v>
      </c>
      <c r="I4941" t="s">
        <v>27</v>
      </c>
    </row>
    <row r="4942" spans="1:9" x14ac:dyDescent="0.2">
      <c r="A4942" t="str">
        <f t="shared" si="324"/>
        <v>40422Vaipahu620Autres</v>
      </c>
      <c r="B4942" s="1">
        <v>40422</v>
      </c>
      <c r="C4942" t="s">
        <v>23</v>
      </c>
      <c r="D4942" s="19">
        <v>6</v>
      </c>
      <c r="E4942">
        <v>20</v>
      </c>
      <c r="F4942" t="s">
        <v>14</v>
      </c>
      <c r="H4942">
        <v>0</v>
      </c>
    </row>
    <row r="4943" spans="1:9" x14ac:dyDescent="0.2">
      <c r="A4943" t="str">
        <f t="shared" si="324"/>
        <v>40422Vaipahu1221Autres</v>
      </c>
      <c r="B4943" s="1">
        <v>40422</v>
      </c>
      <c r="C4943" t="s">
        <v>23</v>
      </c>
      <c r="D4943" s="19">
        <v>12</v>
      </c>
      <c r="E4943">
        <v>21</v>
      </c>
      <c r="F4943" t="s">
        <v>14</v>
      </c>
      <c r="H4943">
        <v>0</v>
      </c>
    </row>
    <row r="4944" spans="1:9" x14ac:dyDescent="0.2">
      <c r="A4944" t="str">
        <f t="shared" si="324"/>
        <v>40422Vaipahu1222Autres</v>
      </c>
      <c r="B4944" s="1">
        <v>40422</v>
      </c>
      <c r="C4944" t="s">
        <v>23</v>
      </c>
      <c r="D4944" s="19">
        <v>12</v>
      </c>
      <c r="E4944">
        <v>22</v>
      </c>
      <c r="F4944" t="s">
        <v>14</v>
      </c>
      <c r="H4944">
        <v>0</v>
      </c>
    </row>
    <row r="4945" spans="1:9" x14ac:dyDescent="0.2">
      <c r="A4945" t="str">
        <f t="shared" si="324"/>
        <v>40422Vaipahu1223Autres</v>
      </c>
      <c r="B4945" s="1">
        <v>40422</v>
      </c>
      <c r="C4945" t="s">
        <v>23</v>
      </c>
      <c r="D4945" s="19">
        <v>12</v>
      </c>
      <c r="E4945">
        <v>23</v>
      </c>
      <c r="F4945" t="s">
        <v>14</v>
      </c>
      <c r="H4945">
        <v>0</v>
      </c>
    </row>
    <row r="4946" spans="1:9" x14ac:dyDescent="0.2">
      <c r="A4946" t="str">
        <f t="shared" si="324"/>
        <v>40422Vaipahu1224Autres</v>
      </c>
      <c r="B4946" s="1">
        <v>40422</v>
      </c>
      <c r="C4946" t="s">
        <v>23</v>
      </c>
      <c r="D4946" s="19">
        <v>12</v>
      </c>
      <c r="E4946">
        <v>24</v>
      </c>
      <c r="F4946" t="s">
        <v>14</v>
      </c>
      <c r="H4946">
        <v>0</v>
      </c>
    </row>
    <row r="4947" spans="1:9" x14ac:dyDescent="0.2">
      <c r="A4947" t="str">
        <f t="shared" si="324"/>
        <v>40422Vaipahu1225</v>
      </c>
      <c r="B4947" s="1">
        <v>40422</v>
      </c>
      <c r="C4947" t="s">
        <v>23</v>
      </c>
      <c r="D4947" s="19">
        <v>12</v>
      </c>
      <c r="E4947">
        <v>25</v>
      </c>
      <c r="F4947" t="s">
        <v>27</v>
      </c>
      <c r="G4947" t="s">
        <v>27</v>
      </c>
      <c r="H4947" t="s">
        <v>27</v>
      </c>
      <c r="I4947" t="s">
        <v>31</v>
      </c>
    </row>
    <row r="4948" spans="1:9" x14ac:dyDescent="0.2">
      <c r="A4948" t="str">
        <f t="shared" si="324"/>
        <v>40422Vaipahu1226Autres</v>
      </c>
      <c r="B4948" s="1">
        <v>40422</v>
      </c>
      <c r="C4948" t="s">
        <v>23</v>
      </c>
      <c r="D4948" s="19">
        <v>12</v>
      </c>
      <c r="E4948">
        <v>26</v>
      </c>
      <c r="F4948" t="s">
        <v>14</v>
      </c>
      <c r="H4948">
        <v>0</v>
      </c>
    </row>
    <row r="4949" spans="1:9" x14ac:dyDescent="0.2">
      <c r="A4949" t="str">
        <f t="shared" si="324"/>
        <v>40422Vaipahu1227Autres</v>
      </c>
      <c r="B4949" s="1">
        <v>40422</v>
      </c>
      <c r="C4949" t="s">
        <v>23</v>
      </c>
      <c r="D4949" s="19">
        <v>12</v>
      </c>
      <c r="E4949">
        <v>27</v>
      </c>
      <c r="F4949" t="s">
        <v>14</v>
      </c>
      <c r="H4949">
        <v>0</v>
      </c>
    </row>
    <row r="4950" spans="1:9" x14ac:dyDescent="0.2">
      <c r="A4950" t="str">
        <f t="shared" si="324"/>
        <v>40422Vaipahu1228Autres</v>
      </c>
      <c r="B4950" s="1">
        <v>40422</v>
      </c>
      <c r="C4950" t="s">
        <v>23</v>
      </c>
      <c r="D4950" s="19">
        <v>12</v>
      </c>
      <c r="E4950">
        <v>28</v>
      </c>
      <c r="F4950" t="s">
        <v>14</v>
      </c>
      <c r="H4950">
        <v>0</v>
      </c>
    </row>
    <row r="4951" spans="1:9" x14ac:dyDescent="0.2">
      <c r="A4951" t="str">
        <f t="shared" si="324"/>
        <v>40422Vaipahu1229PocilloporidaeDessus</v>
      </c>
      <c r="B4951" s="1">
        <v>40422</v>
      </c>
      <c r="C4951" t="s">
        <v>23</v>
      </c>
      <c r="D4951" s="19">
        <v>12</v>
      </c>
      <c r="E4951">
        <v>29</v>
      </c>
      <c r="F4951" t="s">
        <v>10</v>
      </c>
      <c r="G4951" t="s">
        <v>11</v>
      </c>
      <c r="H4951">
        <v>1</v>
      </c>
      <c r="I4951" t="s">
        <v>27</v>
      </c>
    </row>
    <row r="4952" spans="1:9" x14ac:dyDescent="0.2">
      <c r="A4952" t="str">
        <f t="shared" si="324"/>
        <v>40422Vaipahu1230Autres</v>
      </c>
      <c r="B4952" s="1">
        <v>40422</v>
      </c>
      <c r="C4952" t="s">
        <v>23</v>
      </c>
      <c r="D4952" s="19">
        <v>12</v>
      </c>
      <c r="E4952">
        <v>30</v>
      </c>
      <c r="F4952" t="s">
        <v>14</v>
      </c>
      <c r="H4952">
        <v>0</v>
      </c>
    </row>
    <row r="4953" spans="1:9" x14ac:dyDescent="0.2">
      <c r="A4953" t="str">
        <f t="shared" si="324"/>
        <v>40422Vaipahu1231Autres</v>
      </c>
      <c r="B4953" s="1">
        <v>40422</v>
      </c>
      <c r="C4953" t="s">
        <v>23</v>
      </c>
      <c r="D4953" s="19">
        <v>12</v>
      </c>
      <c r="E4953">
        <v>31</v>
      </c>
      <c r="F4953" t="s">
        <v>14</v>
      </c>
      <c r="H4953">
        <v>0</v>
      </c>
    </row>
    <row r="4954" spans="1:9" x14ac:dyDescent="0.2">
      <c r="A4954" t="str">
        <f t="shared" si="324"/>
        <v>40422Vaipahu1232Autres</v>
      </c>
      <c r="B4954" s="1">
        <v>40422</v>
      </c>
      <c r="C4954" t="s">
        <v>23</v>
      </c>
      <c r="D4954" s="19">
        <v>12</v>
      </c>
      <c r="E4954">
        <v>32</v>
      </c>
      <c r="F4954" t="s">
        <v>14</v>
      </c>
      <c r="H4954">
        <v>0</v>
      </c>
    </row>
    <row r="4955" spans="1:9" x14ac:dyDescent="0.2">
      <c r="A4955" t="str">
        <f t="shared" si="324"/>
        <v>40422Vaipahu1233Autres</v>
      </c>
      <c r="B4955" s="1">
        <v>40422</v>
      </c>
      <c r="C4955" t="s">
        <v>23</v>
      </c>
      <c r="D4955" s="19">
        <v>12</v>
      </c>
      <c r="E4955">
        <v>33</v>
      </c>
      <c r="F4955" t="s">
        <v>14</v>
      </c>
      <c r="H4955">
        <v>0</v>
      </c>
    </row>
    <row r="4956" spans="1:9" x14ac:dyDescent="0.2">
      <c r="A4956" t="str">
        <f t="shared" si="324"/>
        <v>40422Vaipahu1234Autres</v>
      </c>
      <c r="B4956" s="1">
        <v>40422</v>
      </c>
      <c r="C4956" t="s">
        <v>23</v>
      </c>
      <c r="D4956" s="19">
        <v>12</v>
      </c>
      <c r="E4956">
        <v>34</v>
      </c>
      <c r="F4956" t="s">
        <v>14</v>
      </c>
      <c r="H4956">
        <v>0</v>
      </c>
    </row>
    <row r="4957" spans="1:9" x14ac:dyDescent="0.2">
      <c r="A4957" t="str">
        <f t="shared" si="324"/>
        <v>40422Vaipahu1235Autres</v>
      </c>
      <c r="B4957" s="1">
        <v>40422</v>
      </c>
      <c r="C4957" t="s">
        <v>23</v>
      </c>
      <c r="D4957" s="19">
        <v>12</v>
      </c>
      <c r="E4957">
        <v>35</v>
      </c>
      <c r="F4957" t="s">
        <v>14</v>
      </c>
      <c r="H4957">
        <v>0</v>
      </c>
    </row>
    <row r="4958" spans="1:9" x14ac:dyDescent="0.2">
      <c r="A4958" t="str">
        <f t="shared" si="324"/>
        <v>40422Vaipahu1236Autres</v>
      </c>
      <c r="B4958" s="1">
        <v>40422</v>
      </c>
      <c r="C4958" t="s">
        <v>23</v>
      </c>
      <c r="D4958" s="19">
        <v>12</v>
      </c>
      <c r="E4958">
        <v>36</v>
      </c>
      <c r="F4958" t="s">
        <v>14</v>
      </c>
      <c r="H4958">
        <v>0</v>
      </c>
    </row>
    <row r="4959" spans="1:9" x14ac:dyDescent="0.2">
      <c r="A4959" t="str">
        <f t="shared" si="324"/>
        <v>40422Vaipahu1237Autres</v>
      </c>
      <c r="B4959" s="1">
        <v>40422</v>
      </c>
      <c r="C4959" t="s">
        <v>23</v>
      </c>
      <c r="D4959" s="19">
        <v>12</v>
      </c>
      <c r="E4959">
        <v>37</v>
      </c>
      <c r="F4959" t="s">
        <v>14</v>
      </c>
      <c r="H4959">
        <v>0</v>
      </c>
    </row>
    <row r="4960" spans="1:9" x14ac:dyDescent="0.2">
      <c r="A4960" t="str">
        <f t="shared" si="324"/>
        <v>40422Vaipahu1238Autres</v>
      </c>
      <c r="B4960" s="1">
        <v>40422</v>
      </c>
      <c r="C4960" t="s">
        <v>23</v>
      </c>
      <c r="D4960" s="19">
        <v>12</v>
      </c>
      <c r="E4960">
        <v>38</v>
      </c>
      <c r="F4960" t="s">
        <v>14</v>
      </c>
      <c r="H4960">
        <v>0</v>
      </c>
    </row>
    <row r="4961" spans="1:9" x14ac:dyDescent="0.2">
      <c r="A4961" t="str">
        <f t="shared" si="324"/>
        <v>40422Vaipahu1239Autres</v>
      </c>
      <c r="B4961" s="1">
        <v>40422</v>
      </c>
      <c r="C4961" t="s">
        <v>23</v>
      </c>
      <c r="D4961" s="19">
        <v>12</v>
      </c>
      <c r="E4961">
        <v>39</v>
      </c>
      <c r="F4961" t="s">
        <v>14</v>
      </c>
      <c r="H4961">
        <v>0</v>
      </c>
    </row>
    <row r="4962" spans="1:9" x14ac:dyDescent="0.2">
      <c r="A4962" t="str">
        <f t="shared" si="324"/>
        <v>40422Vaipahu1240Autres</v>
      </c>
      <c r="B4962" s="1">
        <v>40422</v>
      </c>
      <c r="C4962" t="s">
        <v>23</v>
      </c>
      <c r="D4962" s="19">
        <v>12</v>
      </c>
      <c r="E4962">
        <v>40</v>
      </c>
      <c r="F4962" t="s">
        <v>14</v>
      </c>
      <c r="H4962">
        <v>0</v>
      </c>
    </row>
    <row r="4963" spans="1:9" x14ac:dyDescent="0.2">
      <c r="A4963" t="str">
        <f t="shared" si="324"/>
        <v>40422Vaipahu1841Autres</v>
      </c>
      <c r="B4963" s="1">
        <v>40422</v>
      </c>
      <c r="C4963" t="s">
        <v>23</v>
      </c>
      <c r="D4963" s="19">
        <v>18</v>
      </c>
      <c r="E4963">
        <v>41</v>
      </c>
      <c r="F4963" t="s">
        <v>14</v>
      </c>
      <c r="H4963">
        <v>0</v>
      </c>
    </row>
    <row r="4964" spans="1:9" x14ac:dyDescent="0.2">
      <c r="A4964" t="str">
        <f t="shared" si="324"/>
        <v>40422Vaipahu1842Autres</v>
      </c>
      <c r="B4964" s="1">
        <v>40422</v>
      </c>
      <c r="C4964" t="s">
        <v>23</v>
      </c>
      <c r="D4964" s="19">
        <v>18</v>
      </c>
      <c r="E4964">
        <v>42</v>
      </c>
      <c r="F4964" t="s">
        <v>14</v>
      </c>
      <c r="H4964">
        <v>0</v>
      </c>
    </row>
    <row r="4965" spans="1:9" x14ac:dyDescent="0.2">
      <c r="A4965" t="str">
        <f t="shared" si="324"/>
        <v>40422Vaipahu1843Autres</v>
      </c>
      <c r="B4965" s="1">
        <v>40422</v>
      </c>
      <c r="C4965" t="s">
        <v>23</v>
      </c>
      <c r="D4965" s="19">
        <v>18</v>
      </c>
      <c r="E4965">
        <v>43</v>
      </c>
      <c r="F4965" t="s">
        <v>14</v>
      </c>
      <c r="H4965">
        <v>0</v>
      </c>
    </row>
    <row r="4966" spans="1:9" x14ac:dyDescent="0.2">
      <c r="A4966" t="str">
        <f t="shared" si="324"/>
        <v>40422Vaipahu1844Autres</v>
      </c>
      <c r="B4966" s="1">
        <v>40422</v>
      </c>
      <c r="C4966" t="s">
        <v>23</v>
      </c>
      <c r="D4966" s="19">
        <v>18</v>
      </c>
      <c r="E4966">
        <v>44</v>
      </c>
      <c r="F4966" t="s">
        <v>14</v>
      </c>
      <c r="H4966">
        <v>0</v>
      </c>
    </row>
    <row r="4967" spans="1:9" x14ac:dyDescent="0.2">
      <c r="A4967" t="str">
        <f t="shared" si="324"/>
        <v>40422Vaipahu1845Autres</v>
      </c>
      <c r="B4967" s="1">
        <v>40422</v>
      </c>
      <c r="C4967" t="s">
        <v>23</v>
      </c>
      <c r="D4967" s="19">
        <v>18</v>
      </c>
      <c r="E4967">
        <v>45</v>
      </c>
      <c r="F4967" t="s">
        <v>14</v>
      </c>
      <c r="H4967">
        <v>0</v>
      </c>
    </row>
    <row r="4968" spans="1:9" x14ac:dyDescent="0.2">
      <c r="A4968" t="str">
        <f t="shared" si="324"/>
        <v>40422Vaipahu1846Autres</v>
      </c>
      <c r="B4968" s="1">
        <v>40422</v>
      </c>
      <c r="C4968" t="s">
        <v>23</v>
      </c>
      <c r="D4968" s="19">
        <v>18</v>
      </c>
      <c r="E4968">
        <v>46</v>
      </c>
      <c r="F4968" t="s">
        <v>14</v>
      </c>
      <c r="H4968">
        <v>0</v>
      </c>
    </row>
    <row r="4969" spans="1:9" x14ac:dyDescent="0.2">
      <c r="A4969" t="str">
        <f t="shared" si="324"/>
        <v>40422Vaipahu1847PocilloporidaeDessous</v>
      </c>
      <c r="B4969" s="1">
        <v>40422</v>
      </c>
      <c r="C4969" t="s">
        <v>23</v>
      </c>
      <c r="D4969" s="19">
        <v>18</v>
      </c>
      <c r="E4969">
        <v>47</v>
      </c>
      <c r="F4969" t="s">
        <v>10</v>
      </c>
      <c r="G4969" t="s">
        <v>8</v>
      </c>
      <c r="H4969">
        <v>1</v>
      </c>
      <c r="I4969" t="s">
        <v>27</v>
      </c>
    </row>
    <row r="4970" spans="1:9" x14ac:dyDescent="0.2">
      <c r="A4970" t="str">
        <f t="shared" si="324"/>
        <v>40422Vaipahu1848Autres</v>
      </c>
      <c r="B4970" s="1">
        <v>40422</v>
      </c>
      <c r="C4970" t="s">
        <v>23</v>
      </c>
      <c r="D4970" s="19">
        <v>18</v>
      </c>
      <c r="E4970">
        <v>48</v>
      </c>
      <c r="F4970" t="s">
        <v>14</v>
      </c>
      <c r="H4970">
        <v>0</v>
      </c>
    </row>
    <row r="4971" spans="1:9" x14ac:dyDescent="0.2">
      <c r="A4971" t="str">
        <f t="shared" si="324"/>
        <v>40422Vaipahu1849Autres</v>
      </c>
      <c r="B4971" s="1">
        <v>40422</v>
      </c>
      <c r="C4971" t="s">
        <v>23</v>
      </c>
      <c r="D4971" s="19">
        <v>18</v>
      </c>
      <c r="E4971">
        <v>49</v>
      </c>
      <c r="F4971" t="s">
        <v>14</v>
      </c>
      <c r="H4971">
        <v>0</v>
      </c>
    </row>
    <row r="4972" spans="1:9" x14ac:dyDescent="0.2">
      <c r="A4972" t="str">
        <f t="shared" si="324"/>
        <v>40422Vaipahu1850Autres</v>
      </c>
      <c r="B4972" s="1">
        <v>40422</v>
      </c>
      <c r="C4972" t="s">
        <v>23</v>
      </c>
      <c r="D4972" s="19">
        <v>18</v>
      </c>
      <c r="E4972">
        <v>50</v>
      </c>
      <c r="F4972" t="s">
        <v>14</v>
      </c>
      <c r="H4972">
        <v>0</v>
      </c>
    </row>
    <row r="4973" spans="1:9" x14ac:dyDescent="0.2">
      <c r="A4973" t="str">
        <f t="shared" si="324"/>
        <v>40422Vaipahu1851Autres</v>
      </c>
      <c r="B4973" s="1">
        <v>40422</v>
      </c>
      <c r="C4973" t="s">
        <v>23</v>
      </c>
      <c r="D4973" s="19">
        <v>18</v>
      </c>
      <c r="E4973">
        <v>51</v>
      </c>
      <c r="F4973" t="s">
        <v>14</v>
      </c>
      <c r="H4973">
        <v>0</v>
      </c>
    </row>
    <row r="4974" spans="1:9" x14ac:dyDescent="0.2">
      <c r="A4974" t="str">
        <f t="shared" si="324"/>
        <v>40422Vaipahu1852Autres</v>
      </c>
      <c r="B4974" s="1">
        <v>40422</v>
      </c>
      <c r="C4974" t="s">
        <v>23</v>
      </c>
      <c r="D4974" s="19">
        <v>18</v>
      </c>
      <c r="E4974">
        <v>52</v>
      </c>
      <c r="F4974" t="s">
        <v>14</v>
      </c>
      <c r="H4974">
        <v>0</v>
      </c>
    </row>
    <row r="4975" spans="1:9" x14ac:dyDescent="0.2">
      <c r="A4975" t="str">
        <f t="shared" si="324"/>
        <v>40422Vaipahu1853Autres</v>
      </c>
      <c r="B4975" s="1">
        <v>40422</v>
      </c>
      <c r="C4975" t="s">
        <v>23</v>
      </c>
      <c r="D4975" s="19">
        <v>18</v>
      </c>
      <c r="E4975">
        <v>53</v>
      </c>
      <c r="F4975" t="s">
        <v>14</v>
      </c>
      <c r="H4975">
        <v>0</v>
      </c>
    </row>
    <row r="4976" spans="1:9" x14ac:dyDescent="0.2">
      <c r="A4976" t="str">
        <f t="shared" si="324"/>
        <v>40422Vaipahu1854Autres</v>
      </c>
      <c r="B4976" s="1">
        <v>40422</v>
      </c>
      <c r="C4976" t="s">
        <v>23</v>
      </c>
      <c r="D4976" s="19">
        <v>18</v>
      </c>
      <c r="E4976">
        <v>54</v>
      </c>
      <c r="F4976" t="s">
        <v>14</v>
      </c>
      <c r="H4976">
        <v>0</v>
      </c>
    </row>
    <row r="4977" spans="1:8" x14ac:dyDescent="0.2">
      <c r="A4977" t="str">
        <f t="shared" si="324"/>
        <v>40422Vaipahu1855Autres</v>
      </c>
      <c r="B4977" s="1">
        <v>40422</v>
      </c>
      <c r="C4977" t="s">
        <v>23</v>
      </c>
      <c r="D4977" s="19">
        <v>18</v>
      </c>
      <c r="E4977">
        <v>55</v>
      </c>
      <c r="F4977" t="s">
        <v>14</v>
      </c>
      <c r="H4977">
        <v>0</v>
      </c>
    </row>
    <row r="4978" spans="1:8" x14ac:dyDescent="0.2">
      <c r="A4978" t="str">
        <f t="shared" si="324"/>
        <v>40422Vaipahu1856Autres</v>
      </c>
      <c r="B4978" s="1">
        <v>40422</v>
      </c>
      <c r="C4978" t="s">
        <v>23</v>
      </c>
      <c r="D4978" s="19">
        <v>18</v>
      </c>
      <c r="E4978">
        <v>56</v>
      </c>
      <c r="F4978" t="s">
        <v>14</v>
      </c>
      <c r="H4978">
        <v>0</v>
      </c>
    </row>
    <row r="4979" spans="1:8" x14ac:dyDescent="0.2">
      <c r="A4979" t="str">
        <f t="shared" si="324"/>
        <v>40422Vaipahu1857Autres</v>
      </c>
      <c r="B4979" s="1">
        <v>40422</v>
      </c>
      <c r="C4979" t="s">
        <v>23</v>
      </c>
      <c r="D4979" s="19">
        <v>18</v>
      </c>
      <c r="E4979">
        <v>57</v>
      </c>
      <c r="F4979" t="s">
        <v>14</v>
      </c>
      <c r="H4979">
        <v>0</v>
      </c>
    </row>
    <row r="4980" spans="1:8" x14ac:dyDescent="0.2">
      <c r="A4980" t="str">
        <f t="shared" si="324"/>
        <v>40422Vaipahu1858Autres</v>
      </c>
      <c r="B4980" s="1">
        <v>40422</v>
      </c>
      <c r="C4980" t="s">
        <v>23</v>
      </c>
      <c r="D4980" s="19">
        <v>18</v>
      </c>
      <c r="E4980">
        <v>58</v>
      </c>
      <c r="F4980" t="s">
        <v>14</v>
      </c>
      <c r="H4980">
        <v>0</v>
      </c>
    </row>
    <row r="4981" spans="1:8" x14ac:dyDescent="0.2">
      <c r="A4981" t="str">
        <f t="shared" si="324"/>
        <v>40422Vaipahu1859Autres</v>
      </c>
      <c r="B4981" s="1">
        <v>40422</v>
      </c>
      <c r="C4981" t="s">
        <v>23</v>
      </c>
      <c r="D4981" s="19">
        <v>18</v>
      </c>
      <c r="E4981">
        <v>59</v>
      </c>
      <c r="F4981" t="s">
        <v>14</v>
      </c>
      <c r="H4981">
        <v>0</v>
      </c>
    </row>
    <row r="4982" spans="1:8" x14ac:dyDescent="0.2">
      <c r="A4982" t="str">
        <f t="shared" si="324"/>
        <v>40422Vaipahu1860Autres</v>
      </c>
      <c r="B4982" s="1">
        <v>40422</v>
      </c>
      <c r="C4982" t="s">
        <v>23</v>
      </c>
      <c r="D4982" s="19">
        <v>18</v>
      </c>
      <c r="E4982">
        <v>60</v>
      </c>
      <c r="F4982" t="s">
        <v>14</v>
      </c>
      <c r="H4982">
        <v>0</v>
      </c>
    </row>
    <row r="4983" spans="1:8" x14ac:dyDescent="0.2">
      <c r="A4983" t="str">
        <f t="shared" si="324"/>
        <v>40422Tiahura661Autres</v>
      </c>
      <c r="B4983" s="1">
        <v>40422</v>
      </c>
      <c r="C4983" t="s">
        <v>24</v>
      </c>
      <c r="D4983" s="19">
        <v>6</v>
      </c>
      <c r="E4983">
        <v>61</v>
      </c>
      <c r="F4983" t="s">
        <v>14</v>
      </c>
      <c r="H4983">
        <v>0</v>
      </c>
    </row>
    <row r="4984" spans="1:8" x14ac:dyDescent="0.2">
      <c r="A4984" t="str">
        <f t="shared" si="324"/>
        <v>40422Tiahura662Autres</v>
      </c>
      <c r="B4984" s="1">
        <v>40422</v>
      </c>
      <c r="C4984" t="s">
        <v>24</v>
      </c>
      <c r="D4984" s="19">
        <v>6</v>
      </c>
      <c r="E4984">
        <v>62</v>
      </c>
      <c r="F4984" t="s">
        <v>14</v>
      </c>
      <c r="H4984">
        <v>0</v>
      </c>
    </row>
    <row r="4985" spans="1:8" x14ac:dyDescent="0.2">
      <c r="A4985" t="str">
        <f t="shared" si="324"/>
        <v>40422Tiahura663Autres</v>
      </c>
      <c r="B4985" s="1">
        <v>40422</v>
      </c>
      <c r="C4985" t="s">
        <v>24</v>
      </c>
      <c r="D4985" s="19">
        <v>6</v>
      </c>
      <c r="E4985">
        <v>63</v>
      </c>
      <c r="F4985" t="s">
        <v>14</v>
      </c>
      <c r="H4985">
        <v>0</v>
      </c>
    </row>
    <row r="4986" spans="1:8" x14ac:dyDescent="0.2">
      <c r="A4986" t="str">
        <f t="shared" si="324"/>
        <v>40422Tiahura664Autres</v>
      </c>
      <c r="B4986" s="1">
        <v>40422</v>
      </c>
      <c r="C4986" t="s">
        <v>24</v>
      </c>
      <c r="D4986" s="19">
        <v>6</v>
      </c>
      <c r="E4986">
        <v>64</v>
      </c>
      <c r="F4986" t="s">
        <v>14</v>
      </c>
      <c r="H4986">
        <v>0</v>
      </c>
    </row>
    <row r="4987" spans="1:8" x14ac:dyDescent="0.2">
      <c r="A4987" t="str">
        <f t="shared" si="324"/>
        <v>40422Tiahura665Autres</v>
      </c>
      <c r="B4987" s="1">
        <v>40422</v>
      </c>
      <c r="C4987" t="s">
        <v>24</v>
      </c>
      <c r="D4987" s="19">
        <v>6</v>
      </c>
      <c r="E4987">
        <v>65</v>
      </c>
      <c r="F4987" t="s">
        <v>14</v>
      </c>
      <c r="H4987">
        <v>0</v>
      </c>
    </row>
    <row r="4988" spans="1:8" x14ac:dyDescent="0.2">
      <c r="A4988" t="str">
        <f t="shared" si="324"/>
        <v>40422Tiahura666Autres</v>
      </c>
      <c r="B4988" s="1">
        <v>40422</v>
      </c>
      <c r="C4988" t="s">
        <v>24</v>
      </c>
      <c r="D4988" s="19">
        <v>6</v>
      </c>
      <c r="E4988">
        <v>66</v>
      </c>
      <c r="F4988" t="s">
        <v>14</v>
      </c>
      <c r="H4988">
        <v>0</v>
      </c>
    </row>
    <row r="4989" spans="1:8" x14ac:dyDescent="0.2">
      <c r="A4989" t="str">
        <f t="shared" si="324"/>
        <v>40422Tiahura667Autres</v>
      </c>
      <c r="B4989" s="1">
        <v>40422</v>
      </c>
      <c r="C4989" t="s">
        <v>24</v>
      </c>
      <c r="D4989" s="19">
        <v>6</v>
      </c>
      <c r="E4989">
        <v>67</v>
      </c>
      <c r="F4989" t="s">
        <v>14</v>
      </c>
      <c r="H4989">
        <v>0</v>
      </c>
    </row>
    <row r="4990" spans="1:8" x14ac:dyDescent="0.2">
      <c r="A4990" t="str">
        <f t="shared" si="324"/>
        <v>40422Tiahura668Autres</v>
      </c>
      <c r="B4990" s="1">
        <v>40422</v>
      </c>
      <c r="C4990" t="s">
        <v>24</v>
      </c>
      <c r="D4990" s="19">
        <v>6</v>
      </c>
      <c r="E4990">
        <v>68</v>
      </c>
      <c r="F4990" t="s">
        <v>14</v>
      </c>
      <c r="H4990">
        <v>0</v>
      </c>
    </row>
    <row r="4991" spans="1:8" x14ac:dyDescent="0.2">
      <c r="A4991" t="str">
        <f t="shared" ref="A4991:A5054" si="325">B4991 &amp; C4991&amp; D4991&amp; E4991 &amp; F4991 &amp;G4991</f>
        <v>40422Tiahura669Autres</v>
      </c>
      <c r="B4991" s="1">
        <v>40422</v>
      </c>
      <c r="C4991" t="s">
        <v>24</v>
      </c>
      <c r="D4991" s="19">
        <v>6</v>
      </c>
      <c r="E4991">
        <v>69</v>
      </c>
      <c r="F4991" t="s">
        <v>14</v>
      </c>
      <c r="H4991">
        <v>0</v>
      </c>
    </row>
    <row r="4992" spans="1:8" x14ac:dyDescent="0.2">
      <c r="A4992" t="str">
        <f t="shared" si="325"/>
        <v>40422Tiahura670Autres</v>
      </c>
      <c r="B4992" s="1">
        <v>40422</v>
      </c>
      <c r="C4992" t="s">
        <v>24</v>
      </c>
      <c r="D4992" s="19">
        <v>6</v>
      </c>
      <c r="E4992">
        <v>70</v>
      </c>
      <c r="F4992" t="s">
        <v>14</v>
      </c>
      <c r="H4992">
        <v>0</v>
      </c>
    </row>
    <row r="4993" spans="1:9" x14ac:dyDescent="0.2">
      <c r="A4993" t="str">
        <f t="shared" si="325"/>
        <v>40422Tiahura671Autres</v>
      </c>
      <c r="B4993" s="1">
        <v>40422</v>
      </c>
      <c r="C4993" t="s">
        <v>24</v>
      </c>
      <c r="D4993" s="19">
        <v>6</v>
      </c>
      <c r="E4993">
        <v>71</v>
      </c>
      <c r="F4993" t="s">
        <v>14</v>
      </c>
      <c r="H4993">
        <v>0</v>
      </c>
    </row>
    <row r="4994" spans="1:9" x14ac:dyDescent="0.2">
      <c r="A4994" t="str">
        <f t="shared" si="325"/>
        <v>40422Tiahura672Autres</v>
      </c>
      <c r="B4994" s="1">
        <v>40422</v>
      </c>
      <c r="C4994" t="s">
        <v>24</v>
      </c>
      <c r="D4994" s="19">
        <v>6</v>
      </c>
      <c r="E4994">
        <v>72</v>
      </c>
      <c r="F4994" t="s">
        <v>14</v>
      </c>
      <c r="H4994">
        <v>0</v>
      </c>
    </row>
    <row r="4995" spans="1:9" x14ac:dyDescent="0.2">
      <c r="A4995" t="str">
        <f t="shared" si="325"/>
        <v>40422Tiahura673Autres</v>
      </c>
      <c r="B4995" s="1">
        <v>40422</v>
      </c>
      <c r="C4995" t="s">
        <v>24</v>
      </c>
      <c r="D4995" s="19">
        <v>6</v>
      </c>
      <c r="E4995">
        <v>73</v>
      </c>
      <c r="F4995" t="s">
        <v>14</v>
      </c>
      <c r="H4995">
        <v>0</v>
      </c>
    </row>
    <row r="4996" spans="1:9" x14ac:dyDescent="0.2">
      <c r="A4996" t="str">
        <f t="shared" si="325"/>
        <v>40422Tiahura674Autres</v>
      </c>
      <c r="B4996" s="1">
        <v>40422</v>
      </c>
      <c r="C4996" t="s">
        <v>24</v>
      </c>
      <c r="D4996" s="19">
        <v>6</v>
      </c>
      <c r="E4996">
        <v>74</v>
      </c>
      <c r="F4996" t="s">
        <v>14</v>
      </c>
      <c r="H4996">
        <v>0</v>
      </c>
    </row>
    <row r="4997" spans="1:9" x14ac:dyDescent="0.2">
      <c r="A4997" t="str">
        <f t="shared" si="325"/>
        <v>40422Tiahura675Autres</v>
      </c>
      <c r="B4997" s="1">
        <v>40422</v>
      </c>
      <c r="C4997" t="s">
        <v>24</v>
      </c>
      <c r="D4997" s="19">
        <v>6</v>
      </c>
      <c r="E4997">
        <v>75</v>
      </c>
      <c r="F4997" t="s">
        <v>14</v>
      </c>
      <c r="H4997">
        <v>0</v>
      </c>
    </row>
    <row r="4998" spans="1:9" x14ac:dyDescent="0.2">
      <c r="A4998" t="str">
        <f t="shared" si="325"/>
        <v>40422Tiahura676Autres</v>
      </c>
      <c r="B4998" s="1">
        <v>40422</v>
      </c>
      <c r="C4998" t="s">
        <v>24</v>
      </c>
      <c r="D4998" s="19">
        <v>6</v>
      </c>
      <c r="E4998">
        <v>76</v>
      </c>
      <c r="F4998" t="s">
        <v>14</v>
      </c>
      <c r="H4998">
        <v>0</v>
      </c>
    </row>
    <row r="4999" spans="1:9" x14ac:dyDescent="0.2">
      <c r="A4999" t="str">
        <f t="shared" si="325"/>
        <v>40422Tiahura677Autres</v>
      </c>
      <c r="B4999" s="1">
        <v>40422</v>
      </c>
      <c r="C4999" t="s">
        <v>24</v>
      </c>
      <c r="D4999" s="19">
        <v>6</v>
      </c>
      <c r="E4999">
        <v>77</v>
      </c>
      <c r="F4999" t="s">
        <v>14</v>
      </c>
      <c r="H4999">
        <v>0</v>
      </c>
    </row>
    <row r="5000" spans="1:9" x14ac:dyDescent="0.2">
      <c r="A5000" t="str">
        <f t="shared" si="325"/>
        <v>40422Tiahura678Autres</v>
      </c>
      <c r="B5000" s="1">
        <v>40422</v>
      </c>
      <c r="C5000" t="s">
        <v>24</v>
      </c>
      <c r="D5000" s="19">
        <v>6</v>
      </c>
      <c r="E5000">
        <v>78</v>
      </c>
      <c r="F5000" t="s">
        <v>14</v>
      </c>
      <c r="H5000">
        <v>0</v>
      </c>
    </row>
    <row r="5001" spans="1:9" x14ac:dyDescent="0.2">
      <c r="A5001" t="str">
        <f t="shared" si="325"/>
        <v>40422Tiahura679PocilloporidaeDessus</v>
      </c>
      <c r="B5001" s="1">
        <v>40422</v>
      </c>
      <c r="C5001" t="s">
        <v>24</v>
      </c>
      <c r="D5001" s="19">
        <v>6</v>
      </c>
      <c r="E5001">
        <v>79</v>
      </c>
      <c r="F5001" t="s">
        <v>10</v>
      </c>
      <c r="G5001" t="s">
        <v>11</v>
      </c>
      <c r="H5001">
        <v>1</v>
      </c>
      <c r="I5001" t="s">
        <v>27</v>
      </c>
    </row>
    <row r="5002" spans="1:9" x14ac:dyDescent="0.2">
      <c r="A5002" t="str">
        <f t="shared" si="325"/>
        <v>40422Tiahura680Autres</v>
      </c>
      <c r="B5002" s="1">
        <v>40422</v>
      </c>
      <c r="C5002" t="s">
        <v>24</v>
      </c>
      <c r="D5002" s="19">
        <v>6</v>
      </c>
      <c r="E5002">
        <v>80</v>
      </c>
      <c r="F5002" t="s">
        <v>14</v>
      </c>
      <c r="H5002">
        <v>0</v>
      </c>
    </row>
    <row r="5003" spans="1:9" x14ac:dyDescent="0.2">
      <c r="A5003" t="str">
        <f t="shared" si="325"/>
        <v>40422Tiahura1281Autres</v>
      </c>
      <c r="B5003" s="1">
        <v>40422</v>
      </c>
      <c r="C5003" t="s">
        <v>24</v>
      </c>
      <c r="D5003" s="19">
        <v>12</v>
      </c>
      <c r="E5003">
        <v>81</v>
      </c>
      <c r="F5003" t="s">
        <v>14</v>
      </c>
      <c r="H5003">
        <v>0</v>
      </c>
    </row>
    <row r="5004" spans="1:9" x14ac:dyDescent="0.2">
      <c r="A5004" t="str">
        <f t="shared" si="325"/>
        <v>40422Tiahura1282Autres</v>
      </c>
      <c r="B5004" s="1">
        <v>40422</v>
      </c>
      <c r="C5004" t="s">
        <v>24</v>
      </c>
      <c r="D5004" s="19">
        <v>12</v>
      </c>
      <c r="E5004">
        <v>82</v>
      </c>
      <c r="F5004" t="s">
        <v>14</v>
      </c>
      <c r="H5004">
        <v>0</v>
      </c>
    </row>
    <row r="5005" spans="1:9" x14ac:dyDescent="0.2">
      <c r="A5005" t="str">
        <f t="shared" si="325"/>
        <v>40422Tiahura1283Autres</v>
      </c>
      <c r="B5005" s="1">
        <v>40422</v>
      </c>
      <c r="C5005" t="s">
        <v>24</v>
      </c>
      <c r="D5005" s="19">
        <v>12</v>
      </c>
      <c r="E5005">
        <v>83</v>
      </c>
      <c r="F5005" t="s">
        <v>14</v>
      </c>
      <c r="H5005">
        <v>0</v>
      </c>
    </row>
    <row r="5006" spans="1:9" x14ac:dyDescent="0.2">
      <c r="A5006" t="str">
        <f t="shared" si="325"/>
        <v>40422Tiahura1284Autres</v>
      </c>
      <c r="B5006" s="1">
        <v>40422</v>
      </c>
      <c r="C5006" t="s">
        <v>24</v>
      </c>
      <c r="D5006" s="19">
        <v>12</v>
      </c>
      <c r="E5006">
        <v>84</v>
      </c>
      <c r="F5006" t="s">
        <v>14</v>
      </c>
      <c r="H5006">
        <v>0</v>
      </c>
    </row>
    <row r="5007" spans="1:9" x14ac:dyDescent="0.2">
      <c r="A5007" t="str">
        <f t="shared" si="325"/>
        <v>40422Tiahura1285Autres</v>
      </c>
      <c r="B5007" s="1">
        <v>40422</v>
      </c>
      <c r="C5007" t="s">
        <v>24</v>
      </c>
      <c r="D5007" s="19">
        <v>12</v>
      </c>
      <c r="E5007">
        <v>85</v>
      </c>
      <c r="F5007" t="s">
        <v>14</v>
      </c>
      <c r="H5007">
        <v>0</v>
      </c>
    </row>
    <row r="5008" spans="1:9" x14ac:dyDescent="0.2">
      <c r="A5008" t="str">
        <f t="shared" si="325"/>
        <v>40422Tiahura1286Autres</v>
      </c>
      <c r="B5008" s="1">
        <v>40422</v>
      </c>
      <c r="C5008" t="s">
        <v>24</v>
      </c>
      <c r="D5008" s="19">
        <v>12</v>
      </c>
      <c r="E5008">
        <v>86</v>
      </c>
      <c r="F5008" t="s">
        <v>14</v>
      </c>
      <c r="H5008">
        <v>0</v>
      </c>
    </row>
    <row r="5009" spans="1:9" x14ac:dyDescent="0.2">
      <c r="A5009" t="str">
        <f t="shared" si="325"/>
        <v>40422Tiahura1287Autres</v>
      </c>
      <c r="B5009" s="1">
        <v>40422</v>
      </c>
      <c r="C5009" t="s">
        <v>24</v>
      </c>
      <c r="D5009" s="19">
        <v>12</v>
      </c>
      <c r="E5009">
        <v>87</v>
      </c>
      <c r="F5009" t="s">
        <v>14</v>
      </c>
      <c r="H5009">
        <v>0</v>
      </c>
    </row>
    <row r="5010" spans="1:9" x14ac:dyDescent="0.2">
      <c r="A5010" t="str">
        <f t="shared" si="325"/>
        <v>40422Tiahura1288Autres</v>
      </c>
      <c r="B5010" s="1">
        <v>40422</v>
      </c>
      <c r="C5010" t="s">
        <v>24</v>
      </c>
      <c r="D5010" s="19">
        <v>12</v>
      </c>
      <c r="E5010">
        <v>88</v>
      </c>
      <c r="F5010" t="s">
        <v>14</v>
      </c>
      <c r="H5010">
        <v>0</v>
      </c>
    </row>
    <row r="5011" spans="1:9" x14ac:dyDescent="0.2">
      <c r="A5011" t="str">
        <f t="shared" si="325"/>
        <v>40422Tiahura1289Autres</v>
      </c>
      <c r="B5011" s="1">
        <v>40422</v>
      </c>
      <c r="C5011" t="s">
        <v>24</v>
      </c>
      <c r="D5011" s="19">
        <v>12</v>
      </c>
      <c r="E5011">
        <v>89</v>
      </c>
      <c r="F5011" t="s">
        <v>14</v>
      </c>
      <c r="H5011">
        <v>0</v>
      </c>
    </row>
    <row r="5012" spans="1:9" x14ac:dyDescent="0.2">
      <c r="A5012" t="str">
        <f t="shared" si="325"/>
        <v>40422Tiahura1290Autres</v>
      </c>
      <c r="B5012" s="1">
        <v>40422</v>
      </c>
      <c r="C5012" t="s">
        <v>24</v>
      </c>
      <c r="D5012" s="19">
        <v>12</v>
      </c>
      <c r="E5012">
        <v>90</v>
      </c>
      <c r="F5012" t="s">
        <v>14</v>
      </c>
      <c r="H5012">
        <v>0</v>
      </c>
    </row>
    <row r="5013" spans="1:9" x14ac:dyDescent="0.2">
      <c r="A5013" t="str">
        <f t="shared" si="325"/>
        <v>40422Tiahura1291PoritidaeDessous</v>
      </c>
      <c r="B5013" s="1">
        <v>40422</v>
      </c>
      <c r="C5013" t="s">
        <v>24</v>
      </c>
      <c r="D5013" s="19">
        <v>12</v>
      </c>
      <c r="E5013">
        <v>91</v>
      </c>
      <c r="F5013" t="s">
        <v>7</v>
      </c>
      <c r="G5013" t="s">
        <v>8</v>
      </c>
      <c r="H5013">
        <v>1</v>
      </c>
      <c r="I5013" t="s">
        <v>27</v>
      </c>
    </row>
    <row r="5014" spans="1:9" x14ac:dyDescent="0.2">
      <c r="A5014" t="str">
        <f t="shared" si="325"/>
        <v>40422Tiahura1292Autres</v>
      </c>
      <c r="B5014" s="1">
        <v>40422</v>
      </c>
      <c r="C5014" t="s">
        <v>24</v>
      </c>
      <c r="D5014" s="19">
        <v>12</v>
      </c>
      <c r="E5014">
        <v>92</v>
      </c>
      <c r="F5014" t="s">
        <v>14</v>
      </c>
      <c r="H5014">
        <v>0</v>
      </c>
    </row>
    <row r="5015" spans="1:9" x14ac:dyDescent="0.2">
      <c r="A5015" t="str">
        <f t="shared" si="325"/>
        <v>40422Tiahura1293Autres</v>
      </c>
      <c r="B5015" s="1">
        <v>40422</v>
      </c>
      <c r="C5015" t="s">
        <v>24</v>
      </c>
      <c r="D5015" s="19">
        <v>12</v>
      </c>
      <c r="E5015">
        <v>93</v>
      </c>
      <c r="F5015" t="s">
        <v>14</v>
      </c>
      <c r="H5015">
        <v>0</v>
      </c>
    </row>
    <row r="5016" spans="1:9" x14ac:dyDescent="0.2">
      <c r="A5016" t="str">
        <f t="shared" si="325"/>
        <v>40422Tiahura1294Autres</v>
      </c>
      <c r="B5016" s="1">
        <v>40422</v>
      </c>
      <c r="C5016" t="s">
        <v>24</v>
      </c>
      <c r="D5016" s="19">
        <v>12</v>
      </c>
      <c r="E5016">
        <v>94</v>
      </c>
      <c r="F5016" t="s">
        <v>14</v>
      </c>
      <c r="H5016">
        <v>0</v>
      </c>
    </row>
    <row r="5017" spans="1:9" x14ac:dyDescent="0.2">
      <c r="A5017" t="str">
        <f t="shared" si="325"/>
        <v>40422Tiahura1295Autres</v>
      </c>
      <c r="B5017" s="1">
        <v>40422</v>
      </c>
      <c r="C5017" t="s">
        <v>24</v>
      </c>
      <c r="D5017" s="19">
        <v>12</v>
      </c>
      <c r="E5017">
        <v>95</v>
      </c>
      <c r="F5017" t="s">
        <v>14</v>
      </c>
      <c r="H5017">
        <v>0</v>
      </c>
    </row>
    <row r="5018" spans="1:9" x14ac:dyDescent="0.2">
      <c r="A5018" t="str">
        <f t="shared" si="325"/>
        <v>40422Tiahura1296Autres</v>
      </c>
      <c r="B5018" s="1">
        <v>40422</v>
      </c>
      <c r="C5018" t="s">
        <v>24</v>
      </c>
      <c r="D5018" s="19">
        <v>12</v>
      </c>
      <c r="E5018">
        <v>96</v>
      </c>
      <c r="F5018" t="s">
        <v>14</v>
      </c>
      <c r="H5018">
        <v>0</v>
      </c>
    </row>
    <row r="5019" spans="1:9" x14ac:dyDescent="0.2">
      <c r="A5019" t="str">
        <f t="shared" si="325"/>
        <v>40422Tiahura1297Autres</v>
      </c>
      <c r="B5019" s="1">
        <v>40422</v>
      </c>
      <c r="C5019" t="s">
        <v>24</v>
      </c>
      <c r="D5019" s="19">
        <v>12</v>
      </c>
      <c r="E5019">
        <v>97</v>
      </c>
      <c r="F5019" t="s">
        <v>14</v>
      </c>
      <c r="H5019">
        <v>0</v>
      </c>
    </row>
    <row r="5020" spans="1:9" x14ac:dyDescent="0.2">
      <c r="A5020" t="str">
        <f t="shared" si="325"/>
        <v>40422Tiahura1298Autres</v>
      </c>
      <c r="B5020" s="1">
        <v>40422</v>
      </c>
      <c r="C5020" t="s">
        <v>24</v>
      </c>
      <c r="D5020" s="19">
        <v>12</v>
      </c>
      <c r="E5020">
        <v>98</v>
      </c>
      <c r="F5020" t="s">
        <v>14</v>
      </c>
      <c r="H5020">
        <v>0</v>
      </c>
    </row>
    <row r="5021" spans="1:9" x14ac:dyDescent="0.2">
      <c r="A5021" t="str">
        <f t="shared" si="325"/>
        <v>40422Tiahura1299Autres</v>
      </c>
      <c r="B5021" s="1">
        <v>40422</v>
      </c>
      <c r="C5021" t="s">
        <v>24</v>
      </c>
      <c r="D5021" s="19">
        <v>12</v>
      </c>
      <c r="E5021">
        <v>99</v>
      </c>
      <c r="F5021" t="s">
        <v>14</v>
      </c>
      <c r="H5021">
        <v>0</v>
      </c>
    </row>
    <row r="5022" spans="1:9" x14ac:dyDescent="0.2">
      <c r="A5022" t="str">
        <f t="shared" si="325"/>
        <v>40422Tiahura12100AcroporidaeBords</v>
      </c>
      <c r="B5022" s="1">
        <v>40422</v>
      </c>
      <c r="C5022" t="s">
        <v>24</v>
      </c>
      <c r="D5022" s="19">
        <v>12</v>
      </c>
      <c r="E5022">
        <v>100</v>
      </c>
      <c r="F5022" t="s">
        <v>17</v>
      </c>
      <c r="G5022" t="s">
        <v>13</v>
      </c>
      <c r="H5022">
        <v>1</v>
      </c>
      <c r="I5022" t="s">
        <v>27</v>
      </c>
    </row>
    <row r="5023" spans="1:9" x14ac:dyDescent="0.2">
      <c r="A5023" t="str">
        <f t="shared" si="325"/>
        <v>40422Tiahura18101Autres</v>
      </c>
      <c r="B5023" s="1">
        <v>40422</v>
      </c>
      <c r="C5023" t="s">
        <v>24</v>
      </c>
      <c r="D5023" s="19">
        <v>18</v>
      </c>
      <c r="E5023">
        <v>101</v>
      </c>
      <c r="F5023" t="s">
        <v>14</v>
      </c>
      <c r="H5023">
        <v>0</v>
      </c>
    </row>
    <row r="5024" spans="1:9" x14ac:dyDescent="0.2">
      <c r="A5024" t="str">
        <f t="shared" si="325"/>
        <v>40422Tiahura18102Autres</v>
      </c>
      <c r="B5024" s="1">
        <v>40422</v>
      </c>
      <c r="C5024" t="s">
        <v>24</v>
      </c>
      <c r="D5024" s="19">
        <v>18</v>
      </c>
      <c r="E5024">
        <v>102</v>
      </c>
      <c r="F5024" t="s">
        <v>14</v>
      </c>
      <c r="H5024">
        <v>0</v>
      </c>
    </row>
    <row r="5025" spans="1:9" x14ac:dyDescent="0.2">
      <c r="A5025" t="str">
        <f t="shared" si="325"/>
        <v>40422Tiahura18103Autres</v>
      </c>
      <c r="B5025" s="1">
        <v>40422</v>
      </c>
      <c r="C5025" t="s">
        <v>24</v>
      </c>
      <c r="D5025" s="19">
        <v>18</v>
      </c>
      <c r="E5025">
        <v>103</v>
      </c>
      <c r="F5025" t="s">
        <v>14</v>
      </c>
      <c r="H5025">
        <v>0</v>
      </c>
    </row>
    <row r="5026" spans="1:9" x14ac:dyDescent="0.2">
      <c r="A5026" t="str">
        <f t="shared" si="325"/>
        <v>40422Tiahura18104Autres</v>
      </c>
      <c r="B5026" s="1">
        <v>40422</v>
      </c>
      <c r="C5026" t="s">
        <v>24</v>
      </c>
      <c r="D5026" s="19">
        <v>18</v>
      </c>
      <c r="E5026">
        <v>104</v>
      </c>
      <c r="F5026" t="s">
        <v>14</v>
      </c>
      <c r="H5026">
        <v>0</v>
      </c>
    </row>
    <row r="5027" spans="1:9" x14ac:dyDescent="0.2">
      <c r="A5027" t="str">
        <f t="shared" si="325"/>
        <v>40422Tiahura18105Autres</v>
      </c>
      <c r="B5027" s="1">
        <v>40422</v>
      </c>
      <c r="C5027" t="s">
        <v>24</v>
      </c>
      <c r="D5027" s="19">
        <v>18</v>
      </c>
      <c r="E5027">
        <v>105</v>
      </c>
      <c r="F5027" t="s">
        <v>14</v>
      </c>
      <c r="H5027">
        <v>0</v>
      </c>
    </row>
    <row r="5028" spans="1:9" x14ac:dyDescent="0.2">
      <c r="A5028" t="str">
        <f t="shared" si="325"/>
        <v>40422Tiahura18106Autres</v>
      </c>
      <c r="B5028" s="1">
        <v>40422</v>
      </c>
      <c r="C5028" t="s">
        <v>24</v>
      </c>
      <c r="D5028" s="19">
        <v>18</v>
      </c>
      <c r="E5028">
        <v>106</v>
      </c>
      <c r="F5028" t="s">
        <v>14</v>
      </c>
      <c r="H5028">
        <v>0</v>
      </c>
    </row>
    <row r="5029" spans="1:9" x14ac:dyDescent="0.2">
      <c r="A5029" t="str">
        <f t="shared" si="325"/>
        <v>40422Tiahura18107Autres</v>
      </c>
      <c r="B5029" s="1">
        <v>40422</v>
      </c>
      <c r="C5029" t="s">
        <v>24</v>
      </c>
      <c r="D5029" s="19">
        <v>18</v>
      </c>
      <c r="E5029">
        <v>107</v>
      </c>
      <c r="F5029" t="s">
        <v>14</v>
      </c>
      <c r="H5029">
        <v>0</v>
      </c>
    </row>
    <row r="5030" spans="1:9" x14ac:dyDescent="0.2">
      <c r="A5030" t="str">
        <f t="shared" si="325"/>
        <v>40422Tiahura18108PoritidaeDessous</v>
      </c>
      <c r="B5030" s="1">
        <v>40422</v>
      </c>
      <c r="C5030" t="s">
        <v>24</v>
      </c>
      <c r="D5030" s="19">
        <v>18</v>
      </c>
      <c r="E5030">
        <v>108</v>
      </c>
      <c r="F5030" t="s">
        <v>7</v>
      </c>
      <c r="G5030" t="s">
        <v>8</v>
      </c>
      <c r="H5030">
        <v>1</v>
      </c>
      <c r="I5030" t="s">
        <v>27</v>
      </c>
    </row>
    <row r="5031" spans="1:9" x14ac:dyDescent="0.2">
      <c r="A5031" t="str">
        <f t="shared" si="325"/>
        <v>40422Tiahura18109Autres</v>
      </c>
      <c r="B5031" s="1">
        <v>40422</v>
      </c>
      <c r="C5031" t="s">
        <v>24</v>
      </c>
      <c r="D5031" s="19">
        <v>18</v>
      </c>
      <c r="E5031">
        <v>109</v>
      </c>
      <c r="F5031" t="s">
        <v>14</v>
      </c>
      <c r="H5031">
        <v>0</v>
      </c>
    </row>
    <row r="5032" spans="1:9" x14ac:dyDescent="0.2">
      <c r="A5032" t="str">
        <f t="shared" si="325"/>
        <v>40422Tiahura18110Autres</v>
      </c>
      <c r="B5032" s="1">
        <v>40422</v>
      </c>
      <c r="C5032" t="s">
        <v>24</v>
      </c>
      <c r="D5032" s="19">
        <v>18</v>
      </c>
      <c r="E5032">
        <v>110</v>
      </c>
      <c r="F5032" t="s">
        <v>14</v>
      </c>
      <c r="H5032">
        <v>0</v>
      </c>
    </row>
    <row r="5033" spans="1:9" x14ac:dyDescent="0.2">
      <c r="A5033" t="str">
        <f t="shared" si="325"/>
        <v>40422Tiahura18111Autres</v>
      </c>
      <c r="B5033" s="1">
        <v>40422</v>
      </c>
      <c r="C5033" t="s">
        <v>24</v>
      </c>
      <c r="D5033" s="19">
        <v>18</v>
      </c>
      <c r="E5033">
        <v>111</v>
      </c>
      <c r="F5033" t="s">
        <v>14</v>
      </c>
      <c r="H5033">
        <v>0</v>
      </c>
    </row>
    <row r="5034" spans="1:9" x14ac:dyDescent="0.2">
      <c r="A5034" t="str">
        <f t="shared" si="325"/>
        <v>40422Tiahura18112Autres</v>
      </c>
      <c r="B5034" s="1">
        <v>40422</v>
      </c>
      <c r="C5034" t="s">
        <v>24</v>
      </c>
      <c r="D5034" s="19">
        <v>18</v>
      </c>
      <c r="E5034">
        <v>112</v>
      </c>
      <c r="F5034" t="s">
        <v>14</v>
      </c>
      <c r="H5034">
        <v>0</v>
      </c>
    </row>
    <row r="5035" spans="1:9" x14ac:dyDescent="0.2">
      <c r="A5035" t="str">
        <f t="shared" si="325"/>
        <v>40422Tiahura18113Autres</v>
      </c>
      <c r="B5035" s="1">
        <v>40422</v>
      </c>
      <c r="C5035" t="s">
        <v>24</v>
      </c>
      <c r="D5035" s="19">
        <v>18</v>
      </c>
      <c r="E5035">
        <v>113</v>
      </c>
      <c r="F5035" t="s">
        <v>14</v>
      </c>
      <c r="H5035">
        <v>0</v>
      </c>
    </row>
    <row r="5036" spans="1:9" x14ac:dyDescent="0.2">
      <c r="A5036" t="str">
        <f t="shared" si="325"/>
        <v>40422Tiahura18114Autres</v>
      </c>
      <c r="B5036" s="1">
        <v>40422</v>
      </c>
      <c r="C5036" t="s">
        <v>24</v>
      </c>
      <c r="D5036" s="19">
        <v>18</v>
      </c>
      <c r="E5036">
        <v>114</v>
      </c>
      <c r="F5036" t="s">
        <v>14</v>
      </c>
      <c r="H5036">
        <v>0</v>
      </c>
    </row>
    <row r="5037" spans="1:9" x14ac:dyDescent="0.2">
      <c r="A5037" t="str">
        <f t="shared" si="325"/>
        <v>40422Tiahura18115Autres</v>
      </c>
      <c r="B5037" s="1">
        <v>40422</v>
      </c>
      <c r="C5037" t="s">
        <v>24</v>
      </c>
      <c r="D5037" s="19">
        <v>18</v>
      </c>
      <c r="E5037">
        <v>115</v>
      </c>
      <c r="F5037" t="s">
        <v>14</v>
      </c>
      <c r="H5037">
        <v>0</v>
      </c>
    </row>
    <row r="5038" spans="1:9" x14ac:dyDescent="0.2">
      <c r="A5038" t="str">
        <f t="shared" si="325"/>
        <v>40422Tiahura18116Autres</v>
      </c>
      <c r="B5038" s="1">
        <v>40422</v>
      </c>
      <c r="C5038" t="s">
        <v>24</v>
      </c>
      <c r="D5038" s="19">
        <v>18</v>
      </c>
      <c r="E5038">
        <v>116</v>
      </c>
      <c r="F5038" t="s">
        <v>14</v>
      </c>
      <c r="H5038">
        <v>0</v>
      </c>
    </row>
    <row r="5039" spans="1:9" x14ac:dyDescent="0.2">
      <c r="A5039" t="str">
        <f t="shared" si="325"/>
        <v>40422Tiahura18117Autres</v>
      </c>
      <c r="B5039" s="1">
        <v>40422</v>
      </c>
      <c r="C5039" t="s">
        <v>24</v>
      </c>
      <c r="D5039" s="19">
        <v>18</v>
      </c>
      <c r="E5039">
        <v>117</v>
      </c>
      <c r="F5039" t="s">
        <v>14</v>
      </c>
      <c r="H5039">
        <v>0</v>
      </c>
    </row>
    <row r="5040" spans="1:9" x14ac:dyDescent="0.2">
      <c r="A5040" t="str">
        <f t="shared" si="325"/>
        <v>40422Tiahura18118Autres</v>
      </c>
      <c r="B5040" s="1">
        <v>40422</v>
      </c>
      <c r="C5040" t="s">
        <v>24</v>
      </c>
      <c r="D5040" s="19">
        <v>18</v>
      </c>
      <c r="E5040">
        <v>118</v>
      </c>
      <c r="F5040" t="s">
        <v>14</v>
      </c>
      <c r="H5040">
        <v>0</v>
      </c>
    </row>
    <row r="5041" spans="1:8" x14ac:dyDescent="0.2">
      <c r="A5041" t="str">
        <f t="shared" si="325"/>
        <v>40422Tiahura18119Autres</v>
      </c>
      <c r="B5041" s="1">
        <v>40422</v>
      </c>
      <c r="C5041" t="s">
        <v>24</v>
      </c>
      <c r="D5041" s="19">
        <v>18</v>
      </c>
      <c r="E5041">
        <v>119</v>
      </c>
      <c r="F5041" t="s">
        <v>14</v>
      </c>
      <c r="H5041">
        <v>0</v>
      </c>
    </row>
    <row r="5042" spans="1:8" x14ac:dyDescent="0.2">
      <c r="A5042" t="str">
        <f t="shared" si="325"/>
        <v>40422Tiahura18120Autres</v>
      </c>
      <c r="B5042" s="1">
        <v>40422</v>
      </c>
      <c r="C5042" t="s">
        <v>24</v>
      </c>
      <c r="D5042" s="19">
        <v>18</v>
      </c>
      <c r="E5042">
        <v>120</v>
      </c>
      <c r="F5042" t="s">
        <v>14</v>
      </c>
      <c r="H5042">
        <v>0</v>
      </c>
    </row>
    <row r="5043" spans="1:8" x14ac:dyDescent="0.2">
      <c r="A5043" t="str">
        <f t="shared" si="325"/>
        <v>40422Haapiti6121Autres</v>
      </c>
      <c r="B5043" s="1">
        <v>40422</v>
      </c>
      <c r="C5043" t="s">
        <v>25</v>
      </c>
      <c r="D5043" s="19">
        <v>6</v>
      </c>
      <c r="E5043">
        <v>121</v>
      </c>
      <c r="F5043" t="s">
        <v>14</v>
      </c>
      <c r="H5043">
        <v>0</v>
      </c>
    </row>
    <row r="5044" spans="1:8" x14ac:dyDescent="0.2">
      <c r="A5044" t="str">
        <f t="shared" si="325"/>
        <v>40422Haapiti6122Autres</v>
      </c>
      <c r="B5044" s="1">
        <v>40422</v>
      </c>
      <c r="C5044" t="s">
        <v>25</v>
      </c>
      <c r="D5044" s="19">
        <v>6</v>
      </c>
      <c r="E5044">
        <v>122</v>
      </c>
      <c r="F5044" t="s">
        <v>14</v>
      </c>
      <c r="H5044">
        <v>0</v>
      </c>
    </row>
    <row r="5045" spans="1:8" x14ac:dyDescent="0.2">
      <c r="A5045" t="str">
        <f t="shared" si="325"/>
        <v>40422Haapiti6123Autres</v>
      </c>
      <c r="B5045" s="1">
        <v>40422</v>
      </c>
      <c r="C5045" t="s">
        <v>25</v>
      </c>
      <c r="D5045" s="19">
        <v>6</v>
      </c>
      <c r="E5045">
        <v>123</v>
      </c>
      <c r="F5045" t="s">
        <v>14</v>
      </c>
      <c r="H5045">
        <v>0</v>
      </c>
    </row>
    <row r="5046" spans="1:8" x14ac:dyDescent="0.2">
      <c r="A5046" t="str">
        <f t="shared" si="325"/>
        <v>40422Haapiti6124Autres</v>
      </c>
      <c r="B5046" s="1">
        <v>40422</v>
      </c>
      <c r="C5046" t="s">
        <v>25</v>
      </c>
      <c r="D5046" s="19">
        <v>6</v>
      </c>
      <c r="E5046">
        <v>124</v>
      </c>
      <c r="F5046" t="s">
        <v>14</v>
      </c>
      <c r="H5046">
        <v>0</v>
      </c>
    </row>
    <row r="5047" spans="1:8" x14ac:dyDescent="0.2">
      <c r="A5047" t="str">
        <f t="shared" si="325"/>
        <v>40422Haapiti6125Autres</v>
      </c>
      <c r="B5047" s="1">
        <v>40422</v>
      </c>
      <c r="C5047" t="s">
        <v>25</v>
      </c>
      <c r="D5047" s="19">
        <v>6</v>
      </c>
      <c r="E5047">
        <v>125</v>
      </c>
      <c r="F5047" t="s">
        <v>14</v>
      </c>
      <c r="H5047">
        <v>0</v>
      </c>
    </row>
    <row r="5048" spans="1:8" x14ac:dyDescent="0.2">
      <c r="A5048" t="str">
        <f t="shared" si="325"/>
        <v>40422Haapiti6126Autres</v>
      </c>
      <c r="B5048" s="1">
        <v>40422</v>
      </c>
      <c r="C5048" t="s">
        <v>25</v>
      </c>
      <c r="D5048" s="19">
        <v>6</v>
      </c>
      <c r="E5048">
        <v>126</v>
      </c>
      <c r="F5048" t="s">
        <v>14</v>
      </c>
      <c r="H5048">
        <v>0</v>
      </c>
    </row>
    <row r="5049" spans="1:8" x14ac:dyDescent="0.2">
      <c r="A5049" t="str">
        <f t="shared" si="325"/>
        <v>40422Haapiti6127Autres</v>
      </c>
      <c r="B5049" s="1">
        <v>40422</v>
      </c>
      <c r="C5049" t="s">
        <v>25</v>
      </c>
      <c r="D5049" s="19">
        <v>6</v>
      </c>
      <c r="E5049">
        <v>127</v>
      </c>
      <c r="F5049" t="s">
        <v>14</v>
      </c>
      <c r="H5049">
        <v>0</v>
      </c>
    </row>
    <row r="5050" spans="1:8" x14ac:dyDescent="0.2">
      <c r="A5050" t="str">
        <f t="shared" si="325"/>
        <v>40422Haapiti6128Autres</v>
      </c>
      <c r="B5050" s="1">
        <v>40422</v>
      </c>
      <c r="C5050" t="s">
        <v>25</v>
      </c>
      <c r="D5050" s="19">
        <v>6</v>
      </c>
      <c r="E5050">
        <v>128</v>
      </c>
      <c r="F5050" t="s">
        <v>14</v>
      </c>
      <c r="H5050">
        <v>0</v>
      </c>
    </row>
    <row r="5051" spans="1:8" x14ac:dyDescent="0.2">
      <c r="A5051" t="str">
        <f t="shared" si="325"/>
        <v>40422Haapiti6129Autres</v>
      </c>
      <c r="B5051" s="1">
        <v>40422</v>
      </c>
      <c r="C5051" t="s">
        <v>25</v>
      </c>
      <c r="D5051" s="19">
        <v>6</v>
      </c>
      <c r="E5051">
        <v>129</v>
      </c>
      <c r="F5051" t="s">
        <v>14</v>
      </c>
      <c r="H5051">
        <v>0</v>
      </c>
    </row>
    <row r="5052" spans="1:8" x14ac:dyDescent="0.2">
      <c r="A5052" t="str">
        <f t="shared" si="325"/>
        <v>40422Haapiti6130Autres</v>
      </c>
      <c r="B5052" s="1">
        <v>40422</v>
      </c>
      <c r="C5052" t="s">
        <v>25</v>
      </c>
      <c r="D5052" s="19">
        <v>6</v>
      </c>
      <c r="E5052">
        <v>130</v>
      </c>
      <c r="F5052" t="s">
        <v>14</v>
      </c>
      <c r="H5052">
        <v>0</v>
      </c>
    </row>
    <row r="5053" spans="1:8" x14ac:dyDescent="0.2">
      <c r="A5053" t="str">
        <f t="shared" si="325"/>
        <v>40422Haapiti6131Autres</v>
      </c>
      <c r="B5053" s="1">
        <v>40422</v>
      </c>
      <c r="C5053" t="s">
        <v>25</v>
      </c>
      <c r="D5053" s="19">
        <v>6</v>
      </c>
      <c r="E5053">
        <v>131</v>
      </c>
      <c r="F5053" t="s">
        <v>14</v>
      </c>
      <c r="H5053">
        <v>0</v>
      </c>
    </row>
    <row r="5054" spans="1:8" x14ac:dyDescent="0.2">
      <c r="A5054" t="str">
        <f t="shared" si="325"/>
        <v>40422Haapiti6132Autres</v>
      </c>
      <c r="B5054" s="1">
        <v>40422</v>
      </c>
      <c r="C5054" t="s">
        <v>25</v>
      </c>
      <c r="D5054" s="19">
        <v>6</v>
      </c>
      <c r="E5054">
        <v>132</v>
      </c>
      <c r="F5054" t="s">
        <v>14</v>
      </c>
      <c r="H5054">
        <v>0</v>
      </c>
    </row>
    <row r="5055" spans="1:8" x14ac:dyDescent="0.2">
      <c r="A5055" t="str">
        <f t="shared" ref="A5055:A5118" si="326">B5055 &amp; C5055&amp; D5055&amp; E5055 &amp; F5055 &amp;G5055</f>
        <v>40422Haapiti6133Autres</v>
      </c>
      <c r="B5055" s="1">
        <v>40422</v>
      </c>
      <c r="C5055" t="s">
        <v>25</v>
      </c>
      <c r="D5055" s="19">
        <v>6</v>
      </c>
      <c r="E5055">
        <v>133</v>
      </c>
      <c r="F5055" t="s">
        <v>14</v>
      </c>
      <c r="H5055">
        <v>0</v>
      </c>
    </row>
    <row r="5056" spans="1:8" x14ac:dyDescent="0.2">
      <c r="A5056" t="str">
        <f t="shared" si="326"/>
        <v>40422Haapiti6134Autres</v>
      </c>
      <c r="B5056" s="1">
        <v>40422</v>
      </c>
      <c r="C5056" t="s">
        <v>25</v>
      </c>
      <c r="D5056" s="19">
        <v>6</v>
      </c>
      <c r="E5056">
        <v>134</v>
      </c>
      <c r="F5056" t="s">
        <v>14</v>
      </c>
      <c r="H5056">
        <v>0</v>
      </c>
    </row>
    <row r="5057" spans="1:9" x14ac:dyDescent="0.2">
      <c r="A5057" t="str">
        <f t="shared" si="326"/>
        <v>40422Haapiti6135Autres</v>
      </c>
      <c r="B5057" s="1">
        <v>40422</v>
      </c>
      <c r="C5057" t="s">
        <v>25</v>
      </c>
      <c r="D5057" s="19">
        <v>6</v>
      </c>
      <c r="E5057">
        <v>135</v>
      </c>
      <c r="F5057" t="s">
        <v>14</v>
      </c>
      <c r="H5057">
        <v>0</v>
      </c>
    </row>
    <row r="5058" spans="1:9" x14ac:dyDescent="0.2">
      <c r="A5058" t="str">
        <f t="shared" si="326"/>
        <v>40422Haapiti6136</v>
      </c>
      <c r="B5058" s="1">
        <v>40422</v>
      </c>
      <c r="C5058" t="s">
        <v>25</v>
      </c>
      <c r="D5058" s="19">
        <v>6</v>
      </c>
      <c r="E5058">
        <v>136</v>
      </c>
      <c r="F5058" t="s">
        <v>27</v>
      </c>
      <c r="G5058" t="s">
        <v>27</v>
      </c>
      <c r="H5058" t="s">
        <v>27</v>
      </c>
      <c r="I5058" t="s">
        <v>31</v>
      </c>
    </row>
    <row r="5059" spans="1:9" x14ac:dyDescent="0.2">
      <c r="A5059" t="str">
        <f t="shared" si="326"/>
        <v>40422Haapiti6137Autres</v>
      </c>
      <c r="B5059" s="1">
        <v>40422</v>
      </c>
      <c r="C5059" t="s">
        <v>25</v>
      </c>
      <c r="D5059" s="19">
        <v>6</v>
      </c>
      <c r="E5059">
        <v>137</v>
      </c>
      <c r="F5059" t="s">
        <v>14</v>
      </c>
      <c r="H5059">
        <v>0</v>
      </c>
    </row>
    <row r="5060" spans="1:9" x14ac:dyDescent="0.2">
      <c r="A5060" t="str">
        <f t="shared" si="326"/>
        <v>40422Haapiti6138Autres</v>
      </c>
      <c r="B5060" s="1">
        <v>40422</v>
      </c>
      <c r="C5060" t="s">
        <v>25</v>
      </c>
      <c r="D5060" s="19">
        <v>6</v>
      </c>
      <c r="E5060">
        <v>138</v>
      </c>
      <c r="F5060" t="s">
        <v>14</v>
      </c>
      <c r="H5060">
        <v>0</v>
      </c>
    </row>
    <row r="5061" spans="1:9" x14ac:dyDescent="0.2">
      <c r="A5061" t="str">
        <f t="shared" si="326"/>
        <v>40422Haapiti6139Autres</v>
      </c>
      <c r="B5061" s="1">
        <v>40422</v>
      </c>
      <c r="C5061" t="s">
        <v>25</v>
      </c>
      <c r="D5061" s="19">
        <v>6</v>
      </c>
      <c r="E5061">
        <v>139</v>
      </c>
      <c r="F5061" t="s">
        <v>14</v>
      </c>
      <c r="H5061">
        <v>0</v>
      </c>
    </row>
    <row r="5062" spans="1:9" x14ac:dyDescent="0.2">
      <c r="A5062" t="str">
        <f t="shared" si="326"/>
        <v>40422Haapiti6140Autres</v>
      </c>
      <c r="B5062" s="1">
        <v>40422</v>
      </c>
      <c r="C5062" t="s">
        <v>25</v>
      </c>
      <c r="D5062" s="19">
        <v>6</v>
      </c>
      <c r="E5062">
        <v>140</v>
      </c>
      <c r="F5062" t="s">
        <v>14</v>
      </c>
      <c r="H5062">
        <v>0</v>
      </c>
    </row>
    <row r="5063" spans="1:9" x14ac:dyDescent="0.2">
      <c r="A5063" t="str">
        <f t="shared" si="326"/>
        <v>40422Haapiti12141Autres</v>
      </c>
      <c r="B5063" s="1">
        <v>40422</v>
      </c>
      <c r="C5063" t="s">
        <v>25</v>
      </c>
      <c r="D5063" s="19">
        <v>12</v>
      </c>
      <c r="E5063">
        <v>141</v>
      </c>
      <c r="F5063" t="s">
        <v>14</v>
      </c>
      <c r="H5063">
        <v>0</v>
      </c>
    </row>
    <row r="5064" spans="1:9" x14ac:dyDescent="0.2">
      <c r="A5064" t="str">
        <f t="shared" si="326"/>
        <v>40422Haapiti12142Autres</v>
      </c>
      <c r="B5064" s="1">
        <v>40422</v>
      </c>
      <c r="C5064" t="s">
        <v>25</v>
      </c>
      <c r="D5064" s="19">
        <v>12</v>
      </c>
      <c r="E5064">
        <v>142</v>
      </c>
      <c r="F5064" t="s">
        <v>14</v>
      </c>
      <c r="H5064">
        <v>0</v>
      </c>
    </row>
    <row r="5065" spans="1:9" x14ac:dyDescent="0.2">
      <c r="A5065" t="str">
        <f t="shared" si="326"/>
        <v>40422Haapiti12143Autres</v>
      </c>
      <c r="B5065" s="1">
        <v>40422</v>
      </c>
      <c r="C5065" t="s">
        <v>25</v>
      </c>
      <c r="D5065" s="19">
        <v>12</v>
      </c>
      <c r="E5065">
        <v>143</v>
      </c>
      <c r="F5065" t="s">
        <v>14</v>
      </c>
      <c r="H5065">
        <v>0</v>
      </c>
    </row>
    <row r="5066" spans="1:9" x14ac:dyDescent="0.2">
      <c r="A5066" t="str">
        <f t="shared" si="326"/>
        <v>40422Haapiti12144Autres</v>
      </c>
      <c r="B5066" s="1">
        <v>40422</v>
      </c>
      <c r="C5066" t="s">
        <v>25</v>
      </c>
      <c r="D5066" s="19">
        <v>12</v>
      </c>
      <c r="E5066">
        <v>144</v>
      </c>
      <c r="F5066" t="s">
        <v>14</v>
      </c>
      <c r="H5066">
        <v>0</v>
      </c>
    </row>
    <row r="5067" spans="1:9" x14ac:dyDescent="0.2">
      <c r="A5067" t="str">
        <f t="shared" si="326"/>
        <v>40422Haapiti12145Autres</v>
      </c>
      <c r="B5067" s="1">
        <v>40422</v>
      </c>
      <c r="C5067" t="s">
        <v>25</v>
      </c>
      <c r="D5067" s="19">
        <v>12</v>
      </c>
      <c r="E5067">
        <v>145</v>
      </c>
      <c r="F5067" t="s">
        <v>14</v>
      </c>
      <c r="H5067">
        <v>0</v>
      </c>
    </row>
    <row r="5068" spans="1:9" x14ac:dyDescent="0.2">
      <c r="A5068" t="str">
        <f t="shared" si="326"/>
        <v>40422Haapiti12146Autres</v>
      </c>
      <c r="B5068" s="1">
        <v>40422</v>
      </c>
      <c r="C5068" t="s">
        <v>25</v>
      </c>
      <c r="D5068" s="19">
        <v>12</v>
      </c>
      <c r="E5068">
        <v>146</v>
      </c>
      <c r="F5068" t="s">
        <v>14</v>
      </c>
      <c r="H5068">
        <v>0</v>
      </c>
    </row>
    <row r="5069" spans="1:9" x14ac:dyDescent="0.2">
      <c r="A5069" t="str">
        <f t="shared" si="326"/>
        <v>40422Haapiti12147Autres</v>
      </c>
      <c r="B5069" s="1">
        <v>40422</v>
      </c>
      <c r="C5069" t="s">
        <v>25</v>
      </c>
      <c r="D5069" s="19">
        <v>12</v>
      </c>
      <c r="E5069">
        <v>147</v>
      </c>
      <c r="F5069" t="s">
        <v>14</v>
      </c>
      <c r="H5069">
        <v>0</v>
      </c>
    </row>
    <row r="5070" spans="1:9" x14ac:dyDescent="0.2">
      <c r="A5070" t="str">
        <f t="shared" si="326"/>
        <v>40422Haapiti12148Autres</v>
      </c>
      <c r="B5070" s="1">
        <v>40422</v>
      </c>
      <c r="C5070" t="s">
        <v>25</v>
      </c>
      <c r="D5070" s="19">
        <v>12</v>
      </c>
      <c r="E5070">
        <v>148</v>
      </c>
      <c r="F5070" t="s">
        <v>14</v>
      </c>
      <c r="H5070">
        <v>0</v>
      </c>
    </row>
    <row r="5071" spans="1:9" x14ac:dyDescent="0.2">
      <c r="A5071" t="str">
        <f t="shared" si="326"/>
        <v>40422Haapiti12149Autres</v>
      </c>
      <c r="B5071" s="1">
        <v>40422</v>
      </c>
      <c r="C5071" t="s">
        <v>25</v>
      </c>
      <c r="D5071" s="19">
        <v>12</v>
      </c>
      <c r="E5071">
        <v>149</v>
      </c>
      <c r="F5071" t="s">
        <v>14</v>
      </c>
      <c r="H5071">
        <v>0</v>
      </c>
    </row>
    <row r="5072" spans="1:9" x14ac:dyDescent="0.2">
      <c r="A5072" t="str">
        <f t="shared" si="326"/>
        <v>40422Haapiti12150Autres</v>
      </c>
      <c r="B5072" s="1">
        <v>40422</v>
      </c>
      <c r="C5072" t="s">
        <v>25</v>
      </c>
      <c r="D5072" s="19">
        <v>12</v>
      </c>
      <c r="E5072">
        <v>150</v>
      </c>
      <c r="F5072" t="s">
        <v>14</v>
      </c>
      <c r="H5072">
        <v>0</v>
      </c>
    </row>
    <row r="5073" spans="1:8" x14ac:dyDescent="0.2">
      <c r="A5073" t="str">
        <f t="shared" si="326"/>
        <v>40422Haapiti12151Autres</v>
      </c>
      <c r="B5073" s="1">
        <v>40422</v>
      </c>
      <c r="C5073" t="s">
        <v>25</v>
      </c>
      <c r="D5073" s="19">
        <v>12</v>
      </c>
      <c r="E5073">
        <v>151</v>
      </c>
      <c r="F5073" t="s">
        <v>14</v>
      </c>
      <c r="H5073">
        <v>0</v>
      </c>
    </row>
    <row r="5074" spans="1:8" x14ac:dyDescent="0.2">
      <c r="A5074" t="str">
        <f t="shared" si="326"/>
        <v>40422Haapiti12152Autres</v>
      </c>
      <c r="B5074" s="1">
        <v>40422</v>
      </c>
      <c r="C5074" t="s">
        <v>25</v>
      </c>
      <c r="D5074" s="19">
        <v>12</v>
      </c>
      <c r="E5074">
        <v>152</v>
      </c>
      <c r="F5074" t="s">
        <v>14</v>
      </c>
      <c r="H5074">
        <v>0</v>
      </c>
    </row>
    <row r="5075" spans="1:8" x14ac:dyDescent="0.2">
      <c r="A5075" t="str">
        <f t="shared" si="326"/>
        <v>40422Haapiti12153Autres</v>
      </c>
      <c r="B5075" s="1">
        <v>40422</v>
      </c>
      <c r="C5075" t="s">
        <v>25</v>
      </c>
      <c r="D5075" s="19">
        <v>12</v>
      </c>
      <c r="E5075">
        <v>153</v>
      </c>
      <c r="F5075" t="s">
        <v>14</v>
      </c>
      <c r="H5075">
        <v>0</v>
      </c>
    </row>
    <row r="5076" spans="1:8" x14ac:dyDescent="0.2">
      <c r="A5076" t="str">
        <f t="shared" si="326"/>
        <v>40422Haapiti12154Autres</v>
      </c>
      <c r="B5076" s="1">
        <v>40422</v>
      </c>
      <c r="C5076" t="s">
        <v>25</v>
      </c>
      <c r="D5076" s="19">
        <v>12</v>
      </c>
      <c r="E5076">
        <v>154</v>
      </c>
      <c r="F5076" t="s">
        <v>14</v>
      </c>
      <c r="H5076">
        <v>0</v>
      </c>
    </row>
    <row r="5077" spans="1:8" x14ac:dyDescent="0.2">
      <c r="A5077" t="str">
        <f t="shared" si="326"/>
        <v>40422Haapiti12155Autres</v>
      </c>
      <c r="B5077" s="1">
        <v>40422</v>
      </c>
      <c r="C5077" t="s">
        <v>25</v>
      </c>
      <c r="D5077" s="19">
        <v>12</v>
      </c>
      <c r="E5077">
        <v>155</v>
      </c>
      <c r="F5077" t="s">
        <v>14</v>
      </c>
      <c r="H5077">
        <v>0</v>
      </c>
    </row>
    <row r="5078" spans="1:8" x14ac:dyDescent="0.2">
      <c r="A5078" t="str">
        <f t="shared" si="326"/>
        <v>40422Haapiti12156Autres</v>
      </c>
      <c r="B5078" s="1">
        <v>40422</v>
      </c>
      <c r="C5078" t="s">
        <v>25</v>
      </c>
      <c r="D5078" s="19">
        <v>12</v>
      </c>
      <c r="E5078">
        <v>156</v>
      </c>
      <c r="F5078" t="s">
        <v>14</v>
      </c>
      <c r="H5078">
        <v>0</v>
      </c>
    </row>
    <row r="5079" spans="1:8" x14ac:dyDescent="0.2">
      <c r="A5079" t="str">
        <f t="shared" si="326"/>
        <v>40422Haapiti12157Autres</v>
      </c>
      <c r="B5079" s="1">
        <v>40422</v>
      </c>
      <c r="C5079" t="s">
        <v>25</v>
      </c>
      <c r="D5079" s="19">
        <v>12</v>
      </c>
      <c r="E5079">
        <v>157</v>
      </c>
      <c r="F5079" t="s">
        <v>14</v>
      </c>
      <c r="H5079">
        <v>0</v>
      </c>
    </row>
    <row r="5080" spans="1:8" x14ac:dyDescent="0.2">
      <c r="A5080" t="str">
        <f t="shared" si="326"/>
        <v>40422Haapiti12158Autres</v>
      </c>
      <c r="B5080" s="1">
        <v>40422</v>
      </c>
      <c r="C5080" t="s">
        <v>25</v>
      </c>
      <c r="D5080" s="19">
        <v>12</v>
      </c>
      <c r="E5080">
        <v>158</v>
      </c>
      <c r="F5080" t="s">
        <v>14</v>
      </c>
      <c r="H5080">
        <v>0</v>
      </c>
    </row>
    <row r="5081" spans="1:8" x14ac:dyDescent="0.2">
      <c r="A5081" t="str">
        <f t="shared" si="326"/>
        <v>40422Haapiti12159Autres</v>
      </c>
      <c r="B5081" s="1">
        <v>40422</v>
      </c>
      <c r="C5081" t="s">
        <v>25</v>
      </c>
      <c r="D5081" s="19">
        <v>12</v>
      </c>
      <c r="E5081">
        <v>159</v>
      </c>
      <c r="F5081" t="s">
        <v>14</v>
      </c>
      <c r="H5081">
        <v>0</v>
      </c>
    </row>
    <row r="5082" spans="1:8" x14ac:dyDescent="0.2">
      <c r="A5082" t="str">
        <f t="shared" si="326"/>
        <v>40422Haapiti12160Autres</v>
      </c>
      <c r="B5082" s="1">
        <v>40422</v>
      </c>
      <c r="C5082" t="s">
        <v>25</v>
      </c>
      <c r="D5082" s="19">
        <v>12</v>
      </c>
      <c r="E5082">
        <v>160</v>
      </c>
      <c r="F5082" t="s">
        <v>14</v>
      </c>
      <c r="H5082">
        <v>0</v>
      </c>
    </row>
    <row r="5083" spans="1:8" x14ac:dyDescent="0.2">
      <c r="A5083" t="str">
        <f t="shared" si="326"/>
        <v>40422Haapiti18161Autres</v>
      </c>
      <c r="B5083" s="1">
        <v>40422</v>
      </c>
      <c r="C5083" t="s">
        <v>25</v>
      </c>
      <c r="D5083" s="19">
        <v>18</v>
      </c>
      <c r="E5083">
        <v>161</v>
      </c>
      <c r="F5083" t="s">
        <v>14</v>
      </c>
      <c r="H5083">
        <v>0</v>
      </c>
    </row>
    <row r="5084" spans="1:8" x14ac:dyDescent="0.2">
      <c r="A5084" t="str">
        <f t="shared" si="326"/>
        <v>40422Haapiti18162Autres</v>
      </c>
      <c r="B5084" s="1">
        <v>40422</v>
      </c>
      <c r="C5084" t="s">
        <v>25</v>
      </c>
      <c r="D5084" s="19">
        <v>18</v>
      </c>
      <c r="E5084">
        <v>162</v>
      </c>
      <c r="F5084" t="s">
        <v>14</v>
      </c>
      <c r="H5084">
        <v>0</v>
      </c>
    </row>
    <row r="5085" spans="1:8" x14ac:dyDescent="0.2">
      <c r="A5085" t="str">
        <f t="shared" si="326"/>
        <v>40422Haapiti18163Autres</v>
      </c>
      <c r="B5085" s="1">
        <v>40422</v>
      </c>
      <c r="C5085" t="s">
        <v>25</v>
      </c>
      <c r="D5085" s="19">
        <v>18</v>
      </c>
      <c r="E5085">
        <v>163</v>
      </c>
      <c r="F5085" t="s">
        <v>14</v>
      </c>
      <c r="H5085">
        <v>0</v>
      </c>
    </row>
    <row r="5086" spans="1:8" x14ac:dyDescent="0.2">
      <c r="A5086" t="str">
        <f t="shared" si="326"/>
        <v>40422Haapiti18164Autres</v>
      </c>
      <c r="B5086" s="1">
        <v>40422</v>
      </c>
      <c r="C5086" t="s">
        <v>25</v>
      </c>
      <c r="D5086" s="19">
        <v>18</v>
      </c>
      <c r="E5086">
        <v>164</v>
      </c>
      <c r="F5086" t="s">
        <v>14</v>
      </c>
      <c r="H5086">
        <v>0</v>
      </c>
    </row>
    <row r="5087" spans="1:8" x14ac:dyDescent="0.2">
      <c r="A5087" t="str">
        <f t="shared" si="326"/>
        <v>40422Haapiti18165Autres</v>
      </c>
      <c r="B5087" s="1">
        <v>40422</v>
      </c>
      <c r="C5087" t="s">
        <v>25</v>
      </c>
      <c r="D5087" s="19">
        <v>18</v>
      </c>
      <c r="E5087">
        <v>165</v>
      </c>
      <c r="F5087" t="s">
        <v>14</v>
      </c>
      <c r="H5087">
        <v>0</v>
      </c>
    </row>
    <row r="5088" spans="1:8" x14ac:dyDescent="0.2">
      <c r="A5088" t="str">
        <f t="shared" si="326"/>
        <v>40422Haapiti18166Autres</v>
      </c>
      <c r="B5088" s="1">
        <v>40422</v>
      </c>
      <c r="C5088" t="s">
        <v>25</v>
      </c>
      <c r="D5088" s="19">
        <v>18</v>
      </c>
      <c r="E5088">
        <v>166</v>
      </c>
      <c r="F5088" t="s">
        <v>14</v>
      </c>
      <c r="H5088">
        <v>0</v>
      </c>
    </row>
    <row r="5089" spans="1:9" x14ac:dyDescent="0.2">
      <c r="A5089" t="str">
        <f t="shared" si="326"/>
        <v>40422Haapiti18167Autres</v>
      </c>
      <c r="B5089" s="1">
        <v>40422</v>
      </c>
      <c r="C5089" t="s">
        <v>25</v>
      </c>
      <c r="D5089" s="19">
        <v>18</v>
      </c>
      <c r="E5089">
        <v>167</v>
      </c>
      <c r="F5089" t="s">
        <v>14</v>
      </c>
      <c r="H5089">
        <v>0</v>
      </c>
    </row>
    <row r="5090" spans="1:9" x14ac:dyDescent="0.2">
      <c r="A5090" t="str">
        <f t="shared" si="326"/>
        <v>40422Haapiti18168Autres</v>
      </c>
      <c r="B5090" s="1">
        <v>40422</v>
      </c>
      <c r="C5090" t="s">
        <v>25</v>
      </c>
      <c r="D5090" s="19">
        <v>18</v>
      </c>
      <c r="E5090">
        <v>168</v>
      </c>
      <c r="F5090" t="s">
        <v>14</v>
      </c>
      <c r="H5090">
        <v>0</v>
      </c>
    </row>
    <row r="5091" spans="1:9" x14ac:dyDescent="0.2">
      <c r="A5091" t="str">
        <f t="shared" si="326"/>
        <v>40422Haapiti18169Autres</v>
      </c>
      <c r="B5091" s="1">
        <v>40422</v>
      </c>
      <c r="C5091" t="s">
        <v>25</v>
      </c>
      <c r="D5091" s="19">
        <v>18</v>
      </c>
      <c r="E5091">
        <v>169</v>
      </c>
      <c r="F5091" t="s">
        <v>14</v>
      </c>
      <c r="H5091">
        <v>0</v>
      </c>
    </row>
    <row r="5092" spans="1:9" x14ac:dyDescent="0.2">
      <c r="A5092" t="str">
        <f t="shared" si="326"/>
        <v>40422Haapiti18170PocilloporidaeDessus</v>
      </c>
      <c r="B5092" s="1">
        <v>40422</v>
      </c>
      <c r="C5092" t="s">
        <v>25</v>
      </c>
      <c r="D5092" s="19">
        <v>18</v>
      </c>
      <c r="E5092">
        <v>170</v>
      </c>
      <c r="F5092" t="s">
        <v>10</v>
      </c>
      <c r="G5092" t="s">
        <v>11</v>
      </c>
      <c r="H5092">
        <v>1</v>
      </c>
      <c r="I5092" t="s">
        <v>27</v>
      </c>
    </row>
    <row r="5093" spans="1:9" x14ac:dyDescent="0.2">
      <c r="A5093" t="str">
        <f t="shared" si="326"/>
        <v>40422Haapiti18171Autres</v>
      </c>
      <c r="B5093" s="1">
        <v>40422</v>
      </c>
      <c r="C5093" t="s">
        <v>25</v>
      </c>
      <c r="D5093" s="19">
        <v>18</v>
      </c>
      <c r="E5093">
        <v>171</v>
      </c>
      <c r="F5093" t="s">
        <v>14</v>
      </c>
      <c r="H5093">
        <v>0</v>
      </c>
    </row>
    <row r="5094" spans="1:9" x14ac:dyDescent="0.2">
      <c r="A5094" t="str">
        <f t="shared" si="326"/>
        <v>40422Haapiti18172Autres</v>
      </c>
      <c r="B5094" s="1">
        <v>40422</v>
      </c>
      <c r="C5094" t="s">
        <v>25</v>
      </c>
      <c r="D5094" s="19">
        <v>18</v>
      </c>
      <c r="E5094">
        <v>172</v>
      </c>
      <c r="F5094" t="s">
        <v>14</v>
      </c>
      <c r="H5094">
        <v>0</v>
      </c>
    </row>
    <row r="5095" spans="1:9" x14ac:dyDescent="0.2">
      <c r="A5095" t="str">
        <f t="shared" si="326"/>
        <v>40422Haapiti18173Autres</v>
      </c>
      <c r="B5095" s="1">
        <v>40422</v>
      </c>
      <c r="C5095" t="s">
        <v>25</v>
      </c>
      <c r="D5095" s="19">
        <v>18</v>
      </c>
      <c r="E5095">
        <v>173</v>
      </c>
      <c r="F5095" t="s">
        <v>14</v>
      </c>
      <c r="H5095">
        <v>0</v>
      </c>
    </row>
    <row r="5096" spans="1:9" x14ac:dyDescent="0.2">
      <c r="A5096" t="str">
        <f t="shared" si="326"/>
        <v>40422Haapiti18174Autres</v>
      </c>
      <c r="B5096" s="1">
        <v>40422</v>
      </c>
      <c r="C5096" t="s">
        <v>25</v>
      </c>
      <c r="D5096" s="19">
        <v>18</v>
      </c>
      <c r="E5096">
        <v>174</v>
      </c>
      <c r="F5096" t="s">
        <v>14</v>
      </c>
      <c r="H5096">
        <v>0</v>
      </c>
    </row>
    <row r="5097" spans="1:9" x14ac:dyDescent="0.2">
      <c r="A5097" t="str">
        <f t="shared" si="326"/>
        <v>40422Haapiti18175Autres</v>
      </c>
      <c r="B5097" s="1">
        <v>40422</v>
      </c>
      <c r="C5097" t="s">
        <v>25</v>
      </c>
      <c r="D5097" s="19">
        <v>18</v>
      </c>
      <c r="E5097">
        <v>175</v>
      </c>
      <c r="F5097" t="s">
        <v>14</v>
      </c>
      <c r="H5097">
        <v>0</v>
      </c>
    </row>
    <row r="5098" spans="1:9" x14ac:dyDescent="0.2">
      <c r="A5098" t="str">
        <f t="shared" si="326"/>
        <v>40422Haapiti18176Autres</v>
      </c>
      <c r="B5098" s="1">
        <v>40422</v>
      </c>
      <c r="C5098" t="s">
        <v>25</v>
      </c>
      <c r="D5098" s="19">
        <v>18</v>
      </c>
      <c r="E5098">
        <v>176</v>
      </c>
      <c r="F5098" t="s">
        <v>14</v>
      </c>
      <c r="H5098">
        <v>0</v>
      </c>
    </row>
    <row r="5099" spans="1:9" x14ac:dyDescent="0.2">
      <c r="A5099" t="str">
        <f t="shared" si="326"/>
        <v>40422Haapiti18177Autres</v>
      </c>
      <c r="B5099" s="1">
        <v>40422</v>
      </c>
      <c r="C5099" t="s">
        <v>25</v>
      </c>
      <c r="D5099" s="19">
        <v>18</v>
      </c>
      <c r="E5099">
        <v>177</v>
      </c>
      <c r="F5099" t="s">
        <v>14</v>
      </c>
      <c r="H5099">
        <v>0</v>
      </c>
    </row>
    <row r="5100" spans="1:9" x14ac:dyDescent="0.2">
      <c r="A5100" t="str">
        <f t="shared" si="326"/>
        <v>40422Haapiti18178Autres</v>
      </c>
      <c r="B5100" s="1">
        <v>40422</v>
      </c>
      <c r="C5100" t="s">
        <v>25</v>
      </c>
      <c r="D5100" s="19">
        <v>18</v>
      </c>
      <c r="E5100">
        <v>178</v>
      </c>
      <c r="F5100" t="s">
        <v>14</v>
      </c>
      <c r="H5100">
        <v>0</v>
      </c>
    </row>
    <row r="5101" spans="1:9" x14ac:dyDescent="0.2">
      <c r="A5101" t="str">
        <f t="shared" si="326"/>
        <v>40422Haapiti18179Autres</v>
      </c>
      <c r="B5101" s="1">
        <v>40422</v>
      </c>
      <c r="C5101" t="s">
        <v>25</v>
      </c>
      <c r="D5101" s="19">
        <v>18</v>
      </c>
      <c r="E5101">
        <v>179</v>
      </c>
      <c r="F5101" t="s">
        <v>14</v>
      </c>
      <c r="H5101">
        <v>0</v>
      </c>
    </row>
    <row r="5102" spans="1:9" x14ac:dyDescent="0.2">
      <c r="A5102" t="str">
        <f t="shared" si="326"/>
        <v>40422Haapiti18180Autres</v>
      </c>
      <c r="B5102" s="1">
        <v>40422</v>
      </c>
      <c r="C5102" t="s">
        <v>25</v>
      </c>
      <c r="D5102" s="19">
        <v>18</v>
      </c>
      <c r="E5102">
        <v>180</v>
      </c>
      <c r="F5102" t="s">
        <v>14</v>
      </c>
      <c r="H5102">
        <v>0</v>
      </c>
    </row>
    <row r="5103" spans="1:9" x14ac:dyDescent="0.2">
      <c r="A5103" t="str">
        <f t="shared" si="326"/>
        <v>40513Vaipahu61CassésDessus</v>
      </c>
      <c r="B5103" s="1">
        <v>40513</v>
      </c>
      <c r="C5103" t="s">
        <v>23</v>
      </c>
      <c r="D5103" s="19">
        <v>6</v>
      </c>
      <c r="E5103">
        <v>1</v>
      </c>
      <c r="F5103" t="s">
        <v>12</v>
      </c>
      <c r="G5103" t="s">
        <v>11</v>
      </c>
      <c r="H5103">
        <v>1</v>
      </c>
      <c r="I5103" t="s">
        <v>27</v>
      </c>
    </row>
    <row r="5104" spans="1:9" x14ac:dyDescent="0.2">
      <c r="A5104" t="str">
        <f t="shared" si="326"/>
        <v>40513Vaipahu61PocilloporidaeDessus</v>
      </c>
      <c r="B5104" s="1">
        <v>40513</v>
      </c>
      <c r="C5104" t="s">
        <v>23</v>
      </c>
      <c r="D5104" s="19">
        <v>6</v>
      </c>
      <c r="E5104">
        <v>1</v>
      </c>
      <c r="F5104" t="s">
        <v>10</v>
      </c>
      <c r="G5104" t="s">
        <v>11</v>
      </c>
      <c r="H5104">
        <v>3</v>
      </c>
      <c r="I5104" t="s">
        <v>27</v>
      </c>
    </row>
    <row r="5105" spans="1:9" x14ac:dyDescent="0.2">
      <c r="A5105" t="str">
        <f t="shared" si="326"/>
        <v>40513Vaipahu62PocilloporidaeBords</v>
      </c>
      <c r="B5105" s="1">
        <v>40513</v>
      </c>
      <c r="C5105" t="s">
        <v>23</v>
      </c>
      <c r="D5105" s="19">
        <v>6</v>
      </c>
      <c r="E5105">
        <v>2</v>
      </c>
      <c r="F5105" t="s">
        <v>10</v>
      </c>
      <c r="G5105" t="s">
        <v>13</v>
      </c>
      <c r="H5105">
        <v>1</v>
      </c>
      <c r="I5105" t="s">
        <v>27</v>
      </c>
    </row>
    <row r="5106" spans="1:9" x14ac:dyDescent="0.2">
      <c r="A5106" t="str">
        <f t="shared" si="326"/>
        <v>40513Vaipahu62PocilloporidaeDessous</v>
      </c>
      <c r="B5106" s="1">
        <v>40513</v>
      </c>
      <c r="C5106" t="s">
        <v>23</v>
      </c>
      <c r="D5106" s="19">
        <v>6</v>
      </c>
      <c r="E5106">
        <v>2</v>
      </c>
      <c r="F5106" t="s">
        <v>10</v>
      </c>
      <c r="G5106" t="s">
        <v>8</v>
      </c>
      <c r="H5106">
        <v>1</v>
      </c>
      <c r="I5106" t="s">
        <v>27</v>
      </c>
    </row>
    <row r="5107" spans="1:9" x14ac:dyDescent="0.2">
      <c r="A5107" t="str">
        <f t="shared" si="326"/>
        <v>40513Vaipahu62PocilloporidaeDessus</v>
      </c>
      <c r="B5107" s="1">
        <v>40513</v>
      </c>
      <c r="C5107" t="s">
        <v>23</v>
      </c>
      <c r="D5107" s="19">
        <v>6</v>
      </c>
      <c r="E5107">
        <v>2</v>
      </c>
      <c r="F5107" t="s">
        <v>10</v>
      </c>
      <c r="G5107" t="s">
        <v>11</v>
      </c>
      <c r="H5107">
        <v>1</v>
      </c>
      <c r="I5107" t="s">
        <v>27</v>
      </c>
    </row>
    <row r="5108" spans="1:9" x14ac:dyDescent="0.2">
      <c r="A5108" t="str">
        <f t="shared" si="326"/>
        <v>40513Vaipahu63PocilloporidaeBords</v>
      </c>
      <c r="B5108" s="1">
        <v>40513</v>
      </c>
      <c r="C5108" t="s">
        <v>23</v>
      </c>
      <c r="D5108" s="19">
        <v>6</v>
      </c>
      <c r="E5108">
        <v>3</v>
      </c>
      <c r="F5108" t="s">
        <v>10</v>
      </c>
      <c r="G5108" t="s">
        <v>13</v>
      </c>
      <c r="H5108">
        <v>2</v>
      </c>
      <c r="I5108" t="s">
        <v>27</v>
      </c>
    </row>
    <row r="5109" spans="1:9" x14ac:dyDescent="0.2">
      <c r="A5109" t="str">
        <f t="shared" si="326"/>
        <v>40513Vaipahu63PocilloporidaeDessous</v>
      </c>
      <c r="B5109" s="1">
        <v>40513</v>
      </c>
      <c r="C5109" t="s">
        <v>23</v>
      </c>
      <c r="D5109" s="19">
        <v>6</v>
      </c>
      <c r="E5109">
        <v>3</v>
      </c>
      <c r="F5109" t="s">
        <v>10</v>
      </c>
      <c r="G5109" t="s">
        <v>8</v>
      </c>
      <c r="H5109">
        <v>2</v>
      </c>
      <c r="I5109" t="s">
        <v>27</v>
      </c>
    </row>
    <row r="5110" spans="1:9" x14ac:dyDescent="0.2">
      <c r="A5110" t="str">
        <f t="shared" si="326"/>
        <v>40513Vaipahu63PocilloporidaeDessus</v>
      </c>
      <c r="B5110" s="1">
        <v>40513</v>
      </c>
      <c r="C5110" t="s">
        <v>23</v>
      </c>
      <c r="D5110" s="19">
        <v>6</v>
      </c>
      <c r="E5110">
        <v>3</v>
      </c>
      <c r="F5110" t="s">
        <v>10</v>
      </c>
      <c r="G5110" t="s">
        <v>11</v>
      </c>
      <c r="H5110">
        <v>1</v>
      </c>
      <c r="I5110" t="s">
        <v>27</v>
      </c>
    </row>
    <row r="5111" spans="1:9" x14ac:dyDescent="0.2">
      <c r="A5111" t="str">
        <f t="shared" si="326"/>
        <v>40513Vaipahu63PoritidaeDessus</v>
      </c>
      <c r="B5111" s="1">
        <v>40513</v>
      </c>
      <c r="C5111" t="s">
        <v>23</v>
      </c>
      <c r="D5111" s="19">
        <v>6</v>
      </c>
      <c r="E5111">
        <v>3</v>
      </c>
      <c r="F5111" t="s">
        <v>7</v>
      </c>
      <c r="G5111" t="s">
        <v>11</v>
      </c>
      <c r="H5111">
        <v>2</v>
      </c>
      <c r="I5111" t="s">
        <v>27</v>
      </c>
    </row>
    <row r="5112" spans="1:9" x14ac:dyDescent="0.2">
      <c r="A5112" t="str">
        <f t="shared" si="326"/>
        <v>40513Vaipahu64PocilloporidaeDessus</v>
      </c>
      <c r="B5112" s="1">
        <v>40513</v>
      </c>
      <c r="C5112" t="s">
        <v>23</v>
      </c>
      <c r="D5112" s="19">
        <v>6</v>
      </c>
      <c r="E5112">
        <v>4</v>
      </c>
      <c r="F5112" t="s">
        <v>10</v>
      </c>
      <c r="G5112" t="s">
        <v>11</v>
      </c>
      <c r="H5112">
        <v>2</v>
      </c>
      <c r="I5112" t="s">
        <v>27</v>
      </c>
    </row>
    <row r="5113" spans="1:9" x14ac:dyDescent="0.2">
      <c r="A5113" t="str">
        <f t="shared" si="326"/>
        <v>40513Vaipahu65PocilloporidaeBords</v>
      </c>
      <c r="B5113" s="1">
        <v>40513</v>
      </c>
      <c r="C5113" t="s">
        <v>23</v>
      </c>
      <c r="D5113" s="19">
        <v>6</v>
      </c>
      <c r="E5113">
        <v>5</v>
      </c>
      <c r="F5113" t="s">
        <v>10</v>
      </c>
      <c r="G5113" t="s">
        <v>13</v>
      </c>
      <c r="H5113">
        <v>1</v>
      </c>
      <c r="I5113" t="s">
        <v>27</v>
      </c>
    </row>
    <row r="5114" spans="1:9" x14ac:dyDescent="0.2">
      <c r="A5114" t="str">
        <f t="shared" si="326"/>
        <v>40513Vaipahu65PocilloporidaeDessus</v>
      </c>
      <c r="B5114" s="1">
        <v>40513</v>
      </c>
      <c r="C5114" t="s">
        <v>23</v>
      </c>
      <c r="D5114" s="19">
        <v>6</v>
      </c>
      <c r="E5114">
        <v>5</v>
      </c>
      <c r="F5114" t="s">
        <v>10</v>
      </c>
      <c r="G5114" t="s">
        <v>11</v>
      </c>
      <c r="H5114">
        <v>2</v>
      </c>
      <c r="I5114" t="s">
        <v>27</v>
      </c>
    </row>
    <row r="5115" spans="1:9" x14ac:dyDescent="0.2">
      <c r="A5115" t="str">
        <f t="shared" si="326"/>
        <v>40513Vaipahu65PoritidaeDessus</v>
      </c>
      <c r="B5115" s="1">
        <v>40513</v>
      </c>
      <c r="C5115" t="s">
        <v>23</v>
      </c>
      <c r="D5115" s="19">
        <v>6</v>
      </c>
      <c r="E5115">
        <v>5</v>
      </c>
      <c r="F5115" t="s">
        <v>7</v>
      </c>
      <c r="G5115" t="s">
        <v>11</v>
      </c>
      <c r="H5115">
        <v>1</v>
      </c>
      <c r="I5115" t="s">
        <v>27</v>
      </c>
    </row>
    <row r="5116" spans="1:9" x14ac:dyDescent="0.2">
      <c r="A5116" t="str">
        <f t="shared" si="326"/>
        <v>40513Vaipahu66CassésDessous</v>
      </c>
      <c r="B5116" s="1">
        <v>40513</v>
      </c>
      <c r="C5116" t="s">
        <v>23</v>
      </c>
      <c r="D5116" s="19">
        <v>6</v>
      </c>
      <c r="E5116">
        <v>6</v>
      </c>
      <c r="F5116" t="s">
        <v>12</v>
      </c>
      <c r="G5116" t="s">
        <v>8</v>
      </c>
      <c r="H5116">
        <v>1</v>
      </c>
      <c r="I5116" t="s">
        <v>27</v>
      </c>
    </row>
    <row r="5117" spans="1:9" x14ac:dyDescent="0.2">
      <c r="A5117" t="str">
        <f t="shared" si="326"/>
        <v>40513Vaipahu66CassésDessus</v>
      </c>
      <c r="B5117" s="1">
        <v>40513</v>
      </c>
      <c r="C5117" t="s">
        <v>23</v>
      </c>
      <c r="D5117" s="19">
        <v>6</v>
      </c>
      <c r="E5117">
        <v>6</v>
      </c>
      <c r="F5117" t="s">
        <v>12</v>
      </c>
      <c r="G5117" t="s">
        <v>11</v>
      </c>
      <c r="H5117">
        <v>1</v>
      </c>
      <c r="I5117" t="s">
        <v>27</v>
      </c>
    </row>
    <row r="5118" spans="1:9" x14ac:dyDescent="0.2">
      <c r="A5118" t="str">
        <f t="shared" si="326"/>
        <v>40513Vaipahu66PocilloporidaeBords</v>
      </c>
      <c r="B5118" s="1">
        <v>40513</v>
      </c>
      <c r="C5118" t="s">
        <v>23</v>
      </c>
      <c r="D5118" s="19">
        <v>6</v>
      </c>
      <c r="E5118">
        <v>6</v>
      </c>
      <c r="F5118" t="s">
        <v>10</v>
      </c>
      <c r="G5118" t="s">
        <v>13</v>
      </c>
      <c r="H5118">
        <v>6</v>
      </c>
      <c r="I5118" t="s">
        <v>27</v>
      </c>
    </row>
    <row r="5119" spans="1:9" x14ac:dyDescent="0.2">
      <c r="A5119" t="str">
        <f t="shared" ref="A5119:A5182" si="327">B5119 &amp; C5119&amp; D5119&amp; E5119 &amp; F5119 &amp;G5119</f>
        <v>40513Vaipahu66PocilloporidaeDessous</v>
      </c>
      <c r="B5119" s="1">
        <v>40513</v>
      </c>
      <c r="C5119" t="s">
        <v>23</v>
      </c>
      <c r="D5119" s="19">
        <v>6</v>
      </c>
      <c r="E5119">
        <v>6</v>
      </c>
      <c r="F5119" t="s">
        <v>10</v>
      </c>
      <c r="G5119" t="s">
        <v>8</v>
      </c>
      <c r="H5119">
        <v>4</v>
      </c>
      <c r="I5119" t="s">
        <v>27</v>
      </c>
    </row>
    <row r="5120" spans="1:9" x14ac:dyDescent="0.2">
      <c r="A5120" t="str">
        <f t="shared" si="327"/>
        <v>40513Vaipahu66PocilloporidaeDessus</v>
      </c>
      <c r="B5120" s="1">
        <v>40513</v>
      </c>
      <c r="C5120" t="s">
        <v>23</v>
      </c>
      <c r="D5120" s="19">
        <v>6</v>
      </c>
      <c r="E5120">
        <v>6</v>
      </c>
      <c r="F5120" t="s">
        <v>10</v>
      </c>
      <c r="G5120" t="s">
        <v>11</v>
      </c>
      <c r="H5120">
        <v>4</v>
      </c>
      <c r="I5120" t="s">
        <v>27</v>
      </c>
    </row>
    <row r="5121" spans="1:9" x14ac:dyDescent="0.2">
      <c r="A5121" t="str">
        <f t="shared" si="327"/>
        <v>40513Vaipahu66PoritidaeDessus</v>
      </c>
      <c r="B5121" s="1">
        <v>40513</v>
      </c>
      <c r="C5121" t="s">
        <v>23</v>
      </c>
      <c r="D5121" s="19">
        <v>6</v>
      </c>
      <c r="E5121">
        <v>6</v>
      </c>
      <c r="F5121" t="s">
        <v>7</v>
      </c>
      <c r="G5121" t="s">
        <v>11</v>
      </c>
      <c r="H5121">
        <v>1</v>
      </c>
      <c r="I5121" t="s">
        <v>27</v>
      </c>
    </row>
    <row r="5122" spans="1:9" x14ac:dyDescent="0.2">
      <c r="A5122" t="str">
        <f t="shared" si="327"/>
        <v>40513Vaipahu67CassésBords</v>
      </c>
      <c r="B5122" s="1">
        <v>40513</v>
      </c>
      <c r="C5122" t="s">
        <v>23</v>
      </c>
      <c r="D5122" s="19">
        <v>6</v>
      </c>
      <c r="E5122">
        <v>7</v>
      </c>
      <c r="F5122" t="s">
        <v>12</v>
      </c>
      <c r="G5122" t="s">
        <v>13</v>
      </c>
      <c r="H5122">
        <v>1</v>
      </c>
      <c r="I5122" t="s">
        <v>27</v>
      </c>
    </row>
    <row r="5123" spans="1:9" x14ac:dyDescent="0.2">
      <c r="A5123" t="str">
        <f t="shared" si="327"/>
        <v>40513Vaipahu67PocilloporidaeBords</v>
      </c>
      <c r="B5123" s="1">
        <v>40513</v>
      </c>
      <c r="C5123" t="s">
        <v>23</v>
      </c>
      <c r="D5123" s="19">
        <v>6</v>
      </c>
      <c r="E5123">
        <v>7</v>
      </c>
      <c r="F5123" t="s">
        <v>10</v>
      </c>
      <c r="G5123" t="s">
        <v>13</v>
      </c>
      <c r="H5123">
        <v>4</v>
      </c>
      <c r="I5123" t="s">
        <v>27</v>
      </c>
    </row>
    <row r="5124" spans="1:9" x14ac:dyDescent="0.2">
      <c r="A5124" t="str">
        <f t="shared" si="327"/>
        <v>40513Vaipahu67PocilloporidaeDessous</v>
      </c>
      <c r="B5124" s="1">
        <v>40513</v>
      </c>
      <c r="C5124" t="s">
        <v>23</v>
      </c>
      <c r="D5124" s="19">
        <v>6</v>
      </c>
      <c r="E5124">
        <v>7</v>
      </c>
      <c r="F5124" t="s">
        <v>10</v>
      </c>
      <c r="G5124" t="s">
        <v>8</v>
      </c>
      <c r="H5124">
        <v>5</v>
      </c>
      <c r="I5124" t="s">
        <v>27</v>
      </c>
    </row>
    <row r="5125" spans="1:9" x14ac:dyDescent="0.2">
      <c r="A5125" t="str">
        <f t="shared" si="327"/>
        <v>40513Vaipahu67PocilloporidaeDessus</v>
      </c>
      <c r="B5125" s="1">
        <v>40513</v>
      </c>
      <c r="C5125" t="s">
        <v>23</v>
      </c>
      <c r="D5125" s="19">
        <v>6</v>
      </c>
      <c r="E5125">
        <v>7</v>
      </c>
      <c r="F5125" t="s">
        <v>10</v>
      </c>
      <c r="G5125" t="s">
        <v>11</v>
      </c>
      <c r="H5125">
        <v>1</v>
      </c>
      <c r="I5125" t="s">
        <v>27</v>
      </c>
    </row>
    <row r="5126" spans="1:9" x14ac:dyDescent="0.2">
      <c r="A5126" t="str">
        <f t="shared" si="327"/>
        <v>40513Vaipahu68PocilloporidaeDessus</v>
      </c>
      <c r="B5126" s="1">
        <v>40513</v>
      </c>
      <c r="C5126" t="s">
        <v>23</v>
      </c>
      <c r="D5126" s="19">
        <v>6</v>
      </c>
      <c r="E5126">
        <v>8</v>
      </c>
      <c r="F5126" t="s">
        <v>10</v>
      </c>
      <c r="G5126" t="s">
        <v>11</v>
      </c>
      <c r="H5126">
        <v>1</v>
      </c>
      <c r="I5126" t="s">
        <v>27</v>
      </c>
    </row>
    <row r="5127" spans="1:9" x14ac:dyDescent="0.2">
      <c r="A5127" t="str">
        <f t="shared" si="327"/>
        <v>40513Vaipahu69PocilloporidaeBords</v>
      </c>
      <c r="B5127" s="1">
        <v>40513</v>
      </c>
      <c r="C5127" t="s">
        <v>23</v>
      </c>
      <c r="D5127" s="19">
        <v>6</v>
      </c>
      <c r="E5127">
        <v>9</v>
      </c>
      <c r="F5127" t="s">
        <v>10</v>
      </c>
      <c r="G5127" t="s">
        <v>13</v>
      </c>
      <c r="H5127">
        <v>1</v>
      </c>
      <c r="I5127" t="s">
        <v>27</v>
      </c>
    </row>
    <row r="5128" spans="1:9" x14ac:dyDescent="0.2">
      <c r="A5128" t="str">
        <f t="shared" si="327"/>
        <v>40513Vaipahu69PocilloporidaeDessous</v>
      </c>
      <c r="B5128" s="1">
        <v>40513</v>
      </c>
      <c r="C5128" t="s">
        <v>23</v>
      </c>
      <c r="D5128" s="19">
        <v>6</v>
      </c>
      <c r="E5128">
        <v>9</v>
      </c>
      <c r="F5128" t="s">
        <v>10</v>
      </c>
      <c r="G5128" t="s">
        <v>8</v>
      </c>
      <c r="H5128">
        <v>10</v>
      </c>
      <c r="I5128" t="s">
        <v>27</v>
      </c>
    </row>
    <row r="5129" spans="1:9" x14ac:dyDescent="0.2">
      <c r="A5129" t="str">
        <f t="shared" si="327"/>
        <v>40513Vaipahu69PocilloporidaeDessus</v>
      </c>
      <c r="B5129" s="1">
        <v>40513</v>
      </c>
      <c r="C5129" t="s">
        <v>23</v>
      </c>
      <c r="D5129" s="19">
        <v>6</v>
      </c>
      <c r="E5129">
        <v>9</v>
      </c>
      <c r="F5129" t="s">
        <v>10</v>
      </c>
      <c r="G5129" t="s">
        <v>11</v>
      </c>
      <c r="H5129">
        <v>2</v>
      </c>
      <c r="I5129" t="s">
        <v>27</v>
      </c>
    </row>
    <row r="5130" spans="1:9" x14ac:dyDescent="0.2">
      <c r="A5130" t="str">
        <f t="shared" si="327"/>
        <v>40513Vaipahu610CassésDessus</v>
      </c>
      <c r="B5130" s="1">
        <v>40513</v>
      </c>
      <c r="C5130" t="s">
        <v>23</v>
      </c>
      <c r="D5130" s="19">
        <v>6</v>
      </c>
      <c r="E5130">
        <v>10</v>
      </c>
      <c r="F5130" t="s">
        <v>12</v>
      </c>
      <c r="G5130" t="s">
        <v>11</v>
      </c>
      <c r="H5130">
        <v>1</v>
      </c>
      <c r="I5130" t="s">
        <v>27</v>
      </c>
    </row>
    <row r="5131" spans="1:9" x14ac:dyDescent="0.2">
      <c r="A5131" t="str">
        <f t="shared" si="327"/>
        <v>40513Vaipahu610PocilloporidaeBords</v>
      </c>
      <c r="B5131" s="1">
        <v>40513</v>
      </c>
      <c r="C5131" t="s">
        <v>23</v>
      </c>
      <c r="D5131" s="19">
        <v>6</v>
      </c>
      <c r="E5131">
        <v>10</v>
      </c>
      <c r="F5131" t="s">
        <v>10</v>
      </c>
      <c r="G5131" t="s">
        <v>13</v>
      </c>
      <c r="H5131">
        <v>1</v>
      </c>
      <c r="I5131" t="s">
        <v>27</v>
      </c>
    </row>
    <row r="5132" spans="1:9" x14ac:dyDescent="0.2">
      <c r="A5132" t="str">
        <f t="shared" si="327"/>
        <v>40513Vaipahu610PocilloporidaeDessus</v>
      </c>
      <c r="B5132" s="1">
        <v>40513</v>
      </c>
      <c r="C5132" t="s">
        <v>23</v>
      </c>
      <c r="D5132" s="19">
        <v>6</v>
      </c>
      <c r="E5132">
        <v>10</v>
      </c>
      <c r="F5132" t="s">
        <v>10</v>
      </c>
      <c r="G5132" t="s">
        <v>11</v>
      </c>
      <c r="H5132">
        <v>3</v>
      </c>
      <c r="I5132" t="s">
        <v>27</v>
      </c>
    </row>
    <row r="5133" spans="1:9" x14ac:dyDescent="0.2">
      <c r="A5133" t="str">
        <f t="shared" si="327"/>
        <v>40513Vaipahu610PoritidaeDessus</v>
      </c>
      <c r="B5133" s="1">
        <v>40513</v>
      </c>
      <c r="C5133" t="s">
        <v>23</v>
      </c>
      <c r="D5133" s="19">
        <v>6</v>
      </c>
      <c r="E5133">
        <v>10</v>
      </c>
      <c r="F5133" t="s">
        <v>7</v>
      </c>
      <c r="G5133" t="s">
        <v>11</v>
      </c>
      <c r="H5133">
        <v>1</v>
      </c>
      <c r="I5133" t="s">
        <v>27</v>
      </c>
    </row>
    <row r="5134" spans="1:9" x14ac:dyDescent="0.2">
      <c r="A5134" t="str">
        <f t="shared" si="327"/>
        <v>40513Vaipahu611PocilloporidaeBords</v>
      </c>
      <c r="B5134" s="1">
        <v>40513</v>
      </c>
      <c r="C5134" t="s">
        <v>23</v>
      </c>
      <c r="D5134" s="19">
        <v>6</v>
      </c>
      <c r="E5134">
        <v>11</v>
      </c>
      <c r="F5134" t="s">
        <v>10</v>
      </c>
      <c r="G5134" t="s">
        <v>13</v>
      </c>
      <c r="H5134">
        <v>2</v>
      </c>
      <c r="I5134" t="s">
        <v>27</v>
      </c>
    </row>
    <row r="5135" spans="1:9" x14ac:dyDescent="0.2">
      <c r="A5135" t="str">
        <f t="shared" si="327"/>
        <v>40513Vaipahu611PocilloporidaeDessous</v>
      </c>
      <c r="B5135" s="1">
        <v>40513</v>
      </c>
      <c r="C5135" t="s">
        <v>23</v>
      </c>
      <c r="D5135" s="19">
        <v>6</v>
      </c>
      <c r="E5135">
        <v>11</v>
      </c>
      <c r="F5135" t="s">
        <v>10</v>
      </c>
      <c r="G5135" t="s">
        <v>8</v>
      </c>
      <c r="H5135">
        <v>3</v>
      </c>
      <c r="I5135" t="s">
        <v>27</v>
      </c>
    </row>
    <row r="5136" spans="1:9" x14ac:dyDescent="0.2">
      <c r="A5136" t="str">
        <f t="shared" si="327"/>
        <v>40513Vaipahu611PocilloporidaeDessus</v>
      </c>
      <c r="B5136" s="1">
        <v>40513</v>
      </c>
      <c r="C5136" t="s">
        <v>23</v>
      </c>
      <c r="D5136" s="19">
        <v>6</v>
      </c>
      <c r="E5136">
        <v>11</v>
      </c>
      <c r="F5136" t="s">
        <v>10</v>
      </c>
      <c r="G5136" t="s">
        <v>11</v>
      </c>
      <c r="H5136">
        <v>1</v>
      </c>
      <c r="I5136" t="s">
        <v>27</v>
      </c>
    </row>
    <row r="5137" spans="1:9" x14ac:dyDescent="0.2">
      <c r="A5137" t="str">
        <f t="shared" si="327"/>
        <v>40513Vaipahu611PoritidaeDessous</v>
      </c>
      <c r="B5137" s="1">
        <v>40513</v>
      </c>
      <c r="C5137" t="s">
        <v>23</v>
      </c>
      <c r="D5137" s="19">
        <v>6</v>
      </c>
      <c r="E5137">
        <v>11</v>
      </c>
      <c r="F5137" t="s">
        <v>7</v>
      </c>
      <c r="G5137" t="s">
        <v>8</v>
      </c>
      <c r="H5137">
        <v>1</v>
      </c>
      <c r="I5137" t="s">
        <v>27</v>
      </c>
    </row>
    <row r="5138" spans="1:9" x14ac:dyDescent="0.2">
      <c r="A5138" t="str">
        <f t="shared" si="327"/>
        <v>40513Vaipahu612PocilloporidaeBords</v>
      </c>
      <c r="B5138" s="1">
        <v>40513</v>
      </c>
      <c r="C5138" t="s">
        <v>23</v>
      </c>
      <c r="D5138" s="19">
        <v>6</v>
      </c>
      <c r="E5138">
        <v>12</v>
      </c>
      <c r="F5138" t="s">
        <v>10</v>
      </c>
      <c r="G5138" t="s">
        <v>13</v>
      </c>
      <c r="H5138">
        <v>1</v>
      </c>
      <c r="I5138" t="s">
        <v>27</v>
      </c>
    </row>
    <row r="5139" spans="1:9" x14ac:dyDescent="0.2">
      <c r="A5139" t="str">
        <f t="shared" si="327"/>
        <v>40513Vaipahu612PocilloporidaeDessous</v>
      </c>
      <c r="B5139" s="1">
        <v>40513</v>
      </c>
      <c r="C5139" t="s">
        <v>23</v>
      </c>
      <c r="D5139" s="19">
        <v>6</v>
      </c>
      <c r="E5139">
        <v>12</v>
      </c>
      <c r="F5139" t="s">
        <v>10</v>
      </c>
      <c r="G5139" t="s">
        <v>8</v>
      </c>
      <c r="H5139">
        <v>6</v>
      </c>
      <c r="I5139" t="s">
        <v>27</v>
      </c>
    </row>
    <row r="5140" spans="1:9" x14ac:dyDescent="0.2">
      <c r="A5140" t="str">
        <f t="shared" si="327"/>
        <v>40513Vaipahu612PocilloporidaeDessus</v>
      </c>
      <c r="B5140" s="1">
        <v>40513</v>
      </c>
      <c r="C5140" t="s">
        <v>23</v>
      </c>
      <c r="D5140" s="19">
        <v>6</v>
      </c>
      <c r="E5140">
        <v>12</v>
      </c>
      <c r="F5140" t="s">
        <v>10</v>
      </c>
      <c r="G5140" t="s">
        <v>11</v>
      </c>
      <c r="H5140">
        <v>1</v>
      </c>
      <c r="I5140" t="s">
        <v>27</v>
      </c>
    </row>
    <row r="5141" spans="1:9" x14ac:dyDescent="0.2">
      <c r="A5141" t="str">
        <f t="shared" si="327"/>
        <v>40513Vaipahu613PocilloporidaeBords</v>
      </c>
      <c r="B5141" s="1">
        <v>40513</v>
      </c>
      <c r="C5141" t="s">
        <v>23</v>
      </c>
      <c r="D5141" s="19">
        <v>6</v>
      </c>
      <c r="E5141">
        <v>13</v>
      </c>
      <c r="F5141" t="s">
        <v>10</v>
      </c>
      <c r="G5141" t="s">
        <v>13</v>
      </c>
      <c r="H5141">
        <v>2</v>
      </c>
      <c r="I5141" t="s">
        <v>27</v>
      </c>
    </row>
    <row r="5142" spans="1:9" x14ac:dyDescent="0.2">
      <c r="A5142" t="str">
        <f t="shared" si="327"/>
        <v>40513Vaipahu613PocilloporidaeDessous</v>
      </c>
      <c r="B5142" s="1">
        <v>40513</v>
      </c>
      <c r="C5142" t="s">
        <v>23</v>
      </c>
      <c r="D5142" s="19">
        <v>6</v>
      </c>
      <c r="E5142">
        <v>13</v>
      </c>
      <c r="F5142" t="s">
        <v>10</v>
      </c>
      <c r="G5142" t="s">
        <v>8</v>
      </c>
      <c r="H5142">
        <v>11</v>
      </c>
      <c r="I5142" t="s">
        <v>27</v>
      </c>
    </row>
    <row r="5143" spans="1:9" x14ac:dyDescent="0.2">
      <c r="A5143" t="str">
        <f t="shared" si="327"/>
        <v>40513Vaipahu613PocilloporidaeDessus</v>
      </c>
      <c r="B5143" s="1">
        <v>40513</v>
      </c>
      <c r="C5143" t="s">
        <v>23</v>
      </c>
      <c r="D5143" s="19">
        <v>6</v>
      </c>
      <c r="E5143">
        <v>13</v>
      </c>
      <c r="F5143" t="s">
        <v>10</v>
      </c>
      <c r="G5143" t="s">
        <v>11</v>
      </c>
      <c r="H5143">
        <v>1</v>
      </c>
      <c r="I5143" t="s">
        <v>27</v>
      </c>
    </row>
    <row r="5144" spans="1:9" x14ac:dyDescent="0.2">
      <c r="A5144" t="str">
        <f t="shared" si="327"/>
        <v>40513Vaipahu614CassésDessous</v>
      </c>
      <c r="B5144" s="1">
        <v>40513</v>
      </c>
      <c r="C5144" t="s">
        <v>23</v>
      </c>
      <c r="D5144" s="19">
        <v>6</v>
      </c>
      <c r="E5144">
        <v>14</v>
      </c>
      <c r="F5144" t="s">
        <v>12</v>
      </c>
      <c r="G5144" t="s">
        <v>8</v>
      </c>
      <c r="H5144">
        <v>2</v>
      </c>
      <c r="I5144" t="s">
        <v>27</v>
      </c>
    </row>
    <row r="5145" spans="1:9" x14ac:dyDescent="0.2">
      <c r="A5145" t="str">
        <f t="shared" si="327"/>
        <v>40513Vaipahu614PocilloporidaeBords</v>
      </c>
      <c r="B5145" s="1">
        <v>40513</v>
      </c>
      <c r="C5145" t="s">
        <v>23</v>
      </c>
      <c r="D5145" s="19">
        <v>6</v>
      </c>
      <c r="E5145">
        <v>14</v>
      </c>
      <c r="F5145" t="s">
        <v>10</v>
      </c>
      <c r="G5145" t="s">
        <v>13</v>
      </c>
      <c r="H5145">
        <v>2</v>
      </c>
      <c r="I5145" t="s">
        <v>27</v>
      </c>
    </row>
    <row r="5146" spans="1:9" x14ac:dyDescent="0.2">
      <c r="A5146" t="str">
        <f t="shared" si="327"/>
        <v>40513Vaipahu614PocilloporidaeDessous</v>
      </c>
      <c r="B5146" s="1">
        <v>40513</v>
      </c>
      <c r="C5146" t="s">
        <v>23</v>
      </c>
      <c r="D5146" s="19">
        <v>6</v>
      </c>
      <c r="E5146">
        <v>14</v>
      </c>
      <c r="F5146" t="s">
        <v>10</v>
      </c>
      <c r="G5146" t="s">
        <v>8</v>
      </c>
      <c r="H5146">
        <v>10</v>
      </c>
      <c r="I5146" t="s">
        <v>27</v>
      </c>
    </row>
    <row r="5147" spans="1:9" x14ac:dyDescent="0.2">
      <c r="A5147" t="str">
        <f t="shared" si="327"/>
        <v>40513Vaipahu614PocilloporidaeDessus</v>
      </c>
      <c r="B5147" s="1">
        <v>40513</v>
      </c>
      <c r="C5147" t="s">
        <v>23</v>
      </c>
      <c r="D5147" s="19">
        <v>6</v>
      </c>
      <c r="E5147">
        <v>14</v>
      </c>
      <c r="F5147" t="s">
        <v>10</v>
      </c>
      <c r="G5147" t="s">
        <v>11</v>
      </c>
      <c r="H5147">
        <v>7</v>
      </c>
      <c r="I5147" t="s">
        <v>27</v>
      </c>
    </row>
    <row r="5148" spans="1:9" x14ac:dyDescent="0.2">
      <c r="A5148" t="str">
        <f t="shared" si="327"/>
        <v>40513Vaipahu614PoritidaeDessous</v>
      </c>
      <c r="B5148" s="1">
        <v>40513</v>
      </c>
      <c r="C5148" t="s">
        <v>23</v>
      </c>
      <c r="D5148" s="19">
        <v>6</v>
      </c>
      <c r="E5148">
        <v>14</v>
      </c>
      <c r="F5148" t="s">
        <v>7</v>
      </c>
      <c r="G5148" t="s">
        <v>8</v>
      </c>
      <c r="H5148">
        <v>1</v>
      </c>
      <c r="I5148" t="s">
        <v>27</v>
      </c>
    </row>
    <row r="5149" spans="1:9" x14ac:dyDescent="0.2">
      <c r="A5149" t="str">
        <f t="shared" si="327"/>
        <v>40513Vaipahu614PoritidaeDessus</v>
      </c>
      <c r="B5149" s="1">
        <v>40513</v>
      </c>
      <c r="C5149" t="s">
        <v>23</v>
      </c>
      <c r="D5149" s="19">
        <v>6</v>
      </c>
      <c r="E5149">
        <v>14</v>
      </c>
      <c r="F5149" t="s">
        <v>7</v>
      </c>
      <c r="G5149" t="s">
        <v>11</v>
      </c>
      <c r="H5149">
        <v>1</v>
      </c>
      <c r="I5149" t="s">
        <v>27</v>
      </c>
    </row>
    <row r="5150" spans="1:9" x14ac:dyDescent="0.2">
      <c r="A5150" t="str">
        <f t="shared" si="327"/>
        <v>40513Vaipahu615AcroporidaeDessus</v>
      </c>
      <c r="B5150" s="1">
        <v>40513</v>
      </c>
      <c r="C5150" t="s">
        <v>23</v>
      </c>
      <c r="D5150" s="19">
        <v>6</v>
      </c>
      <c r="E5150">
        <v>15</v>
      </c>
      <c r="F5150" t="s">
        <v>17</v>
      </c>
      <c r="G5150" t="s">
        <v>11</v>
      </c>
      <c r="H5150">
        <v>1</v>
      </c>
      <c r="I5150" t="s">
        <v>27</v>
      </c>
    </row>
    <row r="5151" spans="1:9" x14ac:dyDescent="0.2">
      <c r="A5151" t="str">
        <f t="shared" si="327"/>
        <v>40513Vaipahu615PocilloporidaeBords</v>
      </c>
      <c r="B5151" s="1">
        <v>40513</v>
      </c>
      <c r="C5151" t="s">
        <v>23</v>
      </c>
      <c r="D5151" s="19">
        <v>6</v>
      </c>
      <c r="E5151">
        <v>15</v>
      </c>
      <c r="F5151" t="s">
        <v>10</v>
      </c>
      <c r="G5151" t="s">
        <v>13</v>
      </c>
      <c r="H5151">
        <v>1</v>
      </c>
      <c r="I5151" t="s">
        <v>27</v>
      </c>
    </row>
    <row r="5152" spans="1:9" x14ac:dyDescent="0.2">
      <c r="A5152" t="str">
        <f t="shared" si="327"/>
        <v>40513Vaipahu615PocilloporidaeDessous</v>
      </c>
      <c r="B5152" s="1">
        <v>40513</v>
      </c>
      <c r="C5152" t="s">
        <v>23</v>
      </c>
      <c r="D5152" s="19">
        <v>6</v>
      </c>
      <c r="E5152">
        <v>15</v>
      </c>
      <c r="F5152" t="s">
        <v>10</v>
      </c>
      <c r="G5152" t="s">
        <v>8</v>
      </c>
      <c r="H5152">
        <v>8</v>
      </c>
      <c r="I5152" t="s">
        <v>27</v>
      </c>
    </row>
    <row r="5153" spans="1:9" x14ac:dyDescent="0.2">
      <c r="A5153" t="str">
        <f t="shared" si="327"/>
        <v>40513Vaipahu615PocilloporidaeDessus</v>
      </c>
      <c r="B5153" s="1">
        <v>40513</v>
      </c>
      <c r="C5153" t="s">
        <v>23</v>
      </c>
      <c r="D5153" s="19">
        <v>6</v>
      </c>
      <c r="E5153">
        <v>15</v>
      </c>
      <c r="F5153" t="s">
        <v>10</v>
      </c>
      <c r="G5153" t="s">
        <v>11</v>
      </c>
      <c r="H5153">
        <v>7</v>
      </c>
      <c r="I5153" t="s">
        <v>27</v>
      </c>
    </row>
    <row r="5154" spans="1:9" x14ac:dyDescent="0.2">
      <c r="A5154" t="str">
        <f t="shared" si="327"/>
        <v>40513Vaipahu616PocilloporidaeBords</v>
      </c>
      <c r="B5154" s="1">
        <v>40513</v>
      </c>
      <c r="C5154" t="s">
        <v>23</v>
      </c>
      <c r="D5154" s="19">
        <v>6</v>
      </c>
      <c r="E5154">
        <v>16</v>
      </c>
      <c r="F5154" t="s">
        <v>10</v>
      </c>
      <c r="G5154" t="s">
        <v>13</v>
      </c>
      <c r="H5154">
        <v>4</v>
      </c>
      <c r="I5154" t="s">
        <v>27</v>
      </c>
    </row>
    <row r="5155" spans="1:9" x14ac:dyDescent="0.2">
      <c r="A5155" t="str">
        <f t="shared" si="327"/>
        <v>40513Vaipahu616PocilloporidaeDessous</v>
      </c>
      <c r="B5155" s="1">
        <v>40513</v>
      </c>
      <c r="C5155" t="s">
        <v>23</v>
      </c>
      <c r="D5155" s="19">
        <v>6</v>
      </c>
      <c r="E5155">
        <v>16</v>
      </c>
      <c r="F5155" t="s">
        <v>10</v>
      </c>
      <c r="G5155" t="s">
        <v>8</v>
      </c>
      <c r="H5155">
        <v>9</v>
      </c>
      <c r="I5155" t="s">
        <v>27</v>
      </c>
    </row>
    <row r="5156" spans="1:9" x14ac:dyDescent="0.2">
      <c r="A5156" t="str">
        <f t="shared" si="327"/>
        <v>40513Vaipahu616PocilloporidaeDessus</v>
      </c>
      <c r="B5156" s="1">
        <v>40513</v>
      </c>
      <c r="C5156" t="s">
        <v>23</v>
      </c>
      <c r="D5156" s="19">
        <v>6</v>
      </c>
      <c r="E5156">
        <v>16</v>
      </c>
      <c r="F5156" t="s">
        <v>10</v>
      </c>
      <c r="G5156" t="s">
        <v>11</v>
      </c>
      <c r="H5156">
        <v>13</v>
      </c>
      <c r="I5156" t="s">
        <v>27</v>
      </c>
    </row>
    <row r="5157" spans="1:9" x14ac:dyDescent="0.2">
      <c r="A5157" t="str">
        <f t="shared" si="327"/>
        <v>40513Vaipahu616PoritidaeDessus</v>
      </c>
      <c r="B5157" s="1">
        <v>40513</v>
      </c>
      <c r="C5157" t="s">
        <v>23</v>
      </c>
      <c r="D5157" s="19">
        <v>6</v>
      </c>
      <c r="E5157">
        <v>16</v>
      </c>
      <c r="F5157" t="s">
        <v>7</v>
      </c>
      <c r="G5157" t="s">
        <v>11</v>
      </c>
      <c r="H5157">
        <v>1</v>
      </c>
      <c r="I5157" t="s">
        <v>27</v>
      </c>
    </row>
    <row r="5158" spans="1:9" x14ac:dyDescent="0.2">
      <c r="A5158" t="str">
        <f t="shared" si="327"/>
        <v>40513Vaipahu617CassésDessus</v>
      </c>
      <c r="B5158" s="1">
        <v>40513</v>
      </c>
      <c r="C5158" t="s">
        <v>23</v>
      </c>
      <c r="D5158" s="19">
        <v>6</v>
      </c>
      <c r="E5158">
        <v>17</v>
      </c>
      <c r="F5158" t="s">
        <v>12</v>
      </c>
      <c r="G5158" t="s">
        <v>11</v>
      </c>
      <c r="H5158">
        <v>1</v>
      </c>
      <c r="I5158" t="s">
        <v>27</v>
      </c>
    </row>
    <row r="5159" spans="1:9" x14ac:dyDescent="0.2">
      <c r="A5159" t="str">
        <f t="shared" si="327"/>
        <v>40513Vaipahu617PocilloporidaeBords</v>
      </c>
      <c r="B5159" s="1">
        <v>40513</v>
      </c>
      <c r="C5159" t="s">
        <v>23</v>
      </c>
      <c r="D5159" s="19">
        <v>6</v>
      </c>
      <c r="E5159">
        <v>17</v>
      </c>
      <c r="F5159" t="s">
        <v>10</v>
      </c>
      <c r="G5159" t="s">
        <v>13</v>
      </c>
      <c r="H5159">
        <v>9</v>
      </c>
      <c r="I5159" t="s">
        <v>27</v>
      </c>
    </row>
    <row r="5160" spans="1:9" x14ac:dyDescent="0.2">
      <c r="A5160" t="str">
        <f t="shared" si="327"/>
        <v>40513Vaipahu617PocilloporidaeDessous</v>
      </c>
      <c r="B5160" s="1">
        <v>40513</v>
      </c>
      <c r="C5160" t="s">
        <v>23</v>
      </c>
      <c r="D5160" s="19">
        <v>6</v>
      </c>
      <c r="E5160">
        <v>17</v>
      </c>
      <c r="F5160" t="s">
        <v>10</v>
      </c>
      <c r="G5160" t="s">
        <v>8</v>
      </c>
      <c r="H5160">
        <v>4</v>
      </c>
      <c r="I5160" t="s">
        <v>27</v>
      </c>
    </row>
    <row r="5161" spans="1:9" x14ac:dyDescent="0.2">
      <c r="A5161" t="str">
        <f t="shared" si="327"/>
        <v>40513Vaipahu617PocilloporidaeDessus</v>
      </c>
      <c r="B5161" s="1">
        <v>40513</v>
      </c>
      <c r="C5161" t="s">
        <v>23</v>
      </c>
      <c r="D5161" s="19">
        <v>6</v>
      </c>
      <c r="E5161">
        <v>17</v>
      </c>
      <c r="F5161" t="s">
        <v>10</v>
      </c>
      <c r="G5161" t="s">
        <v>11</v>
      </c>
      <c r="H5161">
        <v>3</v>
      </c>
      <c r="I5161" t="s">
        <v>27</v>
      </c>
    </row>
    <row r="5162" spans="1:9" x14ac:dyDescent="0.2">
      <c r="A5162" t="str">
        <f t="shared" si="327"/>
        <v>40513Vaipahu617PoritidaeBords</v>
      </c>
      <c r="B5162" s="1">
        <v>40513</v>
      </c>
      <c r="C5162" t="s">
        <v>23</v>
      </c>
      <c r="D5162" s="19">
        <v>6</v>
      </c>
      <c r="E5162">
        <v>17</v>
      </c>
      <c r="F5162" t="s">
        <v>7</v>
      </c>
      <c r="G5162" t="s">
        <v>13</v>
      </c>
      <c r="H5162">
        <v>1</v>
      </c>
      <c r="I5162" t="s">
        <v>27</v>
      </c>
    </row>
    <row r="5163" spans="1:9" x14ac:dyDescent="0.2">
      <c r="A5163" t="str">
        <f t="shared" si="327"/>
        <v>40513Vaipahu618PocilloporidaeBords</v>
      </c>
      <c r="B5163" s="1">
        <v>40513</v>
      </c>
      <c r="C5163" t="s">
        <v>23</v>
      </c>
      <c r="D5163" s="19">
        <v>6</v>
      </c>
      <c r="E5163">
        <v>18</v>
      </c>
      <c r="F5163" t="s">
        <v>10</v>
      </c>
      <c r="G5163" t="s">
        <v>13</v>
      </c>
      <c r="H5163">
        <v>10</v>
      </c>
      <c r="I5163" t="s">
        <v>27</v>
      </c>
    </row>
    <row r="5164" spans="1:9" x14ac:dyDescent="0.2">
      <c r="A5164" t="str">
        <f t="shared" si="327"/>
        <v>40513Vaipahu618PocilloporidaeDessous</v>
      </c>
      <c r="B5164" s="1">
        <v>40513</v>
      </c>
      <c r="C5164" t="s">
        <v>23</v>
      </c>
      <c r="D5164" s="19">
        <v>6</v>
      </c>
      <c r="E5164">
        <v>18</v>
      </c>
      <c r="F5164" t="s">
        <v>10</v>
      </c>
      <c r="G5164" t="s">
        <v>8</v>
      </c>
      <c r="H5164">
        <v>5</v>
      </c>
      <c r="I5164" t="s">
        <v>27</v>
      </c>
    </row>
    <row r="5165" spans="1:9" x14ac:dyDescent="0.2">
      <c r="A5165" t="str">
        <f t="shared" si="327"/>
        <v>40513Vaipahu618PocilloporidaeDessus</v>
      </c>
      <c r="B5165" s="1">
        <v>40513</v>
      </c>
      <c r="C5165" t="s">
        <v>23</v>
      </c>
      <c r="D5165" s="19">
        <v>6</v>
      </c>
      <c r="E5165">
        <v>18</v>
      </c>
      <c r="F5165" t="s">
        <v>10</v>
      </c>
      <c r="G5165" t="s">
        <v>11</v>
      </c>
      <c r="H5165">
        <v>3</v>
      </c>
      <c r="I5165" t="s">
        <v>27</v>
      </c>
    </row>
    <row r="5166" spans="1:9" x14ac:dyDescent="0.2">
      <c r="A5166" t="str">
        <f t="shared" si="327"/>
        <v>40513Vaipahu619CassésBords</v>
      </c>
      <c r="B5166" s="1">
        <v>40513</v>
      </c>
      <c r="C5166" t="s">
        <v>23</v>
      </c>
      <c r="D5166" s="19">
        <v>6</v>
      </c>
      <c r="E5166">
        <v>19</v>
      </c>
      <c r="F5166" t="s">
        <v>12</v>
      </c>
      <c r="G5166" t="s">
        <v>13</v>
      </c>
      <c r="H5166">
        <v>1</v>
      </c>
      <c r="I5166" t="s">
        <v>27</v>
      </c>
    </row>
    <row r="5167" spans="1:9" x14ac:dyDescent="0.2">
      <c r="A5167" t="str">
        <f t="shared" si="327"/>
        <v>40513Vaipahu619CassésDessus</v>
      </c>
      <c r="B5167" s="1">
        <v>40513</v>
      </c>
      <c r="C5167" t="s">
        <v>23</v>
      </c>
      <c r="D5167" s="19">
        <v>6</v>
      </c>
      <c r="E5167">
        <v>19</v>
      </c>
      <c r="F5167" t="s">
        <v>12</v>
      </c>
      <c r="G5167" t="s">
        <v>11</v>
      </c>
      <c r="H5167">
        <v>1</v>
      </c>
      <c r="I5167" t="s">
        <v>27</v>
      </c>
    </row>
    <row r="5168" spans="1:9" x14ac:dyDescent="0.2">
      <c r="A5168" t="str">
        <f t="shared" si="327"/>
        <v>40513Vaipahu619PocilloporidaeBords</v>
      </c>
      <c r="B5168" s="1">
        <v>40513</v>
      </c>
      <c r="C5168" t="s">
        <v>23</v>
      </c>
      <c r="D5168" s="19">
        <v>6</v>
      </c>
      <c r="E5168">
        <v>19</v>
      </c>
      <c r="F5168" t="s">
        <v>10</v>
      </c>
      <c r="G5168" t="s">
        <v>13</v>
      </c>
      <c r="H5168">
        <v>2</v>
      </c>
      <c r="I5168" t="s">
        <v>27</v>
      </c>
    </row>
    <row r="5169" spans="1:9" x14ac:dyDescent="0.2">
      <c r="A5169" t="str">
        <f t="shared" si="327"/>
        <v>40513Vaipahu619PocilloporidaeDessous</v>
      </c>
      <c r="B5169" s="1">
        <v>40513</v>
      </c>
      <c r="C5169" t="s">
        <v>23</v>
      </c>
      <c r="D5169" s="19">
        <v>6</v>
      </c>
      <c r="E5169">
        <v>19</v>
      </c>
      <c r="F5169" t="s">
        <v>10</v>
      </c>
      <c r="G5169" t="s">
        <v>8</v>
      </c>
      <c r="H5169">
        <v>9</v>
      </c>
      <c r="I5169" t="s">
        <v>27</v>
      </c>
    </row>
    <row r="5170" spans="1:9" x14ac:dyDescent="0.2">
      <c r="A5170" t="str">
        <f t="shared" si="327"/>
        <v>40513Vaipahu619PocilloporidaeDessus</v>
      </c>
      <c r="B5170" s="1">
        <v>40513</v>
      </c>
      <c r="C5170" t="s">
        <v>23</v>
      </c>
      <c r="D5170" s="19">
        <v>6</v>
      </c>
      <c r="E5170">
        <v>19</v>
      </c>
      <c r="F5170" t="s">
        <v>10</v>
      </c>
      <c r="G5170" t="s">
        <v>11</v>
      </c>
      <c r="H5170">
        <v>5</v>
      </c>
      <c r="I5170" t="s">
        <v>27</v>
      </c>
    </row>
    <row r="5171" spans="1:9" x14ac:dyDescent="0.2">
      <c r="A5171" t="str">
        <f t="shared" si="327"/>
        <v>40513Vaipahu619PoritidaeDessous</v>
      </c>
      <c r="B5171" s="1">
        <v>40513</v>
      </c>
      <c r="C5171" t="s">
        <v>23</v>
      </c>
      <c r="D5171" s="19">
        <v>6</v>
      </c>
      <c r="E5171">
        <v>19</v>
      </c>
      <c r="F5171" t="s">
        <v>7</v>
      </c>
      <c r="G5171" t="s">
        <v>8</v>
      </c>
      <c r="H5171">
        <v>1</v>
      </c>
      <c r="I5171" t="s">
        <v>27</v>
      </c>
    </row>
    <row r="5172" spans="1:9" x14ac:dyDescent="0.2">
      <c r="A5172" t="str">
        <f t="shared" si="327"/>
        <v>40513Vaipahu620PocilloporidaeBords</v>
      </c>
      <c r="B5172" s="1">
        <v>40513</v>
      </c>
      <c r="C5172" t="s">
        <v>23</v>
      </c>
      <c r="D5172" s="19">
        <v>6</v>
      </c>
      <c r="E5172">
        <v>20</v>
      </c>
      <c r="F5172" t="s">
        <v>10</v>
      </c>
      <c r="G5172" t="s">
        <v>13</v>
      </c>
      <c r="H5172">
        <v>2</v>
      </c>
      <c r="I5172" t="s">
        <v>27</v>
      </c>
    </row>
    <row r="5173" spans="1:9" x14ac:dyDescent="0.2">
      <c r="A5173" t="str">
        <f t="shared" si="327"/>
        <v>40513Vaipahu620PocilloporidaeDessous</v>
      </c>
      <c r="B5173" s="1">
        <v>40513</v>
      </c>
      <c r="C5173" t="s">
        <v>23</v>
      </c>
      <c r="D5173" s="19">
        <v>6</v>
      </c>
      <c r="E5173">
        <v>20</v>
      </c>
      <c r="F5173" t="s">
        <v>10</v>
      </c>
      <c r="G5173" t="s">
        <v>8</v>
      </c>
      <c r="H5173">
        <v>2</v>
      </c>
      <c r="I5173" t="s">
        <v>27</v>
      </c>
    </row>
    <row r="5174" spans="1:9" x14ac:dyDescent="0.2">
      <c r="A5174" t="str">
        <f t="shared" si="327"/>
        <v>40513Vaipahu620PocilloporidaeDessus</v>
      </c>
      <c r="B5174" s="1">
        <v>40513</v>
      </c>
      <c r="C5174" t="s">
        <v>23</v>
      </c>
      <c r="D5174" s="19">
        <v>6</v>
      </c>
      <c r="E5174">
        <v>20</v>
      </c>
      <c r="F5174" t="s">
        <v>10</v>
      </c>
      <c r="G5174" t="s">
        <v>11</v>
      </c>
      <c r="H5174">
        <v>10</v>
      </c>
      <c r="I5174" t="s">
        <v>27</v>
      </c>
    </row>
    <row r="5175" spans="1:9" x14ac:dyDescent="0.2">
      <c r="A5175" t="str">
        <f t="shared" si="327"/>
        <v>40513Vaipahu1221PocilloporidaeDessous</v>
      </c>
      <c r="B5175" s="1">
        <v>40513</v>
      </c>
      <c r="C5175" t="s">
        <v>23</v>
      </c>
      <c r="D5175" s="19">
        <v>12</v>
      </c>
      <c r="E5175">
        <v>21</v>
      </c>
      <c r="F5175" t="s">
        <v>10</v>
      </c>
      <c r="G5175" t="s">
        <v>8</v>
      </c>
      <c r="H5175">
        <v>2</v>
      </c>
      <c r="I5175" t="s">
        <v>27</v>
      </c>
    </row>
    <row r="5176" spans="1:9" x14ac:dyDescent="0.2">
      <c r="A5176" t="str">
        <f t="shared" si="327"/>
        <v>40513Vaipahu1222PocilloporidaeDessous</v>
      </c>
      <c r="B5176" s="1">
        <v>40513</v>
      </c>
      <c r="C5176" t="s">
        <v>23</v>
      </c>
      <c r="D5176" s="19">
        <v>12</v>
      </c>
      <c r="E5176">
        <v>22</v>
      </c>
      <c r="F5176" t="s">
        <v>10</v>
      </c>
      <c r="G5176" t="s">
        <v>8</v>
      </c>
      <c r="H5176">
        <v>1</v>
      </c>
      <c r="I5176" t="s">
        <v>27</v>
      </c>
    </row>
    <row r="5177" spans="1:9" x14ac:dyDescent="0.2">
      <c r="A5177" t="str">
        <f t="shared" si="327"/>
        <v>40513Vaipahu1223PocilloporidaeDessus</v>
      </c>
      <c r="B5177" s="1">
        <v>40513</v>
      </c>
      <c r="C5177" t="s">
        <v>23</v>
      </c>
      <c r="D5177" s="19">
        <v>12</v>
      </c>
      <c r="E5177">
        <v>23</v>
      </c>
      <c r="F5177" t="s">
        <v>10</v>
      </c>
      <c r="G5177" t="s">
        <v>11</v>
      </c>
      <c r="H5177">
        <v>1</v>
      </c>
      <c r="I5177" t="s">
        <v>27</v>
      </c>
    </row>
    <row r="5178" spans="1:9" x14ac:dyDescent="0.2">
      <c r="A5178" t="str">
        <f t="shared" si="327"/>
        <v>40513Vaipahu1224PocilloporidaeDessous</v>
      </c>
      <c r="B5178" s="1">
        <v>40513</v>
      </c>
      <c r="C5178" t="s">
        <v>23</v>
      </c>
      <c r="D5178" s="19">
        <v>12</v>
      </c>
      <c r="E5178">
        <v>24</v>
      </c>
      <c r="F5178" t="s">
        <v>10</v>
      </c>
      <c r="G5178" t="s">
        <v>8</v>
      </c>
      <c r="H5178">
        <v>4</v>
      </c>
      <c r="I5178" t="s">
        <v>27</v>
      </c>
    </row>
    <row r="5179" spans="1:9" x14ac:dyDescent="0.2">
      <c r="A5179" t="str">
        <f t="shared" si="327"/>
        <v>40513Vaipahu1225PocilloporidaeDessous</v>
      </c>
      <c r="B5179" s="1">
        <v>40513</v>
      </c>
      <c r="C5179" t="s">
        <v>23</v>
      </c>
      <c r="D5179" s="19">
        <v>12</v>
      </c>
      <c r="E5179">
        <v>25</v>
      </c>
      <c r="F5179" t="s">
        <v>10</v>
      </c>
      <c r="G5179" t="s">
        <v>8</v>
      </c>
      <c r="H5179">
        <v>2</v>
      </c>
      <c r="I5179" t="s">
        <v>27</v>
      </c>
    </row>
    <row r="5180" spans="1:9" x14ac:dyDescent="0.2">
      <c r="A5180" t="str">
        <f t="shared" si="327"/>
        <v>40513Vaipahu1225PocilloporidaeDessus</v>
      </c>
      <c r="B5180" s="1">
        <v>40513</v>
      </c>
      <c r="C5180" t="s">
        <v>23</v>
      </c>
      <c r="D5180" s="19">
        <v>12</v>
      </c>
      <c r="E5180">
        <v>25</v>
      </c>
      <c r="F5180" t="s">
        <v>10</v>
      </c>
      <c r="G5180" t="s">
        <v>11</v>
      </c>
      <c r="H5180">
        <v>2</v>
      </c>
      <c r="I5180" t="s">
        <v>27</v>
      </c>
    </row>
    <row r="5181" spans="1:9" x14ac:dyDescent="0.2">
      <c r="A5181" t="str">
        <f t="shared" si="327"/>
        <v>40513Vaipahu1226PocilloporidaeDessous</v>
      </c>
      <c r="B5181" s="1">
        <v>40513</v>
      </c>
      <c r="C5181" t="s">
        <v>23</v>
      </c>
      <c r="D5181" s="19">
        <v>12</v>
      </c>
      <c r="E5181">
        <v>26</v>
      </c>
      <c r="F5181" t="s">
        <v>10</v>
      </c>
      <c r="G5181" t="s">
        <v>8</v>
      </c>
      <c r="H5181">
        <v>3</v>
      </c>
      <c r="I5181" t="s">
        <v>27</v>
      </c>
    </row>
    <row r="5182" spans="1:9" x14ac:dyDescent="0.2">
      <c r="A5182" t="str">
        <f t="shared" si="327"/>
        <v>40513Vaipahu1226PocilloporidaeDessus</v>
      </c>
      <c r="B5182" s="1">
        <v>40513</v>
      </c>
      <c r="C5182" t="s">
        <v>23</v>
      </c>
      <c r="D5182" s="19">
        <v>12</v>
      </c>
      <c r="E5182">
        <v>26</v>
      </c>
      <c r="F5182" t="s">
        <v>10</v>
      </c>
      <c r="G5182" t="s">
        <v>11</v>
      </c>
      <c r="H5182">
        <v>1</v>
      </c>
      <c r="I5182" t="s">
        <v>27</v>
      </c>
    </row>
    <row r="5183" spans="1:9" x14ac:dyDescent="0.2">
      <c r="A5183" t="str">
        <f t="shared" ref="A5183:A5246" si="328">B5183 &amp; C5183&amp; D5183&amp; E5183 &amp; F5183 &amp;G5183</f>
        <v>40513Vaipahu1227PocilloporidaeDessous</v>
      </c>
      <c r="B5183" s="1">
        <v>40513</v>
      </c>
      <c r="C5183" t="s">
        <v>23</v>
      </c>
      <c r="D5183" s="19">
        <v>12</v>
      </c>
      <c r="E5183">
        <v>27</v>
      </c>
      <c r="F5183" t="s">
        <v>10</v>
      </c>
      <c r="G5183" t="s">
        <v>8</v>
      </c>
      <c r="H5183">
        <v>5</v>
      </c>
      <c r="I5183" t="s">
        <v>27</v>
      </c>
    </row>
    <row r="5184" spans="1:9" x14ac:dyDescent="0.2">
      <c r="A5184" t="str">
        <f t="shared" si="328"/>
        <v>40513Vaipahu1227PocilloporidaeDessus</v>
      </c>
      <c r="B5184" s="1">
        <v>40513</v>
      </c>
      <c r="C5184" t="s">
        <v>23</v>
      </c>
      <c r="D5184" s="19">
        <v>12</v>
      </c>
      <c r="E5184">
        <v>27</v>
      </c>
      <c r="F5184" t="s">
        <v>10</v>
      </c>
      <c r="G5184" t="s">
        <v>11</v>
      </c>
      <c r="H5184">
        <v>1</v>
      </c>
      <c r="I5184" t="s">
        <v>27</v>
      </c>
    </row>
    <row r="5185" spans="1:9" x14ac:dyDescent="0.2">
      <c r="A5185" t="str">
        <f t="shared" si="328"/>
        <v>40513Vaipahu1228PocilloporidaeDessous</v>
      </c>
      <c r="B5185" s="1">
        <v>40513</v>
      </c>
      <c r="C5185" t="s">
        <v>23</v>
      </c>
      <c r="D5185" s="19">
        <v>12</v>
      </c>
      <c r="E5185">
        <v>28</v>
      </c>
      <c r="F5185" t="s">
        <v>10</v>
      </c>
      <c r="G5185" t="s">
        <v>8</v>
      </c>
      <c r="H5185">
        <v>1</v>
      </c>
      <c r="I5185" t="s">
        <v>27</v>
      </c>
    </row>
    <row r="5186" spans="1:9" x14ac:dyDescent="0.2">
      <c r="A5186" t="str">
        <f t="shared" si="328"/>
        <v>40513Vaipahu1229PocilloporidaeDessous</v>
      </c>
      <c r="B5186" s="1">
        <v>40513</v>
      </c>
      <c r="C5186" t="s">
        <v>23</v>
      </c>
      <c r="D5186" s="19">
        <v>12</v>
      </c>
      <c r="E5186">
        <v>29</v>
      </c>
      <c r="F5186" t="s">
        <v>10</v>
      </c>
      <c r="G5186" t="s">
        <v>8</v>
      </c>
      <c r="H5186">
        <v>2</v>
      </c>
      <c r="I5186" t="s">
        <v>27</v>
      </c>
    </row>
    <row r="5187" spans="1:9" x14ac:dyDescent="0.2">
      <c r="A5187" t="str">
        <f t="shared" si="328"/>
        <v>40513Vaipahu1230PocilloporidaeDessous</v>
      </c>
      <c r="B5187" s="1">
        <v>40513</v>
      </c>
      <c r="C5187" t="s">
        <v>23</v>
      </c>
      <c r="D5187" s="19">
        <v>12</v>
      </c>
      <c r="E5187">
        <v>30</v>
      </c>
      <c r="F5187" t="s">
        <v>10</v>
      </c>
      <c r="G5187" t="s">
        <v>8</v>
      </c>
      <c r="H5187">
        <v>2</v>
      </c>
      <c r="I5187" t="s">
        <v>27</v>
      </c>
    </row>
    <row r="5188" spans="1:9" x14ac:dyDescent="0.2">
      <c r="A5188" t="str">
        <f t="shared" si="328"/>
        <v>40513Vaipahu1230PocilloporidaeDessus</v>
      </c>
      <c r="B5188" s="1">
        <v>40513</v>
      </c>
      <c r="C5188" t="s">
        <v>23</v>
      </c>
      <c r="D5188" s="19">
        <v>12</v>
      </c>
      <c r="E5188">
        <v>30</v>
      </c>
      <c r="F5188" t="s">
        <v>10</v>
      </c>
      <c r="G5188" t="s">
        <v>11</v>
      </c>
      <c r="H5188">
        <v>3</v>
      </c>
      <c r="I5188" t="s">
        <v>27</v>
      </c>
    </row>
    <row r="5189" spans="1:9" x14ac:dyDescent="0.2">
      <c r="A5189" t="str">
        <f t="shared" si="328"/>
        <v>40513Vaipahu1231PocilloporidaeBords</v>
      </c>
      <c r="B5189" s="1">
        <v>40513</v>
      </c>
      <c r="C5189" t="s">
        <v>23</v>
      </c>
      <c r="D5189" s="19">
        <v>12</v>
      </c>
      <c r="E5189">
        <v>31</v>
      </c>
      <c r="F5189" t="s">
        <v>10</v>
      </c>
      <c r="G5189" t="s">
        <v>13</v>
      </c>
      <c r="H5189">
        <v>1</v>
      </c>
      <c r="I5189" t="s">
        <v>27</v>
      </c>
    </row>
    <row r="5190" spans="1:9" x14ac:dyDescent="0.2">
      <c r="A5190" t="str">
        <f t="shared" si="328"/>
        <v>40513Vaipahu1231PocilloporidaeDessous</v>
      </c>
      <c r="B5190" s="1">
        <v>40513</v>
      </c>
      <c r="C5190" t="s">
        <v>23</v>
      </c>
      <c r="D5190" s="19">
        <v>12</v>
      </c>
      <c r="E5190">
        <v>31</v>
      </c>
      <c r="F5190" t="s">
        <v>10</v>
      </c>
      <c r="G5190" t="s">
        <v>8</v>
      </c>
      <c r="H5190">
        <v>2</v>
      </c>
      <c r="I5190" t="s">
        <v>27</v>
      </c>
    </row>
    <row r="5191" spans="1:9" x14ac:dyDescent="0.2">
      <c r="A5191" t="str">
        <f t="shared" si="328"/>
        <v>40513Vaipahu1231PocilloporidaeDessus</v>
      </c>
      <c r="B5191" s="1">
        <v>40513</v>
      </c>
      <c r="C5191" t="s">
        <v>23</v>
      </c>
      <c r="D5191" s="19">
        <v>12</v>
      </c>
      <c r="E5191">
        <v>31</v>
      </c>
      <c r="F5191" t="s">
        <v>10</v>
      </c>
      <c r="G5191" t="s">
        <v>11</v>
      </c>
      <c r="H5191">
        <v>2</v>
      </c>
      <c r="I5191" t="s">
        <v>27</v>
      </c>
    </row>
    <row r="5192" spans="1:9" x14ac:dyDescent="0.2">
      <c r="A5192" t="str">
        <f t="shared" si="328"/>
        <v>40513Vaipahu1232PocilloporidaeDessous</v>
      </c>
      <c r="B5192" s="1">
        <v>40513</v>
      </c>
      <c r="C5192" t="s">
        <v>23</v>
      </c>
      <c r="D5192" s="19">
        <v>12</v>
      </c>
      <c r="E5192">
        <v>32</v>
      </c>
      <c r="F5192" t="s">
        <v>10</v>
      </c>
      <c r="G5192" t="s">
        <v>8</v>
      </c>
      <c r="H5192">
        <v>1</v>
      </c>
      <c r="I5192" t="s">
        <v>27</v>
      </c>
    </row>
    <row r="5193" spans="1:9" x14ac:dyDescent="0.2">
      <c r="A5193" t="str">
        <f t="shared" si="328"/>
        <v>40513Vaipahu1233Autres</v>
      </c>
      <c r="B5193" s="1">
        <v>40513</v>
      </c>
      <c r="C5193" t="s">
        <v>23</v>
      </c>
      <c r="D5193" s="19">
        <v>12</v>
      </c>
      <c r="E5193">
        <v>33</v>
      </c>
      <c r="F5193" t="s">
        <v>14</v>
      </c>
      <c r="H5193">
        <v>0</v>
      </c>
    </row>
    <row r="5194" spans="1:9" x14ac:dyDescent="0.2">
      <c r="A5194" t="str">
        <f t="shared" si="328"/>
        <v>40513Vaipahu1234PocilloporidaeDessus</v>
      </c>
      <c r="B5194" s="1">
        <v>40513</v>
      </c>
      <c r="C5194" t="s">
        <v>23</v>
      </c>
      <c r="D5194" s="19">
        <v>12</v>
      </c>
      <c r="E5194">
        <v>34</v>
      </c>
      <c r="F5194" t="s">
        <v>10</v>
      </c>
      <c r="G5194" t="s">
        <v>11</v>
      </c>
      <c r="H5194">
        <v>1</v>
      </c>
      <c r="I5194" t="s">
        <v>27</v>
      </c>
    </row>
    <row r="5195" spans="1:9" x14ac:dyDescent="0.2">
      <c r="A5195" t="str">
        <f t="shared" si="328"/>
        <v>40513Vaipahu1235AcroporidaeDessus</v>
      </c>
      <c r="B5195" s="1">
        <v>40513</v>
      </c>
      <c r="C5195" t="s">
        <v>23</v>
      </c>
      <c r="D5195" s="19">
        <v>12</v>
      </c>
      <c r="E5195">
        <v>35</v>
      </c>
      <c r="F5195" t="s">
        <v>17</v>
      </c>
      <c r="G5195" t="s">
        <v>11</v>
      </c>
      <c r="H5195">
        <v>1</v>
      </c>
      <c r="I5195" t="s">
        <v>27</v>
      </c>
    </row>
    <row r="5196" spans="1:9" x14ac:dyDescent="0.2">
      <c r="A5196" t="str">
        <f t="shared" si="328"/>
        <v>40513Vaipahu1235CassésDessous</v>
      </c>
      <c r="B5196" s="1">
        <v>40513</v>
      </c>
      <c r="C5196" t="s">
        <v>23</v>
      </c>
      <c r="D5196" s="19">
        <v>12</v>
      </c>
      <c r="E5196">
        <v>35</v>
      </c>
      <c r="F5196" t="s">
        <v>12</v>
      </c>
      <c r="G5196" t="s">
        <v>8</v>
      </c>
      <c r="H5196">
        <v>1</v>
      </c>
      <c r="I5196" t="s">
        <v>27</v>
      </c>
    </row>
    <row r="5197" spans="1:9" x14ac:dyDescent="0.2">
      <c r="A5197" t="str">
        <f t="shared" si="328"/>
        <v>40513Vaipahu1235PocilloporidaeBords</v>
      </c>
      <c r="B5197" s="1">
        <v>40513</v>
      </c>
      <c r="C5197" t="s">
        <v>23</v>
      </c>
      <c r="D5197" s="19">
        <v>12</v>
      </c>
      <c r="E5197">
        <v>35</v>
      </c>
      <c r="F5197" t="s">
        <v>10</v>
      </c>
      <c r="G5197" t="s">
        <v>13</v>
      </c>
      <c r="H5197">
        <v>1</v>
      </c>
      <c r="I5197" t="s">
        <v>27</v>
      </c>
    </row>
    <row r="5198" spans="1:9" x14ac:dyDescent="0.2">
      <c r="A5198" t="str">
        <f t="shared" si="328"/>
        <v>40513Vaipahu1235PocilloporidaeDessous</v>
      </c>
      <c r="B5198" s="1">
        <v>40513</v>
      </c>
      <c r="C5198" t="s">
        <v>23</v>
      </c>
      <c r="D5198" s="19">
        <v>12</v>
      </c>
      <c r="E5198">
        <v>35</v>
      </c>
      <c r="F5198" t="s">
        <v>10</v>
      </c>
      <c r="G5198" t="s">
        <v>8</v>
      </c>
      <c r="H5198">
        <v>2</v>
      </c>
      <c r="I5198" t="s">
        <v>27</v>
      </c>
    </row>
    <row r="5199" spans="1:9" x14ac:dyDescent="0.2">
      <c r="A5199" t="str">
        <f t="shared" si="328"/>
        <v>40513Vaipahu1236PocilloporidaeDessous</v>
      </c>
      <c r="B5199" s="1">
        <v>40513</v>
      </c>
      <c r="C5199" t="s">
        <v>23</v>
      </c>
      <c r="D5199" s="19">
        <v>12</v>
      </c>
      <c r="E5199">
        <v>36</v>
      </c>
      <c r="F5199" t="s">
        <v>10</v>
      </c>
      <c r="G5199" t="s">
        <v>8</v>
      </c>
      <c r="H5199">
        <v>1</v>
      </c>
      <c r="I5199" t="s">
        <v>27</v>
      </c>
    </row>
    <row r="5200" spans="1:9" x14ac:dyDescent="0.2">
      <c r="A5200" t="str">
        <f t="shared" si="328"/>
        <v>40513Vaipahu1237PocilloporidaeDessous</v>
      </c>
      <c r="B5200" s="1">
        <v>40513</v>
      </c>
      <c r="C5200" t="s">
        <v>23</v>
      </c>
      <c r="D5200" s="19">
        <v>12</v>
      </c>
      <c r="E5200">
        <v>37</v>
      </c>
      <c r="F5200" t="s">
        <v>10</v>
      </c>
      <c r="G5200" t="s">
        <v>8</v>
      </c>
      <c r="H5200">
        <v>7</v>
      </c>
      <c r="I5200" t="s">
        <v>27</v>
      </c>
    </row>
    <row r="5201" spans="1:9" x14ac:dyDescent="0.2">
      <c r="A5201" t="str">
        <f t="shared" si="328"/>
        <v>40513Vaipahu1238PocilloporidaeDessus</v>
      </c>
      <c r="B5201" s="1">
        <v>40513</v>
      </c>
      <c r="C5201" t="s">
        <v>23</v>
      </c>
      <c r="D5201" s="19">
        <v>12</v>
      </c>
      <c r="E5201">
        <v>38</v>
      </c>
      <c r="F5201" t="s">
        <v>10</v>
      </c>
      <c r="G5201" t="s">
        <v>11</v>
      </c>
      <c r="H5201">
        <v>1</v>
      </c>
      <c r="I5201" t="s">
        <v>27</v>
      </c>
    </row>
    <row r="5202" spans="1:9" x14ac:dyDescent="0.2">
      <c r="A5202" t="str">
        <f t="shared" si="328"/>
        <v>40513Vaipahu1239PocilloporidaeDessous</v>
      </c>
      <c r="B5202" s="1">
        <v>40513</v>
      </c>
      <c r="C5202" t="s">
        <v>23</v>
      </c>
      <c r="D5202" s="19">
        <v>12</v>
      </c>
      <c r="E5202">
        <v>39</v>
      </c>
      <c r="F5202" t="s">
        <v>10</v>
      </c>
      <c r="G5202" t="s">
        <v>8</v>
      </c>
      <c r="H5202">
        <v>1</v>
      </c>
      <c r="I5202" t="s">
        <v>27</v>
      </c>
    </row>
    <row r="5203" spans="1:9" x14ac:dyDescent="0.2">
      <c r="A5203" t="str">
        <f t="shared" si="328"/>
        <v>40513Vaipahu1240PocilloporidaeDessous</v>
      </c>
      <c r="B5203" s="1">
        <v>40513</v>
      </c>
      <c r="C5203" t="s">
        <v>23</v>
      </c>
      <c r="D5203" s="19">
        <v>12</v>
      </c>
      <c r="E5203">
        <v>40</v>
      </c>
      <c r="F5203" t="s">
        <v>10</v>
      </c>
      <c r="G5203" t="s">
        <v>8</v>
      </c>
      <c r="H5203">
        <v>1</v>
      </c>
      <c r="I5203" t="s">
        <v>27</v>
      </c>
    </row>
    <row r="5204" spans="1:9" x14ac:dyDescent="0.2">
      <c r="A5204" t="str">
        <f t="shared" si="328"/>
        <v>40513Vaipahu1241Autres</v>
      </c>
      <c r="B5204" s="1">
        <v>40513</v>
      </c>
      <c r="C5204" t="s">
        <v>23</v>
      </c>
      <c r="D5204" s="19">
        <v>12</v>
      </c>
      <c r="E5204">
        <v>41</v>
      </c>
      <c r="F5204" t="s">
        <v>14</v>
      </c>
      <c r="H5204">
        <v>0</v>
      </c>
    </row>
    <row r="5205" spans="1:9" x14ac:dyDescent="0.2">
      <c r="A5205" t="str">
        <f t="shared" si="328"/>
        <v>40513Vaipahu1842PocilloporidaeDessous</v>
      </c>
      <c r="B5205" s="1">
        <v>40513</v>
      </c>
      <c r="C5205" t="s">
        <v>23</v>
      </c>
      <c r="D5205" s="19">
        <v>18</v>
      </c>
      <c r="E5205">
        <v>42</v>
      </c>
      <c r="F5205" t="s">
        <v>10</v>
      </c>
      <c r="G5205" t="s">
        <v>8</v>
      </c>
      <c r="H5205">
        <v>3</v>
      </c>
      <c r="I5205" t="s">
        <v>27</v>
      </c>
    </row>
    <row r="5206" spans="1:9" x14ac:dyDescent="0.2">
      <c r="A5206" t="str">
        <f t="shared" si="328"/>
        <v>40513Vaipahu1842PocilloporidaeDessus</v>
      </c>
      <c r="B5206" s="1">
        <v>40513</v>
      </c>
      <c r="C5206" t="s">
        <v>23</v>
      </c>
      <c r="D5206" s="19">
        <v>18</v>
      </c>
      <c r="E5206">
        <v>42</v>
      </c>
      <c r="F5206" t="s">
        <v>10</v>
      </c>
      <c r="G5206" t="s">
        <v>11</v>
      </c>
      <c r="H5206">
        <v>1</v>
      </c>
      <c r="I5206" t="s">
        <v>27</v>
      </c>
    </row>
    <row r="5207" spans="1:9" x14ac:dyDescent="0.2">
      <c r="A5207" t="str">
        <f t="shared" si="328"/>
        <v>40513Vaipahu1843Autres</v>
      </c>
      <c r="B5207" s="1">
        <v>40513</v>
      </c>
      <c r="C5207" t="s">
        <v>23</v>
      </c>
      <c r="D5207" s="19">
        <v>18</v>
      </c>
      <c r="E5207">
        <v>43</v>
      </c>
      <c r="F5207" t="s">
        <v>14</v>
      </c>
      <c r="H5207">
        <v>0</v>
      </c>
    </row>
    <row r="5208" spans="1:9" x14ac:dyDescent="0.2">
      <c r="A5208" t="str">
        <f t="shared" si="328"/>
        <v>40513Vaipahu1844PocilloporidaeBords</v>
      </c>
      <c r="B5208" s="1">
        <v>40513</v>
      </c>
      <c r="C5208" t="s">
        <v>23</v>
      </c>
      <c r="D5208" s="19">
        <v>18</v>
      </c>
      <c r="E5208">
        <v>44</v>
      </c>
      <c r="F5208" t="s">
        <v>10</v>
      </c>
      <c r="G5208" t="s">
        <v>13</v>
      </c>
      <c r="H5208">
        <v>2</v>
      </c>
      <c r="I5208" t="s">
        <v>27</v>
      </c>
    </row>
    <row r="5209" spans="1:9" x14ac:dyDescent="0.2">
      <c r="A5209" t="str">
        <f t="shared" si="328"/>
        <v>40513Vaipahu1844PoritidaeBords</v>
      </c>
      <c r="B5209" s="1">
        <v>40513</v>
      </c>
      <c r="C5209" t="s">
        <v>23</v>
      </c>
      <c r="D5209" s="19">
        <v>18</v>
      </c>
      <c r="E5209">
        <v>44</v>
      </c>
      <c r="F5209" t="s">
        <v>7</v>
      </c>
      <c r="G5209" t="s">
        <v>13</v>
      </c>
      <c r="H5209">
        <v>1</v>
      </c>
      <c r="I5209" t="s">
        <v>27</v>
      </c>
    </row>
    <row r="5210" spans="1:9" x14ac:dyDescent="0.2">
      <c r="A5210" t="str">
        <f t="shared" si="328"/>
        <v>40513Vaipahu1845PocilloporidaeBords</v>
      </c>
      <c r="B5210" s="1">
        <v>40513</v>
      </c>
      <c r="C5210" t="s">
        <v>23</v>
      </c>
      <c r="D5210" s="19">
        <v>18</v>
      </c>
      <c r="E5210">
        <v>45</v>
      </c>
      <c r="F5210" t="s">
        <v>10</v>
      </c>
      <c r="G5210" t="s">
        <v>13</v>
      </c>
      <c r="H5210">
        <v>2</v>
      </c>
      <c r="I5210" t="s">
        <v>27</v>
      </c>
    </row>
    <row r="5211" spans="1:9" x14ac:dyDescent="0.2">
      <c r="A5211" t="str">
        <f t="shared" si="328"/>
        <v>40513Vaipahu1846PoritidaeBords</v>
      </c>
      <c r="B5211" s="1">
        <v>40513</v>
      </c>
      <c r="C5211" t="s">
        <v>23</v>
      </c>
      <c r="D5211" s="19">
        <v>18</v>
      </c>
      <c r="E5211">
        <v>46</v>
      </c>
      <c r="F5211" t="s">
        <v>7</v>
      </c>
      <c r="G5211" t="s">
        <v>13</v>
      </c>
      <c r="H5211">
        <v>1</v>
      </c>
      <c r="I5211" t="s">
        <v>27</v>
      </c>
    </row>
    <row r="5212" spans="1:9" x14ac:dyDescent="0.2">
      <c r="A5212" t="str">
        <f t="shared" si="328"/>
        <v>40513Vaipahu1847Autres</v>
      </c>
      <c r="B5212" s="1">
        <v>40513</v>
      </c>
      <c r="C5212" t="s">
        <v>23</v>
      </c>
      <c r="D5212" s="19">
        <v>18</v>
      </c>
      <c r="E5212">
        <v>47</v>
      </c>
      <c r="F5212" t="s">
        <v>14</v>
      </c>
      <c r="H5212">
        <v>0</v>
      </c>
    </row>
    <row r="5213" spans="1:9" x14ac:dyDescent="0.2">
      <c r="A5213" t="str">
        <f t="shared" si="328"/>
        <v>40513Vaipahu1848AcroporidaeBords</v>
      </c>
      <c r="B5213" s="1">
        <v>40513</v>
      </c>
      <c r="C5213" t="s">
        <v>23</v>
      </c>
      <c r="D5213" s="19">
        <v>18</v>
      </c>
      <c r="E5213">
        <v>48</v>
      </c>
      <c r="F5213" t="s">
        <v>17</v>
      </c>
      <c r="G5213" t="s">
        <v>13</v>
      </c>
      <c r="H5213">
        <v>1</v>
      </c>
    </row>
    <row r="5214" spans="1:9" x14ac:dyDescent="0.2">
      <c r="A5214" t="str">
        <f t="shared" si="328"/>
        <v>40513Vaipahu1848PocilloporidaeBords</v>
      </c>
      <c r="B5214" s="1">
        <v>40513</v>
      </c>
      <c r="C5214" t="s">
        <v>23</v>
      </c>
      <c r="D5214" s="19">
        <v>18</v>
      </c>
      <c r="E5214">
        <v>48</v>
      </c>
      <c r="F5214" t="s">
        <v>10</v>
      </c>
      <c r="G5214" t="s">
        <v>13</v>
      </c>
      <c r="H5214">
        <v>4</v>
      </c>
      <c r="I5214" t="s">
        <v>27</v>
      </c>
    </row>
    <row r="5215" spans="1:9" x14ac:dyDescent="0.2">
      <c r="A5215" t="str">
        <f t="shared" si="328"/>
        <v>40513Vaipahu1849Autres</v>
      </c>
      <c r="B5215" s="1">
        <v>40513</v>
      </c>
      <c r="C5215" t="s">
        <v>23</v>
      </c>
      <c r="D5215" s="19">
        <v>18</v>
      </c>
      <c r="E5215">
        <v>49</v>
      </c>
      <c r="F5215" t="s">
        <v>14</v>
      </c>
      <c r="H5215">
        <v>0</v>
      </c>
    </row>
    <row r="5216" spans="1:9" x14ac:dyDescent="0.2">
      <c r="A5216" t="str">
        <f t="shared" si="328"/>
        <v>40513Vaipahu1850PocilloporidaeBords</v>
      </c>
      <c r="B5216" s="1">
        <v>40513</v>
      </c>
      <c r="C5216" t="s">
        <v>23</v>
      </c>
      <c r="D5216" s="19">
        <v>18</v>
      </c>
      <c r="E5216">
        <v>50</v>
      </c>
      <c r="F5216" t="s">
        <v>10</v>
      </c>
      <c r="G5216" t="s">
        <v>13</v>
      </c>
      <c r="H5216">
        <v>1</v>
      </c>
      <c r="I5216" t="s">
        <v>27</v>
      </c>
    </row>
    <row r="5217" spans="1:9" x14ac:dyDescent="0.2">
      <c r="A5217" t="str">
        <f t="shared" si="328"/>
        <v>40513Vaipahu1851PocilloporidaeDessus</v>
      </c>
      <c r="B5217" s="1">
        <v>40513</v>
      </c>
      <c r="C5217" t="s">
        <v>23</v>
      </c>
      <c r="D5217" s="19">
        <v>18</v>
      </c>
      <c r="E5217">
        <v>51</v>
      </c>
      <c r="F5217" t="s">
        <v>10</v>
      </c>
      <c r="G5217" t="s">
        <v>11</v>
      </c>
      <c r="H5217">
        <v>2</v>
      </c>
      <c r="I5217" t="s">
        <v>27</v>
      </c>
    </row>
    <row r="5218" spans="1:9" x14ac:dyDescent="0.2">
      <c r="A5218" t="str">
        <f t="shared" si="328"/>
        <v>40513Vaipahu1852Autres</v>
      </c>
      <c r="B5218" s="1">
        <v>40513</v>
      </c>
      <c r="C5218" t="s">
        <v>23</v>
      </c>
      <c r="D5218" s="19">
        <v>18</v>
      </c>
      <c r="E5218">
        <v>52</v>
      </c>
      <c r="F5218" t="s">
        <v>14</v>
      </c>
      <c r="H5218">
        <v>0</v>
      </c>
    </row>
    <row r="5219" spans="1:9" x14ac:dyDescent="0.2">
      <c r="A5219" t="str">
        <f t="shared" si="328"/>
        <v>40513Vaipahu1853Autres</v>
      </c>
      <c r="B5219" s="1">
        <v>40513</v>
      </c>
      <c r="C5219" t="s">
        <v>23</v>
      </c>
      <c r="D5219" s="19">
        <v>18</v>
      </c>
      <c r="E5219">
        <v>53</v>
      </c>
      <c r="F5219" t="s">
        <v>14</v>
      </c>
      <c r="H5219">
        <v>0</v>
      </c>
    </row>
    <row r="5220" spans="1:9" x14ac:dyDescent="0.2">
      <c r="A5220" t="str">
        <f t="shared" si="328"/>
        <v>40513Vaipahu1854Autres</v>
      </c>
      <c r="B5220" s="1">
        <v>40513</v>
      </c>
      <c r="C5220" t="s">
        <v>23</v>
      </c>
      <c r="D5220" s="19">
        <v>18</v>
      </c>
      <c r="E5220">
        <v>54</v>
      </c>
      <c r="F5220" t="s">
        <v>14</v>
      </c>
      <c r="H5220">
        <v>0</v>
      </c>
    </row>
    <row r="5221" spans="1:9" x14ac:dyDescent="0.2">
      <c r="A5221" t="str">
        <f t="shared" si="328"/>
        <v>40513Vaipahu1855PocilloporidaeDessous</v>
      </c>
      <c r="B5221" s="1">
        <v>40513</v>
      </c>
      <c r="C5221" t="s">
        <v>23</v>
      </c>
      <c r="D5221" s="19">
        <v>18</v>
      </c>
      <c r="E5221">
        <v>55</v>
      </c>
      <c r="F5221" t="s">
        <v>10</v>
      </c>
      <c r="G5221" t="s">
        <v>8</v>
      </c>
      <c r="H5221">
        <v>2</v>
      </c>
      <c r="I5221" t="s">
        <v>27</v>
      </c>
    </row>
    <row r="5222" spans="1:9" x14ac:dyDescent="0.2">
      <c r="A5222" t="str">
        <f t="shared" si="328"/>
        <v>40513Vaipahu1856PocilloporidaeDessous</v>
      </c>
      <c r="B5222" s="1">
        <v>40513</v>
      </c>
      <c r="C5222" t="s">
        <v>23</v>
      </c>
      <c r="D5222" s="19">
        <v>18</v>
      </c>
      <c r="E5222">
        <v>56</v>
      </c>
      <c r="F5222" t="s">
        <v>10</v>
      </c>
      <c r="G5222" t="s">
        <v>8</v>
      </c>
      <c r="H5222">
        <v>5</v>
      </c>
      <c r="I5222" t="s">
        <v>27</v>
      </c>
    </row>
    <row r="5223" spans="1:9" x14ac:dyDescent="0.2">
      <c r="A5223" t="str">
        <f t="shared" si="328"/>
        <v>40513Vaipahu1857Autres</v>
      </c>
      <c r="B5223" s="1">
        <v>40513</v>
      </c>
      <c r="C5223" t="s">
        <v>23</v>
      </c>
      <c r="D5223" s="19">
        <v>18</v>
      </c>
      <c r="E5223">
        <v>57</v>
      </c>
      <c r="F5223" t="s">
        <v>14</v>
      </c>
      <c r="H5223">
        <v>0</v>
      </c>
    </row>
    <row r="5224" spans="1:9" x14ac:dyDescent="0.2">
      <c r="A5224" t="str">
        <f t="shared" si="328"/>
        <v>40513Vaipahu1858PocilloporidaeDessous</v>
      </c>
      <c r="B5224" s="1">
        <v>40513</v>
      </c>
      <c r="C5224" t="s">
        <v>23</v>
      </c>
      <c r="D5224" s="19">
        <v>18</v>
      </c>
      <c r="E5224">
        <v>58</v>
      </c>
      <c r="F5224" t="s">
        <v>10</v>
      </c>
      <c r="G5224" t="s">
        <v>8</v>
      </c>
      <c r="H5224">
        <v>2</v>
      </c>
      <c r="I5224" t="s">
        <v>27</v>
      </c>
    </row>
    <row r="5225" spans="1:9" x14ac:dyDescent="0.2">
      <c r="A5225" t="str">
        <f t="shared" si="328"/>
        <v>40513Vaipahu1859PocilloporidaeDessous</v>
      </c>
      <c r="B5225" s="1">
        <v>40513</v>
      </c>
      <c r="C5225" t="s">
        <v>23</v>
      </c>
      <c r="D5225" s="19">
        <v>18</v>
      </c>
      <c r="E5225">
        <v>59</v>
      </c>
      <c r="F5225" t="s">
        <v>10</v>
      </c>
      <c r="G5225" t="s">
        <v>8</v>
      </c>
      <c r="H5225">
        <v>1</v>
      </c>
      <c r="I5225" t="s">
        <v>27</v>
      </c>
    </row>
    <row r="5226" spans="1:9" x14ac:dyDescent="0.2">
      <c r="A5226" t="str">
        <f t="shared" si="328"/>
        <v>40513Vaipahu1859PocilloporidaeDessus</v>
      </c>
      <c r="B5226" s="1">
        <v>40513</v>
      </c>
      <c r="C5226" t="s">
        <v>23</v>
      </c>
      <c r="D5226" s="19">
        <v>18</v>
      </c>
      <c r="E5226">
        <v>59</v>
      </c>
      <c r="F5226" t="s">
        <v>10</v>
      </c>
      <c r="G5226" t="s">
        <v>11</v>
      </c>
      <c r="H5226">
        <v>1</v>
      </c>
      <c r="I5226" t="s">
        <v>27</v>
      </c>
    </row>
    <row r="5227" spans="1:9" x14ac:dyDescent="0.2">
      <c r="A5227" t="str">
        <f t="shared" si="328"/>
        <v>40513Vaipahu1860PocilloporidaeDessous</v>
      </c>
      <c r="B5227" s="1">
        <v>40513</v>
      </c>
      <c r="C5227" t="s">
        <v>23</v>
      </c>
      <c r="D5227" s="19">
        <v>18</v>
      </c>
      <c r="E5227">
        <v>60</v>
      </c>
      <c r="F5227" t="s">
        <v>10</v>
      </c>
      <c r="G5227" t="s">
        <v>8</v>
      </c>
      <c r="H5227">
        <v>1</v>
      </c>
      <c r="I5227" t="s">
        <v>27</v>
      </c>
    </row>
    <row r="5228" spans="1:9" x14ac:dyDescent="0.2">
      <c r="A5228" t="str">
        <f t="shared" si="328"/>
        <v>40513Tiahura661PocilloporidaeBords</v>
      </c>
      <c r="B5228" s="1">
        <v>40513</v>
      </c>
      <c r="C5228" t="s">
        <v>24</v>
      </c>
      <c r="D5228" s="19">
        <v>6</v>
      </c>
      <c r="E5228">
        <v>61</v>
      </c>
      <c r="F5228" t="s">
        <v>10</v>
      </c>
      <c r="G5228" t="s">
        <v>13</v>
      </c>
      <c r="H5228">
        <v>2</v>
      </c>
      <c r="I5228" t="s">
        <v>27</v>
      </c>
    </row>
    <row r="5229" spans="1:9" x14ac:dyDescent="0.2">
      <c r="A5229" t="str">
        <f t="shared" si="328"/>
        <v>40513Tiahura661PocilloporidaeDessus</v>
      </c>
      <c r="B5229" s="1">
        <v>40513</v>
      </c>
      <c r="C5229" t="s">
        <v>24</v>
      </c>
      <c r="D5229" s="19">
        <v>6</v>
      </c>
      <c r="E5229">
        <v>61</v>
      </c>
      <c r="F5229" t="s">
        <v>10</v>
      </c>
      <c r="G5229" t="s">
        <v>11</v>
      </c>
      <c r="H5229">
        <v>1</v>
      </c>
      <c r="I5229" t="s">
        <v>27</v>
      </c>
    </row>
    <row r="5230" spans="1:9" x14ac:dyDescent="0.2">
      <c r="A5230" t="str">
        <f t="shared" si="328"/>
        <v>40513Tiahura662CassésDessus</v>
      </c>
      <c r="B5230" s="1">
        <v>40513</v>
      </c>
      <c r="C5230" t="s">
        <v>24</v>
      </c>
      <c r="D5230" s="19">
        <v>6</v>
      </c>
      <c r="E5230">
        <v>62</v>
      </c>
      <c r="F5230" t="s">
        <v>12</v>
      </c>
      <c r="G5230" t="s">
        <v>11</v>
      </c>
      <c r="H5230">
        <v>1</v>
      </c>
      <c r="I5230" t="s">
        <v>27</v>
      </c>
    </row>
    <row r="5231" spans="1:9" x14ac:dyDescent="0.2">
      <c r="A5231" t="str">
        <f t="shared" si="328"/>
        <v>40513Tiahura662PocilloporidaeBords</v>
      </c>
      <c r="B5231" s="1">
        <v>40513</v>
      </c>
      <c r="C5231" t="s">
        <v>24</v>
      </c>
      <c r="D5231" s="19">
        <v>6</v>
      </c>
      <c r="E5231">
        <v>62</v>
      </c>
      <c r="F5231" t="s">
        <v>10</v>
      </c>
      <c r="G5231" t="s">
        <v>13</v>
      </c>
      <c r="H5231">
        <v>4</v>
      </c>
      <c r="I5231" t="s">
        <v>27</v>
      </c>
    </row>
    <row r="5232" spans="1:9" x14ac:dyDescent="0.2">
      <c r="A5232" t="str">
        <f t="shared" si="328"/>
        <v>40513Tiahura662PocilloporidaeDessous</v>
      </c>
      <c r="B5232" s="1">
        <v>40513</v>
      </c>
      <c r="C5232" t="s">
        <v>24</v>
      </c>
      <c r="D5232" s="19">
        <v>6</v>
      </c>
      <c r="E5232">
        <v>62</v>
      </c>
      <c r="F5232" t="s">
        <v>10</v>
      </c>
      <c r="G5232" t="s">
        <v>8</v>
      </c>
      <c r="H5232">
        <v>3</v>
      </c>
      <c r="I5232" t="s">
        <v>27</v>
      </c>
    </row>
    <row r="5233" spans="1:9" x14ac:dyDescent="0.2">
      <c r="A5233" t="str">
        <f t="shared" si="328"/>
        <v>40513Tiahura662PocilloporidaeDessus</v>
      </c>
      <c r="B5233" s="1">
        <v>40513</v>
      </c>
      <c r="C5233" t="s">
        <v>24</v>
      </c>
      <c r="D5233" s="19">
        <v>6</v>
      </c>
      <c r="E5233">
        <v>62</v>
      </c>
      <c r="F5233" t="s">
        <v>10</v>
      </c>
      <c r="G5233" t="s">
        <v>11</v>
      </c>
      <c r="H5233">
        <v>5</v>
      </c>
      <c r="I5233" t="s">
        <v>27</v>
      </c>
    </row>
    <row r="5234" spans="1:9" x14ac:dyDescent="0.2">
      <c r="A5234" t="str">
        <f t="shared" si="328"/>
        <v>40513Tiahura663PocilloporidaeDessous</v>
      </c>
      <c r="B5234" s="1">
        <v>40513</v>
      </c>
      <c r="C5234" t="s">
        <v>24</v>
      </c>
      <c r="D5234" s="19">
        <v>6</v>
      </c>
      <c r="E5234">
        <v>63</v>
      </c>
      <c r="F5234" t="s">
        <v>10</v>
      </c>
      <c r="G5234" t="s">
        <v>8</v>
      </c>
      <c r="H5234">
        <v>3</v>
      </c>
      <c r="I5234" t="s">
        <v>27</v>
      </c>
    </row>
    <row r="5235" spans="1:9" x14ac:dyDescent="0.2">
      <c r="A5235" t="str">
        <f t="shared" si="328"/>
        <v>40513Tiahura663PocilloporidaeDessus</v>
      </c>
      <c r="B5235" s="1">
        <v>40513</v>
      </c>
      <c r="C5235" t="s">
        <v>24</v>
      </c>
      <c r="D5235" s="19">
        <v>6</v>
      </c>
      <c r="E5235">
        <v>63</v>
      </c>
      <c r="F5235" t="s">
        <v>10</v>
      </c>
      <c r="G5235" t="s">
        <v>11</v>
      </c>
      <c r="H5235">
        <v>6</v>
      </c>
      <c r="I5235" t="s">
        <v>27</v>
      </c>
    </row>
    <row r="5236" spans="1:9" x14ac:dyDescent="0.2">
      <c r="A5236" t="str">
        <f t="shared" si="328"/>
        <v>40513Tiahura664PocilloporidaeBords</v>
      </c>
      <c r="B5236" s="1">
        <v>40513</v>
      </c>
      <c r="C5236" t="s">
        <v>24</v>
      </c>
      <c r="D5236" s="19">
        <v>6</v>
      </c>
      <c r="E5236">
        <v>64</v>
      </c>
      <c r="F5236" t="s">
        <v>10</v>
      </c>
      <c r="G5236" t="s">
        <v>13</v>
      </c>
      <c r="H5236">
        <v>1</v>
      </c>
      <c r="I5236" t="s">
        <v>27</v>
      </c>
    </row>
    <row r="5237" spans="1:9" x14ac:dyDescent="0.2">
      <c r="A5237" t="str">
        <f t="shared" si="328"/>
        <v>40513Tiahura664PocilloporidaeDessus</v>
      </c>
      <c r="B5237" s="1">
        <v>40513</v>
      </c>
      <c r="C5237" t="s">
        <v>24</v>
      </c>
      <c r="D5237" s="19">
        <v>6</v>
      </c>
      <c r="E5237">
        <v>64</v>
      </c>
      <c r="F5237" t="s">
        <v>10</v>
      </c>
      <c r="G5237" t="s">
        <v>11</v>
      </c>
      <c r="H5237">
        <v>2</v>
      </c>
      <c r="I5237" t="s">
        <v>27</v>
      </c>
    </row>
    <row r="5238" spans="1:9" x14ac:dyDescent="0.2">
      <c r="A5238" t="str">
        <f t="shared" si="328"/>
        <v>40513Tiahura665PocilloporidaeDessous</v>
      </c>
      <c r="B5238" s="1">
        <v>40513</v>
      </c>
      <c r="C5238" t="s">
        <v>24</v>
      </c>
      <c r="D5238" s="19">
        <v>6</v>
      </c>
      <c r="E5238">
        <v>65</v>
      </c>
      <c r="F5238" t="s">
        <v>10</v>
      </c>
      <c r="G5238" t="s">
        <v>8</v>
      </c>
      <c r="H5238">
        <v>1</v>
      </c>
      <c r="I5238" t="s">
        <v>27</v>
      </c>
    </row>
    <row r="5239" spans="1:9" x14ac:dyDescent="0.2">
      <c r="A5239" t="str">
        <f t="shared" si="328"/>
        <v>40513Tiahura665PocilloporidaeDessus</v>
      </c>
      <c r="B5239" s="1">
        <v>40513</v>
      </c>
      <c r="C5239" t="s">
        <v>24</v>
      </c>
      <c r="D5239" s="19">
        <v>6</v>
      </c>
      <c r="E5239">
        <v>65</v>
      </c>
      <c r="F5239" t="s">
        <v>10</v>
      </c>
      <c r="G5239" t="s">
        <v>11</v>
      </c>
      <c r="H5239">
        <v>1</v>
      </c>
      <c r="I5239" t="s">
        <v>27</v>
      </c>
    </row>
    <row r="5240" spans="1:9" x14ac:dyDescent="0.2">
      <c r="A5240" t="str">
        <f t="shared" si="328"/>
        <v>40513Tiahura666Autres</v>
      </c>
      <c r="B5240" s="1">
        <v>40513</v>
      </c>
      <c r="C5240" t="s">
        <v>24</v>
      </c>
      <c r="D5240" s="19">
        <v>6</v>
      </c>
      <c r="E5240">
        <v>66</v>
      </c>
      <c r="F5240" t="s">
        <v>14</v>
      </c>
      <c r="H5240">
        <v>0</v>
      </c>
    </row>
    <row r="5241" spans="1:9" x14ac:dyDescent="0.2">
      <c r="A5241" t="str">
        <f t="shared" si="328"/>
        <v>40513Tiahura667PocilloporidaeBords</v>
      </c>
      <c r="B5241" s="1">
        <v>40513</v>
      </c>
      <c r="C5241" t="s">
        <v>24</v>
      </c>
      <c r="D5241" s="19">
        <v>6</v>
      </c>
      <c r="E5241">
        <v>67</v>
      </c>
      <c r="F5241" t="s">
        <v>10</v>
      </c>
      <c r="G5241" t="s">
        <v>13</v>
      </c>
      <c r="H5241">
        <v>1</v>
      </c>
      <c r="I5241" t="s">
        <v>27</v>
      </c>
    </row>
    <row r="5242" spans="1:9" x14ac:dyDescent="0.2">
      <c r="A5242" t="str">
        <f t="shared" si="328"/>
        <v>40513Tiahura667PocilloporidaeDessous</v>
      </c>
      <c r="B5242" s="1">
        <v>40513</v>
      </c>
      <c r="C5242" t="s">
        <v>24</v>
      </c>
      <c r="D5242" s="19">
        <v>6</v>
      </c>
      <c r="E5242">
        <v>67</v>
      </c>
      <c r="F5242" t="s">
        <v>10</v>
      </c>
      <c r="G5242" t="s">
        <v>8</v>
      </c>
      <c r="H5242">
        <v>2</v>
      </c>
      <c r="I5242" t="s">
        <v>27</v>
      </c>
    </row>
    <row r="5243" spans="1:9" x14ac:dyDescent="0.2">
      <c r="A5243" t="str">
        <f t="shared" si="328"/>
        <v>40513Tiahura667PocilloporidaeDessus</v>
      </c>
      <c r="B5243" s="1">
        <v>40513</v>
      </c>
      <c r="C5243" t="s">
        <v>24</v>
      </c>
      <c r="D5243" s="19">
        <v>6</v>
      </c>
      <c r="E5243">
        <v>67</v>
      </c>
      <c r="F5243" t="s">
        <v>10</v>
      </c>
      <c r="G5243" t="s">
        <v>11</v>
      </c>
      <c r="H5243">
        <v>6</v>
      </c>
      <c r="I5243" t="s">
        <v>27</v>
      </c>
    </row>
    <row r="5244" spans="1:9" x14ac:dyDescent="0.2">
      <c r="A5244" t="str">
        <f t="shared" si="328"/>
        <v>40513Tiahura668PocilloporidaeBords</v>
      </c>
      <c r="B5244" s="1">
        <v>40513</v>
      </c>
      <c r="C5244" t="s">
        <v>24</v>
      </c>
      <c r="D5244" s="19">
        <v>6</v>
      </c>
      <c r="E5244">
        <v>68</v>
      </c>
      <c r="F5244" t="s">
        <v>10</v>
      </c>
      <c r="G5244" t="s">
        <v>13</v>
      </c>
      <c r="H5244">
        <v>1</v>
      </c>
      <c r="I5244" t="s">
        <v>27</v>
      </c>
    </row>
    <row r="5245" spans="1:9" x14ac:dyDescent="0.2">
      <c r="A5245" t="str">
        <f t="shared" si="328"/>
        <v>40513Tiahura668PocilloporidaeDessus</v>
      </c>
      <c r="B5245" s="1">
        <v>40513</v>
      </c>
      <c r="C5245" t="s">
        <v>24</v>
      </c>
      <c r="D5245" s="19">
        <v>6</v>
      </c>
      <c r="E5245">
        <v>68</v>
      </c>
      <c r="F5245" t="s">
        <v>10</v>
      </c>
      <c r="G5245" t="s">
        <v>11</v>
      </c>
      <c r="H5245">
        <v>3</v>
      </c>
      <c r="I5245" t="s">
        <v>27</v>
      </c>
    </row>
    <row r="5246" spans="1:9" x14ac:dyDescent="0.2">
      <c r="A5246" t="str">
        <f t="shared" si="328"/>
        <v>40513Tiahura669PocilloporidaeDessous</v>
      </c>
      <c r="B5246" s="1">
        <v>40513</v>
      </c>
      <c r="C5246" t="s">
        <v>24</v>
      </c>
      <c r="D5246" s="19">
        <v>6</v>
      </c>
      <c r="E5246">
        <v>69</v>
      </c>
      <c r="F5246" t="s">
        <v>10</v>
      </c>
      <c r="G5246" t="s">
        <v>8</v>
      </c>
      <c r="H5246">
        <v>1</v>
      </c>
      <c r="I5246" t="s">
        <v>27</v>
      </c>
    </row>
    <row r="5247" spans="1:9" x14ac:dyDescent="0.2">
      <c r="A5247" t="str">
        <f t="shared" ref="A5247:A5310" si="329">B5247 &amp; C5247&amp; D5247&amp; E5247 &amp; F5247 &amp;G5247</f>
        <v>40513Tiahura670PocilloporidaeDessous</v>
      </c>
      <c r="B5247" s="1">
        <v>40513</v>
      </c>
      <c r="C5247" t="s">
        <v>24</v>
      </c>
      <c r="D5247" s="19">
        <v>6</v>
      </c>
      <c r="E5247">
        <v>70</v>
      </c>
      <c r="F5247" t="s">
        <v>10</v>
      </c>
      <c r="G5247" t="s">
        <v>8</v>
      </c>
      <c r="H5247">
        <v>3</v>
      </c>
      <c r="I5247" t="s">
        <v>27</v>
      </c>
    </row>
    <row r="5248" spans="1:9" x14ac:dyDescent="0.2">
      <c r="A5248" t="str">
        <f t="shared" si="329"/>
        <v>40513Tiahura670PocilloporidaeDessus</v>
      </c>
      <c r="B5248" s="1">
        <v>40513</v>
      </c>
      <c r="C5248" t="s">
        <v>24</v>
      </c>
      <c r="D5248" s="19">
        <v>6</v>
      </c>
      <c r="E5248">
        <v>70</v>
      </c>
      <c r="F5248" t="s">
        <v>10</v>
      </c>
      <c r="G5248" t="s">
        <v>11</v>
      </c>
      <c r="H5248">
        <v>1</v>
      </c>
      <c r="I5248" t="s">
        <v>27</v>
      </c>
    </row>
    <row r="5249" spans="1:9" x14ac:dyDescent="0.2">
      <c r="A5249" t="str">
        <f t="shared" si="329"/>
        <v>40513Tiahura671CassésBords</v>
      </c>
      <c r="B5249" s="1">
        <v>40513</v>
      </c>
      <c r="C5249" t="s">
        <v>24</v>
      </c>
      <c r="D5249" s="19">
        <v>6</v>
      </c>
      <c r="E5249">
        <v>71</v>
      </c>
      <c r="F5249" t="s">
        <v>12</v>
      </c>
      <c r="G5249" t="s">
        <v>13</v>
      </c>
      <c r="H5249">
        <v>1</v>
      </c>
      <c r="I5249" t="s">
        <v>27</v>
      </c>
    </row>
    <row r="5250" spans="1:9" x14ac:dyDescent="0.2">
      <c r="A5250" t="str">
        <f t="shared" si="329"/>
        <v>40513Tiahura671CassésDessus</v>
      </c>
      <c r="B5250" s="1">
        <v>40513</v>
      </c>
      <c r="C5250" t="s">
        <v>24</v>
      </c>
      <c r="D5250" s="19">
        <v>6</v>
      </c>
      <c r="E5250">
        <v>71</v>
      </c>
      <c r="F5250" t="s">
        <v>12</v>
      </c>
      <c r="G5250" t="s">
        <v>11</v>
      </c>
      <c r="H5250">
        <v>1</v>
      </c>
      <c r="I5250" t="s">
        <v>27</v>
      </c>
    </row>
    <row r="5251" spans="1:9" x14ac:dyDescent="0.2">
      <c r="A5251" t="str">
        <f t="shared" si="329"/>
        <v>40513Tiahura671PocilloporidaeBords</v>
      </c>
      <c r="B5251" s="1">
        <v>40513</v>
      </c>
      <c r="C5251" t="s">
        <v>24</v>
      </c>
      <c r="D5251" s="19">
        <v>6</v>
      </c>
      <c r="E5251">
        <v>71</v>
      </c>
      <c r="F5251" t="s">
        <v>10</v>
      </c>
      <c r="G5251" t="s">
        <v>13</v>
      </c>
      <c r="H5251">
        <v>6</v>
      </c>
      <c r="I5251" t="s">
        <v>27</v>
      </c>
    </row>
    <row r="5252" spans="1:9" x14ac:dyDescent="0.2">
      <c r="A5252" t="str">
        <f t="shared" si="329"/>
        <v>40513Tiahura671PocilloporidaeDessus</v>
      </c>
      <c r="B5252" s="1">
        <v>40513</v>
      </c>
      <c r="C5252" t="s">
        <v>24</v>
      </c>
      <c r="D5252" s="19">
        <v>6</v>
      </c>
      <c r="E5252">
        <v>71</v>
      </c>
      <c r="F5252" t="s">
        <v>10</v>
      </c>
      <c r="G5252" t="s">
        <v>11</v>
      </c>
      <c r="H5252">
        <v>6</v>
      </c>
      <c r="I5252" t="s">
        <v>27</v>
      </c>
    </row>
    <row r="5253" spans="1:9" x14ac:dyDescent="0.2">
      <c r="A5253" t="str">
        <f t="shared" si="329"/>
        <v>40513Tiahura672PocilloporidaeDessus</v>
      </c>
      <c r="B5253" s="1">
        <v>40513</v>
      </c>
      <c r="C5253" t="s">
        <v>24</v>
      </c>
      <c r="D5253" s="19">
        <v>6</v>
      </c>
      <c r="E5253">
        <v>72</v>
      </c>
      <c r="F5253" t="s">
        <v>10</v>
      </c>
      <c r="G5253" t="s">
        <v>11</v>
      </c>
      <c r="H5253">
        <v>1</v>
      </c>
      <c r="I5253" t="s">
        <v>27</v>
      </c>
    </row>
    <row r="5254" spans="1:9" x14ac:dyDescent="0.2">
      <c r="A5254" t="str">
        <f t="shared" si="329"/>
        <v>40513Tiahura673PocilloporidaeBords</v>
      </c>
      <c r="B5254" s="1">
        <v>40513</v>
      </c>
      <c r="C5254" t="s">
        <v>24</v>
      </c>
      <c r="D5254" s="19">
        <v>6</v>
      </c>
      <c r="E5254">
        <v>73</v>
      </c>
      <c r="F5254" t="s">
        <v>10</v>
      </c>
      <c r="G5254" t="s">
        <v>13</v>
      </c>
      <c r="H5254">
        <v>3</v>
      </c>
      <c r="I5254" t="s">
        <v>27</v>
      </c>
    </row>
    <row r="5255" spans="1:9" x14ac:dyDescent="0.2">
      <c r="A5255" t="str">
        <f t="shared" si="329"/>
        <v>40513Tiahura673PocilloporidaeDessus</v>
      </c>
      <c r="B5255" s="1">
        <v>40513</v>
      </c>
      <c r="C5255" t="s">
        <v>24</v>
      </c>
      <c r="D5255" s="19">
        <v>6</v>
      </c>
      <c r="E5255">
        <v>73</v>
      </c>
      <c r="F5255" t="s">
        <v>10</v>
      </c>
      <c r="G5255" t="s">
        <v>11</v>
      </c>
      <c r="H5255">
        <v>1</v>
      </c>
      <c r="I5255" t="s">
        <v>27</v>
      </c>
    </row>
    <row r="5256" spans="1:9" x14ac:dyDescent="0.2">
      <c r="A5256" t="str">
        <f t="shared" si="329"/>
        <v>40513Tiahura674AcroporidaeDessous</v>
      </c>
      <c r="B5256" s="1">
        <v>40513</v>
      </c>
      <c r="C5256" t="s">
        <v>24</v>
      </c>
      <c r="D5256" s="19">
        <v>6</v>
      </c>
      <c r="E5256">
        <v>74</v>
      </c>
      <c r="F5256" t="s">
        <v>17</v>
      </c>
      <c r="G5256" t="s">
        <v>8</v>
      </c>
      <c r="H5256">
        <v>1</v>
      </c>
      <c r="I5256" t="s">
        <v>27</v>
      </c>
    </row>
    <row r="5257" spans="1:9" x14ac:dyDescent="0.2">
      <c r="A5257" t="str">
        <f t="shared" si="329"/>
        <v>40513Tiahura674PocilloporidaeBords</v>
      </c>
      <c r="B5257" s="1">
        <v>40513</v>
      </c>
      <c r="C5257" t="s">
        <v>24</v>
      </c>
      <c r="D5257" s="19">
        <v>6</v>
      </c>
      <c r="E5257">
        <v>74</v>
      </c>
      <c r="F5257" t="s">
        <v>10</v>
      </c>
      <c r="G5257" t="s">
        <v>13</v>
      </c>
      <c r="H5257">
        <v>6</v>
      </c>
      <c r="I5257" t="s">
        <v>27</v>
      </c>
    </row>
    <row r="5258" spans="1:9" x14ac:dyDescent="0.2">
      <c r="A5258" t="str">
        <f t="shared" si="329"/>
        <v>40513Tiahura675PocilloporidaeBords</v>
      </c>
      <c r="B5258" s="1">
        <v>40513</v>
      </c>
      <c r="C5258" t="s">
        <v>24</v>
      </c>
      <c r="D5258" s="19">
        <v>6</v>
      </c>
      <c r="E5258">
        <v>75</v>
      </c>
      <c r="F5258" t="s">
        <v>10</v>
      </c>
      <c r="G5258" t="s">
        <v>13</v>
      </c>
      <c r="H5258">
        <v>2</v>
      </c>
      <c r="I5258" t="s">
        <v>27</v>
      </c>
    </row>
    <row r="5259" spans="1:9" x14ac:dyDescent="0.2">
      <c r="A5259" t="str">
        <f t="shared" si="329"/>
        <v>40513Tiahura675PocilloporidaeDessous</v>
      </c>
      <c r="B5259" s="1">
        <v>40513</v>
      </c>
      <c r="C5259" t="s">
        <v>24</v>
      </c>
      <c r="D5259" s="19">
        <v>6</v>
      </c>
      <c r="E5259">
        <v>75</v>
      </c>
      <c r="F5259" t="s">
        <v>10</v>
      </c>
      <c r="G5259" t="s">
        <v>8</v>
      </c>
      <c r="H5259">
        <v>1</v>
      </c>
      <c r="I5259" t="s">
        <v>27</v>
      </c>
    </row>
    <row r="5260" spans="1:9" x14ac:dyDescent="0.2">
      <c r="A5260" t="str">
        <f t="shared" si="329"/>
        <v>40513Tiahura675PocilloporidaeDessus</v>
      </c>
      <c r="B5260" s="1">
        <v>40513</v>
      </c>
      <c r="C5260" t="s">
        <v>24</v>
      </c>
      <c r="D5260" s="19">
        <v>6</v>
      </c>
      <c r="E5260">
        <v>75</v>
      </c>
      <c r="F5260" t="s">
        <v>10</v>
      </c>
      <c r="G5260" t="s">
        <v>11</v>
      </c>
      <c r="H5260">
        <v>4</v>
      </c>
      <c r="I5260" t="s">
        <v>27</v>
      </c>
    </row>
    <row r="5261" spans="1:9" x14ac:dyDescent="0.2">
      <c r="A5261" t="str">
        <f t="shared" si="329"/>
        <v>40513Tiahura675PoritidaeDessus</v>
      </c>
      <c r="B5261" s="1">
        <v>40513</v>
      </c>
      <c r="C5261" t="s">
        <v>24</v>
      </c>
      <c r="D5261" s="19">
        <v>6</v>
      </c>
      <c r="E5261">
        <v>75</v>
      </c>
      <c r="F5261" t="s">
        <v>7</v>
      </c>
      <c r="G5261" t="s">
        <v>11</v>
      </c>
      <c r="H5261">
        <v>1</v>
      </c>
      <c r="I5261" t="s">
        <v>27</v>
      </c>
    </row>
    <row r="5262" spans="1:9" x14ac:dyDescent="0.2">
      <c r="A5262" t="str">
        <f t="shared" si="329"/>
        <v>40513Tiahura676PocilloporidaeDessous</v>
      </c>
      <c r="B5262" s="1">
        <v>40513</v>
      </c>
      <c r="C5262" t="s">
        <v>24</v>
      </c>
      <c r="D5262" s="19">
        <v>6</v>
      </c>
      <c r="E5262">
        <v>76</v>
      </c>
      <c r="F5262" t="s">
        <v>10</v>
      </c>
      <c r="G5262" t="s">
        <v>8</v>
      </c>
      <c r="H5262">
        <v>2</v>
      </c>
      <c r="I5262" t="s">
        <v>27</v>
      </c>
    </row>
    <row r="5263" spans="1:9" x14ac:dyDescent="0.2">
      <c r="A5263" t="str">
        <f t="shared" si="329"/>
        <v>40513Tiahura677PocilloporidaeBords</v>
      </c>
      <c r="B5263" s="1">
        <v>40513</v>
      </c>
      <c r="C5263" t="s">
        <v>24</v>
      </c>
      <c r="D5263" s="19">
        <v>6</v>
      </c>
      <c r="E5263">
        <v>77</v>
      </c>
      <c r="F5263" t="s">
        <v>10</v>
      </c>
      <c r="G5263" t="s">
        <v>13</v>
      </c>
      <c r="H5263">
        <v>2</v>
      </c>
      <c r="I5263" t="s">
        <v>27</v>
      </c>
    </row>
    <row r="5264" spans="1:9" x14ac:dyDescent="0.2">
      <c r="A5264" t="str">
        <f t="shared" si="329"/>
        <v>40513Tiahura677PocilloporidaeDessus</v>
      </c>
      <c r="B5264" s="1">
        <v>40513</v>
      </c>
      <c r="C5264" t="s">
        <v>24</v>
      </c>
      <c r="D5264" s="19">
        <v>6</v>
      </c>
      <c r="E5264">
        <v>77</v>
      </c>
      <c r="F5264" t="s">
        <v>10</v>
      </c>
      <c r="G5264" t="s">
        <v>11</v>
      </c>
      <c r="H5264">
        <v>1</v>
      </c>
      <c r="I5264" t="s">
        <v>27</v>
      </c>
    </row>
    <row r="5265" spans="1:9" x14ac:dyDescent="0.2">
      <c r="A5265" t="str">
        <f t="shared" si="329"/>
        <v>40513Tiahura678PocilloporidaeBords</v>
      </c>
      <c r="B5265" s="1">
        <v>40513</v>
      </c>
      <c r="C5265" t="s">
        <v>24</v>
      </c>
      <c r="D5265" s="19">
        <v>6</v>
      </c>
      <c r="E5265">
        <v>78</v>
      </c>
      <c r="F5265" t="s">
        <v>10</v>
      </c>
      <c r="G5265" t="s">
        <v>13</v>
      </c>
      <c r="H5265">
        <v>2</v>
      </c>
      <c r="I5265" t="s">
        <v>27</v>
      </c>
    </row>
    <row r="5266" spans="1:9" x14ac:dyDescent="0.2">
      <c r="A5266" t="str">
        <f t="shared" si="329"/>
        <v>40513Tiahura678PocilloporidaeDessous</v>
      </c>
      <c r="B5266" s="1">
        <v>40513</v>
      </c>
      <c r="C5266" t="s">
        <v>24</v>
      </c>
      <c r="D5266" s="19">
        <v>6</v>
      </c>
      <c r="E5266">
        <v>78</v>
      </c>
      <c r="F5266" t="s">
        <v>10</v>
      </c>
      <c r="G5266" t="s">
        <v>8</v>
      </c>
      <c r="H5266">
        <v>11</v>
      </c>
      <c r="I5266" t="s">
        <v>27</v>
      </c>
    </row>
    <row r="5267" spans="1:9" x14ac:dyDescent="0.2">
      <c r="A5267" t="str">
        <f t="shared" si="329"/>
        <v>40513Tiahura678PoritidaeBords</v>
      </c>
      <c r="B5267" s="1">
        <v>40513</v>
      </c>
      <c r="C5267" t="s">
        <v>24</v>
      </c>
      <c r="D5267" s="19">
        <v>6</v>
      </c>
      <c r="E5267">
        <v>78</v>
      </c>
      <c r="F5267" t="s">
        <v>7</v>
      </c>
      <c r="G5267" t="s">
        <v>13</v>
      </c>
      <c r="H5267">
        <v>1</v>
      </c>
      <c r="I5267" t="s">
        <v>27</v>
      </c>
    </row>
    <row r="5268" spans="1:9" x14ac:dyDescent="0.2">
      <c r="A5268" t="str">
        <f t="shared" si="329"/>
        <v>40513Tiahura679CassésDessus</v>
      </c>
      <c r="B5268" s="1">
        <v>40513</v>
      </c>
      <c r="C5268" t="s">
        <v>24</v>
      </c>
      <c r="D5268" s="19">
        <v>6</v>
      </c>
      <c r="E5268">
        <v>79</v>
      </c>
      <c r="F5268" t="s">
        <v>12</v>
      </c>
      <c r="G5268" t="s">
        <v>11</v>
      </c>
      <c r="H5268">
        <v>1</v>
      </c>
      <c r="I5268" t="s">
        <v>27</v>
      </c>
    </row>
    <row r="5269" spans="1:9" x14ac:dyDescent="0.2">
      <c r="A5269" t="str">
        <f t="shared" si="329"/>
        <v>40513Tiahura679PocilloporidaeBords</v>
      </c>
      <c r="B5269" s="1">
        <v>40513</v>
      </c>
      <c r="C5269" t="s">
        <v>24</v>
      </c>
      <c r="D5269" s="19">
        <v>6</v>
      </c>
      <c r="E5269">
        <v>79</v>
      </c>
      <c r="F5269" t="s">
        <v>10</v>
      </c>
      <c r="G5269" t="s">
        <v>13</v>
      </c>
      <c r="H5269">
        <v>2</v>
      </c>
      <c r="I5269" t="s">
        <v>27</v>
      </c>
    </row>
    <row r="5270" spans="1:9" x14ac:dyDescent="0.2">
      <c r="A5270" t="str">
        <f t="shared" si="329"/>
        <v>40513Tiahura679PocilloporidaeDessus</v>
      </c>
      <c r="B5270" s="1">
        <v>40513</v>
      </c>
      <c r="C5270" t="s">
        <v>24</v>
      </c>
      <c r="D5270" s="19">
        <v>6</v>
      </c>
      <c r="E5270">
        <v>79</v>
      </c>
      <c r="F5270" t="s">
        <v>10</v>
      </c>
      <c r="G5270" t="s">
        <v>11</v>
      </c>
      <c r="H5270">
        <v>5</v>
      </c>
      <c r="I5270" t="s">
        <v>27</v>
      </c>
    </row>
    <row r="5271" spans="1:9" x14ac:dyDescent="0.2">
      <c r="A5271" t="str">
        <f t="shared" si="329"/>
        <v>40513Tiahura680PocilloporidaeDessous</v>
      </c>
      <c r="B5271" s="1">
        <v>40513</v>
      </c>
      <c r="C5271" t="s">
        <v>24</v>
      </c>
      <c r="D5271" s="19">
        <v>6</v>
      </c>
      <c r="E5271">
        <v>80</v>
      </c>
      <c r="F5271" t="s">
        <v>10</v>
      </c>
      <c r="G5271" t="s">
        <v>8</v>
      </c>
      <c r="H5271">
        <v>3</v>
      </c>
      <c r="I5271" t="s">
        <v>27</v>
      </c>
    </row>
    <row r="5272" spans="1:9" x14ac:dyDescent="0.2">
      <c r="A5272" t="str">
        <f t="shared" si="329"/>
        <v>40513Tiahura680PocilloporidaeDessus</v>
      </c>
      <c r="B5272" s="1">
        <v>40513</v>
      </c>
      <c r="C5272" t="s">
        <v>24</v>
      </c>
      <c r="D5272" s="19">
        <v>6</v>
      </c>
      <c r="E5272">
        <v>80</v>
      </c>
      <c r="F5272" t="s">
        <v>10</v>
      </c>
      <c r="G5272" t="s">
        <v>11</v>
      </c>
      <c r="H5272">
        <v>5</v>
      </c>
      <c r="I5272" t="s">
        <v>27</v>
      </c>
    </row>
    <row r="5273" spans="1:9" x14ac:dyDescent="0.2">
      <c r="A5273" t="str">
        <f t="shared" si="329"/>
        <v>40513Tiahura1281PocilloporidaeDessus</v>
      </c>
      <c r="B5273" s="1">
        <v>40513</v>
      </c>
      <c r="C5273" t="s">
        <v>24</v>
      </c>
      <c r="D5273" s="19">
        <v>12</v>
      </c>
      <c r="E5273">
        <v>81</v>
      </c>
      <c r="F5273" t="s">
        <v>10</v>
      </c>
      <c r="G5273" t="s">
        <v>11</v>
      </c>
      <c r="H5273">
        <v>1</v>
      </c>
      <c r="I5273" t="s">
        <v>27</v>
      </c>
    </row>
    <row r="5274" spans="1:9" x14ac:dyDescent="0.2">
      <c r="A5274" t="str">
        <f t="shared" si="329"/>
        <v>40513Tiahura1282PocilloporidaeBords</v>
      </c>
      <c r="B5274" s="1">
        <v>40513</v>
      </c>
      <c r="C5274" t="s">
        <v>24</v>
      </c>
      <c r="D5274" s="19">
        <v>12</v>
      </c>
      <c r="E5274">
        <v>82</v>
      </c>
      <c r="F5274" t="s">
        <v>10</v>
      </c>
      <c r="G5274" t="s">
        <v>13</v>
      </c>
      <c r="H5274">
        <v>1</v>
      </c>
      <c r="I5274" t="s">
        <v>27</v>
      </c>
    </row>
    <row r="5275" spans="1:9" x14ac:dyDescent="0.2">
      <c r="A5275" t="str">
        <f t="shared" si="329"/>
        <v>40513Tiahura1282PoritidaeDessus</v>
      </c>
      <c r="B5275" s="1">
        <v>40513</v>
      </c>
      <c r="C5275" t="s">
        <v>24</v>
      </c>
      <c r="D5275" s="19">
        <v>12</v>
      </c>
      <c r="E5275">
        <v>82</v>
      </c>
      <c r="F5275" t="s">
        <v>7</v>
      </c>
      <c r="G5275" t="s">
        <v>11</v>
      </c>
      <c r="H5275">
        <v>2</v>
      </c>
      <c r="I5275" t="s">
        <v>27</v>
      </c>
    </row>
    <row r="5276" spans="1:9" x14ac:dyDescent="0.2">
      <c r="A5276" t="str">
        <f t="shared" si="329"/>
        <v>40513Tiahura1283Autres</v>
      </c>
      <c r="B5276" s="1">
        <v>40513</v>
      </c>
      <c r="C5276" t="s">
        <v>24</v>
      </c>
      <c r="D5276" s="19">
        <v>12</v>
      </c>
      <c r="E5276">
        <v>83</v>
      </c>
      <c r="F5276" t="s">
        <v>14</v>
      </c>
      <c r="H5276">
        <v>0</v>
      </c>
    </row>
    <row r="5277" spans="1:9" x14ac:dyDescent="0.2">
      <c r="A5277" t="str">
        <f t="shared" si="329"/>
        <v>40513Tiahura1284PocilloporidaeBords</v>
      </c>
      <c r="B5277" s="1">
        <v>40513</v>
      </c>
      <c r="C5277" t="s">
        <v>24</v>
      </c>
      <c r="D5277" s="19">
        <v>12</v>
      </c>
      <c r="E5277">
        <v>84</v>
      </c>
      <c r="F5277" t="s">
        <v>10</v>
      </c>
      <c r="G5277" t="s">
        <v>13</v>
      </c>
      <c r="H5277">
        <v>7</v>
      </c>
      <c r="I5277" t="s">
        <v>27</v>
      </c>
    </row>
    <row r="5278" spans="1:9" x14ac:dyDescent="0.2">
      <c r="A5278" t="str">
        <f t="shared" si="329"/>
        <v>40513Tiahura1284PocilloporidaeDessous</v>
      </c>
      <c r="B5278" s="1">
        <v>40513</v>
      </c>
      <c r="C5278" t="s">
        <v>24</v>
      </c>
      <c r="D5278" s="19">
        <v>12</v>
      </c>
      <c r="E5278">
        <v>84</v>
      </c>
      <c r="F5278" t="s">
        <v>10</v>
      </c>
      <c r="G5278" t="s">
        <v>8</v>
      </c>
      <c r="H5278">
        <v>1</v>
      </c>
      <c r="I5278" t="s">
        <v>27</v>
      </c>
    </row>
    <row r="5279" spans="1:9" x14ac:dyDescent="0.2">
      <c r="A5279" t="str">
        <f t="shared" si="329"/>
        <v>40513Tiahura1284PocilloporidaeDessus</v>
      </c>
      <c r="B5279" s="1">
        <v>40513</v>
      </c>
      <c r="C5279" t="s">
        <v>24</v>
      </c>
      <c r="D5279" s="19">
        <v>12</v>
      </c>
      <c r="E5279">
        <v>84</v>
      </c>
      <c r="F5279" t="s">
        <v>10</v>
      </c>
      <c r="G5279" t="s">
        <v>11</v>
      </c>
      <c r="H5279">
        <v>2</v>
      </c>
      <c r="I5279" t="s">
        <v>27</v>
      </c>
    </row>
    <row r="5280" spans="1:9" x14ac:dyDescent="0.2">
      <c r="A5280" t="str">
        <f t="shared" si="329"/>
        <v>40513Tiahura1284PoritidaeBords</v>
      </c>
      <c r="B5280" s="1">
        <v>40513</v>
      </c>
      <c r="C5280" t="s">
        <v>24</v>
      </c>
      <c r="D5280" s="19">
        <v>12</v>
      </c>
      <c r="E5280">
        <v>84</v>
      </c>
      <c r="F5280" t="s">
        <v>7</v>
      </c>
      <c r="G5280" t="s">
        <v>13</v>
      </c>
      <c r="H5280">
        <v>10</v>
      </c>
      <c r="I5280" t="s">
        <v>27</v>
      </c>
    </row>
    <row r="5281" spans="1:9" x14ac:dyDescent="0.2">
      <c r="A5281" t="str">
        <f t="shared" si="329"/>
        <v>40513Tiahura1285AcroporidaeDessous</v>
      </c>
      <c r="B5281" s="1">
        <v>40513</v>
      </c>
      <c r="C5281" t="s">
        <v>24</v>
      </c>
      <c r="D5281" s="19">
        <v>12</v>
      </c>
      <c r="E5281">
        <v>85</v>
      </c>
      <c r="F5281" t="s">
        <v>17</v>
      </c>
      <c r="G5281" t="s">
        <v>8</v>
      </c>
      <c r="H5281">
        <v>1</v>
      </c>
      <c r="I5281" t="s">
        <v>27</v>
      </c>
    </row>
    <row r="5282" spans="1:9" x14ac:dyDescent="0.2">
      <c r="A5282" t="str">
        <f t="shared" si="329"/>
        <v>40513Tiahura1285Autres</v>
      </c>
      <c r="B5282" s="1">
        <v>40513</v>
      </c>
      <c r="C5282" t="s">
        <v>24</v>
      </c>
      <c r="D5282" s="19">
        <v>12</v>
      </c>
      <c r="E5282">
        <v>85</v>
      </c>
      <c r="F5282" t="s">
        <v>14</v>
      </c>
      <c r="H5282">
        <v>0</v>
      </c>
    </row>
    <row r="5283" spans="1:9" x14ac:dyDescent="0.2">
      <c r="A5283" t="str">
        <f t="shared" si="329"/>
        <v>40513Tiahura1285PocilloporidaeDessous</v>
      </c>
      <c r="B5283" s="1">
        <v>40513</v>
      </c>
      <c r="C5283" t="s">
        <v>24</v>
      </c>
      <c r="D5283" s="19">
        <v>12</v>
      </c>
      <c r="E5283">
        <v>85</v>
      </c>
      <c r="F5283" t="s">
        <v>10</v>
      </c>
      <c r="G5283" t="s">
        <v>8</v>
      </c>
      <c r="H5283">
        <v>3</v>
      </c>
      <c r="I5283" t="s">
        <v>27</v>
      </c>
    </row>
    <row r="5284" spans="1:9" x14ac:dyDescent="0.2">
      <c r="A5284" t="str">
        <f t="shared" si="329"/>
        <v>40513Tiahura1285PocilloporidaeDessus</v>
      </c>
      <c r="B5284" s="1">
        <v>40513</v>
      </c>
      <c r="C5284" t="s">
        <v>24</v>
      </c>
      <c r="D5284" s="19">
        <v>12</v>
      </c>
      <c r="E5284">
        <v>85</v>
      </c>
      <c r="F5284" t="s">
        <v>10</v>
      </c>
      <c r="G5284" t="s">
        <v>11</v>
      </c>
      <c r="H5284">
        <v>3</v>
      </c>
      <c r="I5284" t="s">
        <v>27</v>
      </c>
    </row>
    <row r="5285" spans="1:9" x14ac:dyDescent="0.2">
      <c r="A5285" t="str">
        <f t="shared" si="329"/>
        <v>40513Tiahura1285PoritidaeDessous</v>
      </c>
      <c r="B5285" s="1">
        <v>40513</v>
      </c>
      <c r="C5285" t="s">
        <v>24</v>
      </c>
      <c r="D5285" s="19">
        <v>12</v>
      </c>
      <c r="E5285">
        <v>85</v>
      </c>
      <c r="F5285" t="s">
        <v>7</v>
      </c>
      <c r="G5285" t="s">
        <v>8</v>
      </c>
      <c r="H5285">
        <v>1</v>
      </c>
      <c r="I5285" t="s">
        <v>27</v>
      </c>
    </row>
    <row r="5286" spans="1:9" x14ac:dyDescent="0.2">
      <c r="A5286" t="str">
        <f t="shared" si="329"/>
        <v>40513Tiahura1285PoritidaeDessus</v>
      </c>
      <c r="B5286" s="1">
        <v>40513</v>
      </c>
      <c r="C5286" t="s">
        <v>24</v>
      </c>
      <c r="D5286" s="19">
        <v>12</v>
      </c>
      <c r="E5286">
        <v>85</v>
      </c>
      <c r="F5286" t="s">
        <v>7</v>
      </c>
      <c r="G5286" t="s">
        <v>11</v>
      </c>
      <c r="H5286">
        <v>6</v>
      </c>
      <c r="I5286" t="s">
        <v>27</v>
      </c>
    </row>
    <row r="5287" spans="1:9" x14ac:dyDescent="0.2">
      <c r="A5287" t="str">
        <f t="shared" si="329"/>
        <v>40513Tiahura1286CassésDessus</v>
      </c>
      <c r="B5287" s="1">
        <v>40513</v>
      </c>
      <c r="C5287" t="s">
        <v>24</v>
      </c>
      <c r="D5287" s="19">
        <v>12</v>
      </c>
      <c r="E5287">
        <v>86</v>
      </c>
      <c r="F5287" t="s">
        <v>12</v>
      </c>
      <c r="G5287" t="s">
        <v>11</v>
      </c>
      <c r="H5287">
        <v>1</v>
      </c>
      <c r="I5287" t="s">
        <v>27</v>
      </c>
    </row>
    <row r="5288" spans="1:9" x14ac:dyDescent="0.2">
      <c r="A5288" t="str">
        <f t="shared" si="329"/>
        <v>40513Tiahura1286PocilloporidaeDessous</v>
      </c>
      <c r="B5288" s="1">
        <v>40513</v>
      </c>
      <c r="C5288" t="s">
        <v>24</v>
      </c>
      <c r="D5288" s="19">
        <v>12</v>
      </c>
      <c r="E5288">
        <v>86</v>
      </c>
      <c r="F5288" t="s">
        <v>10</v>
      </c>
      <c r="G5288" t="s">
        <v>8</v>
      </c>
      <c r="H5288">
        <v>3</v>
      </c>
      <c r="I5288" t="s">
        <v>27</v>
      </c>
    </row>
    <row r="5289" spans="1:9" x14ac:dyDescent="0.2">
      <c r="A5289" t="str">
        <f t="shared" si="329"/>
        <v>40513Tiahura1286PocilloporidaeDessus</v>
      </c>
      <c r="B5289" s="1">
        <v>40513</v>
      </c>
      <c r="C5289" t="s">
        <v>24</v>
      </c>
      <c r="D5289" s="19">
        <v>12</v>
      </c>
      <c r="E5289">
        <v>86</v>
      </c>
      <c r="F5289" t="s">
        <v>10</v>
      </c>
      <c r="G5289" t="s">
        <v>11</v>
      </c>
      <c r="H5289">
        <v>3</v>
      </c>
      <c r="I5289" t="s">
        <v>27</v>
      </c>
    </row>
    <row r="5290" spans="1:9" x14ac:dyDescent="0.2">
      <c r="A5290" t="str">
        <f t="shared" si="329"/>
        <v>40513Tiahura1286PoritidaeDessus</v>
      </c>
      <c r="B5290" s="1">
        <v>40513</v>
      </c>
      <c r="C5290" t="s">
        <v>24</v>
      </c>
      <c r="D5290" s="19">
        <v>12</v>
      </c>
      <c r="E5290">
        <v>86</v>
      </c>
      <c r="F5290" t="s">
        <v>7</v>
      </c>
      <c r="G5290" t="s">
        <v>11</v>
      </c>
      <c r="H5290">
        <v>5</v>
      </c>
      <c r="I5290" t="s">
        <v>27</v>
      </c>
    </row>
    <row r="5291" spans="1:9" x14ac:dyDescent="0.2">
      <c r="A5291" t="str">
        <f t="shared" si="329"/>
        <v>40513Tiahura1287Autres</v>
      </c>
      <c r="B5291" s="1">
        <v>40513</v>
      </c>
      <c r="C5291" t="s">
        <v>24</v>
      </c>
      <c r="D5291" s="19">
        <v>12</v>
      </c>
      <c r="E5291">
        <v>87</v>
      </c>
      <c r="F5291" t="s">
        <v>14</v>
      </c>
      <c r="H5291">
        <v>0</v>
      </c>
    </row>
    <row r="5292" spans="1:9" x14ac:dyDescent="0.2">
      <c r="A5292" t="str">
        <f t="shared" si="329"/>
        <v>40513Tiahura1288CassésDessus</v>
      </c>
      <c r="B5292" s="1">
        <v>40513</v>
      </c>
      <c r="C5292" t="s">
        <v>24</v>
      </c>
      <c r="D5292" s="19">
        <v>12</v>
      </c>
      <c r="E5292">
        <v>88</v>
      </c>
      <c r="F5292" t="s">
        <v>12</v>
      </c>
      <c r="G5292" t="s">
        <v>11</v>
      </c>
      <c r="H5292">
        <v>1</v>
      </c>
      <c r="I5292" t="s">
        <v>27</v>
      </c>
    </row>
    <row r="5293" spans="1:9" x14ac:dyDescent="0.2">
      <c r="A5293" t="str">
        <f t="shared" si="329"/>
        <v>40513Tiahura1288PocilloporidaeDessous</v>
      </c>
      <c r="B5293" s="1">
        <v>40513</v>
      </c>
      <c r="C5293" t="s">
        <v>24</v>
      </c>
      <c r="D5293" s="19">
        <v>12</v>
      </c>
      <c r="E5293">
        <v>88</v>
      </c>
      <c r="F5293" t="s">
        <v>10</v>
      </c>
      <c r="G5293" t="s">
        <v>8</v>
      </c>
      <c r="H5293">
        <v>1</v>
      </c>
      <c r="I5293" t="s">
        <v>27</v>
      </c>
    </row>
    <row r="5294" spans="1:9" x14ac:dyDescent="0.2">
      <c r="A5294" t="str">
        <f t="shared" si="329"/>
        <v>40513Tiahura1288PocilloporidaeDessus</v>
      </c>
      <c r="B5294" s="1">
        <v>40513</v>
      </c>
      <c r="C5294" t="s">
        <v>24</v>
      </c>
      <c r="D5294" s="19">
        <v>12</v>
      </c>
      <c r="E5294">
        <v>88</v>
      </c>
      <c r="F5294" t="s">
        <v>10</v>
      </c>
      <c r="G5294" t="s">
        <v>11</v>
      </c>
      <c r="H5294">
        <v>4</v>
      </c>
      <c r="I5294" t="s">
        <v>27</v>
      </c>
    </row>
    <row r="5295" spans="1:9" x14ac:dyDescent="0.2">
      <c r="A5295" t="str">
        <f t="shared" si="329"/>
        <v>40513Tiahura1288PoritidaeDessous</v>
      </c>
      <c r="B5295" s="1">
        <v>40513</v>
      </c>
      <c r="C5295" t="s">
        <v>24</v>
      </c>
      <c r="D5295" s="19">
        <v>12</v>
      </c>
      <c r="E5295">
        <v>88</v>
      </c>
      <c r="F5295" t="s">
        <v>7</v>
      </c>
      <c r="G5295" t="s">
        <v>8</v>
      </c>
      <c r="H5295">
        <v>1</v>
      </c>
      <c r="I5295" t="s">
        <v>27</v>
      </c>
    </row>
    <row r="5296" spans="1:9" x14ac:dyDescent="0.2">
      <c r="A5296" t="str">
        <f t="shared" si="329"/>
        <v>40513Tiahura1289PocilloporidaeBords</v>
      </c>
      <c r="B5296" s="1">
        <v>40513</v>
      </c>
      <c r="C5296" t="s">
        <v>24</v>
      </c>
      <c r="D5296" s="19">
        <v>12</v>
      </c>
      <c r="E5296">
        <v>89</v>
      </c>
      <c r="F5296" t="s">
        <v>10</v>
      </c>
      <c r="G5296" t="s">
        <v>13</v>
      </c>
      <c r="H5296">
        <v>2</v>
      </c>
      <c r="I5296" t="s">
        <v>27</v>
      </c>
    </row>
    <row r="5297" spans="1:9" x14ac:dyDescent="0.2">
      <c r="A5297" t="str">
        <f t="shared" si="329"/>
        <v>40513Tiahura1289PocilloporidaeDessous</v>
      </c>
      <c r="B5297" s="1">
        <v>40513</v>
      </c>
      <c r="C5297" t="s">
        <v>24</v>
      </c>
      <c r="D5297" s="19">
        <v>12</v>
      </c>
      <c r="E5297">
        <v>89</v>
      </c>
      <c r="F5297" t="s">
        <v>10</v>
      </c>
      <c r="G5297" t="s">
        <v>8</v>
      </c>
      <c r="H5297">
        <v>1</v>
      </c>
      <c r="I5297" t="s">
        <v>27</v>
      </c>
    </row>
    <row r="5298" spans="1:9" x14ac:dyDescent="0.2">
      <c r="A5298" t="str">
        <f t="shared" si="329"/>
        <v>40513Tiahura1289PocilloporidaeDessus</v>
      </c>
      <c r="B5298" s="1">
        <v>40513</v>
      </c>
      <c r="C5298" t="s">
        <v>24</v>
      </c>
      <c r="D5298" s="19">
        <v>12</v>
      </c>
      <c r="E5298">
        <v>89</v>
      </c>
      <c r="F5298" t="s">
        <v>10</v>
      </c>
      <c r="G5298" t="s">
        <v>11</v>
      </c>
      <c r="H5298">
        <v>1</v>
      </c>
      <c r="I5298" t="s">
        <v>27</v>
      </c>
    </row>
    <row r="5299" spans="1:9" x14ac:dyDescent="0.2">
      <c r="A5299" t="str">
        <f t="shared" si="329"/>
        <v>40513Tiahura1289PoritidaeDessous</v>
      </c>
      <c r="B5299" s="1">
        <v>40513</v>
      </c>
      <c r="C5299" t="s">
        <v>24</v>
      </c>
      <c r="D5299" s="19">
        <v>12</v>
      </c>
      <c r="E5299">
        <v>89</v>
      </c>
      <c r="F5299" t="s">
        <v>7</v>
      </c>
      <c r="G5299" t="s">
        <v>8</v>
      </c>
      <c r="H5299">
        <v>1</v>
      </c>
      <c r="I5299" t="s">
        <v>27</v>
      </c>
    </row>
    <row r="5300" spans="1:9" x14ac:dyDescent="0.2">
      <c r="A5300" t="str">
        <f t="shared" si="329"/>
        <v>40513Tiahura1289PoritidaeDessus</v>
      </c>
      <c r="B5300" s="1">
        <v>40513</v>
      </c>
      <c r="C5300" t="s">
        <v>24</v>
      </c>
      <c r="D5300" s="19">
        <v>12</v>
      </c>
      <c r="E5300">
        <v>89</v>
      </c>
      <c r="F5300" t="s">
        <v>7</v>
      </c>
      <c r="G5300" t="s">
        <v>11</v>
      </c>
      <c r="H5300">
        <v>5</v>
      </c>
      <c r="I5300" t="s">
        <v>27</v>
      </c>
    </row>
    <row r="5301" spans="1:9" x14ac:dyDescent="0.2">
      <c r="A5301" t="str">
        <f t="shared" si="329"/>
        <v>40513Tiahura1290PocilloporidaeDessous</v>
      </c>
      <c r="B5301" s="1">
        <v>40513</v>
      </c>
      <c r="C5301" t="s">
        <v>24</v>
      </c>
      <c r="D5301" s="19">
        <v>12</v>
      </c>
      <c r="E5301">
        <v>90</v>
      </c>
      <c r="F5301" t="s">
        <v>10</v>
      </c>
      <c r="G5301" t="s">
        <v>8</v>
      </c>
      <c r="H5301">
        <v>1</v>
      </c>
      <c r="I5301" t="s">
        <v>27</v>
      </c>
    </row>
    <row r="5302" spans="1:9" x14ac:dyDescent="0.2">
      <c r="A5302" t="str">
        <f t="shared" si="329"/>
        <v>40513Tiahura1291PocilloporidaeDessous</v>
      </c>
      <c r="B5302" s="1">
        <v>40513</v>
      </c>
      <c r="C5302" t="s">
        <v>24</v>
      </c>
      <c r="D5302" s="19">
        <v>12</v>
      </c>
      <c r="E5302">
        <v>91</v>
      </c>
      <c r="F5302" t="s">
        <v>10</v>
      </c>
      <c r="G5302" t="s">
        <v>8</v>
      </c>
      <c r="H5302">
        <v>2</v>
      </c>
      <c r="I5302" t="s">
        <v>27</v>
      </c>
    </row>
    <row r="5303" spans="1:9" x14ac:dyDescent="0.2">
      <c r="A5303" t="str">
        <f t="shared" si="329"/>
        <v>40513Tiahura1292PocilloporidaeDessous</v>
      </c>
      <c r="B5303" s="1">
        <v>40513</v>
      </c>
      <c r="C5303" t="s">
        <v>24</v>
      </c>
      <c r="D5303" s="19">
        <v>12</v>
      </c>
      <c r="E5303">
        <v>92</v>
      </c>
      <c r="F5303" t="s">
        <v>10</v>
      </c>
      <c r="G5303" t="s">
        <v>8</v>
      </c>
      <c r="H5303">
        <v>1</v>
      </c>
      <c r="I5303" t="s">
        <v>27</v>
      </c>
    </row>
    <row r="5304" spans="1:9" x14ac:dyDescent="0.2">
      <c r="A5304" t="str">
        <f t="shared" si="329"/>
        <v>40513Tiahura1293PocilloporidaeDessous</v>
      </c>
      <c r="B5304" s="1">
        <v>40513</v>
      </c>
      <c r="C5304" t="s">
        <v>24</v>
      </c>
      <c r="D5304" s="19">
        <v>12</v>
      </c>
      <c r="E5304">
        <v>93</v>
      </c>
      <c r="F5304" t="s">
        <v>10</v>
      </c>
      <c r="G5304" t="s">
        <v>8</v>
      </c>
      <c r="H5304">
        <v>3</v>
      </c>
      <c r="I5304" t="s">
        <v>27</v>
      </c>
    </row>
    <row r="5305" spans="1:9" x14ac:dyDescent="0.2">
      <c r="A5305" t="str">
        <f t="shared" si="329"/>
        <v>40513Tiahura1293PocilloporidaeDessus</v>
      </c>
      <c r="B5305" s="1">
        <v>40513</v>
      </c>
      <c r="C5305" t="s">
        <v>24</v>
      </c>
      <c r="D5305" s="19">
        <v>12</v>
      </c>
      <c r="E5305">
        <v>93</v>
      </c>
      <c r="F5305" t="s">
        <v>10</v>
      </c>
      <c r="G5305" t="s">
        <v>11</v>
      </c>
      <c r="H5305">
        <v>2</v>
      </c>
      <c r="I5305" t="s">
        <v>27</v>
      </c>
    </row>
    <row r="5306" spans="1:9" x14ac:dyDescent="0.2">
      <c r="A5306" t="str">
        <f t="shared" si="329"/>
        <v>40513Tiahura1294PocilloporidaeDessous</v>
      </c>
      <c r="B5306" s="1">
        <v>40513</v>
      </c>
      <c r="C5306" t="s">
        <v>24</v>
      </c>
      <c r="D5306" s="19">
        <v>12</v>
      </c>
      <c r="E5306">
        <v>94</v>
      </c>
      <c r="F5306" t="s">
        <v>10</v>
      </c>
      <c r="G5306" t="s">
        <v>8</v>
      </c>
      <c r="H5306">
        <v>1</v>
      </c>
      <c r="I5306" t="s">
        <v>27</v>
      </c>
    </row>
    <row r="5307" spans="1:9" x14ac:dyDescent="0.2">
      <c r="A5307" t="str">
        <f t="shared" si="329"/>
        <v>40513Tiahura1294PocilloporidaeDessus</v>
      </c>
      <c r="B5307" s="1">
        <v>40513</v>
      </c>
      <c r="C5307" t="s">
        <v>24</v>
      </c>
      <c r="D5307" s="19">
        <v>12</v>
      </c>
      <c r="E5307">
        <v>94</v>
      </c>
      <c r="F5307" t="s">
        <v>10</v>
      </c>
      <c r="G5307" t="s">
        <v>11</v>
      </c>
      <c r="H5307">
        <v>1</v>
      </c>
      <c r="I5307" t="s">
        <v>27</v>
      </c>
    </row>
    <row r="5308" spans="1:9" x14ac:dyDescent="0.2">
      <c r="A5308" t="str">
        <f t="shared" si="329"/>
        <v>40513Tiahura1295PocilloporidaeDessus</v>
      </c>
      <c r="B5308" s="1">
        <v>40513</v>
      </c>
      <c r="C5308" t="s">
        <v>24</v>
      </c>
      <c r="D5308" s="19">
        <v>12</v>
      </c>
      <c r="E5308">
        <v>95</v>
      </c>
      <c r="F5308" t="s">
        <v>10</v>
      </c>
      <c r="G5308" t="s">
        <v>11</v>
      </c>
      <c r="H5308">
        <v>1</v>
      </c>
      <c r="I5308" t="s">
        <v>27</v>
      </c>
    </row>
    <row r="5309" spans="1:9" x14ac:dyDescent="0.2">
      <c r="A5309" t="str">
        <f t="shared" si="329"/>
        <v>40513Tiahura1296PocilloporidaeDessous</v>
      </c>
      <c r="B5309" s="1">
        <v>40513</v>
      </c>
      <c r="C5309" t="s">
        <v>24</v>
      </c>
      <c r="D5309" s="19">
        <v>12</v>
      </c>
      <c r="E5309">
        <v>96</v>
      </c>
      <c r="F5309" t="s">
        <v>10</v>
      </c>
      <c r="G5309" t="s">
        <v>8</v>
      </c>
      <c r="H5309">
        <v>4</v>
      </c>
      <c r="I5309" t="s">
        <v>27</v>
      </c>
    </row>
    <row r="5310" spans="1:9" x14ac:dyDescent="0.2">
      <c r="A5310" t="str">
        <f t="shared" si="329"/>
        <v>40513Tiahura1296PocilloporidaeDessus</v>
      </c>
      <c r="B5310" s="1">
        <v>40513</v>
      </c>
      <c r="C5310" t="s">
        <v>24</v>
      </c>
      <c r="D5310" s="19">
        <v>12</v>
      </c>
      <c r="E5310">
        <v>96</v>
      </c>
      <c r="F5310" t="s">
        <v>10</v>
      </c>
      <c r="G5310" t="s">
        <v>11</v>
      </c>
      <c r="H5310">
        <v>2</v>
      </c>
      <c r="I5310" t="s">
        <v>27</v>
      </c>
    </row>
    <row r="5311" spans="1:9" x14ac:dyDescent="0.2">
      <c r="A5311" t="str">
        <f t="shared" ref="A5311:A5374" si="330">B5311 &amp; C5311&amp; D5311&amp; E5311 &amp; F5311 &amp;G5311</f>
        <v>40513Tiahura1296PoritidaeDessous</v>
      </c>
      <c r="B5311" s="1">
        <v>40513</v>
      </c>
      <c r="C5311" t="s">
        <v>24</v>
      </c>
      <c r="D5311" s="19">
        <v>12</v>
      </c>
      <c r="E5311">
        <v>96</v>
      </c>
      <c r="F5311" t="s">
        <v>7</v>
      </c>
      <c r="G5311" t="s">
        <v>8</v>
      </c>
      <c r="H5311">
        <v>1</v>
      </c>
      <c r="I5311" t="s">
        <v>27</v>
      </c>
    </row>
    <row r="5312" spans="1:9" x14ac:dyDescent="0.2">
      <c r="A5312" t="str">
        <f t="shared" si="330"/>
        <v>40513Tiahura1297PocilloporidaeDessous</v>
      </c>
      <c r="B5312" s="1">
        <v>40513</v>
      </c>
      <c r="C5312" t="s">
        <v>24</v>
      </c>
      <c r="D5312" s="19">
        <v>12</v>
      </c>
      <c r="E5312">
        <v>97</v>
      </c>
      <c r="F5312" t="s">
        <v>10</v>
      </c>
      <c r="G5312" t="s">
        <v>8</v>
      </c>
      <c r="H5312">
        <v>1</v>
      </c>
      <c r="I5312" t="s">
        <v>27</v>
      </c>
    </row>
    <row r="5313" spans="1:9" x14ac:dyDescent="0.2">
      <c r="A5313" t="str">
        <f t="shared" si="330"/>
        <v>40513Tiahura1298PocilloporidaeDessous</v>
      </c>
      <c r="B5313" s="1">
        <v>40513</v>
      </c>
      <c r="C5313" t="s">
        <v>24</v>
      </c>
      <c r="D5313" s="19">
        <v>12</v>
      </c>
      <c r="E5313">
        <v>98</v>
      </c>
      <c r="F5313" t="s">
        <v>10</v>
      </c>
      <c r="G5313" t="s">
        <v>8</v>
      </c>
      <c r="H5313">
        <v>5</v>
      </c>
      <c r="I5313" t="s">
        <v>27</v>
      </c>
    </row>
    <row r="5314" spans="1:9" x14ac:dyDescent="0.2">
      <c r="A5314" t="str">
        <f t="shared" si="330"/>
        <v>40513Tiahura1299Autres</v>
      </c>
      <c r="B5314" s="1">
        <v>40513</v>
      </c>
      <c r="C5314" t="s">
        <v>24</v>
      </c>
      <c r="D5314" s="19">
        <v>12</v>
      </c>
      <c r="E5314">
        <v>99</v>
      </c>
      <c r="F5314" t="s">
        <v>14</v>
      </c>
      <c r="H5314">
        <v>0</v>
      </c>
    </row>
    <row r="5315" spans="1:9" x14ac:dyDescent="0.2">
      <c r="A5315" t="str">
        <f t="shared" si="330"/>
        <v>40513Tiahura12100Autres</v>
      </c>
      <c r="B5315" s="1">
        <v>40513</v>
      </c>
      <c r="C5315" t="s">
        <v>24</v>
      </c>
      <c r="D5315" s="19">
        <v>12</v>
      </c>
      <c r="E5315">
        <v>100</v>
      </c>
      <c r="F5315" t="s">
        <v>14</v>
      </c>
      <c r="H5315">
        <v>0</v>
      </c>
    </row>
    <row r="5316" spans="1:9" x14ac:dyDescent="0.2">
      <c r="A5316" t="str">
        <f t="shared" si="330"/>
        <v>40513Tiahura18101Autres</v>
      </c>
      <c r="B5316" s="1">
        <v>40513</v>
      </c>
      <c r="C5316" t="s">
        <v>24</v>
      </c>
      <c r="D5316" s="19">
        <v>18</v>
      </c>
      <c r="E5316">
        <v>101</v>
      </c>
      <c r="F5316" t="s">
        <v>14</v>
      </c>
      <c r="H5316">
        <v>0</v>
      </c>
    </row>
    <row r="5317" spans="1:9" x14ac:dyDescent="0.2">
      <c r="A5317" t="str">
        <f t="shared" si="330"/>
        <v>40513Tiahura18102PocilloporidaeDessous</v>
      </c>
      <c r="B5317" s="1">
        <v>40513</v>
      </c>
      <c r="C5317" t="s">
        <v>24</v>
      </c>
      <c r="D5317" s="19">
        <v>18</v>
      </c>
      <c r="E5317">
        <v>102</v>
      </c>
      <c r="F5317" t="s">
        <v>10</v>
      </c>
      <c r="G5317" t="s">
        <v>8</v>
      </c>
      <c r="H5317">
        <v>3</v>
      </c>
      <c r="I5317" t="s">
        <v>27</v>
      </c>
    </row>
    <row r="5318" spans="1:9" x14ac:dyDescent="0.2">
      <c r="A5318" t="str">
        <f t="shared" si="330"/>
        <v>40513Tiahura18102PocilloporidaeDessus</v>
      </c>
      <c r="B5318" s="1">
        <v>40513</v>
      </c>
      <c r="C5318" t="s">
        <v>24</v>
      </c>
      <c r="D5318" s="19">
        <v>18</v>
      </c>
      <c r="E5318">
        <v>102</v>
      </c>
      <c r="F5318" t="s">
        <v>10</v>
      </c>
      <c r="G5318" t="s">
        <v>11</v>
      </c>
      <c r="H5318">
        <v>1</v>
      </c>
      <c r="I5318" t="s">
        <v>27</v>
      </c>
    </row>
    <row r="5319" spans="1:9" x14ac:dyDescent="0.2">
      <c r="A5319" t="str">
        <f t="shared" si="330"/>
        <v>40513Tiahura18103PocilloporidaeBords</v>
      </c>
      <c r="B5319" s="1">
        <v>40513</v>
      </c>
      <c r="C5319" t="s">
        <v>24</v>
      </c>
      <c r="D5319" s="19">
        <v>18</v>
      </c>
      <c r="E5319">
        <v>103</v>
      </c>
      <c r="F5319" t="s">
        <v>10</v>
      </c>
      <c r="G5319" t="s">
        <v>13</v>
      </c>
      <c r="H5319">
        <v>4</v>
      </c>
      <c r="I5319" t="s">
        <v>27</v>
      </c>
    </row>
    <row r="5320" spans="1:9" x14ac:dyDescent="0.2">
      <c r="A5320" t="str">
        <f t="shared" si="330"/>
        <v>40513Tiahura18103PocilloporidaeDessous</v>
      </c>
      <c r="B5320" s="1">
        <v>40513</v>
      </c>
      <c r="C5320" t="s">
        <v>24</v>
      </c>
      <c r="D5320" s="19">
        <v>18</v>
      </c>
      <c r="E5320">
        <v>103</v>
      </c>
      <c r="F5320" t="s">
        <v>10</v>
      </c>
      <c r="G5320" t="s">
        <v>8</v>
      </c>
      <c r="H5320">
        <v>1</v>
      </c>
      <c r="I5320" t="s">
        <v>27</v>
      </c>
    </row>
    <row r="5321" spans="1:9" x14ac:dyDescent="0.2">
      <c r="A5321" t="str">
        <f t="shared" si="330"/>
        <v>40513Tiahura18103PocilloporidaeDessus</v>
      </c>
      <c r="B5321" s="1">
        <v>40513</v>
      </c>
      <c r="C5321" t="s">
        <v>24</v>
      </c>
      <c r="D5321" s="19">
        <v>18</v>
      </c>
      <c r="E5321">
        <v>103</v>
      </c>
      <c r="F5321" t="s">
        <v>10</v>
      </c>
      <c r="G5321" t="s">
        <v>11</v>
      </c>
      <c r="H5321">
        <v>1</v>
      </c>
      <c r="I5321" t="s">
        <v>27</v>
      </c>
    </row>
    <row r="5322" spans="1:9" x14ac:dyDescent="0.2">
      <c r="A5322" t="str">
        <f t="shared" si="330"/>
        <v>40513Tiahura18104Autres</v>
      </c>
      <c r="B5322" s="1">
        <v>40513</v>
      </c>
      <c r="C5322" t="s">
        <v>24</v>
      </c>
      <c r="D5322" s="19">
        <v>18</v>
      </c>
      <c r="E5322">
        <v>104</v>
      </c>
      <c r="F5322" t="s">
        <v>14</v>
      </c>
      <c r="H5322">
        <v>0</v>
      </c>
    </row>
    <row r="5323" spans="1:9" x14ac:dyDescent="0.2">
      <c r="A5323" t="str">
        <f t="shared" si="330"/>
        <v>40513Tiahura18105PocilloporidaeBords</v>
      </c>
      <c r="B5323" s="1">
        <v>40513</v>
      </c>
      <c r="C5323" t="s">
        <v>24</v>
      </c>
      <c r="D5323" s="19">
        <v>18</v>
      </c>
      <c r="E5323">
        <v>105</v>
      </c>
      <c r="F5323" t="s">
        <v>10</v>
      </c>
      <c r="G5323" t="s">
        <v>13</v>
      </c>
      <c r="H5323">
        <v>3</v>
      </c>
      <c r="I5323" t="s">
        <v>27</v>
      </c>
    </row>
    <row r="5324" spans="1:9" x14ac:dyDescent="0.2">
      <c r="A5324" t="str">
        <f t="shared" si="330"/>
        <v>40513Tiahura18105PocilloporidaeDessus</v>
      </c>
      <c r="B5324" s="1">
        <v>40513</v>
      </c>
      <c r="C5324" t="s">
        <v>24</v>
      </c>
      <c r="D5324" s="19">
        <v>18</v>
      </c>
      <c r="E5324">
        <v>105</v>
      </c>
      <c r="F5324" t="s">
        <v>10</v>
      </c>
      <c r="G5324" t="s">
        <v>11</v>
      </c>
      <c r="H5324">
        <v>2</v>
      </c>
      <c r="I5324" t="s">
        <v>27</v>
      </c>
    </row>
    <row r="5325" spans="1:9" x14ac:dyDescent="0.2">
      <c r="A5325" t="str">
        <f t="shared" si="330"/>
        <v>40513Tiahura18105PoritidaeDessus</v>
      </c>
      <c r="B5325" s="1">
        <v>40513</v>
      </c>
      <c r="C5325" t="s">
        <v>24</v>
      </c>
      <c r="D5325" s="19">
        <v>18</v>
      </c>
      <c r="E5325">
        <v>105</v>
      </c>
      <c r="F5325" t="s">
        <v>7</v>
      </c>
      <c r="G5325" t="s">
        <v>11</v>
      </c>
      <c r="H5325">
        <v>1</v>
      </c>
      <c r="I5325" t="s">
        <v>27</v>
      </c>
    </row>
    <row r="5326" spans="1:9" x14ac:dyDescent="0.2">
      <c r="A5326" t="str">
        <f t="shared" si="330"/>
        <v>40513Tiahura18106PocilloporidaeBords</v>
      </c>
      <c r="B5326" s="1">
        <v>40513</v>
      </c>
      <c r="C5326" t="s">
        <v>24</v>
      </c>
      <c r="D5326" s="19">
        <v>18</v>
      </c>
      <c r="E5326">
        <v>106</v>
      </c>
      <c r="F5326" t="s">
        <v>10</v>
      </c>
      <c r="G5326" t="s">
        <v>13</v>
      </c>
      <c r="H5326">
        <v>1</v>
      </c>
      <c r="I5326" t="s">
        <v>27</v>
      </c>
    </row>
    <row r="5327" spans="1:9" x14ac:dyDescent="0.2">
      <c r="A5327" t="str">
        <f t="shared" si="330"/>
        <v>40513Tiahura18106PocilloporidaeDessous</v>
      </c>
      <c r="B5327" s="1">
        <v>40513</v>
      </c>
      <c r="C5327" t="s">
        <v>24</v>
      </c>
      <c r="D5327" s="19">
        <v>18</v>
      </c>
      <c r="E5327">
        <v>106</v>
      </c>
      <c r="F5327" t="s">
        <v>10</v>
      </c>
      <c r="G5327" t="s">
        <v>8</v>
      </c>
      <c r="H5327">
        <v>1</v>
      </c>
      <c r="I5327" t="s">
        <v>27</v>
      </c>
    </row>
    <row r="5328" spans="1:9" x14ac:dyDescent="0.2">
      <c r="A5328" t="str">
        <f t="shared" si="330"/>
        <v>40513Tiahura18107PocilloporidaeDessus</v>
      </c>
      <c r="B5328" s="1">
        <v>40513</v>
      </c>
      <c r="C5328" t="s">
        <v>24</v>
      </c>
      <c r="D5328" s="19">
        <v>18</v>
      </c>
      <c r="E5328">
        <v>107</v>
      </c>
      <c r="F5328" t="s">
        <v>10</v>
      </c>
      <c r="G5328" t="s">
        <v>11</v>
      </c>
      <c r="H5328">
        <v>1</v>
      </c>
      <c r="I5328" t="s">
        <v>27</v>
      </c>
    </row>
    <row r="5329" spans="1:9" x14ac:dyDescent="0.2">
      <c r="A5329" t="str">
        <f t="shared" si="330"/>
        <v>40513Tiahura18107PoritidaeDessus</v>
      </c>
      <c r="B5329" s="1">
        <v>40513</v>
      </c>
      <c r="C5329" t="s">
        <v>24</v>
      </c>
      <c r="D5329" s="19">
        <v>18</v>
      </c>
      <c r="E5329">
        <v>107</v>
      </c>
      <c r="F5329" t="s">
        <v>7</v>
      </c>
      <c r="G5329" t="s">
        <v>11</v>
      </c>
      <c r="H5329">
        <v>1</v>
      </c>
      <c r="I5329" t="s">
        <v>27</v>
      </c>
    </row>
    <row r="5330" spans="1:9" x14ac:dyDescent="0.2">
      <c r="A5330" t="str">
        <f t="shared" si="330"/>
        <v>40513Tiahura18108Autres</v>
      </c>
      <c r="B5330" s="1">
        <v>40513</v>
      </c>
      <c r="C5330" t="s">
        <v>24</v>
      </c>
      <c r="D5330" s="19">
        <v>18</v>
      </c>
      <c r="E5330">
        <v>108</v>
      </c>
      <c r="F5330" t="s">
        <v>14</v>
      </c>
      <c r="H5330">
        <v>0</v>
      </c>
    </row>
    <row r="5331" spans="1:9" x14ac:dyDescent="0.2">
      <c r="A5331" t="str">
        <f t="shared" si="330"/>
        <v>40513Tiahura18109Autres</v>
      </c>
      <c r="B5331" s="1">
        <v>40513</v>
      </c>
      <c r="C5331" t="s">
        <v>24</v>
      </c>
      <c r="D5331" s="19">
        <v>18</v>
      </c>
      <c r="E5331">
        <v>109</v>
      </c>
      <c r="F5331" t="s">
        <v>14</v>
      </c>
      <c r="H5331">
        <v>0</v>
      </c>
    </row>
    <row r="5332" spans="1:9" x14ac:dyDescent="0.2">
      <c r="A5332" t="str">
        <f t="shared" si="330"/>
        <v>40513Tiahura18110Autres</v>
      </c>
      <c r="B5332" s="1">
        <v>40513</v>
      </c>
      <c r="C5332" t="s">
        <v>24</v>
      </c>
      <c r="D5332" s="19">
        <v>18</v>
      </c>
      <c r="E5332">
        <v>110</v>
      </c>
      <c r="F5332" t="s">
        <v>14</v>
      </c>
      <c r="H5332">
        <v>0</v>
      </c>
    </row>
    <row r="5333" spans="1:9" x14ac:dyDescent="0.2">
      <c r="A5333" t="str">
        <f t="shared" si="330"/>
        <v>40513Tiahura18111Autres</v>
      </c>
      <c r="B5333" s="1">
        <v>40513</v>
      </c>
      <c r="C5333" t="s">
        <v>24</v>
      </c>
      <c r="D5333" s="19">
        <v>18</v>
      </c>
      <c r="E5333">
        <v>111</v>
      </c>
      <c r="F5333" t="s">
        <v>14</v>
      </c>
      <c r="H5333">
        <v>0</v>
      </c>
    </row>
    <row r="5334" spans="1:9" x14ac:dyDescent="0.2">
      <c r="A5334" t="str">
        <f t="shared" si="330"/>
        <v>40513Tiahura18112AcroporidaeBords</v>
      </c>
      <c r="B5334" s="1">
        <v>40513</v>
      </c>
      <c r="C5334" t="s">
        <v>24</v>
      </c>
      <c r="D5334" s="19">
        <v>18</v>
      </c>
      <c r="E5334">
        <v>112</v>
      </c>
      <c r="F5334" t="s">
        <v>17</v>
      </c>
      <c r="G5334" t="s">
        <v>13</v>
      </c>
      <c r="H5334">
        <v>1</v>
      </c>
      <c r="I5334" t="s">
        <v>27</v>
      </c>
    </row>
    <row r="5335" spans="1:9" x14ac:dyDescent="0.2">
      <c r="A5335" t="str">
        <f t="shared" si="330"/>
        <v>40513Tiahura18112PocilloporidaeBords</v>
      </c>
      <c r="B5335" s="1">
        <v>40513</v>
      </c>
      <c r="C5335" t="s">
        <v>24</v>
      </c>
      <c r="D5335" s="19">
        <v>18</v>
      </c>
      <c r="E5335">
        <v>112</v>
      </c>
      <c r="F5335" t="s">
        <v>10</v>
      </c>
      <c r="G5335" t="s">
        <v>13</v>
      </c>
      <c r="H5335">
        <v>3</v>
      </c>
      <c r="I5335" t="s">
        <v>27</v>
      </c>
    </row>
    <row r="5336" spans="1:9" x14ac:dyDescent="0.2">
      <c r="A5336" t="str">
        <f t="shared" si="330"/>
        <v>40513Tiahura18112PoritidaeBords</v>
      </c>
      <c r="B5336" s="1">
        <v>40513</v>
      </c>
      <c r="C5336" t="s">
        <v>24</v>
      </c>
      <c r="D5336" s="19">
        <v>18</v>
      </c>
      <c r="E5336">
        <v>112</v>
      </c>
      <c r="F5336" t="s">
        <v>7</v>
      </c>
      <c r="G5336" t="s">
        <v>13</v>
      </c>
      <c r="H5336">
        <v>1</v>
      </c>
      <c r="I5336" t="s">
        <v>27</v>
      </c>
    </row>
    <row r="5337" spans="1:9" x14ac:dyDescent="0.2">
      <c r="A5337" t="str">
        <f t="shared" si="330"/>
        <v>40513Tiahura18113PocilloporidaeDessous</v>
      </c>
      <c r="B5337" s="1">
        <v>40513</v>
      </c>
      <c r="C5337" t="s">
        <v>24</v>
      </c>
      <c r="D5337" s="19">
        <v>18</v>
      </c>
      <c r="E5337">
        <v>113</v>
      </c>
      <c r="F5337" t="s">
        <v>10</v>
      </c>
      <c r="G5337" t="s">
        <v>8</v>
      </c>
      <c r="H5337">
        <v>1</v>
      </c>
      <c r="I5337" t="s">
        <v>27</v>
      </c>
    </row>
    <row r="5338" spans="1:9" x14ac:dyDescent="0.2">
      <c r="A5338" t="str">
        <f t="shared" si="330"/>
        <v>40513Tiahura18113PoritidaeDessous</v>
      </c>
      <c r="B5338" s="1">
        <v>40513</v>
      </c>
      <c r="C5338" t="s">
        <v>24</v>
      </c>
      <c r="D5338" s="19">
        <v>18</v>
      </c>
      <c r="E5338">
        <v>113</v>
      </c>
      <c r="F5338" t="s">
        <v>7</v>
      </c>
      <c r="G5338" t="s">
        <v>8</v>
      </c>
      <c r="H5338">
        <v>1</v>
      </c>
      <c r="I5338" t="s">
        <v>27</v>
      </c>
    </row>
    <row r="5339" spans="1:9" x14ac:dyDescent="0.2">
      <c r="A5339" t="str">
        <f t="shared" si="330"/>
        <v>40513Tiahura18114PocilloporidaeDessous</v>
      </c>
      <c r="B5339" s="1">
        <v>40513</v>
      </c>
      <c r="C5339" t="s">
        <v>24</v>
      </c>
      <c r="D5339" s="19">
        <v>18</v>
      </c>
      <c r="E5339">
        <v>114</v>
      </c>
      <c r="F5339" t="s">
        <v>10</v>
      </c>
      <c r="G5339" t="s">
        <v>8</v>
      </c>
      <c r="H5339">
        <v>3</v>
      </c>
      <c r="I5339" t="s">
        <v>27</v>
      </c>
    </row>
    <row r="5340" spans="1:9" x14ac:dyDescent="0.2">
      <c r="A5340" t="str">
        <f t="shared" si="330"/>
        <v>40513Tiahura18114PoritidaeBords</v>
      </c>
      <c r="B5340" s="1">
        <v>40513</v>
      </c>
      <c r="C5340" t="s">
        <v>24</v>
      </c>
      <c r="D5340" s="19">
        <v>18</v>
      </c>
      <c r="E5340">
        <v>114</v>
      </c>
      <c r="F5340" t="s">
        <v>7</v>
      </c>
      <c r="G5340" t="s">
        <v>13</v>
      </c>
      <c r="H5340">
        <v>1</v>
      </c>
      <c r="I5340" t="s">
        <v>27</v>
      </c>
    </row>
    <row r="5341" spans="1:9" x14ac:dyDescent="0.2">
      <c r="A5341" t="str">
        <f t="shared" si="330"/>
        <v>40513Tiahura18114PoritidaeDessous</v>
      </c>
      <c r="B5341" s="1">
        <v>40513</v>
      </c>
      <c r="C5341" t="s">
        <v>24</v>
      </c>
      <c r="D5341" s="19">
        <v>18</v>
      </c>
      <c r="E5341">
        <v>114</v>
      </c>
      <c r="F5341" t="s">
        <v>7</v>
      </c>
      <c r="G5341" t="s">
        <v>8</v>
      </c>
      <c r="H5341">
        <v>1</v>
      </c>
      <c r="I5341" t="s">
        <v>27</v>
      </c>
    </row>
    <row r="5342" spans="1:9" x14ac:dyDescent="0.2">
      <c r="A5342" t="str">
        <f t="shared" si="330"/>
        <v>40513Tiahura18115PocilloporidaeBords</v>
      </c>
      <c r="B5342" s="1">
        <v>40513</v>
      </c>
      <c r="C5342" t="s">
        <v>24</v>
      </c>
      <c r="D5342" s="19">
        <v>18</v>
      </c>
      <c r="E5342">
        <v>115</v>
      </c>
      <c r="F5342" t="s">
        <v>10</v>
      </c>
      <c r="G5342" t="s">
        <v>13</v>
      </c>
      <c r="H5342">
        <v>1</v>
      </c>
      <c r="I5342" t="s">
        <v>27</v>
      </c>
    </row>
    <row r="5343" spans="1:9" x14ac:dyDescent="0.2">
      <c r="A5343" t="str">
        <f t="shared" si="330"/>
        <v>40513Tiahura18116Autres</v>
      </c>
      <c r="B5343" s="1">
        <v>40513</v>
      </c>
      <c r="C5343" t="s">
        <v>24</v>
      </c>
      <c r="D5343" s="19">
        <v>18</v>
      </c>
      <c r="E5343">
        <v>116</v>
      </c>
      <c r="F5343" t="s">
        <v>14</v>
      </c>
      <c r="H5343">
        <v>0</v>
      </c>
    </row>
    <row r="5344" spans="1:9" x14ac:dyDescent="0.2">
      <c r="A5344" t="str">
        <f t="shared" si="330"/>
        <v>40513Tiahura18117Autres</v>
      </c>
      <c r="B5344" s="1">
        <v>40513</v>
      </c>
      <c r="C5344" t="s">
        <v>24</v>
      </c>
      <c r="D5344" s="19">
        <v>18</v>
      </c>
      <c r="E5344">
        <v>117</v>
      </c>
      <c r="F5344" t="s">
        <v>14</v>
      </c>
      <c r="H5344">
        <v>0</v>
      </c>
    </row>
    <row r="5345" spans="1:9" x14ac:dyDescent="0.2">
      <c r="A5345" t="str">
        <f t="shared" si="330"/>
        <v>40513Tiahura18118PocilloporidaeDessus</v>
      </c>
      <c r="B5345" s="1">
        <v>40513</v>
      </c>
      <c r="C5345" t="s">
        <v>24</v>
      </c>
      <c r="D5345" s="19">
        <v>18</v>
      </c>
      <c r="E5345">
        <v>118</v>
      </c>
      <c r="F5345" t="s">
        <v>10</v>
      </c>
      <c r="G5345" t="s">
        <v>11</v>
      </c>
      <c r="H5345">
        <v>2</v>
      </c>
      <c r="I5345" t="s">
        <v>27</v>
      </c>
    </row>
    <row r="5346" spans="1:9" x14ac:dyDescent="0.2">
      <c r="A5346" t="str">
        <f t="shared" si="330"/>
        <v>40513Tiahura18119PocilloporidaeDessus</v>
      </c>
      <c r="B5346" s="1">
        <v>40513</v>
      </c>
      <c r="C5346" t="s">
        <v>24</v>
      </c>
      <c r="D5346" s="19">
        <v>18</v>
      </c>
      <c r="E5346">
        <v>119</v>
      </c>
      <c r="F5346" t="s">
        <v>10</v>
      </c>
      <c r="G5346" t="s">
        <v>11</v>
      </c>
      <c r="H5346">
        <v>2</v>
      </c>
      <c r="I5346" t="s">
        <v>27</v>
      </c>
    </row>
    <row r="5347" spans="1:9" x14ac:dyDescent="0.2">
      <c r="A5347" t="str">
        <f t="shared" si="330"/>
        <v>40513Tiahura18120PocilloporidaeBords</v>
      </c>
      <c r="B5347" s="1">
        <v>40513</v>
      </c>
      <c r="C5347" t="s">
        <v>24</v>
      </c>
      <c r="D5347" s="19">
        <v>18</v>
      </c>
      <c r="E5347">
        <v>120</v>
      </c>
      <c r="F5347" t="s">
        <v>10</v>
      </c>
      <c r="G5347" t="s">
        <v>13</v>
      </c>
      <c r="H5347">
        <v>3</v>
      </c>
      <c r="I5347" t="s">
        <v>27</v>
      </c>
    </row>
    <row r="5348" spans="1:9" x14ac:dyDescent="0.2">
      <c r="A5348" t="str">
        <f t="shared" si="330"/>
        <v>40513Haapiti6121Autres</v>
      </c>
      <c r="B5348" s="1">
        <v>40513</v>
      </c>
      <c r="C5348" t="s">
        <v>25</v>
      </c>
      <c r="D5348" s="19">
        <v>6</v>
      </c>
      <c r="E5348">
        <v>121</v>
      </c>
      <c r="F5348" t="s">
        <v>14</v>
      </c>
      <c r="H5348">
        <v>0</v>
      </c>
    </row>
    <row r="5349" spans="1:9" x14ac:dyDescent="0.2">
      <c r="A5349" t="str">
        <f t="shared" si="330"/>
        <v>40513Haapiti6122Autres</v>
      </c>
      <c r="B5349" s="1">
        <v>40513</v>
      </c>
      <c r="C5349" t="s">
        <v>25</v>
      </c>
      <c r="D5349" s="19">
        <v>6</v>
      </c>
      <c r="E5349">
        <v>122</v>
      </c>
      <c r="F5349" t="s">
        <v>14</v>
      </c>
      <c r="H5349">
        <v>0</v>
      </c>
    </row>
    <row r="5350" spans="1:9" x14ac:dyDescent="0.2">
      <c r="A5350" t="str">
        <f t="shared" si="330"/>
        <v>40513Haapiti6123PocilloporidaeDessous</v>
      </c>
      <c r="B5350" s="1">
        <v>40513</v>
      </c>
      <c r="C5350" t="s">
        <v>25</v>
      </c>
      <c r="D5350" s="19">
        <v>6</v>
      </c>
      <c r="E5350">
        <v>123</v>
      </c>
      <c r="F5350" t="s">
        <v>10</v>
      </c>
      <c r="G5350" t="s">
        <v>8</v>
      </c>
      <c r="H5350">
        <v>1</v>
      </c>
      <c r="I5350" t="s">
        <v>27</v>
      </c>
    </row>
    <row r="5351" spans="1:9" x14ac:dyDescent="0.2">
      <c r="A5351" t="str">
        <f t="shared" si="330"/>
        <v>40513Haapiti6124Autres</v>
      </c>
      <c r="B5351" s="1">
        <v>40513</v>
      </c>
      <c r="C5351" t="s">
        <v>25</v>
      </c>
      <c r="D5351" s="19">
        <v>6</v>
      </c>
      <c r="E5351">
        <v>124</v>
      </c>
      <c r="F5351" t="s">
        <v>14</v>
      </c>
      <c r="H5351">
        <v>0</v>
      </c>
    </row>
    <row r="5352" spans="1:9" x14ac:dyDescent="0.2">
      <c r="A5352" t="str">
        <f t="shared" si="330"/>
        <v>40513Haapiti6125PocilloporidaeBords</v>
      </c>
      <c r="B5352" s="1">
        <v>40513</v>
      </c>
      <c r="C5352" t="s">
        <v>25</v>
      </c>
      <c r="D5352" s="19">
        <v>6</v>
      </c>
      <c r="E5352">
        <v>125</v>
      </c>
      <c r="F5352" t="s">
        <v>10</v>
      </c>
      <c r="G5352" t="s">
        <v>13</v>
      </c>
      <c r="H5352">
        <v>1</v>
      </c>
      <c r="I5352" t="s">
        <v>27</v>
      </c>
    </row>
    <row r="5353" spans="1:9" x14ac:dyDescent="0.2">
      <c r="A5353" t="str">
        <f t="shared" si="330"/>
        <v>40513Haapiti6125PocilloporidaeDessus</v>
      </c>
      <c r="B5353" s="1">
        <v>40513</v>
      </c>
      <c r="C5353" t="s">
        <v>25</v>
      </c>
      <c r="D5353" s="19">
        <v>6</v>
      </c>
      <c r="E5353">
        <v>125</v>
      </c>
      <c r="F5353" t="s">
        <v>10</v>
      </c>
      <c r="G5353" t="s">
        <v>11</v>
      </c>
      <c r="H5353">
        <v>3</v>
      </c>
      <c r="I5353" t="s">
        <v>27</v>
      </c>
    </row>
    <row r="5354" spans="1:9" x14ac:dyDescent="0.2">
      <c r="A5354" t="str">
        <f t="shared" si="330"/>
        <v>40513Haapiti6126Autres</v>
      </c>
      <c r="B5354" s="1">
        <v>40513</v>
      </c>
      <c r="C5354" t="s">
        <v>25</v>
      </c>
      <c r="D5354" s="19">
        <v>6</v>
      </c>
      <c r="E5354">
        <v>126</v>
      </c>
      <c r="F5354" t="s">
        <v>14</v>
      </c>
      <c r="H5354">
        <v>0</v>
      </c>
    </row>
    <row r="5355" spans="1:9" x14ac:dyDescent="0.2">
      <c r="A5355" t="str">
        <f t="shared" si="330"/>
        <v>40513Haapiti6127Autres</v>
      </c>
      <c r="B5355" s="1">
        <v>40513</v>
      </c>
      <c r="C5355" t="s">
        <v>25</v>
      </c>
      <c r="D5355" s="19">
        <v>6</v>
      </c>
      <c r="E5355">
        <v>127</v>
      </c>
      <c r="F5355" t="s">
        <v>14</v>
      </c>
      <c r="H5355">
        <v>0</v>
      </c>
    </row>
    <row r="5356" spans="1:9" x14ac:dyDescent="0.2">
      <c r="A5356" t="str">
        <f t="shared" si="330"/>
        <v>40513Haapiti6128Autres</v>
      </c>
      <c r="B5356" s="1">
        <v>40513</v>
      </c>
      <c r="C5356" t="s">
        <v>25</v>
      </c>
      <c r="D5356" s="19">
        <v>6</v>
      </c>
      <c r="E5356">
        <v>128</v>
      </c>
      <c r="F5356" t="s">
        <v>14</v>
      </c>
      <c r="H5356">
        <v>0</v>
      </c>
    </row>
    <row r="5357" spans="1:9" x14ac:dyDescent="0.2">
      <c r="A5357" t="str">
        <f t="shared" si="330"/>
        <v>40513Haapiti6129PocilloporidaeDessous</v>
      </c>
      <c r="B5357" s="1">
        <v>40513</v>
      </c>
      <c r="C5357" t="s">
        <v>25</v>
      </c>
      <c r="D5357" s="19">
        <v>6</v>
      </c>
      <c r="E5357">
        <v>129</v>
      </c>
      <c r="F5357" t="s">
        <v>10</v>
      </c>
      <c r="G5357" t="s">
        <v>8</v>
      </c>
      <c r="H5357">
        <v>1</v>
      </c>
      <c r="I5357" t="s">
        <v>27</v>
      </c>
    </row>
    <row r="5358" spans="1:9" x14ac:dyDescent="0.2">
      <c r="A5358" t="str">
        <f t="shared" si="330"/>
        <v>40513Haapiti6130Autres</v>
      </c>
      <c r="B5358" s="1">
        <v>40513</v>
      </c>
      <c r="C5358" t="s">
        <v>25</v>
      </c>
      <c r="D5358" s="19">
        <v>6</v>
      </c>
      <c r="E5358">
        <v>130</v>
      </c>
      <c r="F5358" t="s">
        <v>14</v>
      </c>
      <c r="H5358">
        <v>0</v>
      </c>
    </row>
    <row r="5359" spans="1:9" x14ac:dyDescent="0.2">
      <c r="A5359" t="str">
        <f t="shared" si="330"/>
        <v>40513Haapiti6131PocilloporidaeDessous</v>
      </c>
      <c r="B5359" s="1">
        <v>40513</v>
      </c>
      <c r="C5359" t="s">
        <v>25</v>
      </c>
      <c r="D5359" s="19">
        <v>6</v>
      </c>
      <c r="E5359">
        <v>131</v>
      </c>
      <c r="F5359" t="s">
        <v>10</v>
      </c>
      <c r="G5359" t="s">
        <v>8</v>
      </c>
      <c r="H5359">
        <v>1</v>
      </c>
      <c r="I5359" t="s">
        <v>27</v>
      </c>
    </row>
    <row r="5360" spans="1:9" x14ac:dyDescent="0.2">
      <c r="A5360" t="str">
        <f t="shared" si="330"/>
        <v>40513Haapiti6131PocilloporidaeDessus</v>
      </c>
      <c r="B5360" s="1">
        <v>40513</v>
      </c>
      <c r="C5360" t="s">
        <v>25</v>
      </c>
      <c r="D5360" s="19">
        <v>6</v>
      </c>
      <c r="E5360">
        <v>131</v>
      </c>
      <c r="F5360" t="s">
        <v>10</v>
      </c>
      <c r="G5360" t="s">
        <v>11</v>
      </c>
      <c r="H5360">
        <v>1</v>
      </c>
      <c r="I5360" t="s">
        <v>27</v>
      </c>
    </row>
    <row r="5361" spans="1:9" x14ac:dyDescent="0.2">
      <c r="A5361" t="str">
        <f t="shared" si="330"/>
        <v>40513Haapiti6132Autres</v>
      </c>
      <c r="B5361" s="1">
        <v>40513</v>
      </c>
      <c r="C5361" t="s">
        <v>25</v>
      </c>
      <c r="D5361" s="19">
        <v>6</v>
      </c>
      <c r="E5361">
        <v>132</v>
      </c>
      <c r="F5361" t="s">
        <v>14</v>
      </c>
      <c r="H5361">
        <v>0</v>
      </c>
    </row>
    <row r="5362" spans="1:9" x14ac:dyDescent="0.2">
      <c r="A5362" t="str">
        <f t="shared" si="330"/>
        <v>40513Haapiti6133PocilloporidaeDessus</v>
      </c>
      <c r="B5362" s="1">
        <v>40513</v>
      </c>
      <c r="C5362" t="s">
        <v>25</v>
      </c>
      <c r="D5362" s="19">
        <v>6</v>
      </c>
      <c r="E5362">
        <v>133</v>
      </c>
      <c r="F5362" t="s">
        <v>10</v>
      </c>
      <c r="G5362" t="s">
        <v>11</v>
      </c>
      <c r="H5362">
        <v>5</v>
      </c>
      <c r="I5362" t="s">
        <v>27</v>
      </c>
    </row>
    <row r="5363" spans="1:9" x14ac:dyDescent="0.2">
      <c r="A5363" t="str">
        <f t="shared" si="330"/>
        <v>40513Haapiti6133PoritidaeDessus</v>
      </c>
      <c r="B5363" s="1">
        <v>40513</v>
      </c>
      <c r="C5363" t="s">
        <v>25</v>
      </c>
      <c r="D5363" s="19">
        <v>6</v>
      </c>
      <c r="E5363">
        <v>133</v>
      </c>
      <c r="F5363" t="s">
        <v>7</v>
      </c>
      <c r="G5363" t="s">
        <v>11</v>
      </c>
      <c r="H5363">
        <v>1</v>
      </c>
      <c r="I5363" t="s">
        <v>27</v>
      </c>
    </row>
    <row r="5364" spans="1:9" x14ac:dyDescent="0.2">
      <c r="A5364" t="str">
        <f t="shared" si="330"/>
        <v>40513Haapiti6134PocilloporidaeDessus</v>
      </c>
      <c r="B5364" s="1">
        <v>40513</v>
      </c>
      <c r="C5364" t="s">
        <v>25</v>
      </c>
      <c r="D5364" s="19">
        <v>6</v>
      </c>
      <c r="E5364">
        <v>134</v>
      </c>
      <c r="F5364" t="s">
        <v>10</v>
      </c>
      <c r="G5364" t="s">
        <v>11</v>
      </c>
      <c r="H5364">
        <v>2</v>
      </c>
      <c r="I5364" t="s">
        <v>27</v>
      </c>
    </row>
    <row r="5365" spans="1:9" x14ac:dyDescent="0.2">
      <c r="A5365" t="str">
        <f t="shared" si="330"/>
        <v>40513Haapiti6135PocilloporidaeDessous</v>
      </c>
      <c r="B5365" s="1">
        <v>40513</v>
      </c>
      <c r="C5365" t="s">
        <v>25</v>
      </c>
      <c r="D5365" s="19">
        <v>6</v>
      </c>
      <c r="E5365">
        <v>135</v>
      </c>
      <c r="F5365" t="s">
        <v>10</v>
      </c>
      <c r="G5365" t="s">
        <v>8</v>
      </c>
      <c r="H5365">
        <v>1</v>
      </c>
      <c r="I5365" t="s">
        <v>27</v>
      </c>
    </row>
    <row r="5366" spans="1:9" x14ac:dyDescent="0.2">
      <c r="A5366" t="str">
        <f t="shared" si="330"/>
        <v>40513Haapiti6136</v>
      </c>
      <c r="B5366" s="1">
        <v>40513</v>
      </c>
      <c r="C5366" t="s">
        <v>25</v>
      </c>
      <c r="D5366" s="19">
        <v>6</v>
      </c>
      <c r="E5366">
        <v>136</v>
      </c>
      <c r="F5366" t="s">
        <v>27</v>
      </c>
      <c r="G5366" t="s">
        <v>27</v>
      </c>
      <c r="H5366" t="s">
        <v>27</v>
      </c>
      <c r="I5366" t="s">
        <v>31</v>
      </c>
    </row>
    <row r="5367" spans="1:9" x14ac:dyDescent="0.2">
      <c r="A5367" t="str">
        <f t="shared" si="330"/>
        <v>40513Haapiti6137</v>
      </c>
      <c r="B5367" s="1">
        <v>40513</v>
      </c>
      <c r="C5367" t="s">
        <v>25</v>
      </c>
      <c r="D5367" s="19">
        <v>6</v>
      </c>
      <c r="E5367">
        <v>137</v>
      </c>
      <c r="F5367" t="s">
        <v>27</v>
      </c>
      <c r="G5367" t="s">
        <v>27</v>
      </c>
      <c r="H5367" t="s">
        <v>27</v>
      </c>
      <c r="I5367" t="s">
        <v>31</v>
      </c>
    </row>
    <row r="5368" spans="1:9" x14ac:dyDescent="0.2">
      <c r="A5368" t="str">
        <f t="shared" si="330"/>
        <v>40513Haapiti6138PocilloporidaeDessous</v>
      </c>
      <c r="B5368" s="1">
        <v>40513</v>
      </c>
      <c r="C5368" t="s">
        <v>25</v>
      </c>
      <c r="D5368" s="19">
        <v>6</v>
      </c>
      <c r="E5368">
        <v>138</v>
      </c>
      <c r="F5368" t="s">
        <v>10</v>
      </c>
      <c r="G5368" t="s">
        <v>8</v>
      </c>
      <c r="H5368">
        <v>1</v>
      </c>
      <c r="I5368" t="s">
        <v>27</v>
      </c>
    </row>
    <row r="5369" spans="1:9" x14ac:dyDescent="0.2">
      <c r="A5369" t="str">
        <f t="shared" si="330"/>
        <v>40513Haapiti6138PocilloporidaeDessus</v>
      </c>
      <c r="B5369" s="1">
        <v>40513</v>
      </c>
      <c r="C5369" t="s">
        <v>25</v>
      </c>
      <c r="D5369" s="19">
        <v>6</v>
      </c>
      <c r="E5369">
        <v>138</v>
      </c>
      <c r="F5369" t="s">
        <v>10</v>
      </c>
      <c r="G5369" t="s">
        <v>11</v>
      </c>
      <c r="H5369">
        <v>3</v>
      </c>
      <c r="I5369" t="s">
        <v>27</v>
      </c>
    </row>
    <row r="5370" spans="1:9" x14ac:dyDescent="0.2">
      <c r="A5370" t="str">
        <f t="shared" si="330"/>
        <v>40513Haapiti6139PocilloporidaeDessous</v>
      </c>
      <c r="B5370" s="1">
        <v>40513</v>
      </c>
      <c r="C5370" t="s">
        <v>25</v>
      </c>
      <c r="D5370" s="19">
        <v>6</v>
      </c>
      <c r="E5370">
        <v>139</v>
      </c>
      <c r="F5370" t="s">
        <v>10</v>
      </c>
      <c r="G5370" t="s">
        <v>8</v>
      </c>
      <c r="H5370">
        <v>2</v>
      </c>
      <c r="I5370" t="s">
        <v>27</v>
      </c>
    </row>
    <row r="5371" spans="1:9" x14ac:dyDescent="0.2">
      <c r="A5371" t="str">
        <f t="shared" si="330"/>
        <v>40513Haapiti6140Autres</v>
      </c>
      <c r="B5371" s="1">
        <v>40513</v>
      </c>
      <c r="C5371" t="s">
        <v>25</v>
      </c>
      <c r="D5371" s="19">
        <v>6</v>
      </c>
      <c r="E5371">
        <v>140</v>
      </c>
      <c r="F5371" t="s">
        <v>14</v>
      </c>
      <c r="H5371">
        <v>0</v>
      </c>
    </row>
    <row r="5372" spans="1:9" x14ac:dyDescent="0.2">
      <c r="A5372" t="str">
        <f t="shared" si="330"/>
        <v>40513Haapiti12141PocilloporidaeBords</v>
      </c>
      <c r="B5372" s="1">
        <v>40513</v>
      </c>
      <c r="C5372" t="s">
        <v>25</v>
      </c>
      <c r="D5372" s="19">
        <v>12</v>
      </c>
      <c r="E5372">
        <v>141</v>
      </c>
      <c r="F5372" t="s">
        <v>10</v>
      </c>
      <c r="G5372" t="s">
        <v>13</v>
      </c>
      <c r="H5372">
        <v>1</v>
      </c>
      <c r="I5372" t="s">
        <v>27</v>
      </c>
    </row>
    <row r="5373" spans="1:9" x14ac:dyDescent="0.2">
      <c r="A5373" t="str">
        <f t="shared" si="330"/>
        <v>40513Haapiti12142PocilloporidaeDessous</v>
      </c>
      <c r="B5373" s="1">
        <v>40513</v>
      </c>
      <c r="C5373" t="s">
        <v>25</v>
      </c>
      <c r="D5373" s="19">
        <v>12</v>
      </c>
      <c r="E5373">
        <v>142</v>
      </c>
      <c r="F5373" t="s">
        <v>10</v>
      </c>
      <c r="G5373" t="s">
        <v>8</v>
      </c>
      <c r="H5373">
        <v>1</v>
      </c>
      <c r="I5373" t="s">
        <v>27</v>
      </c>
    </row>
    <row r="5374" spans="1:9" x14ac:dyDescent="0.2">
      <c r="A5374" t="str">
        <f t="shared" si="330"/>
        <v>40513Haapiti12142PocilloporidaeDessus</v>
      </c>
      <c r="B5374" s="1">
        <v>40513</v>
      </c>
      <c r="C5374" t="s">
        <v>25</v>
      </c>
      <c r="D5374" s="19">
        <v>12</v>
      </c>
      <c r="E5374">
        <v>142</v>
      </c>
      <c r="F5374" t="s">
        <v>10</v>
      </c>
      <c r="G5374" t="s">
        <v>11</v>
      </c>
      <c r="H5374">
        <v>1</v>
      </c>
      <c r="I5374" t="s">
        <v>27</v>
      </c>
    </row>
    <row r="5375" spans="1:9" x14ac:dyDescent="0.2">
      <c r="A5375" t="str">
        <f t="shared" ref="A5375:A5438" si="331">B5375 &amp; C5375&amp; D5375&amp; E5375 &amp; F5375 &amp;G5375</f>
        <v>40513Haapiti12143Autres</v>
      </c>
      <c r="B5375" s="1">
        <v>40513</v>
      </c>
      <c r="C5375" t="s">
        <v>25</v>
      </c>
      <c r="D5375" s="19">
        <v>12</v>
      </c>
      <c r="E5375">
        <v>143</v>
      </c>
      <c r="F5375" t="s">
        <v>14</v>
      </c>
      <c r="H5375">
        <v>0</v>
      </c>
    </row>
    <row r="5376" spans="1:9" x14ac:dyDescent="0.2">
      <c r="A5376" t="str">
        <f t="shared" si="331"/>
        <v>40513Haapiti12144PocilloporidaeBords</v>
      </c>
      <c r="B5376" s="1">
        <v>40513</v>
      </c>
      <c r="C5376" t="s">
        <v>25</v>
      </c>
      <c r="D5376" s="19">
        <v>12</v>
      </c>
      <c r="E5376">
        <v>144</v>
      </c>
      <c r="F5376" t="s">
        <v>10</v>
      </c>
      <c r="G5376" t="s">
        <v>13</v>
      </c>
      <c r="H5376">
        <v>1</v>
      </c>
      <c r="I5376" t="s">
        <v>27</v>
      </c>
    </row>
    <row r="5377" spans="1:9" x14ac:dyDescent="0.2">
      <c r="A5377" t="str">
        <f t="shared" si="331"/>
        <v>40513Haapiti12144PoritidaeDessus</v>
      </c>
      <c r="B5377" s="1">
        <v>40513</v>
      </c>
      <c r="C5377" t="s">
        <v>25</v>
      </c>
      <c r="D5377" s="19">
        <v>12</v>
      </c>
      <c r="E5377">
        <v>144</v>
      </c>
      <c r="F5377" t="s">
        <v>7</v>
      </c>
      <c r="G5377" t="s">
        <v>11</v>
      </c>
      <c r="H5377">
        <v>1</v>
      </c>
      <c r="I5377" t="s">
        <v>27</v>
      </c>
    </row>
    <row r="5378" spans="1:9" x14ac:dyDescent="0.2">
      <c r="A5378" t="str">
        <f t="shared" si="331"/>
        <v>40513Haapiti12145PoritidaeDessous</v>
      </c>
      <c r="B5378" s="1">
        <v>40513</v>
      </c>
      <c r="C5378" t="s">
        <v>25</v>
      </c>
      <c r="D5378" s="19">
        <v>12</v>
      </c>
      <c r="E5378">
        <v>145</v>
      </c>
      <c r="F5378" t="s">
        <v>7</v>
      </c>
      <c r="G5378" t="s">
        <v>8</v>
      </c>
      <c r="H5378">
        <v>1</v>
      </c>
      <c r="I5378" t="s">
        <v>27</v>
      </c>
    </row>
    <row r="5379" spans="1:9" x14ac:dyDescent="0.2">
      <c r="A5379" t="str">
        <f t="shared" si="331"/>
        <v>40513Haapiti12146PocilloporidaeBords</v>
      </c>
      <c r="B5379" s="1">
        <v>40513</v>
      </c>
      <c r="C5379" t="s">
        <v>25</v>
      </c>
      <c r="D5379" s="19">
        <v>12</v>
      </c>
      <c r="E5379">
        <v>146</v>
      </c>
      <c r="F5379" t="s">
        <v>10</v>
      </c>
      <c r="G5379" t="s">
        <v>13</v>
      </c>
      <c r="H5379">
        <v>2</v>
      </c>
      <c r="I5379" t="s">
        <v>27</v>
      </c>
    </row>
    <row r="5380" spans="1:9" x14ac:dyDescent="0.2">
      <c r="A5380" t="str">
        <f t="shared" si="331"/>
        <v>40513Haapiti12146PocilloporidaeDessus</v>
      </c>
      <c r="B5380" s="1">
        <v>40513</v>
      </c>
      <c r="C5380" t="s">
        <v>25</v>
      </c>
      <c r="D5380" s="19">
        <v>12</v>
      </c>
      <c r="E5380">
        <v>146</v>
      </c>
      <c r="F5380" t="s">
        <v>10</v>
      </c>
      <c r="G5380" t="s">
        <v>11</v>
      </c>
      <c r="H5380">
        <v>2</v>
      </c>
      <c r="I5380" t="s">
        <v>27</v>
      </c>
    </row>
    <row r="5381" spans="1:9" x14ac:dyDescent="0.2">
      <c r="A5381" t="str">
        <f t="shared" si="331"/>
        <v>40513Haapiti12146PoritidaeDessus</v>
      </c>
      <c r="B5381" s="1">
        <v>40513</v>
      </c>
      <c r="C5381" t="s">
        <v>25</v>
      </c>
      <c r="D5381" s="19">
        <v>12</v>
      </c>
      <c r="E5381">
        <v>146</v>
      </c>
      <c r="F5381" t="s">
        <v>7</v>
      </c>
      <c r="G5381" t="s">
        <v>11</v>
      </c>
      <c r="H5381">
        <v>1</v>
      </c>
      <c r="I5381" t="s">
        <v>27</v>
      </c>
    </row>
    <row r="5382" spans="1:9" x14ac:dyDescent="0.2">
      <c r="A5382" t="str">
        <f t="shared" si="331"/>
        <v>40513Haapiti12147Autres</v>
      </c>
      <c r="B5382" s="1">
        <v>40513</v>
      </c>
      <c r="C5382" t="s">
        <v>25</v>
      </c>
      <c r="D5382" s="19">
        <v>12</v>
      </c>
      <c r="E5382">
        <v>147</v>
      </c>
      <c r="F5382" t="s">
        <v>14</v>
      </c>
      <c r="H5382">
        <v>0</v>
      </c>
    </row>
    <row r="5383" spans="1:9" x14ac:dyDescent="0.2">
      <c r="A5383" t="str">
        <f t="shared" si="331"/>
        <v>40513Haapiti12148Autres</v>
      </c>
      <c r="B5383" s="1">
        <v>40513</v>
      </c>
      <c r="C5383" t="s">
        <v>25</v>
      </c>
      <c r="D5383" s="19">
        <v>12</v>
      </c>
      <c r="E5383">
        <v>148</v>
      </c>
      <c r="F5383" t="s">
        <v>14</v>
      </c>
      <c r="H5383">
        <v>0</v>
      </c>
    </row>
    <row r="5384" spans="1:9" x14ac:dyDescent="0.2">
      <c r="A5384" t="str">
        <f t="shared" si="331"/>
        <v>40513Haapiti12149PocilloporidaeBords</v>
      </c>
      <c r="B5384" s="1">
        <v>40513</v>
      </c>
      <c r="C5384" t="s">
        <v>25</v>
      </c>
      <c r="D5384" s="19">
        <v>12</v>
      </c>
      <c r="E5384">
        <v>149</v>
      </c>
      <c r="F5384" t="s">
        <v>10</v>
      </c>
      <c r="G5384" t="s">
        <v>13</v>
      </c>
      <c r="H5384">
        <v>1</v>
      </c>
      <c r="I5384" t="s">
        <v>27</v>
      </c>
    </row>
    <row r="5385" spans="1:9" x14ac:dyDescent="0.2">
      <c r="A5385" t="str">
        <f t="shared" si="331"/>
        <v>40513Haapiti12149PocilloporidaeDessous</v>
      </c>
      <c r="B5385" s="1">
        <v>40513</v>
      </c>
      <c r="C5385" t="s">
        <v>25</v>
      </c>
      <c r="D5385" s="19">
        <v>12</v>
      </c>
      <c r="E5385">
        <v>149</v>
      </c>
      <c r="F5385" t="s">
        <v>10</v>
      </c>
      <c r="G5385" t="s">
        <v>8</v>
      </c>
      <c r="H5385">
        <v>2</v>
      </c>
      <c r="I5385" t="s">
        <v>27</v>
      </c>
    </row>
    <row r="5386" spans="1:9" x14ac:dyDescent="0.2">
      <c r="A5386" t="str">
        <f t="shared" si="331"/>
        <v>40513Haapiti12149PocilloporidaeDessus</v>
      </c>
      <c r="B5386" s="1">
        <v>40513</v>
      </c>
      <c r="C5386" t="s">
        <v>25</v>
      </c>
      <c r="D5386" s="19">
        <v>12</v>
      </c>
      <c r="E5386">
        <v>149</v>
      </c>
      <c r="F5386" t="s">
        <v>10</v>
      </c>
      <c r="G5386" t="s">
        <v>11</v>
      </c>
      <c r="H5386">
        <v>2</v>
      </c>
      <c r="I5386" t="s">
        <v>27</v>
      </c>
    </row>
    <row r="5387" spans="1:9" x14ac:dyDescent="0.2">
      <c r="A5387" t="str">
        <f t="shared" si="331"/>
        <v>40513Haapiti12149PoritidaeDessous</v>
      </c>
      <c r="B5387" s="1">
        <v>40513</v>
      </c>
      <c r="C5387" t="s">
        <v>25</v>
      </c>
      <c r="D5387" s="19">
        <v>12</v>
      </c>
      <c r="E5387">
        <v>149</v>
      </c>
      <c r="F5387" t="s">
        <v>7</v>
      </c>
      <c r="G5387" t="s">
        <v>8</v>
      </c>
      <c r="H5387">
        <v>1</v>
      </c>
      <c r="I5387" t="s">
        <v>27</v>
      </c>
    </row>
    <row r="5388" spans="1:9" x14ac:dyDescent="0.2">
      <c r="A5388" t="str">
        <f t="shared" si="331"/>
        <v>40513Haapiti12150PocilloporidaeDessus</v>
      </c>
      <c r="B5388" s="1">
        <v>40513</v>
      </c>
      <c r="C5388" t="s">
        <v>25</v>
      </c>
      <c r="D5388" s="19">
        <v>12</v>
      </c>
      <c r="E5388">
        <v>150</v>
      </c>
      <c r="F5388" t="s">
        <v>10</v>
      </c>
      <c r="G5388" t="s">
        <v>11</v>
      </c>
      <c r="H5388">
        <v>2</v>
      </c>
      <c r="I5388" t="s">
        <v>27</v>
      </c>
    </row>
    <row r="5389" spans="1:9" x14ac:dyDescent="0.2">
      <c r="A5389" t="str">
        <f t="shared" si="331"/>
        <v>40513Haapiti12151PocilloporidaeDessus</v>
      </c>
      <c r="B5389" s="1">
        <v>40513</v>
      </c>
      <c r="C5389" t="s">
        <v>25</v>
      </c>
      <c r="D5389" s="19">
        <v>12</v>
      </c>
      <c r="E5389">
        <v>151</v>
      </c>
      <c r="F5389" t="s">
        <v>10</v>
      </c>
      <c r="G5389" t="s">
        <v>11</v>
      </c>
      <c r="H5389">
        <v>1</v>
      </c>
      <c r="I5389" t="s">
        <v>27</v>
      </c>
    </row>
    <row r="5390" spans="1:9" x14ac:dyDescent="0.2">
      <c r="A5390" t="str">
        <f t="shared" si="331"/>
        <v>40513Haapiti12152Autres</v>
      </c>
      <c r="B5390" s="1">
        <v>40513</v>
      </c>
      <c r="C5390" t="s">
        <v>25</v>
      </c>
      <c r="D5390" s="19">
        <v>12</v>
      </c>
      <c r="E5390">
        <v>152</v>
      </c>
      <c r="F5390" t="s">
        <v>14</v>
      </c>
      <c r="H5390">
        <v>0</v>
      </c>
    </row>
    <row r="5391" spans="1:9" x14ac:dyDescent="0.2">
      <c r="A5391" t="str">
        <f t="shared" si="331"/>
        <v>40513Haapiti12153Autres</v>
      </c>
      <c r="B5391" s="1">
        <v>40513</v>
      </c>
      <c r="C5391" t="s">
        <v>25</v>
      </c>
      <c r="D5391" s="19">
        <v>12</v>
      </c>
      <c r="E5391">
        <v>153</v>
      </c>
      <c r="F5391" t="s">
        <v>14</v>
      </c>
      <c r="H5391">
        <v>0</v>
      </c>
    </row>
    <row r="5392" spans="1:9" x14ac:dyDescent="0.2">
      <c r="A5392" t="str">
        <f t="shared" si="331"/>
        <v>40513Haapiti12154PocilloporidaeBords</v>
      </c>
      <c r="B5392" s="1">
        <v>40513</v>
      </c>
      <c r="C5392" t="s">
        <v>25</v>
      </c>
      <c r="D5392" s="19">
        <v>12</v>
      </c>
      <c r="E5392">
        <v>154</v>
      </c>
      <c r="F5392" t="s">
        <v>10</v>
      </c>
      <c r="G5392" t="s">
        <v>13</v>
      </c>
      <c r="H5392">
        <v>1</v>
      </c>
      <c r="I5392" t="s">
        <v>27</v>
      </c>
    </row>
    <row r="5393" spans="1:9" x14ac:dyDescent="0.2">
      <c r="A5393" t="str">
        <f t="shared" si="331"/>
        <v>40513Haapiti12155Autres</v>
      </c>
      <c r="B5393" s="1">
        <v>40513</v>
      </c>
      <c r="C5393" t="s">
        <v>25</v>
      </c>
      <c r="D5393" s="19">
        <v>12</v>
      </c>
      <c r="E5393">
        <v>155</v>
      </c>
      <c r="F5393" t="s">
        <v>14</v>
      </c>
      <c r="H5393">
        <v>0</v>
      </c>
    </row>
    <row r="5394" spans="1:9" x14ac:dyDescent="0.2">
      <c r="A5394" t="str">
        <f t="shared" si="331"/>
        <v>40513Haapiti12156Autres</v>
      </c>
      <c r="B5394" s="1">
        <v>40513</v>
      </c>
      <c r="C5394" t="s">
        <v>25</v>
      </c>
      <c r="D5394" s="19">
        <v>12</v>
      </c>
      <c r="E5394">
        <v>156</v>
      </c>
      <c r="F5394" t="s">
        <v>14</v>
      </c>
      <c r="H5394">
        <v>0</v>
      </c>
    </row>
    <row r="5395" spans="1:9" x14ac:dyDescent="0.2">
      <c r="A5395" t="str">
        <f t="shared" si="331"/>
        <v>40513Haapiti12157Autres</v>
      </c>
      <c r="B5395" s="1">
        <v>40513</v>
      </c>
      <c r="C5395" t="s">
        <v>25</v>
      </c>
      <c r="D5395" s="19">
        <v>12</v>
      </c>
      <c r="E5395">
        <v>157</v>
      </c>
      <c r="F5395" t="s">
        <v>14</v>
      </c>
      <c r="H5395">
        <v>0</v>
      </c>
    </row>
    <row r="5396" spans="1:9" x14ac:dyDescent="0.2">
      <c r="A5396" t="str">
        <f t="shared" si="331"/>
        <v>40513Haapiti12158PocilloporidaeDessous</v>
      </c>
      <c r="B5396" s="1">
        <v>40513</v>
      </c>
      <c r="C5396" t="s">
        <v>25</v>
      </c>
      <c r="D5396" s="19">
        <v>12</v>
      </c>
      <c r="E5396">
        <v>158</v>
      </c>
      <c r="F5396" t="s">
        <v>10</v>
      </c>
      <c r="G5396" t="s">
        <v>8</v>
      </c>
      <c r="H5396">
        <v>1</v>
      </c>
      <c r="I5396" t="s">
        <v>27</v>
      </c>
    </row>
    <row r="5397" spans="1:9" x14ac:dyDescent="0.2">
      <c r="A5397" t="str">
        <f t="shared" si="331"/>
        <v>40513Haapiti12158PocilloporidaeDessus</v>
      </c>
      <c r="B5397" s="1">
        <v>40513</v>
      </c>
      <c r="C5397" t="s">
        <v>25</v>
      </c>
      <c r="D5397" s="19">
        <v>12</v>
      </c>
      <c r="E5397">
        <v>158</v>
      </c>
      <c r="F5397" t="s">
        <v>10</v>
      </c>
      <c r="G5397" t="s">
        <v>11</v>
      </c>
      <c r="H5397">
        <v>1</v>
      </c>
      <c r="I5397" t="s">
        <v>27</v>
      </c>
    </row>
    <row r="5398" spans="1:9" x14ac:dyDescent="0.2">
      <c r="A5398" t="str">
        <f t="shared" si="331"/>
        <v>40513Haapiti12159PocilloporidaeDessous</v>
      </c>
      <c r="B5398" s="1">
        <v>40513</v>
      </c>
      <c r="C5398" t="s">
        <v>25</v>
      </c>
      <c r="D5398" s="19">
        <v>12</v>
      </c>
      <c r="E5398">
        <v>159</v>
      </c>
      <c r="F5398" t="s">
        <v>10</v>
      </c>
      <c r="G5398" t="s">
        <v>8</v>
      </c>
      <c r="H5398">
        <v>1</v>
      </c>
      <c r="I5398" t="s">
        <v>27</v>
      </c>
    </row>
    <row r="5399" spans="1:9" x14ac:dyDescent="0.2">
      <c r="A5399" t="str">
        <f t="shared" si="331"/>
        <v>40513Haapiti12160PocilloporidaeBords</v>
      </c>
      <c r="B5399" s="1">
        <v>40513</v>
      </c>
      <c r="C5399" t="s">
        <v>25</v>
      </c>
      <c r="D5399" s="19">
        <v>12</v>
      </c>
      <c r="E5399">
        <v>160</v>
      </c>
      <c r="F5399" t="s">
        <v>10</v>
      </c>
      <c r="G5399" t="s">
        <v>13</v>
      </c>
      <c r="H5399">
        <v>1</v>
      </c>
      <c r="I5399" t="s">
        <v>27</v>
      </c>
    </row>
    <row r="5400" spans="1:9" x14ac:dyDescent="0.2">
      <c r="A5400" t="str">
        <f t="shared" si="331"/>
        <v>40513Haapiti18161PocilloporidaeDessus</v>
      </c>
      <c r="B5400" s="1">
        <v>40513</v>
      </c>
      <c r="C5400" t="s">
        <v>25</v>
      </c>
      <c r="D5400" s="19">
        <v>18</v>
      </c>
      <c r="E5400">
        <v>161</v>
      </c>
      <c r="F5400" t="s">
        <v>10</v>
      </c>
      <c r="G5400" t="s">
        <v>11</v>
      </c>
      <c r="H5400">
        <v>1</v>
      </c>
      <c r="I5400" t="s">
        <v>27</v>
      </c>
    </row>
    <row r="5401" spans="1:9" x14ac:dyDescent="0.2">
      <c r="A5401" t="str">
        <f t="shared" si="331"/>
        <v>40513Haapiti18162Autres</v>
      </c>
      <c r="B5401" s="1">
        <v>40513</v>
      </c>
      <c r="C5401" t="s">
        <v>25</v>
      </c>
      <c r="D5401" s="19">
        <v>18</v>
      </c>
      <c r="E5401">
        <v>162</v>
      </c>
      <c r="F5401" t="s">
        <v>14</v>
      </c>
      <c r="H5401">
        <v>0</v>
      </c>
    </row>
    <row r="5402" spans="1:9" x14ac:dyDescent="0.2">
      <c r="A5402" t="str">
        <f t="shared" si="331"/>
        <v>40513Haapiti18163Autres</v>
      </c>
      <c r="B5402" s="1">
        <v>40513</v>
      </c>
      <c r="C5402" t="s">
        <v>25</v>
      </c>
      <c r="D5402" s="19">
        <v>18</v>
      </c>
      <c r="E5402">
        <v>163</v>
      </c>
      <c r="F5402" t="s">
        <v>14</v>
      </c>
      <c r="H5402">
        <v>0</v>
      </c>
    </row>
    <row r="5403" spans="1:9" x14ac:dyDescent="0.2">
      <c r="A5403" t="str">
        <f t="shared" si="331"/>
        <v>40513Haapiti18164PocilloporidaeBords</v>
      </c>
      <c r="B5403" s="1">
        <v>40513</v>
      </c>
      <c r="C5403" t="s">
        <v>25</v>
      </c>
      <c r="D5403" s="19">
        <v>18</v>
      </c>
      <c r="E5403">
        <v>164</v>
      </c>
      <c r="F5403" t="s">
        <v>10</v>
      </c>
      <c r="G5403" t="s">
        <v>13</v>
      </c>
      <c r="H5403">
        <v>2</v>
      </c>
      <c r="I5403" t="s">
        <v>27</v>
      </c>
    </row>
    <row r="5404" spans="1:9" x14ac:dyDescent="0.2">
      <c r="A5404" t="str">
        <f t="shared" si="331"/>
        <v>40513Haapiti18164PocilloporidaeDessous</v>
      </c>
      <c r="B5404" s="1">
        <v>40513</v>
      </c>
      <c r="C5404" t="s">
        <v>25</v>
      </c>
      <c r="D5404" s="19">
        <v>18</v>
      </c>
      <c r="E5404">
        <v>164</v>
      </c>
      <c r="F5404" t="s">
        <v>10</v>
      </c>
      <c r="G5404" t="s">
        <v>8</v>
      </c>
      <c r="H5404">
        <v>1</v>
      </c>
      <c r="I5404" t="s">
        <v>27</v>
      </c>
    </row>
    <row r="5405" spans="1:9" x14ac:dyDescent="0.2">
      <c r="A5405" t="str">
        <f t="shared" si="331"/>
        <v>40513Haapiti18165PoritidaeDessus</v>
      </c>
      <c r="B5405" s="1">
        <v>40513</v>
      </c>
      <c r="C5405" t="s">
        <v>25</v>
      </c>
      <c r="D5405" s="19">
        <v>18</v>
      </c>
      <c r="E5405">
        <v>165</v>
      </c>
      <c r="F5405" t="s">
        <v>7</v>
      </c>
      <c r="G5405" t="s">
        <v>11</v>
      </c>
      <c r="H5405">
        <v>1</v>
      </c>
      <c r="I5405" t="s">
        <v>27</v>
      </c>
    </row>
    <row r="5406" spans="1:9" x14ac:dyDescent="0.2">
      <c r="A5406" t="str">
        <f t="shared" si="331"/>
        <v>40513Haapiti18166PocilloporidaeBords</v>
      </c>
      <c r="B5406" s="1">
        <v>40513</v>
      </c>
      <c r="C5406" t="s">
        <v>25</v>
      </c>
      <c r="D5406" s="19">
        <v>18</v>
      </c>
      <c r="E5406">
        <v>166</v>
      </c>
      <c r="F5406" t="s">
        <v>10</v>
      </c>
      <c r="G5406" t="s">
        <v>13</v>
      </c>
      <c r="H5406">
        <v>1</v>
      </c>
      <c r="I5406" t="s">
        <v>27</v>
      </c>
    </row>
    <row r="5407" spans="1:9" x14ac:dyDescent="0.2">
      <c r="A5407" t="str">
        <f t="shared" si="331"/>
        <v>40513Haapiti18166PocilloporidaeDessus</v>
      </c>
      <c r="B5407" s="1">
        <v>40513</v>
      </c>
      <c r="C5407" t="s">
        <v>25</v>
      </c>
      <c r="D5407" s="19">
        <v>18</v>
      </c>
      <c r="E5407">
        <v>166</v>
      </c>
      <c r="F5407" t="s">
        <v>10</v>
      </c>
      <c r="G5407" t="s">
        <v>11</v>
      </c>
      <c r="H5407">
        <v>1</v>
      </c>
      <c r="I5407" t="s">
        <v>27</v>
      </c>
    </row>
    <row r="5408" spans="1:9" x14ac:dyDescent="0.2">
      <c r="A5408" t="str">
        <f t="shared" si="331"/>
        <v>40513Haapiti18167PocilloporidaeBords</v>
      </c>
      <c r="B5408" s="1">
        <v>40513</v>
      </c>
      <c r="C5408" t="s">
        <v>25</v>
      </c>
      <c r="D5408" s="19">
        <v>18</v>
      </c>
      <c r="E5408">
        <v>167</v>
      </c>
      <c r="F5408" t="s">
        <v>10</v>
      </c>
      <c r="G5408" t="s">
        <v>13</v>
      </c>
      <c r="H5408">
        <v>1</v>
      </c>
      <c r="I5408" t="s">
        <v>27</v>
      </c>
    </row>
    <row r="5409" spans="1:9" x14ac:dyDescent="0.2">
      <c r="A5409" t="str">
        <f t="shared" si="331"/>
        <v>40513Haapiti18168PocilloporidaeDessous</v>
      </c>
      <c r="B5409" s="1">
        <v>40513</v>
      </c>
      <c r="C5409" t="s">
        <v>25</v>
      </c>
      <c r="D5409" s="19">
        <v>18</v>
      </c>
      <c r="E5409">
        <v>168</v>
      </c>
      <c r="F5409" t="s">
        <v>10</v>
      </c>
      <c r="G5409" t="s">
        <v>8</v>
      </c>
      <c r="H5409">
        <v>1</v>
      </c>
      <c r="I5409" t="s">
        <v>27</v>
      </c>
    </row>
    <row r="5410" spans="1:9" x14ac:dyDescent="0.2">
      <c r="A5410" t="str">
        <f t="shared" si="331"/>
        <v>40513Haapiti18168PocilloporidaeDessus</v>
      </c>
      <c r="B5410" s="1">
        <v>40513</v>
      </c>
      <c r="C5410" t="s">
        <v>25</v>
      </c>
      <c r="D5410" s="19">
        <v>18</v>
      </c>
      <c r="E5410">
        <v>168</v>
      </c>
      <c r="F5410" t="s">
        <v>10</v>
      </c>
      <c r="G5410" t="s">
        <v>11</v>
      </c>
      <c r="H5410">
        <v>1</v>
      </c>
      <c r="I5410" t="s">
        <v>27</v>
      </c>
    </row>
    <row r="5411" spans="1:9" x14ac:dyDescent="0.2">
      <c r="A5411" t="str">
        <f t="shared" si="331"/>
        <v>40513Haapiti18169PocilloporidaeBords</v>
      </c>
      <c r="B5411" s="1">
        <v>40513</v>
      </c>
      <c r="C5411" t="s">
        <v>25</v>
      </c>
      <c r="D5411" s="19">
        <v>18</v>
      </c>
      <c r="E5411">
        <v>169</v>
      </c>
      <c r="F5411" t="s">
        <v>10</v>
      </c>
      <c r="G5411" t="s">
        <v>13</v>
      </c>
      <c r="H5411">
        <v>1</v>
      </c>
      <c r="I5411" t="s">
        <v>27</v>
      </c>
    </row>
    <row r="5412" spans="1:9" x14ac:dyDescent="0.2">
      <c r="A5412" t="str">
        <f t="shared" si="331"/>
        <v>40513Haapiti18170Autres</v>
      </c>
      <c r="B5412" s="1">
        <v>40513</v>
      </c>
      <c r="C5412" t="s">
        <v>25</v>
      </c>
      <c r="D5412" s="19">
        <v>18</v>
      </c>
      <c r="E5412">
        <v>170</v>
      </c>
      <c r="F5412" t="s">
        <v>14</v>
      </c>
      <c r="H5412">
        <v>0</v>
      </c>
    </row>
    <row r="5413" spans="1:9" x14ac:dyDescent="0.2">
      <c r="A5413" t="str">
        <f t="shared" si="331"/>
        <v>40513Haapiti18171Autres</v>
      </c>
      <c r="B5413" s="1">
        <v>40513</v>
      </c>
      <c r="C5413" t="s">
        <v>25</v>
      </c>
      <c r="D5413" s="19">
        <v>18</v>
      </c>
      <c r="E5413">
        <v>171</v>
      </c>
      <c r="F5413" t="s">
        <v>14</v>
      </c>
      <c r="H5413">
        <v>0</v>
      </c>
    </row>
    <row r="5414" spans="1:9" x14ac:dyDescent="0.2">
      <c r="A5414" t="str">
        <f t="shared" si="331"/>
        <v>40513Haapiti18172PocilloporidaeBords</v>
      </c>
      <c r="B5414" s="1">
        <v>40513</v>
      </c>
      <c r="C5414" t="s">
        <v>25</v>
      </c>
      <c r="D5414" s="19">
        <v>18</v>
      </c>
      <c r="E5414">
        <v>172</v>
      </c>
      <c r="F5414" t="s">
        <v>10</v>
      </c>
      <c r="G5414" t="s">
        <v>13</v>
      </c>
      <c r="H5414">
        <v>3</v>
      </c>
      <c r="I5414" t="s">
        <v>27</v>
      </c>
    </row>
    <row r="5415" spans="1:9" x14ac:dyDescent="0.2">
      <c r="A5415" t="str">
        <f t="shared" si="331"/>
        <v>40513Haapiti18172PoritidaeBords</v>
      </c>
      <c r="B5415" s="1">
        <v>40513</v>
      </c>
      <c r="C5415" t="s">
        <v>25</v>
      </c>
      <c r="D5415" s="19">
        <v>18</v>
      </c>
      <c r="E5415">
        <v>172</v>
      </c>
      <c r="F5415" t="s">
        <v>7</v>
      </c>
      <c r="G5415" t="s">
        <v>13</v>
      </c>
      <c r="H5415">
        <v>1</v>
      </c>
      <c r="I5415" t="s">
        <v>27</v>
      </c>
    </row>
    <row r="5416" spans="1:9" x14ac:dyDescent="0.2">
      <c r="A5416" t="str">
        <f t="shared" si="331"/>
        <v>40513Haapiti18173PocilloporidaeDessous</v>
      </c>
      <c r="B5416" s="1">
        <v>40513</v>
      </c>
      <c r="C5416" t="s">
        <v>25</v>
      </c>
      <c r="D5416" s="19">
        <v>18</v>
      </c>
      <c r="E5416">
        <v>173</v>
      </c>
      <c r="F5416" t="s">
        <v>10</v>
      </c>
      <c r="G5416" t="s">
        <v>8</v>
      </c>
      <c r="H5416">
        <v>1</v>
      </c>
      <c r="I5416" t="s">
        <v>27</v>
      </c>
    </row>
    <row r="5417" spans="1:9" x14ac:dyDescent="0.2">
      <c r="A5417" t="str">
        <f t="shared" si="331"/>
        <v>40513Haapiti18174PocilloporidaeDessous</v>
      </c>
      <c r="B5417" s="1">
        <v>40513</v>
      </c>
      <c r="C5417" t="s">
        <v>25</v>
      </c>
      <c r="D5417" s="19">
        <v>18</v>
      </c>
      <c r="E5417">
        <v>174</v>
      </c>
      <c r="F5417" t="s">
        <v>10</v>
      </c>
      <c r="G5417" t="s">
        <v>8</v>
      </c>
      <c r="H5417">
        <v>2</v>
      </c>
      <c r="I5417" t="s">
        <v>27</v>
      </c>
    </row>
    <row r="5418" spans="1:9" x14ac:dyDescent="0.2">
      <c r="A5418" t="str">
        <f t="shared" si="331"/>
        <v>40513Haapiti18175CassésDessous</v>
      </c>
      <c r="B5418" s="1">
        <v>40513</v>
      </c>
      <c r="C5418" t="s">
        <v>25</v>
      </c>
      <c r="D5418" s="19">
        <v>18</v>
      </c>
      <c r="E5418">
        <v>175</v>
      </c>
      <c r="F5418" t="s">
        <v>12</v>
      </c>
      <c r="G5418" t="s">
        <v>8</v>
      </c>
      <c r="H5418">
        <v>1</v>
      </c>
      <c r="I5418" t="s">
        <v>27</v>
      </c>
    </row>
    <row r="5419" spans="1:9" x14ac:dyDescent="0.2">
      <c r="A5419" t="str">
        <f t="shared" si="331"/>
        <v>40513Haapiti18175PocilloporidaeBords</v>
      </c>
      <c r="B5419" s="1">
        <v>40513</v>
      </c>
      <c r="C5419" t="s">
        <v>25</v>
      </c>
      <c r="D5419" s="19">
        <v>18</v>
      </c>
      <c r="E5419">
        <v>175</v>
      </c>
      <c r="F5419" t="s">
        <v>10</v>
      </c>
      <c r="G5419" t="s">
        <v>13</v>
      </c>
      <c r="H5419">
        <v>1</v>
      </c>
      <c r="I5419" t="s">
        <v>27</v>
      </c>
    </row>
    <row r="5420" spans="1:9" x14ac:dyDescent="0.2">
      <c r="A5420" t="str">
        <f t="shared" si="331"/>
        <v>40513Haapiti18175PocilloporidaeDessous</v>
      </c>
      <c r="B5420" s="1">
        <v>40513</v>
      </c>
      <c r="C5420" t="s">
        <v>25</v>
      </c>
      <c r="D5420" s="19">
        <v>18</v>
      </c>
      <c r="E5420">
        <v>175</v>
      </c>
      <c r="F5420" t="s">
        <v>10</v>
      </c>
      <c r="G5420" t="s">
        <v>8</v>
      </c>
      <c r="H5420">
        <v>8</v>
      </c>
      <c r="I5420" t="s">
        <v>27</v>
      </c>
    </row>
    <row r="5421" spans="1:9" x14ac:dyDescent="0.2">
      <c r="A5421" t="str">
        <f t="shared" si="331"/>
        <v>40513Haapiti18176PocilloporidaeDessous</v>
      </c>
      <c r="B5421" s="1">
        <v>40513</v>
      </c>
      <c r="C5421" t="s">
        <v>25</v>
      </c>
      <c r="D5421" s="19">
        <v>18</v>
      </c>
      <c r="E5421">
        <v>176</v>
      </c>
      <c r="F5421" t="s">
        <v>10</v>
      </c>
      <c r="G5421" t="s">
        <v>8</v>
      </c>
      <c r="H5421">
        <v>1</v>
      </c>
      <c r="I5421" t="s">
        <v>27</v>
      </c>
    </row>
    <row r="5422" spans="1:9" x14ac:dyDescent="0.2">
      <c r="A5422" t="str">
        <f t="shared" si="331"/>
        <v>40513Haapiti18177PocilloporidaeDessus</v>
      </c>
      <c r="B5422" s="1">
        <v>40513</v>
      </c>
      <c r="C5422" t="s">
        <v>25</v>
      </c>
      <c r="D5422" s="19">
        <v>18</v>
      </c>
      <c r="E5422">
        <v>177</v>
      </c>
      <c r="F5422" t="s">
        <v>10</v>
      </c>
      <c r="G5422" t="s">
        <v>11</v>
      </c>
      <c r="H5422">
        <v>2</v>
      </c>
      <c r="I5422" t="s">
        <v>27</v>
      </c>
    </row>
    <row r="5423" spans="1:9" x14ac:dyDescent="0.2">
      <c r="A5423" t="str">
        <f t="shared" si="331"/>
        <v>40513Haapiti18178Autres</v>
      </c>
      <c r="B5423" s="1">
        <v>40513</v>
      </c>
      <c r="C5423" t="s">
        <v>25</v>
      </c>
      <c r="D5423" s="19">
        <v>18</v>
      </c>
      <c r="E5423">
        <v>178</v>
      </c>
      <c r="F5423" t="s">
        <v>14</v>
      </c>
      <c r="H5423">
        <v>0</v>
      </c>
    </row>
    <row r="5424" spans="1:9" x14ac:dyDescent="0.2">
      <c r="A5424" t="str">
        <f t="shared" si="331"/>
        <v>40513Haapiti18179PocilloporidaeBords</v>
      </c>
      <c r="B5424" s="1">
        <v>40513</v>
      </c>
      <c r="C5424" t="s">
        <v>25</v>
      </c>
      <c r="D5424" s="19">
        <v>18</v>
      </c>
      <c r="E5424">
        <v>179</v>
      </c>
      <c r="F5424" t="s">
        <v>10</v>
      </c>
      <c r="G5424" t="s">
        <v>13</v>
      </c>
      <c r="H5424">
        <v>1</v>
      </c>
      <c r="I5424" t="s">
        <v>27</v>
      </c>
    </row>
    <row r="5425" spans="1:9" x14ac:dyDescent="0.2">
      <c r="A5425" t="str">
        <f t="shared" si="331"/>
        <v>40513Haapiti18179PocilloporidaeDessous</v>
      </c>
      <c r="B5425" s="1">
        <v>40513</v>
      </c>
      <c r="C5425" t="s">
        <v>25</v>
      </c>
      <c r="D5425" s="19">
        <v>18</v>
      </c>
      <c r="E5425">
        <v>179</v>
      </c>
      <c r="F5425" t="s">
        <v>10</v>
      </c>
      <c r="G5425" t="s">
        <v>8</v>
      </c>
      <c r="H5425">
        <v>2</v>
      </c>
      <c r="I5425" t="s">
        <v>27</v>
      </c>
    </row>
    <row r="5426" spans="1:9" x14ac:dyDescent="0.2">
      <c r="A5426" t="str">
        <f t="shared" si="331"/>
        <v>40513Haapiti18179PoritidaeDessus</v>
      </c>
      <c r="B5426" s="1">
        <v>40513</v>
      </c>
      <c r="C5426" t="s">
        <v>25</v>
      </c>
      <c r="D5426" s="19">
        <v>18</v>
      </c>
      <c r="E5426">
        <v>179</v>
      </c>
      <c r="F5426" t="s">
        <v>7</v>
      </c>
      <c r="G5426" t="s">
        <v>11</v>
      </c>
      <c r="H5426">
        <v>1</v>
      </c>
      <c r="I5426" t="s">
        <v>27</v>
      </c>
    </row>
    <row r="5427" spans="1:9" x14ac:dyDescent="0.2">
      <c r="A5427" t="str">
        <f t="shared" si="331"/>
        <v>40513Haapiti18180PocilloporidaeDessous</v>
      </c>
      <c r="B5427" s="1">
        <v>40513</v>
      </c>
      <c r="C5427" t="s">
        <v>25</v>
      </c>
      <c r="D5427" s="19">
        <v>18</v>
      </c>
      <c r="E5427">
        <v>180</v>
      </c>
      <c r="F5427" t="s">
        <v>10</v>
      </c>
      <c r="G5427" t="s">
        <v>8</v>
      </c>
      <c r="H5427">
        <v>1</v>
      </c>
      <c r="I5427" t="s">
        <v>27</v>
      </c>
    </row>
    <row r="5428" spans="1:9" x14ac:dyDescent="0.2">
      <c r="A5428" t="str">
        <f t="shared" si="331"/>
        <v>40787Vaipahu61Autres</v>
      </c>
      <c r="B5428" s="1">
        <v>40787</v>
      </c>
      <c r="C5428" t="s">
        <v>23</v>
      </c>
      <c r="D5428" s="19">
        <v>6</v>
      </c>
      <c r="E5428">
        <v>1</v>
      </c>
      <c r="F5428" t="s">
        <v>14</v>
      </c>
      <c r="H5428">
        <v>0</v>
      </c>
    </row>
    <row r="5429" spans="1:9" x14ac:dyDescent="0.2">
      <c r="A5429" t="str">
        <f t="shared" si="331"/>
        <v>40787Vaipahu62Autres</v>
      </c>
      <c r="B5429" s="1">
        <v>40787</v>
      </c>
      <c r="C5429" t="s">
        <v>23</v>
      </c>
      <c r="D5429" s="19">
        <v>6</v>
      </c>
      <c r="E5429">
        <v>2</v>
      </c>
      <c r="F5429" t="s">
        <v>14</v>
      </c>
      <c r="H5429">
        <v>0</v>
      </c>
    </row>
    <row r="5430" spans="1:9" x14ac:dyDescent="0.2">
      <c r="A5430" t="str">
        <f t="shared" si="331"/>
        <v>40787Vaipahu63Autres</v>
      </c>
      <c r="B5430" s="1">
        <v>40787</v>
      </c>
      <c r="C5430" t="s">
        <v>23</v>
      </c>
      <c r="D5430" s="19">
        <v>6</v>
      </c>
      <c r="E5430">
        <v>3</v>
      </c>
      <c r="F5430" t="s">
        <v>14</v>
      </c>
      <c r="H5430">
        <v>0</v>
      </c>
    </row>
    <row r="5431" spans="1:9" x14ac:dyDescent="0.2">
      <c r="A5431" t="str">
        <f t="shared" si="331"/>
        <v>40787Vaipahu64Autres</v>
      </c>
      <c r="B5431" s="1">
        <v>40787</v>
      </c>
      <c r="C5431" t="s">
        <v>23</v>
      </c>
      <c r="D5431" s="19">
        <v>6</v>
      </c>
      <c r="E5431">
        <v>4</v>
      </c>
      <c r="F5431" t="s">
        <v>14</v>
      </c>
      <c r="H5431">
        <v>0</v>
      </c>
    </row>
    <row r="5432" spans="1:9" x14ac:dyDescent="0.2">
      <c r="A5432" t="str">
        <f t="shared" si="331"/>
        <v>40787Vaipahu65Autres</v>
      </c>
      <c r="B5432" s="1">
        <v>40787</v>
      </c>
      <c r="C5432" t="s">
        <v>23</v>
      </c>
      <c r="D5432" s="19">
        <v>6</v>
      </c>
      <c r="E5432">
        <v>5</v>
      </c>
      <c r="F5432" t="s">
        <v>14</v>
      </c>
      <c r="H5432">
        <v>0</v>
      </c>
    </row>
    <row r="5433" spans="1:9" x14ac:dyDescent="0.2">
      <c r="A5433" t="str">
        <f t="shared" si="331"/>
        <v>40787Vaipahu66Autres</v>
      </c>
      <c r="B5433" s="1">
        <v>40787</v>
      </c>
      <c r="C5433" t="s">
        <v>23</v>
      </c>
      <c r="D5433" s="19">
        <v>6</v>
      </c>
      <c r="E5433">
        <v>6</v>
      </c>
      <c r="F5433" t="s">
        <v>14</v>
      </c>
      <c r="H5433">
        <v>0</v>
      </c>
    </row>
    <row r="5434" spans="1:9" x14ac:dyDescent="0.2">
      <c r="A5434" t="str">
        <f t="shared" si="331"/>
        <v>40787Vaipahu67Autres</v>
      </c>
      <c r="B5434" s="1">
        <v>40787</v>
      </c>
      <c r="C5434" t="s">
        <v>23</v>
      </c>
      <c r="D5434" s="19">
        <v>6</v>
      </c>
      <c r="E5434">
        <v>7</v>
      </c>
      <c r="F5434" t="s">
        <v>14</v>
      </c>
      <c r="H5434">
        <v>0</v>
      </c>
    </row>
    <row r="5435" spans="1:9" x14ac:dyDescent="0.2">
      <c r="A5435" t="str">
        <f t="shared" si="331"/>
        <v>40787Vaipahu68Autres</v>
      </c>
      <c r="B5435" s="1">
        <v>40787</v>
      </c>
      <c r="C5435" t="s">
        <v>23</v>
      </c>
      <c r="D5435" s="19">
        <v>6</v>
      </c>
      <c r="E5435">
        <v>8</v>
      </c>
      <c r="F5435" t="s">
        <v>14</v>
      </c>
      <c r="H5435">
        <v>0</v>
      </c>
    </row>
    <row r="5436" spans="1:9" x14ac:dyDescent="0.2">
      <c r="A5436" t="str">
        <f t="shared" si="331"/>
        <v>40787Vaipahu69Autres</v>
      </c>
      <c r="B5436" s="1">
        <v>40787</v>
      </c>
      <c r="C5436" t="s">
        <v>23</v>
      </c>
      <c r="D5436" s="19">
        <v>6</v>
      </c>
      <c r="E5436">
        <v>9</v>
      </c>
      <c r="F5436" t="s">
        <v>14</v>
      </c>
      <c r="H5436">
        <v>0</v>
      </c>
    </row>
    <row r="5437" spans="1:9" x14ac:dyDescent="0.2">
      <c r="A5437" t="str">
        <f t="shared" si="331"/>
        <v>40787Vaipahu610CassésDessus</v>
      </c>
      <c r="B5437" s="1">
        <v>40787</v>
      </c>
      <c r="C5437" t="s">
        <v>23</v>
      </c>
      <c r="D5437" s="19">
        <v>6</v>
      </c>
      <c r="E5437">
        <v>10</v>
      </c>
      <c r="F5437" t="s">
        <v>12</v>
      </c>
      <c r="G5437" t="s">
        <v>11</v>
      </c>
      <c r="H5437">
        <v>1</v>
      </c>
      <c r="I5437" t="s">
        <v>27</v>
      </c>
    </row>
    <row r="5438" spans="1:9" x14ac:dyDescent="0.2">
      <c r="A5438" t="str">
        <f t="shared" si="331"/>
        <v>40787Vaipahu611Autres</v>
      </c>
      <c r="B5438" s="1">
        <v>40787</v>
      </c>
      <c r="C5438" t="s">
        <v>23</v>
      </c>
      <c r="D5438" s="19">
        <v>6</v>
      </c>
      <c r="E5438">
        <v>11</v>
      </c>
      <c r="F5438" t="s">
        <v>14</v>
      </c>
      <c r="H5438">
        <v>0</v>
      </c>
    </row>
    <row r="5439" spans="1:9" x14ac:dyDescent="0.2">
      <c r="A5439" t="str">
        <f t="shared" ref="A5439:A5502" si="332">B5439 &amp; C5439&amp; D5439&amp; E5439 &amp; F5439 &amp;G5439</f>
        <v>40787Vaipahu612Autres</v>
      </c>
      <c r="B5439" s="1">
        <v>40787</v>
      </c>
      <c r="C5439" t="s">
        <v>23</v>
      </c>
      <c r="D5439" s="19">
        <v>6</v>
      </c>
      <c r="E5439">
        <v>12</v>
      </c>
      <c r="F5439" t="s">
        <v>14</v>
      </c>
      <c r="H5439">
        <v>0</v>
      </c>
    </row>
    <row r="5440" spans="1:9" x14ac:dyDescent="0.2">
      <c r="A5440" t="str">
        <f t="shared" si="332"/>
        <v>40787Vaipahu613Autres</v>
      </c>
      <c r="B5440" s="1">
        <v>40787</v>
      </c>
      <c r="C5440" t="s">
        <v>23</v>
      </c>
      <c r="D5440" s="19">
        <v>6</v>
      </c>
      <c r="E5440">
        <v>13</v>
      </c>
      <c r="F5440" t="s">
        <v>14</v>
      </c>
      <c r="H5440">
        <v>0</v>
      </c>
    </row>
    <row r="5441" spans="1:9" x14ac:dyDescent="0.2">
      <c r="A5441" t="str">
        <f t="shared" si="332"/>
        <v>40787Vaipahu614Autres</v>
      </c>
      <c r="B5441" s="1">
        <v>40787</v>
      </c>
      <c r="C5441" t="s">
        <v>23</v>
      </c>
      <c r="D5441" s="19">
        <v>6</v>
      </c>
      <c r="E5441">
        <v>14</v>
      </c>
      <c r="F5441" t="s">
        <v>14</v>
      </c>
      <c r="H5441">
        <v>0</v>
      </c>
    </row>
    <row r="5442" spans="1:9" x14ac:dyDescent="0.2">
      <c r="A5442" t="str">
        <f t="shared" si="332"/>
        <v>40787Vaipahu615Autres</v>
      </c>
      <c r="B5442" s="1">
        <v>40787</v>
      </c>
      <c r="C5442" t="s">
        <v>23</v>
      </c>
      <c r="D5442" s="19">
        <v>6</v>
      </c>
      <c r="E5442">
        <v>15</v>
      </c>
      <c r="F5442" t="s">
        <v>14</v>
      </c>
      <c r="H5442">
        <v>0</v>
      </c>
    </row>
    <row r="5443" spans="1:9" x14ac:dyDescent="0.2">
      <c r="A5443" t="str">
        <f t="shared" si="332"/>
        <v>40787Vaipahu616Autres</v>
      </c>
      <c r="B5443" s="1">
        <v>40787</v>
      </c>
      <c r="C5443" t="s">
        <v>23</v>
      </c>
      <c r="D5443" s="19">
        <v>6</v>
      </c>
      <c r="E5443">
        <v>16</v>
      </c>
      <c r="F5443" t="s">
        <v>14</v>
      </c>
      <c r="H5443">
        <v>0</v>
      </c>
    </row>
    <row r="5444" spans="1:9" x14ac:dyDescent="0.2">
      <c r="A5444" t="str">
        <f t="shared" si="332"/>
        <v>40787Vaipahu617PocilloporidaeDessous</v>
      </c>
      <c r="B5444" s="1">
        <v>40787</v>
      </c>
      <c r="C5444" t="s">
        <v>23</v>
      </c>
      <c r="D5444" s="19">
        <v>6</v>
      </c>
      <c r="E5444">
        <v>17</v>
      </c>
      <c r="F5444" t="s">
        <v>10</v>
      </c>
      <c r="G5444" t="s">
        <v>8</v>
      </c>
      <c r="H5444">
        <v>2</v>
      </c>
      <c r="I5444" t="s">
        <v>27</v>
      </c>
    </row>
    <row r="5445" spans="1:9" x14ac:dyDescent="0.2">
      <c r="A5445" t="str">
        <f t="shared" si="332"/>
        <v>40787Vaipahu618Autres</v>
      </c>
      <c r="B5445" s="1">
        <v>40787</v>
      </c>
      <c r="C5445" t="s">
        <v>23</v>
      </c>
      <c r="D5445" s="19">
        <v>6</v>
      </c>
      <c r="E5445">
        <v>18</v>
      </c>
      <c r="F5445" t="s">
        <v>14</v>
      </c>
      <c r="H5445">
        <v>0</v>
      </c>
    </row>
    <row r="5446" spans="1:9" x14ac:dyDescent="0.2">
      <c r="A5446" t="str">
        <f t="shared" si="332"/>
        <v>40787Vaipahu619Autres</v>
      </c>
      <c r="B5446" s="1">
        <v>40787</v>
      </c>
      <c r="C5446" t="s">
        <v>23</v>
      </c>
      <c r="D5446" s="19">
        <v>6</v>
      </c>
      <c r="E5446">
        <v>19</v>
      </c>
      <c r="F5446" t="s">
        <v>14</v>
      </c>
      <c r="H5446">
        <v>0</v>
      </c>
    </row>
    <row r="5447" spans="1:9" x14ac:dyDescent="0.2">
      <c r="A5447" t="str">
        <f t="shared" si="332"/>
        <v>40787Vaipahu620Autres</v>
      </c>
      <c r="B5447" s="1">
        <v>40787</v>
      </c>
      <c r="C5447" t="s">
        <v>23</v>
      </c>
      <c r="D5447" s="19">
        <v>6</v>
      </c>
      <c r="E5447">
        <v>20</v>
      </c>
      <c r="F5447" t="s">
        <v>14</v>
      </c>
      <c r="H5447">
        <v>0</v>
      </c>
    </row>
    <row r="5448" spans="1:9" x14ac:dyDescent="0.2">
      <c r="A5448" t="str">
        <f t="shared" si="332"/>
        <v>40787Vaipahu1221Autres</v>
      </c>
      <c r="B5448" s="1">
        <v>40787</v>
      </c>
      <c r="C5448" t="s">
        <v>23</v>
      </c>
      <c r="D5448" s="19">
        <v>12</v>
      </c>
      <c r="E5448">
        <v>21</v>
      </c>
      <c r="F5448" t="s">
        <v>14</v>
      </c>
      <c r="H5448">
        <v>0</v>
      </c>
    </row>
    <row r="5449" spans="1:9" x14ac:dyDescent="0.2">
      <c r="A5449" t="str">
        <f t="shared" si="332"/>
        <v>40787Vaipahu1222Autres</v>
      </c>
      <c r="B5449" s="1">
        <v>40787</v>
      </c>
      <c r="C5449" t="s">
        <v>23</v>
      </c>
      <c r="D5449" s="19">
        <v>12</v>
      </c>
      <c r="E5449">
        <v>22</v>
      </c>
      <c r="F5449" t="s">
        <v>14</v>
      </c>
      <c r="H5449">
        <v>0</v>
      </c>
    </row>
    <row r="5450" spans="1:9" x14ac:dyDescent="0.2">
      <c r="A5450" t="str">
        <f t="shared" si="332"/>
        <v>40787Vaipahu1223Autres</v>
      </c>
      <c r="B5450" s="1">
        <v>40787</v>
      </c>
      <c r="C5450" t="s">
        <v>23</v>
      </c>
      <c r="D5450" s="19">
        <v>12</v>
      </c>
      <c r="E5450">
        <v>23</v>
      </c>
      <c r="F5450" t="s">
        <v>14</v>
      </c>
      <c r="H5450">
        <v>0</v>
      </c>
    </row>
    <row r="5451" spans="1:9" x14ac:dyDescent="0.2">
      <c r="A5451" t="str">
        <f t="shared" si="332"/>
        <v>40787Vaipahu1224Autres</v>
      </c>
      <c r="B5451" s="1">
        <v>40787</v>
      </c>
      <c r="C5451" t="s">
        <v>23</v>
      </c>
      <c r="D5451" s="19">
        <v>12</v>
      </c>
      <c r="E5451">
        <v>24</v>
      </c>
      <c r="F5451" t="s">
        <v>14</v>
      </c>
      <c r="H5451">
        <v>0</v>
      </c>
    </row>
    <row r="5452" spans="1:9" x14ac:dyDescent="0.2">
      <c r="A5452" t="str">
        <f t="shared" si="332"/>
        <v>40787Vaipahu1225Autres</v>
      </c>
      <c r="B5452" s="1">
        <v>40787</v>
      </c>
      <c r="C5452" t="s">
        <v>23</v>
      </c>
      <c r="D5452" s="19">
        <v>12</v>
      </c>
      <c r="E5452">
        <v>25</v>
      </c>
      <c r="F5452" t="s">
        <v>14</v>
      </c>
      <c r="H5452">
        <v>0</v>
      </c>
    </row>
    <row r="5453" spans="1:9" x14ac:dyDescent="0.2">
      <c r="A5453" t="str">
        <f t="shared" si="332"/>
        <v>40787Vaipahu1226Autres</v>
      </c>
      <c r="B5453" s="1">
        <v>40787</v>
      </c>
      <c r="C5453" t="s">
        <v>23</v>
      </c>
      <c r="D5453" s="19">
        <v>12</v>
      </c>
      <c r="E5453">
        <v>26</v>
      </c>
      <c r="F5453" t="s">
        <v>14</v>
      </c>
      <c r="H5453">
        <v>0</v>
      </c>
    </row>
    <row r="5454" spans="1:9" x14ac:dyDescent="0.2">
      <c r="A5454" t="str">
        <f t="shared" si="332"/>
        <v>40787Vaipahu1227Autres</v>
      </c>
      <c r="B5454" s="1">
        <v>40787</v>
      </c>
      <c r="C5454" t="s">
        <v>23</v>
      </c>
      <c r="D5454" s="19">
        <v>12</v>
      </c>
      <c r="E5454">
        <v>27</v>
      </c>
      <c r="F5454" t="s">
        <v>14</v>
      </c>
      <c r="H5454">
        <v>0</v>
      </c>
    </row>
    <row r="5455" spans="1:9" x14ac:dyDescent="0.2">
      <c r="A5455" t="str">
        <f t="shared" si="332"/>
        <v>40787Vaipahu1228Autres</v>
      </c>
      <c r="B5455" s="1">
        <v>40787</v>
      </c>
      <c r="C5455" t="s">
        <v>23</v>
      </c>
      <c r="D5455" s="19">
        <v>12</v>
      </c>
      <c r="E5455">
        <v>28</v>
      </c>
      <c r="F5455" t="s">
        <v>14</v>
      </c>
      <c r="H5455">
        <v>0</v>
      </c>
    </row>
    <row r="5456" spans="1:9" x14ac:dyDescent="0.2">
      <c r="A5456" t="str">
        <f t="shared" si="332"/>
        <v>40787Vaipahu1229Autres</v>
      </c>
      <c r="B5456" s="1">
        <v>40787</v>
      </c>
      <c r="C5456" t="s">
        <v>23</v>
      </c>
      <c r="D5456" s="19">
        <v>12</v>
      </c>
      <c r="E5456">
        <v>29</v>
      </c>
      <c r="F5456" t="s">
        <v>14</v>
      </c>
      <c r="H5456">
        <v>0</v>
      </c>
    </row>
    <row r="5457" spans="1:9" x14ac:dyDescent="0.2">
      <c r="A5457" t="str">
        <f t="shared" si="332"/>
        <v>40787Vaipahu1230</v>
      </c>
      <c r="B5457" s="1">
        <v>40787</v>
      </c>
      <c r="C5457" t="s">
        <v>23</v>
      </c>
      <c r="D5457" s="19">
        <v>12</v>
      </c>
      <c r="E5457">
        <v>30</v>
      </c>
      <c r="F5457" t="s">
        <v>27</v>
      </c>
      <c r="G5457" t="s">
        <v>27</v>
      </c>
      <c r="H5457" t="s">
        <v>27</v>
      </c>
      <c r="I5457" t="s">
        <v>31</v>
      </c>
    </row>
    <row r="5458" spans="1:9" x14ac:dyDescent="0.2">
      <c r="A5458" t="str">
        <f t="shared" si="332"/>
        <v>40787Vaipahu1231Autres</v>
      </c>
      <c r="B5458" s="1">
        <v>40787</v>
      </c>
      <c r="C5458" t="s">
        <v>23</v>
      </c>
      <c r="D5458" s="19">
        <v>12</v>
      </c>
      <c r="E5458">
        <v>31</v>
      </c>
      <c r="F5458" t="s">
        <v>14</v>
      </c>
      <c r="H5458">
        <v>0</v>
      </c>
    </row>
    <row r="5459" spans="1:9" x14ac:dyDescent="0.2">
      <c r="A5459" t="str">
        <f t="shared" si="332"/>
        <v>40787Vaipahu1232Autres</v>
      </c>
      <c r="B5459" s="1">
        <v>40787</v>
      </c>
      <c r="C5459" t="s">
        <v>23</v>
      </c>
      <c r="D5459" s="19">
        <v>12</v>
      </c>
      <c r="E5459">
        <v>32</v>
      </c>
      <c r="F5459" t="s">
        <v>14</v>
      </c>
      <c r="H5459">
        <v>0</v>
      </c>
    </row>
    <row r="5460" spans="1:9" x14ac:dyDescent="0.2">
      <c r="A5460" t="str">
        <f t="shared" si="332"/>
        <v>40787Vaipahu1233</v>
      </c>
      <c r="B5460" s="1">
        <v>40787</v>
      </c>
      <c r="C5460" t="s">
        <v>23</v>
      </c>
      <c r="D5460" s="19">
        <v>12</v>
      </c>
      <c r="E5460">
        <v>33</v>
      </c>
      <c r="F5460" t="s">
        <v>27</v>
      </c>
      <c r="G5460" t="s">
        <v>27</v>
      </c>
      <c r="H5460" t="s">
        <v>27</v>
      </c>
      <c r="I5460" t="s">
        <v>31</v>
      </c>
    </row>
    <row r="5461" spans="1:9" x14ac:dyDescent="0.2">
      <c r="A5461" t="str">
        <f t="shared" si="332"/>
        <v>40787Vaipahu1234Autres</v>
      </c>
      <c r="B5461" s="1">
        <v>40787</v>
      </c>
      <c r="C5461" t="s">
        <v>23</v>
      </c>
      <c r="D5461" s="19">
        <v>12</v>
      </c>
      <c r="E5461">
        <v>34</v>
      </c>
      <c r="F5461" t="s">
        <v>14</v>
      </c>
      <c r="H5461">
        <v>0</v>
      </c>
    </row>
    <row r="5462" spans="1:9" x14ac:dyDescent="0.2">
      <c r="A5462" t="str">
        <f t="shared" si="332"/>
        <v>40787Vaipahu1235PoritidaeDessous</v>
      </c>
      <c r="B5462" s="1">
        <v>40787</v>
      </c>
      <c r="C5462" t="s">
        <v>23</v>
      </c>
      <c r="D5462" s="19">
        <v>12</v>
      </c>
      <c r="E5462">
        <v>35</v>
      </c>
      <c r="F5462" t="s">
        <v>7</v>
      </c>
      <c r="G5462" t="s">
        <v>8</v>
      </c>
      <c r="H5462">
        <v>1</v>
      </c>
      <c r="I5462" t="s">
        <v>27</v>
      </c>
    </row>
    <row r="5463" spans="1:9" x14ac:dyDescent="0.2">
      <c r="A5463" t="str">
        <f t="shared" si="332"/>
        <v>40787Vaipahu1236Autres</v>
      </c>
      <c r="B5463" s="1">
        <v>40787</v>
      </c>
      <c r="C5463" t="s">
        <v>23</v>
      </c>
      <c r="D5463" s="19">
        <v>12</v>
      </c>
      <c r="E5463">
        <v>36</v>
      </c>
      <c r="F5463" t="s">
        <v>14</v>
      </c>
      <c r="H5463">
        <v>0</v>
      </c>
    </row>
    <row r="5464" spans="1:9" x14ac:dyDescent="0.2">
      <c r="A5464" t="str">
        <f t="shared" si="332"/>
        <v>40787Vaipahu1237Autres</v>
      </c>
      <c r="B5464" s="1">
        <v>40787</v>
      </c>
      <c r="C5464" t="s">
        <v>23</v>
      </c>
      <c r="D5464" s="19">
        <v>12</v>
      </c>
      <c r="E5464">
        <v>37</v>
      </c>
      <c r="F5464" t="s">
        <v>14</v>
      </c>
      <c r="H5464">
        <v>0</v>
      </c>
    </row>
    <row r="5465" spans="1:9" x14ac:dyDescent="0.2">
      <c r="A5465" t="str">
        <f t="shared" si="332"/>
        <v>40787Vaipahu1238PocilloporidaeDessous</v>
      </c>
      <c r="B5465" s="1">
        <v>40787</v>
      </c>
      <c r="C5465" t="s">
        <v>23</v>
      </c>
      <c r="D5465" s="19">
        <v>12</v>
      </c>
      <c r="E5465">
        <v>38</v>
      </c>
      <c r="F5465" t="s">
        <v>10</v>
      </c>
      <c r="G5465" t="s">
        <v>8</v>
      </c>
      <c r="H5465">
        <v>1</v>
      </c>
      <c r="I5465" t="s">
        <v>27</v>
      </c>
    </row>
    <row r="5466" spans="1:9" x14ac:dyDescent="0.2">
      <c r="A5466" t="str">
        <f t="shared" si="332"/>
        <v>40787Vaipahu1239Autres</v>
      </c>
      <c r="B5466" s="1">
        <v>40787</v>
      </c>
      <c r="C5466" t="s">
        <v>23</v>
      </c>
      <c r="D5466" s="19">
        <v>12</v>
      </c>
      <c r="E5466">
        <v>39</v>
      </c>
      <c r="F5466" t="s">
        <v>14</v>
      </c>
      <c r="H5466">
        <v>0</v>
      </c>
    </row>
    <row r="5467" spans="1:9" x14ac:dyDescent="0.2">
      <c r="A5467" t="str">
        <f t="shared" si="332"/>
        <v>40787Vaipahu1240Autres</v>
      </c>
      <c r="B5467" s="1">
        <v>40787</v>
      </c>
      <c r="C5467" t="s">
        <v>23</v>
      </c>
      <c r="D5467" s="19">
        <v>12</v>
      </c>
      <c r="E5467">
        <v>40</v>
      </c>
      <c r="F5467" t="s">
        <v>14</v>
      </c>
      <c r="H5467">
        <v>0</v>
      </c>
    </row>
    <row r="5468" spans="1:9" x14ac:dyDescent="0.2">
      <c r="A5468" t="str">
        <f t="shared" si="332"/>
        <v>40787Vaipahu1841Autres</v>
      </c>
      <c r="B5468" s="1">
        <v>40787</v>
      </c>
      <c r="C5468" t="s">
        <v>23</v>
      </c>
      <c r="D5468" s="19">
        <v>18</v>
      </c>
      <c r="E5468">
        <v>41</v>
      </c>
      <c r="F5468" t="s">
        <v>14</v>
      </c>
      <c r="H5468">
        <v>0</v>
      </c>
    </row>
    <row r="5469" spans="1:9" x14ac:dyDescent="0.2">
      <c r="A5469" t="str">
        <f t="shared" si="332"/>
        <v>40787Vaipahu1842Autres</v>
      </c>
      <c r="B5469" s="1">
        <v>40787</v>
      </c>
      <c r="C5469" t="s">
        <v>23</v>
      </c>
      <c r="D5469" s="19">
        <v>18</v>
      </c>
      <c r="E5469">
        <v>42</v>
      </c>
      <c r="F5469" t="s">
        <v>14</v>
      </c>
      <c r="H5469">
        <v>0</v>
      </c>
    </row>
    <row r="5470" spans="1:9" x14ac:dyDescent="0.2">
      <c r="A5470" t="str">
        <f t="shared" si="332"/>
        <v>40787Vaipahu1843Autres</v>
      </c>
      <c r="B5470" s="1">
        <v>40787</v>
      </c>
      <c r="C5470" t="s">
        <v>23</v>
      </c>
      <c r="D5470" s="19">
        <v>18</v>
      </c>
      <c r="E5470">
        <v>43</v>
      </c>
      <c r="F5470" t="s">
        <v>14</v>
      </c>
      <c r="H5470">
        <v>0</v>
      </c>
    </row>
    <row r="5471" spans="1:9" x14ac:dyDescent="0.2">
      <c r="A5471" t="str">
        <f t="shared" si="332"/>
        <v>40787Vaipahu1844Autres</v>
      </c>
      <c r="B5471" s="1">
        <v>40787</v>
      </c>
      <c r="C5471" t="s">
        <v>23</v>
      </c>
      <c r="D5471" s="19">
        <v>18</v>
      </c>
      <c r="E5471">
        <v>44</v>
      </c>
      <c r="F5471" t="s">
        <v>14</v>
      </c>
      <c r="H5471">
        <v>0</v>
      </c>
    </row>
    <row r="5472" spans="1:9" x14ac:dyDescent="0.2">
      <c r="A5472" t="str">
        <f t="shared" si="332"/>
        <v>40787Vaipahu1845Autres</v>
      </c>
      <c r="B5472" s="1">
        <v>40787</v>
      </c>
      <c r="C5472" t="s">
        <v>23</v>
      </c>
      <c r="D5472" s="19">
        <v>18</v>
      </c>
      <c r="E5472">
        <v>45</v>
      </c>
      <c r="F5472" t="s">
        <v>14</v>
      </c>
      <c r="H5472">
        <v>0</v>
      </c>
    </row>
    <row r="5473" spans="1:9" x14ac:dyDescent="0.2">
      <c r="A5473" t="str">
        <f t="shared" si="332"/>
        <v>40787Vaipahu1846Autres</v>
      </c>
      <c r="B5473" s="1">
        <v>40787</v>
      </c>
      <c r="C5473" t="s">
        <v>23</v>
      </c>
      <c r="D5473" s="19">
        <v>18</v>
      </c>
      <c r="E5473">
        <v>46</v>
      </c>
      <c r="F5473" t="s">
        <v>14</v>
      </c>
      <c r="H5473">
        <v>0</v>
      </c>
    </row>
    <row r="5474" spans="1:9" x14ac:dyDescent="0.2">
      <c r="A5474" t="str">
        <f t="shared" si="332"/>
        <v>40787Vaipahu1847PoritidaeDessous</v>
      </c>
      <c r="B5474" s="1">
        <v>40787</v>
      </c>
      <c r="C5474" t="s">
        <v>23</v>
      </c>
      <c r="D5474" s="19">
        <v>18</v>
      </c>
      <c r="E5474">
        <v>47</v>
      </c>
      <c r="F5474" t="s">
        <v>7</v>
      </c>
      <c r="G5474" t="s">
        <v>8</v>
      </c>
      <c r="H5474">
        <v>1</v>
      </c>
      <c r="I5474" t="s">
        <v>27</v>
      </c>
    </row>
    <row r="5475" spans="1:9" x14ac:dyDescent="0.2">
      <c r="A5475" t="str">
        <f t="shared" si="332"/>
        <v>40787Vaipahu1848Autres</v>
      </c>
      <c r="B5475" s="1">
        <v>40787</v>
      </c>
      <c r="C5475" t="s">
        <v>23</v>
      </c>
      <c r="D5475" s="19">
        <v>18</v>
      </c>
      <c r="E5475">
        <v>48</v>
      </c>
      <c r="F5475" t="s">
        <v>14</v>
      </c>
      <c r="H5475">
        <v>0</v>
      </c>
    </row>
    <row r="5476" spans="1:9" x14ac:dyDescent="0.2">
      <c r="A5476" t="str">
        <f t="shared" si="332"/>
        <v>40787Vaipahu1849Autres</v>
      </c>
      <c r="B5476" s="1">
        <v>40787</v>
      </c>
      <c r="C5476" t="s">
        <v>23</v>
      </c>
      <c r="D5476" s="19">
        <v>18</v>
      </c>
      <c r="E5476">
        <v>49</v>
      </c>
      <c r="F5476" t="s">
        <v>14</v>
      </c>
      <c r="H5476">
        <v>0</v>
      </c>
    </row>
    <row r="5477" spans="1:9" x14ac:dyDescent="0.2">
      <c r="A5477" t="str">
        <f t="shared" si="332"/>
        <v>40787Vaipahu1850Autres</v>
      </c>
      <c r="B5477" s="1">
        <v>40787</v>
      </c>
      <c r="C5477" t="s">
        <v>23</v>
      </c>
      <c r="D5477" s="19">
        <v>18</v>
      </c>
      <c r="E5477">
        <v>50</v>
      </c>
      <c r="F5477" t="s">
        <v>14</v>
      </c>
      <c r="H5477">
        <v>0</v>
      </c>
    </row>
    <row r="5478" spans="1:9" x14ac:dyDescent="0.2">
      <c r="A5478" t="str">
        <f t="shared" si="332"/>
        <v>40787Vaipahu1851Autres</v>
      </c>
      <c r="B5478" s="1">
        <v>40787</v>
      </c>
      <c r="C5478" t="s">
        <v>23</v>
      </c>
      <c r="D5478" s="19">
        <v>18</v>
      </c>
      <c r="E5478">
        <v>51</v>
      </c>
      <c r="F5478" t="s">
        <v>14</v>
      </c>
      <c r="H5478">
        <v>0</v>
      </c>
    </row>
    <row r="5479" spans="1:9" x14ac:dyDescent="0.2">
      <c r="A5479" t="str">
        <f t="shared" si="332"/>
        <v>40787Vaipahu1852Autres</v>
      </c>
      <c r="B5479" s="1">
        <v>40787</v>
      </c>
      <c r="C5479" t="s">
        <v>23</v>
      </c>
      <c r="D5479" s="19">
        <v>18</v>
      </c>
      <c r="E5479">
        <v>52</v>
      </c>
      <c r="F5479" t="s">
        <v>14</v>
      </c>
      <c r="H5479">
        <v>0</v>
      </c>
    </row>
    <row r="5480" spans="1:9" x14ac:dyDescent="0.2">
      <c r="A5480" t="str">
        <f t="shared" si="332"/>
        <v>40787Vaipahu1853Autres</v>
      </c>
      <c r="B5480" s="1">
        <v>40787</v>
      </c>
      <c r="C5480" t="s">
        <v>23</v>
      </c>
      <c r="D5480" s="19">
        <v>18</v>
      </c>
      <c r="E5480">
        <v>53</v>
      </c>
      <c r="F5480" t="s">
        <v>14</v>
      </c>
      <c r="H5480">
        <v>0</v>
      </c>
    </row>
    <row r="5481" spans="1:9" x14ac:dyDescent="0.2">
      <c r="A5481" t="str">
        <f t="shared" si="332"/>
        <v>40787Vaipahu1854Autres</v>
      </c>
      <c r="B5481" s="1">
        <v>40787</v>
      </c>
      <c r="C5481" t="s">
        <v>23</v>
      </c>
      <c r="D5481" s="19">
        <v>18</v>
      </c>
      <c r="E5481">
        <v>54</v>
      </c>
      <c r="F5481" t="s">
        <v>14</v>
      </c>
      <c r="H5481">
        <v>0</v>
      </c>
    </row>
    <row r="5482" spans="1:9" x14ac:dyDescent="0.2">
      <c r="A5482" t="str">
        <f t="shared" si="332"/>
        <v>40787Vaipahu1855Autres</v>
      </c>
      <c r="B5482" s="1">
        <v>40787</v>
      </c>
      <c r="C5482" t="s">
        <v>23</v>
      </c>
      <c r="D5482" s="19">
        <v>18</v>
      </c>
      <c r="E5482">
        <v>55</v>
      </c>
      <c r="F5482" t="s">
        <v>14</v>
      </c>
      <c r="H5482">
        <v>0</v>
      </c>
    </row>
    <row r="5483" spans="1:9" x14ac:dyDescent="0.2">
      <c r="A5483" t="str">
        <f t="shared" si="332"/>
        <v>40787Vaipahu1856Autres</v>
      </c>
      <c r="B5483" s="1">
        <v>40787</v>
      </c>
      <c r="C5483" t="s">
        <v>23</v>
      </c>
      <c r="D5483" s="19">
        <v>18</v>
      </c>
      <c r="E5483">
        <v>56</v>
      </c>
      <c r="F5483" t="s">
        <v>14</v>
      </c>
      <c r="H5483">
        <v>0</v>
      </c>
    </row>
    <row r="5484" spans="1:9" x14ac:dyDescent="0.2">
      <c r="A5484" t="str">
        <f t="shared" si="332"/>
        <v>40787Vaipahu1857Autres</v>
      </c>
      <c r="B5484" s="1">
        <v>40787</v>
      </c>
      <c r="C5484" t="s">
        <v>23</v>
      </c>
      <c r="D5484" s="19">
        <v>18</v>
      </c>
      <c r="E5484">
        <v>57</v>
      </c>
      <c r="F5484" t="s">
        <v>14</v>
      </c>
      <c r="H5484">
        <v>0</v>
      </c>
    </row>
    <row r="5485" spans="1:9" x14ac:dyDescent="0.2">
      <c r="A5485" t="str">
        <f t="shared" si="332"/>
        <v>40787Vaipahu1858Autres</v>
      </c>
      <c r="B5485" s="1">
        <v>40787</v>
      </c>
      <c r="C5485" t="s">
        <v>23</v>
      </c>
      <c r="D5485" s="19">
        <v>18</v>
      </c>
      <c r="E5485">
        <v>58</v>
      </c>
      <c r="F5485" t="s">
        <v>14</v>
      </c>
      <c r="H5485">
        <v>0</v>
      </c>
    </row>
    <row r="5486" spans="1:9" x14ac:dyDescent="0.2">
      <c r="A5486" t="str">
        <f t="shared" si="332"/>
        <v>40787Vaipahu1859Autres</v>
      </c>
      <c r="B5486" s="1">
        <v>40787</v>
      </c>
      <c r="C5486" t="s">
        <v>23</v>
      </c>
      <c r="D5486" s="19">
        <v>18</v>
      </c>
      <c r="E5486">
        <v>59</v>
      </c>
      <c r="F5486" t="s">
        <v>14</v>
      </c>
      <c r="H5486">
        <v>0</v>
      </c>
    </row>
    <row r="5487" spans="1:9" x14ac:dyDescent="0.2">
      <c r="A5487" t="str">
        <f t="shared" si="332"/>
        <v>40787Vaipahu1860Autres</v>
      </c>
      <c r="B5487" s="1">
        <v>40787</v>
      </c>
      <c r="C5487" t="s">
        <v>23</v>
      </c>
      <c r="D5487" s="19">
        <v>18</v>
      </c>
      <c r="E5487">
        <v>60</v>
      </c>
      <c r="F5487" t="s">
        <v>14</v>
      </c>
      <c r="H5487">
        <v>0</v>
      </c>
    </row>
    <row r="5488" spans="1:9" x14ac:dyDescent="0.2">
      <c r="A5488" t="str">
        <f t="shared" si="332"/>
        <v>40787Tiahura661Autres</v>
      </c>
      <c r="B5488" s="1">
        <v>40787</v>
      </c>
      <c r="C5488" t="s">
        <v>24</v>
      </c>
      <c r="D5488" s="19">
        <v>6</v>
      </c>
      <c r="E5488">
        <v>61</v>
      </c>
      <c r="F5488" t="s">
        <v>14</v>
      </c>
      <c r="H5488">
        <v>0</v>
      </c>
    </row>
    <row r="5489" spans="1:9" x14ac:dyDescent="0.2">
      <c r="A5489" t="str">
        <f t="shared" si="332"/>
        <v>40787Tiahura662Autres</v>
      </c>
      <c r="B5489" s="1">
        <v>40787</v>
      </c>
      <c r="C5489" t="s">
        <v>24</v>
      </c>
      <c r="D5489" s="19">
        <v>6</v>
      </c>
      <c r="E5489">
        <v>62</v>
      </c>
      <c r="F5489" t="s">
        <v>14</v>
      </c>
      <c r="H5489">
        <v>0</v>
      </c>
    </row>
    <row r="5490" spans="1:9" x14ac:dyDescent="0.2">
      <c r="A5490" t="str">
        <f t="shared" si="332"/>
        <v>40787Tiahura663PocilloporidaeDessus</v>
      </c>
      <c r="B5490" s="1">
        <v>40787</v>
      </c>
      <c r="C5490" t="s">
        <v>24</v>
      </c>
      <c r="D5490" s="19">
        <v>6</v>
      </c>
      <c r="E5490">
        <v>63</v>
      </c>
      <c r="F5490" t="s">
        <v>10</v>
      </c>
      <c r="G5490" t="s">
        <v>11</v>
      </c>
      <c r="H5490">
        <v>1</v>
      </c>
      <c r="I5490" t="s">
        <v>27</v>
      </c>
    </row>
    <row r="5491" spans="1:9" x14ac:dyDescent="0.2">
      <c r="A5491" t="str">
        <f t="shared" si="332"/>
        <v>40787Tiahura664AcroporidaeBords</v>
      </c>
      <c r="B5491" s="1">
        <v>40787</v>
      </c>
      <c r="C5491" t="s">
        <v>24</v>
      </c>
      <c r="D5491" s="19">
        <v>6</v>
      </c>
      <c r="E5491">
        <v>64</v>
      </c>
      <c r="F5491" t="s">
        <v>17</v>
      </c>
      <c r="G5491" t="s">
        <v>13</v>
      </c>
      <c r="H5491">
        <v>1</v>
      </c>
      <c r="I5491" t="s">
        <v>27</v>
      </c>
    </row>
    <row r="5492" spans="1:9" x14ac:dyDescent="0.2">
      <c r="A5492" t="str">
        <f t="shared" si="332"/>
        <v>40787Tiahura665Autres</v>
      </c>
      <c r="B5492" s="1">
        <v>40787</v>
      </c>
      <c r="C5492" t="s">
        <v>24</v>
      </c>
      <c r="D5492" s="19">
        <v>6</v>
      </c>
      <c r="E5492">
        <v>65</v>
      </c>
      <c r="F5492" t="s">
        <v>14</v>
      </c>
      <c r="H5492">
        <v>0</v>
      </c>
    </row>
    <row r="5493" spans="1:9" x14ac:dyDescent="0.2">
      <c r="A5493" t="str">
        <f t="shared" si="332"/>
        <v>40787Tiahura666Autres</v>
      </c>
      <c r="B5493" s="1">
        <v>40787</v>
      </c>
      <c r="C5493" t="s">
        <v>24</v>
      </c>
      <c r="D5493" s="19">
        <v>6</v>
      </c>
      <c r="E5493">
        <v>66</v>
      </c>
      <c r="F5493" t="s">
        <v>14</v>
      </c>
      <c r="H5493">
        <v>0</v>
      </c>
    </row>
    <row r="5494" spans="1:9" x14ac:dyDescent="0.2">
      <c r="A5494" t="str">
        <f t="shared" si="332"/>
        <v>40787Tiahura667Autres</v>
      </c>
      <c r="B5494" s="1">
        <v>40787</v>
      </c>
      <c r="C5494" t="s">
        <v>24</v>
      </c>
      <c r="D5494" s="19">
        <v>6</v>
      </c>
      <c r="E5494">
        <v>67</v>
      </c>
      <c r="F5494" t="s">
        <v>14</v>
      </c>
      <c r="H5494">
        <v>0</v>
      </c>
    </row>
    <row r="5495" spans="1:9" x14ac:dyDescent="0.2">
      <c r="A5495" t="str">
        <f t="shared" si="332"/>
        <v>40787Tiahura668Autres</v>
      </c>
      <c r="B5495" s="1">
        <v>40787</v>
      </c>
      <c r="C5495" t="s">
        <v>24</v>
      </c>
      <c r="D5495" s="19">
        <v>6</v>
      </c>
      <c r="E5495">
        <v>68</v>
      </c>
      <c r="F5495" t="s">
        <v>14</v>
      </c>
      <c r="H5495">
        <v>0</v>
      </c>
    </row>
    <row r="5496" spans="1:9" x14ac:dyDescent="0.2">
      <c r="A5496" t="str">
        <f t="shared" si="332"/>
        <v>40787Tiahura669Autres</v>
      </c>
      <c r="B5496" s="1">
        <v>40787</v>
      </c>
      <c r="C5496" t="s">
        <v>24</v>
      </c>
      <c r="D5496" s="19">
        <v>6</v>
      </c>
      <c r="E5496">
        <v>69</v>
      </c>
      <c r="F5496" t="s">
        <v>14</v>
      </c>
      <c r="H5496">
        <v>0</v>
      </c>
    </row>
    <row r="5497" spans="1:9" x14ac:dyDescent="0.2">
      <c r="A5497" t="str">
        <f t="shared" si="332"/>
        <v>40787Tiahura670PocilloporidaeBords</v>
      </c>
      <c r="B5497" s="1">
        <v>40787</v>
      </c>
      <c r="C5497" t="s">
        <v>24</v>
      </c>
      <c r="D5497" s="19">
        <v>6</v>
      </c>
      <c r="E5497">
        <v>70</v>
      </c>
      <c r="F5497" t="s">
        <v>10</v>
      </c>
      <c r="G5497" t="s">
        <v>13</v>
      </c>
      <c r="H5497">
        <v>1</v>
      </c>
      <c r="I5497" t="s">
        <v>27</v>
      </c>
    </row>
    <row r="5498" spans="1:9" x14ac:dyDescent="0.2">
      <c r="A5498" t="str">
        <f t="shared" si="332"/>
        <v>40787Tiahura671Autres</v>
      </c>
      <c r="B5498" s="1">
        <v>40787</v>
      </c>
      <c r="C5498" t="s">
        <v>24</v>
      </c>
      <c r="D5498" s="19">
        <v>6</v>
      </c>
      <c r="E5498">
        <v>71</v>
      </c>
      <c r="F5498" t="s">
        <v>14</v>
      </c>
      <c r="H5498">
        <v>0</v>
      </c>
    </row>
    <row r="5499" spans="1:9" x14ac:dyDescent="0.2">
      <c r="A5499" t="str">
        <f t="shared" si="332"/>
        <v>40787Tiahura672Autres</v>
      </c>
      <c r="B5499" s="1">
        <v>40787</v>
      </c>
      <c r="C5499" t="s">
        <v>24</v>
      </c>
      <c r="D5499" s="19">
        <v>6</v>
      </c>
      <c r="E5499">
        <v>72</v>
      </c>
      <c r="F5499" t="s">
        <v>14</v>
      </c>
      <c r="H5499">
        <v>0</v>
      </c>
    </row>
    <row r="5500" spans="1:9" x14ac:dyDescent="0.2">
      <c r="A5500" t="str">
        <f t="shared" si="332"/>
        <v>40787Tiahura673Autres</v>
      </c>
      <c r="B5500" s="1">
        <v>40787</v>
      </c>
      <c r="C5500" t="s">
        <v>24</v>
      </c>
      <c r="D5500" s="19">
        <v>6</v>
      </c>
      <c r="E5500">
        <v>73</v>
      </c>
      <c r="F5500" t="s">
        <v>14</v>
      </c>
      <c r="H5500">
        <v>0</v>
      </c>
    </row>
    <row r="5501" spans="1:9" x14ac:dyDescent="0.2">
      <c r="A5501" t="str">
        <f t="shared" si="332"/>
        <v>40787Tiahura674AcroporidaeDessus</v>
      </c>
      <c r="B5501" s="1">
        <v>40787</v>
      </c>
      <c r="C5501" t="s">
        <v>24</v>
      </c>
      <c r="D5501" s="19">
        <v>6</v>
      </c>
      <c r="E5501">
        <v>74</v>
      </c>
      <c r="F5501" t="s">
        <v>17</v>
      </c>
      <c r="G5501" t="s">
        <v>11</v>
      </c>
      <c r="H5501">
        <v>1</v>
      </c>
      <c r="I5501" t="s">
        <v>27</v>
      </c>
    </row>
    <row r="5502" spans="1:9" x14ac:dyDescent="0.2">
      <c r="A5502" t="str">
        <f t="shared" si="332"/>
        <v>40787Tiahura675Autres</v>
      </c>
      <c r="B5502" s="1">
        <v>40787</v>
      </c>
      <c r="C5502" t="s">
        <v>24</v>
      </c>
      <c r="D5502" s="19">
        <v>6</v>
      </c>
      <c r="E5502">
        <v>75</v>
      </c>
      <c r="F5502" t="s">
        <v>14</v>
      </c>
      <c r="H5502">
        <v>0</v>
      </c>
    </row>
    <row r="5503" spans="1:9" x14ac:dyDescent="0.2">
      <c r="A5503" t="str">
        <f t="shared" ref="A5503:A5566" si="333">B5503 &amp; C5503&amp; D5503&amp; E5503 &amp; F5503 &amp;G5503</f>
        <v>40787Tiahura676Autres</v>
      </c>
      <c r="B5503" s="1">
        <v>40787</v>
      </c>
      <c r="C5503" t="s">
        <v>24</v>
      </c>
      <c r="D5503" s="19">
        <v>6</v>
      </c>
      <c r="E5503">
        <v>76</v>
      </c>
      <c r="F5503" t="s">
        <v>14</v>
      </c>
      <c r="H5503">
        <v>0</v>
      </c>
    </row>
    <row r="5504" spans="1:9" x14ac:dyDescent="0.2">
      <c r="A5504" t="str">
        <f t="shared" si="333"/>
        <v>40787Tiahura677Autres</v>
      </c>
      <c r="B5504" s="1">
        <v>40787</v>
      </c>
      <c r="C5504" t="s">
        <v>24</v>
      </c>
      <c r="D5504" s="19">
        <v>6</v>
      </c>
      <c r="E5504">
        <v>77</v>
      </c>
      <c r="F5504" t="s">
        <v>14</v>
      </c>
      <c r="H5504">
        <v>0</v>
      </c>
    </row>
    <row r="5505" spans="1:9" x14ac:dyDescent="0.2">
      <c r="A5505" t="str">
        <f t="shared" si="333"/>
        <v>40787Tiahura678Autres</v>
      </c>
      <c r="B5505" s="1">
        <v>40787</v>
      </c>
      <c r="C5505" t="s">
        <v>24</v>
      </c>
      <c r="D5505" s="19">
        <v>6</v>
      </c>
      <c r="E5505">
        <v>78</v>
      </c>
      <c r="F5505" t="s">
        <v>14</v>
      </c>
      <c r="H5505">
        <v>0</v>
      </c>
    </row>
    <row r="5506" spans="1:9" x14ac:dyDescent="0.2">
      <c r="A5506" t="str">
        <f t="shared" si="333"/>
        <v>40787Tiahura679Autres</v>
      </c>
      <c r="B5506" s="1">
        <v>40787</v>
      </c>
      <c r="C5506" t="s">
        <v>24</v>
      </c>
      <c r="D5506" s="19">
        <v>6</v>
      </c>
      <c r="E5506">
        <v>79</v>
      </c>
      <c r="F5506" t="s">
        <v>14</v>
      </c>
      <c r="H5506">
        <v>0</v>
      </c>
    </row>
    <row r="5507" spans="1:9" x14ac:dyDescent="0.2">
      <c r="A5507" t="str">
        <f t="shared" si="333"/>
        <v>40787Tiahura680Autres</v>
      </c>
      <c r="B5507" s="1">
        <v>40787</v>
      </c>
      <c r="C5507" t="s">
        <v>24</v>
      </c>
      <c r="D5507" s="19">
        <v>6</v>
      </c>
      <c r="E5507">
        <v>80</v>
      </c>
      <c r="F5507" t="s">
        <v>14</v>
      </c>
      <c r="H5507">
        <v>0</v>
      </c>
    </row>
    <row r="5508" spans="1:9" x14ac:dyDescent="0.2">
      <c r="A5508" t="str">
        <f t="shared" si="333"/>
        <v>40787Tiahura1281Autres</v>
      </c>
      <c r="B5508" s="1">
        <v>40787</v>
      </c>
      <c r="C5508" t="s">
        <v>24</v>
      </c>
      <c r="D5508" s="19">
        <v>12</v>
      </c>
      <c r="E5508">
        <v>81</v>
      </c>
      <c r="F5508" t="s">
        <v>14</v>
      </c>
      <c r="H5508">
        <v>0</v>
      </c>
    </row>
    <row r="5509" spans="1:9" x14ac:dyDescent="0.2">
      <c r="A5509" t="str">
        <f t="shared" si="333"/>
        <v>40787Tiahura1282Autres</v>
      </c>
      <c r="B5509" s="1">
        <v>40787</v>
      </c>
      <c r="C5509" t="s">
        <v>24</v>
      </c>
      <c r="D5509" s="19">
        <v>12</v>
      </c>
      <c r="E5509">
        <v>82</v>
      </c>
      <c r="F5509" t="s">
        <v>14</v>
      </c>
      <c r="H5509">
        <v>0</v>
      </c>
    </row>
    <row r="5510" spans="1:9" x14ac:dyDescent="0.2">
      <c r="A5510" t="str">
        <f t="shared" si="333"/>
        <v>40787Tiahura1283PoritidaeDessous</v>
      </c>
      <c r="B5510" s="1">
        <v>40787</v>
      </c>
      <c r="C5510" t="s">
        <v>24</v>
      </c>
      <c r="D5510" s="19">
        <v>12</v>
      </c>
      <c r="E5510">
        <v>83</v>
      </c>
      <c r="F5510" t="s">
        <v>7</v>
      </c>
      <c r="G5510" t="s">
        <v>8</v>
      </c>
      <c r="H5510">
        <v>1</v>
      </c>
      <c r="I5510" t="s">
        <v>27</v>
      </c>
    </row>
    <row r="5511" spans="1:9" x14ac:dyDescent="0.2">
      <c r="A5511" t="str">
        <f t="shared" si="333"/>
        <v>40787Tiahura1284PoritidaeBords</v>
      </c>
      <c r="B5511" s="1">
        <v>40787</v>
      </c>
      <c r="C5511" t="s">
        <v>24</v>
      </c>
      <c r="D5511" s="19">
        <v>12</v>
      </c>
      <c r="E5511">
        <v>84</v>
      </c>
      <c r="F5511" t="s">
        <v>7</v>
      </c>
      <c r="G5511" t="s">
        <v>13</v>
      </c>
      <c r="H5511">
        <v>1</v>
      </c>
      <c r="I5511" t="s">
        <v>27</v>
      </c>
    </row>
    <row r="5512" spans="1:9" x14ac:dyDescent="0.2">
      <c r="A5512" t="str">
        <f t="shared" si="333"/>
        <v>40787Tiahura1285CassésDessous</v>
      </c>
      <c r="B5512" s="1">
        <v>40787</v>
      </c>
      <c r="C5512" t="s">
        <v>24</v>
      </c>
      <c r="D5512" s="19">
        <v>12</v>
      </c>
      <c r="E5512">
        <v>85</v>
      </c>
      <c r="F5512" t="s">
        <v>12</v>
      </c>
      <c r="G5512" t="s">
        <v>8</v>
      </c>
      <c r="H5512">
        <v>1</v>
      </c>
      <c r="I5512" t="s">
        <v>27</v>
      </c>
    </row>
    <row r="5513" spans="1:9" x14ac:dyDescent="0.2">
      <c r="A5513" t="str">
        <f t="shared" si="333"/>
        <v>40787Tiahura1286Autres</v>
      </c>
      <c r="B5513" s="1">
        <v>40787</v>
      </c>
      <c r="C5513" t="s">
        <v>24</v>
      </c>
      <c r="D5513" s="19">
        <v>12</v>
      </c>
      <c r="E5513">
        <v>86</v>
      </c>
      <c r="F5513" t="s">
        <v>14</v>
      </c>
      <c r="H5513">
        <v>0</v>
      </c>
    </row>
    <row r="5514" spans="1:9" x14ac:dyDescent="0.2">
      <c r="A5514" t="str">
        <f t="shared" si="333"/>
        <v>40787Tiahura1287Autres</v>
      </c>
      <c r="B5514" s="1">
        <v>40787</v>
      </c>
      <c r="C5514" t="s">
        <v>24</v>
      </c>
      <c r="D5514" s="19">
        <v>12</v>
      </c>
      <c r="E5514">
        <v>87</v>
      </c>
      <c r="F5514" t="s">
        <v>14</v>
      </c>
      <c r="H5514">
        <v>0</v>
      </c>
    </row>
    <row r="5515" spans="1:9" x14ac:dyDescent="0.2">
      <c r="A5515" t="str">
        <f t="shared" si="333"/>
        <v>40787Tiahura1288Autres</v>
      </c>
      <c r="B5515" s="1">
        <v>40787</v>
      </c>
      <c r="C5515" t="s">
        <v>24</v>
      </c>
      <c r="D5515" s="19">
        <v>12</v>
      </c>
      <c r="E5515">
        <v>88</v>
      </c>
      <c r="F5515" t="s">
        <v>14</v>
      </c>
      <c r="H5515">
        <v>0</v>
      </c>
    </row>
    <row r="5516" spans="1:9" x14ac:dyDescent="0.2">
      <c r="A5516" t="str">
        <f t="shared" si="333"/>
        <v>40787Tiahura1289Autres</v>
      </c>
      <c r="B5516" s="1">
        <v>40787</v>
      </c>
      <c r="C5516" t="s">
        <v>24</v>
      </c>
      <c r="D5516" s="19">
        <v>12</v>
      </c>
      <c r="E5516">
        <v>89</v>
      </c>
      <c r="F5516" t="s">
        <v>14</v>
      </c>
      <c r="H5516">
        <v>0</v>
      </c>
    </row>
    <row r="5517" spans="1:9" x14ac:dyDescent="0.2">
      <c r="A5517" t="str">
        <f t="shared" si="333"/>
        <v>40787Tiahura1290Autres</v>
      </c>
      <c r="B5517" s="1">
        <v>40787</v>
      </c>
      <c r="C5517" t="s">
        <v>24</v>
      </c>
      <c r="D5517" s="19">
        <v>12</v>
      </c>
      <c r="E5517">
        <v>90</v>
      </c>
      <c r="F5517" t="s">
        <v>14</v>
      </c>
      <c r="H5517">
        <v>0</v>
      </c>
    </row>
    <row r="5518" spans="1:9" x14ac:dyDescent="0.2">
      <c r="A5518" t="str">
        <f t="shared" si="333"/>
        <v>40787Tiahura1291Autres</v>
      </c>
      <c r="B5518" s="1">
        <v>40787</v>
      </c>
      <c r="C5518" t="s">
        <v>24</v>
      </c>
      <c r="D5518" s="19">
        <v>12</v>
      </c>
      <c r="E5518">
        <v>91</v>
      </c>
      <c r="F5518" t="s">
        <v>14</v>
      </c>
      <c r="H5518">
        <v>0</v>
      </c>
    </row>
    <row r="5519" spans="1:9" x14ac:dyDescent="0.2">
      <c r="A5519" t="str">
        <f t="shared" si="333"/>
        <v>40787Tiahura1292Autres</v>
      </c>
      <c r="B5519" s="1">
        <v>40787</v>
      </c>
      <c r="C5519" t="s">
        <v>24</v>
      </c>
      <c r="D5519" s="19">
        <v>12</v>
      </c>
      <c r="E5519">
        <v>92</v>
      </c>
      <c r="F5519" t="s">
        <v>14</v>
      </c>
      <c r="H5519">
        <v>0</v>
      </c>
    </row>
    <row r="5520" spans="1:9" x14ac:dyDescent="0.2">
      <c r="A5520" t="str">
        <f t="shared" si="333"/>
        <v>40787Tiahura1293Autres</v>
      </c>
      <c r="B5520" s="1">
        <v>40787</v>
      </c>
      <c r="C5520" t="s">
        <v>24</v>
      </c>
      <c r="D5520" s="19">
        <v>12</v>
      </c>
      <c r="E5520">
        <v>93</v>
      </c>
      <c r="F5520" t="s">
        <v>14</v>
      </c>
      <c r="H5520">
        <v>0</v>
      </c>
    </row>
    <row r="5521" spans="1:9" x14ac:dyDescent="0.2">
      <c r="A5521" t="str">
        <f t="shared" si="333"/>
        <v>40787Tiahura1294Autres</v>
      </c>
      <c r="B5521" s="1">
        <v>40787</v>
      </c>
      <c r="C5521" t="s">
        <v>24</v>
      </c>
      <c r="D5521" s="19">
        <v>12</v>
      </c>
      <c r="E5521">
        <v>94</v>
      </c>
      <c r="F5521" t="s">
        <v>14</v>
      </c>
      <c r="H5521">
        <v>0</v>
      </c>
    </row>
    <row r="5522" spans="1:9" x14ac:dyDescent="0.2">
      <c r="A5522" t="str">
        <f t="shared" si="333"/>
        <v>40787Tiahura1295Autres</v>
      </c>
      <c r="B5522" s="1">
        <v>40787</v>
      </c>
      <c r="C5522" t="s">
        <v>24</v>
      </c>
      <c r="D5522" s="19">
        <v>12</v>
      </c>
      <c r="E5522">
        <v>95</v>
      </c>
      <c r="F5522" t="s">
        <v>14</v>
      </c>
      <c r="H5522">
        <v>0</v>
      </c>
    </row>
    <row r="5523" spans="1:9" x14ac:dyDescent="0.2">
      <c r="A5523" t="str">
        <f t="shared" si="333"/>
        <v>40787Tiahura1296Autres</v>
      </c>
      <c r="B5523" s="1">
        <v>40787</v>
      </c>
      <c r="C5523" t="s">
        <v>24</v>
      </c>
      <c r="D5523" s="19">
        <v>12</v>
      </c>
      <c r="E5523">
        <v>96</v>
      </c>
      <c r="F5523" t="s">
        <v>14</v>
      </c>
      <c r="H5523">
        <v>0</v>
      </c>
    </row>
    <row r="5524" spans="1:9" x14ac:dyDescent="0.2">
      <c r="A5524" t="str">
        <f t="shared" si="333"/>
        <v>40787Tiahura1297Autres</v>
      </c>
      <c r="B5524" s="1">
        <v>40787</v>
      </c>
      <c r="C5524" t="s">
        <v>24</v>
      </c>
      <c r="D5524" s="19">
        <v>12</v>
      </c>
      <c r="E5524">
        <v>97</v>
      </c>
      <c r="F5524" t="s">
        <v>14</v>
      </c>
      <c r="H5524">
        <v>0</v>
      </c>
    </row>
    <row r="5525" spans="1:9" x14ac:dyDescent="0.2">
      <c r="A5525" t="str">
        <f t="shared" si="333"/>
        <v>40787Tiahura1298Autres</v>
      </c>
      <c r="B5525" s="1">
        <v>40787</v>
      </c>
      <c r="C5525" t="s">
        <v>24</v>
      </c>
      <c r="D5525" s="19">
        <v>12</v>
      </c>
      <c r="E5525">
        <v>98</v>
      </c>
      <c r="F5525" t="s">
        <v>14</v>
      </c>
      <c r="H5525">
        <v>0</v>
      </c>
    </row>
    <row r="5526" spans="1:9" x14ac:dyDescent="0.2">
      <c r="A5526" t="str">
        <f t="shared" si="333"/>
        <v>40787Tiahura1299Autres</v>
      </c>
      <c r="B5526" s="1">
        <v>40787</v>
      </c>
      <c r="C5526" t="s">
        <v>24</v>
      </c>
      <c r="D5526" s="19">
        <v>12</v>
      </c>
      <c r="E5526">
        <v>99</v>
      </c>
      <c r="F5526" t="s">
        <v>14</v>
      </c>
      <c r="H5526">
        <v>0</v>
      </c>
    </row>
    <row r="5527" spans="1:9" x14ac:dyDescent="0.2">
      <c r="A5527" t="str">
        <f t="shared" si="333"/>
        <v>40787Tiahura12100Autres</v>
      </c>
      <c r="B5527" s="1">
        <v>40787</v>
      </c>
      <c r="C5527" t="s">
        <v>24</v>
      </c>
      <c r="D5527" s="19">
        <v>12</v>
      </c>
      <c r="E5527">
        <v>100</v>
      </c>
      <c r="F5527" t="s">
        <v>14</v>
      </c>
      <c r="H5527">
        <v>0</v>
      </c>
    </row>
    <row r="5528" spans="1:9" x14ac:dyDescent="0.2">
      <c r="A5528" t="str">
        <f t="shared" si="333"/>
        <v>40787Tiahura18101Autres</v>
      </c>
      <c r="B5528" s="1">
        <v>40787</v>
      </c>
      <c r="C5528" t="s">
        <v>24</v>
      </c>
      <c r="D5528" s="19">
        <v>18</v>
      </c>
      <c r="E5528">
        <v>101</v>
      </c>
      <c r="F5528" t="s">
        <v>14</v>
      </c>
      <c r="H5528">
        <v>0</v>
      </c>
    </row>
    <row r="5529" spans="1:9" x14ac:dyDescent="0.2">
      <c r="A5529" t="str">
        <f t="shared" si="333"/>
        <v>40787Tiahura18102Autres</v>
      </c>
      <c r="B5529" s="1">
        <v>40787</v>
      </c>
      <c r="C5529" t="s">
        <v>24</v>
      </c>
      <c r="D5529" s="19">
        <v>18</v>
      </c>
      <c r="E5529">
        <v>102</v>
      </c>
      <c r="F5529" t="s">
        <v>14</v>
      </c>
      <c r="H5529">
        <v>0</v>
      </c>
    </row>
    <row r="5530" spans="1:9" x14ac:dyDescent="0.2">
      <c r="A5530" t="str">
        <f t="shared" si="333"/>
        <v>40787Tiahura18103Autres</v>
      </c>
      <c r="B5530" s="1">
        <v>40787</v>
      </c>
      <c r="C5530" t="s">
        <v>24</v>
      </c>
      <c r="D5530" s="19">
        <v>18</v>
      </c>
      <c r="E5530">
        <v>103</v>
      </c>
      <c r="F5530" t="s">
        <v>14</v>
      </c>
      <c r="H5530">
        <v>0</v>
      </c>
    </row>
    <row r="5531" spans="1:9" x14ac:dyDescent="0.2">
      <c r="A5531" t="str">
        <f t="shared" si="333"/>
        <v>40787Tiahura18104Autres</v>
      </c>
      <c r="B5531" s="1">
        <v>40787</v>
      </c>
      <c r="C5531" t="s">
        <v>24</v>
      </c>
      <c r="D5531" s="19">
        <v>18</v>
      </c>
      <c r="E5531">
        <v>104</v>
      </c>
      <c r="F5531" t="s">
        <v>14</v>
      </c>
      <c r="H5531">
        <v>0</v>
      </c>
    </row>
    <row r="5532" spans="1:9" x14ac:dyDescent="0.2">
      <c r="A5532" t="str">
        <f t="shared" si="333"/>
        <v>40787Tiahura18105PoritidaeBords</v>
      </c>
      <c r="B5532" s="1">
        <v>40787</v>
      </c>
      <c r="C5532" t="s">
        <v>24</v>
      </c>
      <c r="D5532" s="19">
        <v>18</v>
      </c>
      <c r="E5532">
        <v>105</v>
      </c>
      <c r="F5532" t="s">
        <v>7</v>
      </c>
      <c r="G5532" t="s">
        <v>13</v>
      </c>
      <c r="H5532">
        <v>1</v>
      </c>
      <c r="I5532" t="s">
        <v>27</v>
      </c>
    </row>
    <row r="5533" spans="1:9" x14ac:dyDescent="0.2">
      <c r="A5533" t="str">
        <f t="shared" si="333"/>
        <v>40787Tiahura18106Autres</v>
      </c>
      <c r="B5533" s="1">
        <v>40787</v>
      </c>
      <c r="C5533" t="s">
        <v>24</v>
      </c>
      <c r="D5533" s="19">
        <v>18</v>
      </c>
      <c r="E5533">
        <v>106</v>
      </c>
      <c r="F5533" t="s">
        <v>14</v>
      </c>
      <c r="H5533">
        <v>0</v>
      </c>
    </row>
    <row r="5534" spans="1:9" x14ac:dyDescent="0.2">
      <c r="A5534" t="str">
        <f t="shared" si="333"/>
        <v>40787Tiahura18107Autres</v>
      </c>
      <c r="B5534" s="1">
        <v>40787</v>
      </c>
      <c r="C5534" t="s">
        <v>24</v>
      </c>
      <c r="D5534" s="19">
        <v>18</v>
      </c>
      <c r="E5534">
        <v>107</v>
      </c>
      <c r="F5534" t="s">
        <v>14</v>
      </c>
      <c r="H5534">
        <v>0</v>
      </c>
    </row>
    <row r="5535" spans="1:9" x14ac:dyDescent="0.2">
      <c r="A5535" t="str">
        <f t="shared" si="333"/>
        <v>40787Tiahura18108Autres</v>
      </c>
      <c r="B5535" s="1">
        <v>40787</v>
      </c>
      <c r="C5535" t="s">
        <v>24</v>
      </c>
      <c r="D5535" s="19">
        <v>18</v>
      </c>
      <c r="E5535">
        <v>108</v>
      </c>
      <c r="F5535" t="s">
        <v>14</v>
      </c>
      <c r="H5535">
        <v>0</v>
      </c>
    </row>
    <row r="5536" spans="1:9" x14ac:dyDescent="0.2">
      <c r="A5536" t="str">
        <f t="shared" si="333"/>
        <v>40787Tiahura18109Autres</v>
      </c>
      <c r="B5536" s="1">
        <v>40787</v>
      </c>
      <c r="C5536" t="s">
        <v>24</v>
      </c>
      <c r="D5536" s="19">
        <v>18</v>
      </c>
      <c r="E5536">
        <v>109</v>
      </c>
      <c r="F5536" t="s">
        <v>14</v>
      </c>
      <c r="H5536">
        <v>0</v>
      </c>
    </row>
    <row r="5537" spans="1:9" x14ac:dyDescent="0.2">
      <c r="A5537" t="str">
        <f t="shared" si="333"/>
        <v>40787Tiahura18110Autres</v>
      </c>
      <c r="B5537" s="1">
        <v>40787</v>
      </c>
      <c r="C5537" t="s">
        <v>24</v>
      </c>
      <c r="D5537" s="19">
        <v>18</v>
      </c>
      <c r="E5537">
        <v>110</v>
      </c>
      <c r="F5537" t="s">
        <v>14</v>
      </c>
      <c r="H5537">
        <v>0</v>
      </c>
    </row>
    <row r="5538" spans="1:9" x14ac:dyDescent="0.2">
      <c r="A5538" t="str">
        <f t="shared" si="333"/>
        <v>40787Tiahura18111Autres</v>
      </c>
      <c r="B5538" s="1">
        <v>40787</v>
      </c>
      <c r="C5538" t="s">
        <v>24</v>
      </c>
      <c r="D5538" s="19">
        <v>18</v>
      </c>
      <c r="E5538">
        <v>111</v>
      </c>
      <c r="F5538" t="s">
        <v>14</v>
      </c>
      <c r="H5538">
        <v>0</v>
      </c>
    </row>
    <row r="5539" spans="1:9" x14ac:dyDescent="0.2">
      <c r="A5539" t="str">
        <f t="shared" si="333"/>
        <v>40787Tiahura18112PocilloporidaeBords</v>
      </c>
      <c r="B5539" s="1">
        <v>40787</v>
      </c>
      <c r="C5539" t="s">
        <v>24</v>
      </c>
      <c r="D5539" s="19">
        <v>18</v>
      </c>
      <c r="E5539">
        <v>112</v>
      </c>
      <c r="F5539" t="s">
        <v>10</v>
      </c>
      <c r="G5539" t="s">
        <v>13</v>
      </c>
      <c r="H5539">
        <v>1</v>
      </c>
      <c r="I5539" t="s">
        <v>27</v>
      </c>
    </row>
    <row r="5540" spans="1:9" x14ac:dyDescent="0.2">
      <c r="A5540" t="str">
        <f t="shared" si="333"/>
        <v>40787Tiahura18113Autres</v>
      </c>
      <c r="B5540" s="1">
        <v>40787</v>
      </c>
      <c r="C5540" t="s">
        <v>24</v>
      </c>
      <c r="D5540" s="19">
        <v>18</v>
      </c>
      <c r="E5540">
        <v>113</v>
      </c>
      <c r="F5540" t="s">
        <v>14</v>
      </c>
      <c r="H5540">
        <v>0</v>
      </c>
    </row>
    <row r="5541" spans="1:9" x14ac:dyDescent="0.2">
      <c r="A5541" t="str">
        <f t="shared" si="333"/>
        <v>40787Tiahura18114Autres</v>
      </c>
      <c r="B5541" s="1">
        <v>40787</v>
      </c>
      <c r="C5541" t="s">
        <v>24</v>
      </c>
      <c r="D5541" s="19">
        <v>18</v>
      </c>
      <c r="E5541">
        <v>114</v>
      </c>
      <c r="F5541" t="s">
        <v>14</v>
      </c>
      <c r="H5541">
        <v>0</v>
      </c>
    </row>
    <row r="5542" spans="1:9" x14ac:dyDescent="0.2">
      <c r="A5542" t="str">
        <f t="shared" si="333"/>
        <v>40787Tiahura18115Autres</v>
      </c>
      <c r="B5542" s="1">
        <v>40787</v>
      </c>
      <c r="C5542" t="s">
        <v>24</v>
      </c>
      <c r="D5542" s="19">
        <v>18</v>
      </c>
      <c r="E5542">
        <v>115</v>
      </c>
      <c r="F5542" t="s">
        <v>14</v>
      </c>
      <c r="H5542">
        <v>0</v>
      </c>
    </row>
    <row r="5543" spans="1:9" x14ac:dyDescent="0.2">
      <c r="A5543" t="str">
        <f t="shared" si="333"/>
        <v>40787Tiahura18116</v>
      </c>
      <c r="B5543" s="1">
        <v>40787</v>
      </c>
      <c r="C5543" t="s">
        <v>24</v>
      </c>
      <c r="D5543" s="19">
        <v>18</v>
      </c>
      <c r="E5543">
        <v>116</v>
      </c>
      <c r="F5543" t="s">
        <v>27</v>
      </c>
      <c r="G5543" t="s">
        <v>27</v>
      </c>
      <c r="H5543" t="s">
        <v>27</v>
      </c>
      <c r="I5543" t="s">
        <v>31</v>
      </c>
    </row>
    <row r="5544" spans="1:9" x14ac:dyDescent="0.2">
      <c r="A5544" t="str">
        <f t="shared" si="333"/>
        <v>40787Tiahura18117Autres</v>
      </c>
      <c r="B5544" s="1">
        <v>40787</v>
      </c>
      <c r="C5544" t="s">
        <v>24</v>
      </c>
      <c r="D5544" s="19">
        <v>18</v>
      </c>
      <c r="E5544">
        <v>117</v>
      </c>
      <c r="F5544" t="s">
        <v>14</v>
      </c>
      <c r="H5544">
        <v>0</v>
      </c>
    </row>
    <row r="5545" spans="1:9" x14ac:dyDescent="0.2">
      <c r="A5545" t="str">
        <f t="shared" si="333"/>
        <v>40787Tiahura18118Autres</v>
      </c>
      <c r="B5545" s="1">
        <v>40787</v>
      </c>
      <c r="C5545" t="s">
        <v>24</v>
      </c>
      <c r="D5545" s="19">
        <v>18</v>
      </c>
      <c r="E5545">
        <v>118</v>
      </c>
      <c r="F5545" t="s">
        <v>14</v>
      </c>
      <c r="H5545">
        <v>0</v>
      </c>
    </row>
    <row r="5546" spans="1:9" x14ac:dyDescent="0.2">
      <c r="A5546" t="str">
        <f t="shared" si="333"/>
        <v>40787Tiahura18119Autres</v>
      </c>
      <c r="B5546" s="1">
        <v>40787</v>
      </c>
      <c r="C5546" t="s">
        <v>24</v>
      </c>
      <c r="D5546" s="19">
        <v>18</v>
      </c>
      <c r="E5546">
        <v>119</v>
      </c>
      <c r="F5546" t="s">
        <v>14</v>
      </c>
      <c r="H5546">
        <v>0</v>
      </c>
    </row>
    <row r="5547" spans="1:9" x14ac:dyDescent="0.2">
      <c r="A5547" t="str">
        <f t="shared" si="333"/>
        <v>40787Tiahura18120Autres</v>
      </c>
      <c r="B5547" s="1">
        <v>40787</v>
      </c>
      <c r="C5547" t="s">
        <v>24</v>
      </c>
      <c r="D5547" s="19">
        <v>18</v>
      </c>
      <c r="E5547">
        <v>120</v>
      </c>
      <c r="F5547" t="s">
        <v>14</v>
      </c>
      <c r="H5547">
        <v>0</v>
      </c>
    </row>
    <row r="5548" spans="1:9" x14ac:dyDescent="0.2">
      <c r="A5548" t="str">
        <f t="shared" si="333"/>
        <v>40787Haapiti6121Autres</v>
      </c>
      <c r="B5548" s="1">
        <v>40787</v>
      </c>
      <c r="C5548" t="s">
        <v>25</v>
      </c>
      <c r="D5548" s="19">
        <v>6</v>
      </c>
      <c r="E5548">
        <v>121</v>
      </c>
      <c r="F5548" t="s">
        <v>14</v>
      </c>
      <c r="H5548">
        <v>0</v>
      </c>
    </row>
    <row r="5549" spans="1:9" x14ac:dyDescent="0.2">
      <c r="A5549" t="str">
        <f t="shared" si="333"/>
        <v>40787Haapiti6122Autres</v>
      </c>
      <c r="B5549" s="1">
        <v>40787</v>
      </c>
      <c r="C5549" t="s">
        <v>25</v>
      </c>
      <c r="D5549" s="19">
        <v>6</v>
      </c>
      <c r="E5549">
        <v>122</v>
      </c>
      <c r="F5549" t="s">
        <v>14</v>
      </c>
      <c r="H5549">
        <v>0</v>
      </c>
    </row>
    <row r="5550" spans="1:9" x14ac:dyDescent="0.2">
      <c r="A5550" t="str">
        <f t="shared" si="333"/>
        <v>40787Haapiti6123Autres</v>
      </c>
      <c r="B5550" s="1">
        <v>40787</v>
      </c>
      <c r="C5550" t="s">
        <v>25</v>
      </c>
      <c r="D5550" s="19">
        <v>6</v>
      </c>
      <c r="E5550">
        <v>123</v>
      </c>
      <c r="F5550" t="s">
        <v>14</v>
      </c>
      <c r="H5550">
        <v>0</v>
      </c>
    </row>
    <row r="5551" spans="1:9" x14ac:dyDescent="0.2">
      <c r="A5551" t="str">
        <f t="shared" si="333"/>
        <v>40787Haapiti6124Autres</v>
      </c>
      <c r="B5551" s="1">
        <v>40787</v>
      </c>
      <c r="C5551" t="s">
        <v>25</v>
      </c>
      <c r="D5551" s="19">
        <v>6</v>
      </c>
      <c r="E5551">
        <v>124</v>
      </c>
      <c r="F5551" t="s">
        <v>14</v>
      </c>
      <c r="H5551">
        <v>0</v>
      </c>
    </row>
    <row r="5552" spans="1:9" x14ac:dyDescent="0.2">
      <c r="A5552" t="str">
        <f t="shared" si="333"/>
        <v>40787Haapiti6125Autres</v>
      </c>
      <c r="B5552" s="1">
        <v>40787</v>
      </c>
      <c r="C5552" t="s">
        <v>25</v>
      </c>
      <c r="D5552" s="19">
        <v>6</v>
      </c>
      <c r="E5552">
        <v>125</v>
      </c>
      <c r="F5552" t="s">
        <v>14</v>
      </c>
      <c r="H5552">
        <v>0</v>
      </c>
    </row>
    <row r="5553" spans="1:9" x14ac:dyDescent="0.2">
      <c r="A5553" t="str">
        <f t="shared" si="333"/>
        <v>40787Haapiti6126Autres</v>
      </c>
      <c r="B5553" s="1">
        <v>40787</v>
      </c>
      <c r="C5553" t="s">
        <v>25</v>
      </c>
      <c r="D5553" s="19">
        <v>6</v>
      </c>
      <c r="E5553">
        <v>126</v>
      </c>
      <c r="F5553" t="s">
        <v>14</v>
      </c>
      <c r="H5553">
        <v>0</v>
      </c>
    </row>
    <row r="5554" spans="1:9" x14ac:dyDescent="0.2">
      <c r="A5554" t="str">
        <f t="shared" si="333"/>
        <v>40787Haapiti6127Autres</v>
      </c>
      <c r="B5554" s="1">
        <v>40787</v>
      </c>
      <c r="C5554" t="s">
        <v>25</v>
      </c>
      <c r="D5554" s="19">
        <v>6</v>
      </c>
      <c r="E5554">
        <v>127</v>
      </c>
      <c r="F5554" t="s">
        <v>14</v>
      </c>
      <c r="H5554">
        <v>0</v>
      </c>
    </row>
    <row r="5555" spans="1:9" x14ac:dyDescent="0.2">
      <c r="A5555" t="str">
        <f t="shared" si="333"/>
        <v>40787Haapiti6128Autres</v>
      </c>
      <c r="B5555" s="1">
        <v>40787</v>
      </c>
      <c r="C5555" t="s">
        <v>25</v>
      </c>
      <c r="D5555" s="19">
        <v>6</v>
      </c>
      <c r="E5555">
        <v>128</v>
      </c>
      <c r="F5555" t="s">
        <v>14</v>
      </c>
      <c r="H5555">
        <v>0</v>
      </c>
    </row>
    <row r="5556" spans="1:9" x14ac:dyDescent="0.2">
      <c r="A5556" t="str">
        <f t="shared" si="333"/>
        <v>40787Haapiti6129Autres</v>
      </c>
      <c r="B5556" s="1">
        <v>40787</v>
      </c>
      <c r="C5556" t="s">
        <v>25</v>
      </c>
      <c r="D5556" s="19">
        <v>6</v>
      </c>
      <c r="E5556">
        <v>129</v>
      </c>
      <c r="F5556" t="s">
        <v>14</v>
      </c>
      <c r="H5556">
        <v>0</v>
      </c>
    </row>
    <row r="5557" spans="1:9" x14ac:dyDescent="0.2">
      <c r="A5557" t="str">
        <f t="shared" si="333"/>
        <v>40787Haapiti6130Autres</v>
      </c>
      <c r="B5557" s="1">
        <v>40787</v>
      </c>
      <c r="C5557" t="s">
        <v>25</v>
      </c>
      <c r="D5557" s="19">
        <v>6</v>
      </c>
      <c r="E5557">
        <v>130</v>
      </c>
      <c r="F5557" t="s">
        <v>14</v>
      </c>
      <c r="H5557">
        <v>0</v>
      </c>
    </row>
    <row r="5558" spans="1:9" x14ac:dyDescent="0.2">
      <c r="A5558" t="str">
        <f t="shared" si="333"/>
        <v>40787Haapiti6131Autres</v>
      </c>
      <c r="B5558" s="1">
        <v>40787</v>
      </c>
      <c r="C5558" t="s">
        <v>25</v>
      </c>
      <c r="D5558" s="19">
        <v>6</v>
      </c>
      <c r="E5558">
        <v>131</v>
      </c>
      <c r="F5558" t="s">
        <v>14</v>
      </c>
      <c r="H5558">
        <v>0</v>
      </c>
    </row>
    <row r="5559" spans="1:9" x14ac:dyDescent="0.2">
      <c r="A5559" t="str">
        <f t="shared" si="333"/>
        <v>40787Haapiti6132Autres</v>
      </c>
      <c r="B5559" s="1">
        <v>40787</v>
      </c>
      <c r="C5559" t="s">
        <v>25</v>
      </c>
      <c r="D5559" s="19">
        <v>6</v>
      </c>
      <c r="E5559">
        <v>132</v>
      </c>
      <c r="F5559" t="s">
        <v>14</v>
      </c>
      <c r="H5559">
        <v>0</v>
      </c>
    </row>
    <row r="5560" spans="1:9" x14ac:dyDescent="0.2">
      <c r="A5560" t="str">
        <f t="shared" si="333"/>
        <v>40787Haapiti6133Autres</v>
      </c>
      <c r="B5560" s="1">
        <v>40787</v>
      </c>
      <c r="C5560" t="s">
        <v>25</v>
      </c>
      <c r="D5560" s="19">
        <v>6</v>
      </c>
      <c r="E5560">
        <v>133</v>
      </c>
      <c r="F5560" t="s">
        <v>14</v>
      </c>
      <c r="H5560">
        <v>0</v>
      </c>
    </row>
    <row r="5561" spans="1:9" x14ac:dyDescent="0.2">
      <c r="A5561" t="str">
        <f t="shared" si="333"/>
        <v>40787Haapiti6134Autres</v>
      </c>
      <c r="B5561" s="1">
        <v>40787</v>
      </c>
      <c r="C5561" t="s">
        <v>25</v>
      </c>
      <c r="D5561" s="19">
        <v>6</v>
      </c>
      <c r="E5561">
        <v>134</v>
      </c>
      <c r="F5561" t="s">
        <v>14</v>
      </c>
      <c r="H5561">
        <v>0</v>
      </c>
    </row>
    <row r="5562" spans="1:9" x14ac:dyDescent="0.2">
      <c r="A5562" t="str">
        <f t="shared" si="333"/>
        <v>40787Haapiti6135Autres</v>
      </c>
      <c r="B5562" s="1">
        <v>40787</v>
      </c>
      <c r="C5562" t="s">
        <v>25</v>
      </c>
      <c r="D5562" s="19">
        <v>6</v>
      </c>
      <c r="E5562">
        <v>135</v>
      </c>
      <c r="F5562" t="s">
        <v>14</v>
      </c>
      <c r="H5562">
        <v>0</v>
      </c>
    </row>
    <row r="5563" spans="1:9" x14ac:dyDescent="0.2">
      <c r="A5563" t="str">
        <f t="shared" si="333"/>
        <v>40787Haapiti6136Autres</v>
      </c>
      <c r="B5563" s="1">
        <v>40787</v>
      </c>
      <c r="C5563" t="s">
        <v>25</v>
      </c>
      <c r="D5563" s="19">
        <v>6</v>
      </c>
      <c r="E5563">
        <v>136</v>
      </c>
      <c r="F5563" t="s">
        <v>14</v>
      </c>
      <c r="H5563">
        <v>0</v>
      </c>
    </row>
    <row r="5564" spans="1:9" x14ac:dyDescent="0.2">
      <c r="A5564" t="str">
        <f t="shared" si="333"/>
        <v>40787Haapiti6137Autres</v>
      </c>
      <c r="B5564" s="1">
        <v>40787</v>
      </c>
      <c r="C5564" t="s">
        <v>25</v>
      </c>
      <c r="D5564" s="19">
        <v>6</v>
      </c>
      <c r="E5564">
        <v>137</v>
      </c>
      <c r="F5564" t="s">
        <v>14</v>
      </c>
      <c r="H5564">
        <v>0</v>
      </c>
    </row>
    <row r="5565" spans="1:9" x14ac:dyDescent="0.2">
      <c r="A5565" t="str">
        <f t="shared" si="333"/>
        <v>40787Haapiti6138Autres</v>
      </c>
      <c r="B5565" s="1">
        <v>40787</v>
      </c>
      <c r="C5565" t="s">
        <v>25</v>
      </c>
      <c r="D5565" s="19">
        <v>6</v>
      </c>
      <c r="E5565">
        <v>138</v>
      </c>
      <c r="F5565" t="s">
        <v>14</v>
      </c>
      <c r="H5565">
        <v>0</v>
      </c>
    </row>
    <row r="5566" spans="1:9" x14ac:dyDescent="0.2">
      <c r="A5566" t="str">
        <f t="shared" si="333"/>
        <v>40787Haapiti6139Autres</v>
      </c>
      <c r="B5566" s="1">
        <v>40787</v>
      </c>
      <c r="C5566" t="s">
        <v>25</v>
      </c>
      <c r="D5566" s="19">
        <v>6</v>
      </c>
      <c r="E5566">
        <v>139</v>
      </c>
      <c r="F5566" t="s">
        <v>14</v>
      </c>
      <c r="H5566">
        <v>0</v>
      </c>
    </row>
    <row r="5567" spans="1:9" x14ac:dyDescent="0.2">
      <c r="A5567" t="str">
        <f t="shared" ref="A5567:A5630" si="334">B5567 &amp; C5567&amp; D5567&amp; E5567 &amp; F5567 &amp;G5567</f>
        <v>40787Haapiti6140PocilloporidaeDessus</v>
      </c>
      <c r="B5567" s="1">
        <v>40787</v>
      </c>
      <c r="C5567" t="s">
        <v>25</v>
      </c>
      <c r="D5567" s="19">
        <v>6</v>
      </c>
      <c r="E5567">
        <v>140</v>
      </c>
      <c r="F5567" t="s">
        <v>10</v>
      </c>
      <c r="G5567" t="s">
        <v>11</v>
      </c>
      <c r="H5567">
        <v>1</v>
      </c>
      <c r="I5567" t="s">
        <v>27</v>
      </c>
    </row>
    <row r="5568" spans="1:9" x14ac:dyDescent="0.2">
      <c r="A5568" t="str">
        <f t="shared" si="334"/>
        <v>40787Haapiti12141Autres</v>
      </c>
      <c r="B5568" s="1">
        <v>40787</v>
      </c>
      <c r="C5568" t="s">
        <v>25</v>
      </c>
      <c r="D5568" s="19">
        <v>12</v>
      </c>
      <c r="E5568">
        <v>141</v>
      </c>
      <c r="F5568" t="s">
        <v>14</v>
      </c>
      <c r="H5568">
        <v>0</v>
      </c>
    </row>
    <row r="5569" spans="1:8" x14ac:dyDescent="0.2">
      <c r="A5569" t="str">
        <f t="shared" si="334"/>
        <v>40787Haapiti12142Autres</v>
      </c>
      <c r="B5569" s="1">
        <v>40787</v>
      </c>
      <c r="C5569" t="s">
        <v>25</v>
      </c>
      <c r="D5569" s="19">
        <v>12</v>
      </c>
      <c r="E5569">
        <v>142</v>
      </c>
      <c r="F5569" t="s">
        <v>14</v>
      </c>
      <c r="H5569">
        <v>0</v>
      </c>
    </row>
    <row r="5570" spans="1:8" x14ac:dyDescent="0.2">
      <c r="A5570" t="str">
        <f t="shared" si="334"/>
        <v>40787Haapiti12143Autres</v>
      </c>
      <c r="B5570" s="1">
        <v>40787</v>
      </c>
      <c r="C5570" t="s">
        <v>25</v>
      </c>
      <c r="D5570" s="19">
        <v>12</v>
      </c>
      <c r="E5570">
        <v>143</v>
      </c>
      <c r="F5570" t="s">
        <v>14</v>
      </c>
      <c r="H5570">
        <v>0</v>
      </c>
    </row>
    <row r="5571" spans="1:8" x14ac:dyDescent="0.2">
      <c r="A5571" t="str">
        <f t="shared" si="334"/>
        <v>40787Haapiti12144Autres</v>
      </c>
      <c r="B5571" s="1">
        <v>40787</v>
      </c>
      <c r="C5571" t="s">
        <v>25</v>
      </c>
      <c r="D5571" s="19">
        <v>12</v>
      </c>
      <c r="E5571">
        <v>144</v>
      </c>
      <c r="F5571" t="s">
        <v>14</v>
      </c>
      <c r="H5571">
        <v>0</v>
      </c>
    </row>
    <row r="5572" spans="1:8" x14ac:dyDescent="0.2">
      <c r="A5572" t="str">
        <f t="shared" si="334"/>
        <v>40787Haapiti12145Autres</v>
      </c>
      <c r="B5572" s="1">
        <v>40787</v>
      </c>
      <c r="C5572" t="s">
        <v>25</v>
      </c>
      <c r="D5572" s="19">
        <v>12</v>
      </c>
      <c r="E5572">
        <v>145</v>
      </c>
      <c r="F5572" t="s">
        <v>14</v>
      </c>
      <c r="H5572">
        <v>0</v>
      </c>
    </row>
    <row r="5573" spans="1:8" x14ac:dyDescent="0.2">
      <c r="A5573" t="str">
        <f t="shared" si="334"/>
        <v>40787Haapiti12146Autres</v>
      </c>
      <c r="B5573" s="1">
        <v>40787</v>
      </c>
      <c r="C5573" t="s">
        <v>25</v>
      </c>
      <c r="D5573" s="19">
        <v>12</v>
      </c>
      <c r="E5573">
        <v>146</v>
      </c>
      <c r="F5573" t="s">
        <v>14</v>
      </c>
      <c r="H5573">
        <v>0</v>
      </c>
    </row>
    <row r="5574" spans="1:8" x14ac:dyDescent="0.2">
      <c r="A5574" t="str">
        <f t="shared" si="334"/>
        <v>40787Haapiti12147Autres</v>
      </c>
      <c r="B5574" s="1">
        <v>40787</v>
      </c>
      <c r="C5574" t="s">
        <v>25</v>
      </c>
      <c r="D5574" s="19">
        <v>12</v>
      </c>
      <c r="E5574">
        <v>147</v>
      </c>
      <c r="F5574" t="s">
        <v>14</v>
      </c>
      <c r="H5574">
        <v>0</v>
      </c>
    </row>
    <row r="5575" spans="1:8" x14ac:dyDescent="0.2">
      <c r="A5575" t="str">
        <f t="shared" si="334"/>
        <v>40787Haapiti12148Autres</v>
      </c>
      <c r="B5575" s="1">
        <v>40787</v>
      </c>
      <c r="C5575" t="s">
        <v>25</v>
      </c>
      <c r="D5575" s="19">
        <v>12</v>
      </c>
      <c r="E5575">
        <v>148</v>
      </c>
      <c r="F5575" t="s">
        <v>14</v>
      </c>
      <c r="H5575">
        <v>0</v>
      </c>
    </row>
    <row r="5576" spans="1:8" x14ac:dyDescent="0.2">
      <c r="A5576" t="str">
        <f t="shared" si="334"/>
        <v>40787Haapiti12149Autres</v>
      </c>
      <c r="B5576" s="1">
        <v>40787</v>
      </c>
      <c r="C5576" t="s">
        <v>25</v>
      </c>
      <c r="D5576" s="19">
        <v>12</v>
      </c>
      <c r="E5576">
        <v>149</v>
      </c>
      <c r="F5576" t="s">
        <v>14</v>
      </c>
      <c r="H5576">
        <v>0</v>
      </c>
    </row>
    <row r="5577" spans="1:8" x14ac:dyDescent="0.2">
      <c r="A5577" t="str">
        <f t="shared" si="334"/>
        <v>40787Haapiti12150Autres</v>
      </c>
      <c r="B5577" s="1">
        <v>40787</v>
      </c>
      <c r="C5577" t="s">
        <v>25</v>
      </c>
      <c r="D5577" s="19">
        <v>12</v>
      </c>
      <c r="E5577">
        <v>150</v>
      </c>
      <c r="F5577" t="s">
        <v>14</v>
      </c>
      <c r="H5577">
        <v>0</v>
      </c>
    </row>
    <row r="5578" spans="1:8" x14ac:dyDescent="0.2">
      <c r="A5578" t="str">
        <f t="shared" si="334"/>
        <v>40787Haapiti12151Autres</v>
      </c>
      <c r="B5578" s="1">
        <v>40787</v>
      </c>
      <c r="C5578" t="s">
        <v>25</v>
      </c>
      <c r="D5578" s="19">
        <v>12</v>
      </c>
      <c r="E5578">
        <v>151</v>
      </c>
      <c r="F5578" t="s">
        <v>14</v>
      </c>
      <c r="H5578">
        <v>0</v>
      </c>
    </row>
    <row r="5579" spans="1:8" x14ac:dyDescent="0.2">
      <c r="A5579" t="str">
        <f t="shared" si="334"/>
        <v>40787Haapiti12152Autres</v>
      </c>
      <c r="B5579" s="1">
        <v>40787</v>
      </c>
      <c r="C5579" t="s">
        <v>25</v>
      </c>
      <c r="D5579" s="19">
        <v>12</v>
      </c>
      <c r="E5579">
        <v>152</v>
      </c>
      <c r="F5579" t="s">
        <v>14</v>
      </c>
      <c r="H5579">
        <v>0</v>
      </c>
    </row>
    <row r="5580" spans="1:8" x14ac:dyDescent="0.2">
      <c r="A5580" t="str">
        <f t="shared" si="334"/>
        <v>40787Haapiti12153Autres</v>
      </c>
      <c r="B5580" s="1">
        <v>40787</v>
      </c>
      <c r="C5580" t="s">
        <v>25</v>
      </c>
      <c r="D5580" s="19">
        <v>12</v>
      </c>
      <c r="E5580">
        <v>153</v>
      </c>
      <c r="F5580" t="s">
        <v>14</v>
      </c>
      <c r="H5580">
        <v>0</v>
      </c>
    </row>
    <row r="5581" spans="1:8" x14ac:dyDescent="0.2">
      <c r="A5581" t="str">
        <f t="shared" si="334"/>
        <v>40787Haapiti12154Autres</v>
      </c>
      <c r="B5581" s="1">
        <v>40787</v>
      </c>
      <c r="C5581" t="s">
        <v>25</v>
      </c>
      <c r="D5581" s="19">
        <v>12</v>
      </c>
      <c r="E5581">
        <v>154</v>
      </c>
      <c r="F5581" t="s">
        <v>14</v>
      </c>
      <c r="H5581">
        <v>0</v>
      </c>
    </row>
    <row r="5582" spans="1:8" x14ac:dyDescent="0.2">
      <c r="A5582" t="str">
        <f t="shared" si="334"/>
        <v>40787Haapiti12155Autres</v>
      </c>
      <c r="B5582" s="1">
        <v>40787</v>
      </c>
      <c r="C5582" t="s">
        <v>25</v>
      </c>
      <c r="D5582" s="19">
        <v>12</v>
      </c>
      <c r="E5582">
        <v>155</v>
      </c>
      <c r="F5582" t="s">
        <v>14</v>
      </c>
      <c r="H5582">
        <v>0</v>
      </c>
    </row>
    <row r="5583" spans="1:8" x14ac:dyDescent="0.2">
      <c r="A5583" t="str">
        <f t="shared" si="334"/>
        <v>40787Haapiti12156Autres</v>
      </c>
      <c r="B5583" s="1">
        <v>40787</v>
      </c>
      <c r="C5583" t="s">
        <v>25</v>
      </c>
      <c r="D5583" s="19">
        <v>12</v>
      </c>
      <c r="E5583">
        <v>156</v>
      </c>
      <c r="F5583" t="s">
        <v>14</v>
      </c>
      <c r="H5583">
        <v>0</v>
      </c>
    </row>
    <row r="5584" spans="1:8" x14ac:dyDescent="0.2">
      <c r="A5584" t="str">
        <f t="shared" si="334"/>
        <v>40787Haapiti12157Autres</v>
      </c>
      <c r="B5584" s="1">
        <v>40787</v>
      </c>
      <c r="C5584" t="s">
        <v>25</v>
      </c>
      <c r="D5584" s="19">
        <v>12</v>
      </c>
      <c r="E5584">
        <v>157</v>
      </c>
      <c r="F5584" t="s">
        <v>14</v>
      </c>
      <c r="H5584">
        <v>0</v>
      </c>
    </row>
    <row r="5585" spans="1:9" x14ac:dyDescent="0.2">
      <c r="A5585" t="str">
        <f t="shared" si="334"/>
        <v>40787Haapiti12158Autres</v>
      </c>
      <c r="B5585" s="1">
        <v>40787</v>
      </c>
      <c r="C5585" t="s">
        <v>25</v>
      </c>
      <c r="D5585" s="19">
        <v>12</v>
      </c>
      <c r="E5585">
        <v>158</v>
      </c>
      <c r="F5585" t="s">
        <v>14</v>
      </c>
      <c r="H5585">
        <v>0</v>
      </c>
    </row>
    <row r="5586" spans="1:9" x14ac:dyDescent="0.2">
      <c r="A5586" t="str">
        <f t="shared" si="334"/>
        <v>40787Haapiti12159Autres</v>
      </c>
      <c r="B5586" s="1">
        <v>40787</v>
      </c>
      <c r="C5586" t="s">
        <v>25</v>
      </c>
      <c r="D5586" s="19">
        <v>12</v>
      </c>
      <c r="E5586">
        <v>159</v>
      </c>
      <c r="F5586" t="s">
        <v>14</v>
      </c>
      <c r="H5586">
        <v>0</v>
      </c>
    </row>
    <row r="5587" spans="1:9" x14ac:dyDescent="0.2">
      <c r="A5587" t="str">
        <f t="shared" si="334"/>
        <v>40787Haapiti12160Autres</v>
      </c>
      <c r="B5587" s="1">
        <v>40787</v>
      </c>
      <c r="C5587" t="s">
        <v>25</v>
      </c>
      <c r="D5587" s="19">
        <v>12</v>
      </c>
      <c r="E5587">
        <v>160</v>
      </c>
      <c r="F5587" t="s">
        <v>14</v>
      </c>
      <c r="H5587">
        <v>0</v>
      </c>
    </row>
    <row r="5588" spans="1:9" x14ac:dyDescent="0.2">
      <c r="A5588" t="str">
        <f t="shared" si="334"/>
        <v>40787Haapiti18161Autres</v>
      </c>
      <c r="B5588" s="1">
        <v>40787</v>
      </c>
      <c r="C5588" t="s">
        <v>25</v>
      </c>
      <c r="D5588" s="19">
        <v>18</v>
      </c>
      <c r="E5588">
        <v>161</v>
      </c>
      <c r="F5588" t="s">
        <v>14</v>
      </c>
      <c r="H5588">
        <v>0</v>
      </c>
    </row>
    <row r="5589" spans="1:9" x14ac:dyDescent="0.2">
      <c r="A5589" t="str">
        <f t="shared" si="334"/>
        <v>40787Haapiti18162Autres</v>
      </c>
      <c r="B5589" s="1">
        <v>40787</v>
      </c>
      <c r="C5589" t="s">
        <v>25</v>
      </c>
      <c r="D5589" s="19">
        <v>18</v>
      </c>
      <c r="E5589">
        <v>162</v>
      </c>
      <c r="F5589" t="s">
        <v>14</v>
      </c>
      <c r="H5589">
        <v>0</v>
      </c>
    </row>
    <row r="5590" spans="1:9" x14ac:dyDescent="0.2">
      <c r="A5590" t="str">
        <f t="shared" si="334"/>
        <v>40787Haapiti18163Autres</v>
      </c>
      <c r="B5590" s="1">
        <v>40787</v>
      </c>
      <c r="C5590" t="s">
        <v>25</v>
      </c>
      <c r="D5590" s="19">
        <v>18</v>
      </c>
      <c r="E5590">
        <v>163</v>
      </c>
      <c r="F5590" t="s">
        <v>14</v>
      </c>
      <c r="H5590">
        <v>0</v>
      </c>
    </row>
    <row r="5591" spans="1:9" x14ac:dyDescent="0.2">
      <c r="A5591" t="str">
        <f t="shared" si="334"/>
        <v>40787Haapiti18164Autres</v>
      </c>
      <c r="B5591" s="1">
        <v>40787</v>
      </c>
      <c r="C5591" t="s">
        <v>25</v>
      </c>
      <c r="D5591" s="19">
        <v>18</v>
      </c>
      <c r="E5591">
        <v>164</v>
      </c>
      <c r="F5591" t="s">
        <v>14</v>
      </c>
      <c r="H5591">
        <v>0</v>
      </c>
    </row>
    <row r="5592" spans="1:9" x14ac:dyDescent="0.2">
      <c r="A5592" t="str">
        <f t="shared" si="334"/>
        <v>40787Haapiti18165Autres</v>
      </c>
      <c r="B5592" s="1">
        <v>40787</v>
      </c>
      <c r="C5592" t="s">
        <v>25</v>
      </c>
      <c r="D5592" s="19">
        <v>18</v>
      </c>
      <c r="E5592">
        <v>165</v>
      </c>
      <c r="F5592" t="s">
        <v>14</v>
      </c>
      <c r="H5592">
        <v>0</v>
      </c>
    </row>
    <row r="5593" spans="1:9" x14ac:dyDescent="0.2">
      <c r="A5593" t="str">
        <f t="shared" si="334"/>
        <v>40787Haapiti18166Autres</v>
      </c>
      <c r="B5593" s="1">
        <v>40787</v>
      </c>
      <c r="C5593" t="s">
        <v>25</v>
      </c>
      <c r="D5593" s="19">
        <v>18</v>
      </c>
      <c r="E5593">
        <v>166</v>
      </c>
      <c r="F5593" t="s">
        <v>14</v>
      </c>
      <c r="H5593">
        <v>0</v>
      </c>
    </row>
    <row r="5594" spans="1:9" x14ac:dyDescent="0.2">
      <c r="A5594" t="str">
        <f t="shared" si="334"/>
        <v>40787Haapiti18167Autres</v>
      </c>
      <c r="B5594" s="1">
        <v>40787</v>
      </c>
      <c r="C5594" t="s">
        <v>25</v>
      </c>
      <c r="D5594" s="19">
        <v>18</v>
      </c>
      <c r="E5594">
        <v>167</v>
      </c>
      <c r="F5594" t="s">
        <v>14</v>
      </c>
      <c r="H5594">
        <v>0</v>
      </c>
    </row>
    <row r="5595" spans="1:9" x14ac:dyDescent="0.2">
      <c r="A5595" t="str">
        <f t="shared" si="334"/>
        <v>40787Haapiti18168Autres</v>
      </c>
      <c r="B5595" s="1">
        <v>40787</v>
      </c>
      <c r="C5595" t="s">
        <v>25</v>
      </c>
      <c r="D5595" s="19">
        <v>18</v>
      </c>
      <c r="E5595">
        <v>168</v>
      </c>
      <c r="F5595" t="s">
        <v>14</v>
      </c>
      <c r="H5595">
        <v>0</v>
      </c>
    </row>
    <row r="5596" spans="1:9" x14ac:dyDescent="0.2">
      <c r="A5596" t="str">
        <f t="shared" si="334"/>
        <v>40787Haapiti18169CassésDessous</v>
      </c>
      <c r="B5596" s="1">
        <v>40787</v>
      </c>
      <c r="C5596" t="s">
        <v>25</v>
      </c>
      <c r="D5596" s="19">
        <v>18</v>
      </c>
      <c r="E5596">
        <v>169</v>
      </c>
      <c r="F5596" t="s">
        <v>12</v>
      </c>
      <c r="G5596" t="s">
        <v>8</v>
      </c>
      <c r="H5596">
        <v>1</v>
      </c>
      <c r="I5596" t="s">
        <v>27</v>
      </c>
    </row>
    <row r="5597" spans="1:9" x14ac:dyDescent="0.2">
      <c r="A5597" t="str">
        <f t="shared" si="334"/>
        <v>40787Haapiti18170Autres</v>
      </c>
      <c r="B5597" s="1">
        <v>40787</v>
      </c>
      <c r="C5597" t="s">
        <v>25</v>
      </c>
      <c r="D5597" s="19">
        <v>18</v>
      </c>
      <c r="E5597">
        <v>170</v>
      </c>
      <c r="F5597" t="s">
        <v>14</v>
      </c>
      <c r="H5597">
        <v>0</v>
      </c>
    </row>
    <row r="5598" spans="1:9" x14ac:dyDescent="0.2">
      <c r="A5598" t="str">
        <f t="shared" si="334"/>
        <v>40787Haapiti18171Autres</v>
      </c>
      <c r="B5598" s="1">
        <v>40787</v>
      </c>
      <c r="C5598" t="s">
        <v>25</v>
      </c>
      <c r="D5598" s="19">
        <v>18</v>
      </c>
      <c r="E5598">
        <v>171</v>
      </c>
      <c r="F5598" t="s">
        <v>14</v>
      </c>
      <c r="H5598">
        <v>0</v>
      </c>
    </row>
    <row r="5599" spans="1:9" x14ac:dyDescent="0.2">
      <c r="A5599" t="str">
        <f t="shared" si="334"/>
        <v>40787Haapiti18172Autres</v>
      </c>
      <c r="B5599" s="1">
        <v>40787</v>
      </c>
      <c r="C5599" t="s">
        <v>25</v>
      </c>
      <c r="D5599" s="19">
        <v>18</v>
      </c>
      <c r="E5599">
        <v>172</v>
      </c>
      <c r="F5599" t="s">
        <v>14</v>
      </c>
      <c r="H5599">
        <v>0</v>
      </c>
    </row>
    <row r="5600" spans="1:9" x14ac:dyDescent="0.2">
      <c r="A5600" t="str">
        <f t="shared" si="334"/>
        <v>40787Haapiti18173Autres</v>
      </c>
      <c r="B5600" s="1">
        <v>40787</v>
      </c>
      <c r="C5600" t="s">
        <v>25</v>
      </c>
      <c r="D5600" s="19">
        <v>18</v>
      </c>
      <c r="E5600">
        <v>173</v>
      </c>
      <c r="F5600" t="s">
        <v>14</v>
      </c>
      <c r="H5600">
        <v>0</v>
      </c>
    </row>
    <row r="5601" spans="1:9" x14ac:dyDescent="0.2">
      <c r="A5601" t="str">
        <f t="shared" si="334"/>
        <v>40787Haapiti18174Autres</v>
      </c>
      <c r="B5601" s="1">
        <v>40787</v>
      </c>
      <c r="C5601" t="s">
        <v>25</v>
      </c>
      <c r="D5601" s="19">
        <v>18</v>
      </c>
      <c r="E5601">
        <v>174</v>
      </c>
      <c r="F5601" t="s">
        <v>14</v>
      </c>
      <c r="H5601">
        <v>0</v>
      </c>
    </row>
    <row r="5602" spans="1:9" x14ac:dyDescent="0.2">
      <c r="A5602" t="str">
        <f t="shared" si="334"/>
        <v>40787Haapiti18175Autres</v>
      </c>
      <c r="B5602" s="1">
        <v>40787</v>
      </c>
      <c r="C5602" t="s">
        <v>25</v>
      </c>
      <c r="D5602" s="19">
        <v>18</v>
      </c>
      <c r="E5602">
        <v>175</v>
      </c>
      <c r="F5602" t="s">
        <v>14</v>
      </c>
      <c r="H5602">
        <v>0</v>
      </c>
    </row>
    <row r="5603" spans="1:9" x14ac:dyDescent="0.2">
      <c r="A5603" t="str">
        <f t="shared" si="334"/>
        <v>40787Haapiti18176Autres</v>
      </c>
      <c r="B5603" s="1">
        <v>40787</v>
      </c>
      <c r="C5603" t="s">
        <v>25</v>
      </c>
      <c r="D5603" s="19">
        <v>18</v>
      </c>
      <c r="E5603">
        <v>176</v>
      </c>
      <c r="F5603" t="s">
        <v>14</v>
      </c>
      <c r="H5603">
        <v>0</v>
      </c>
    </row>
    <row r="5604" spans="1:9" x14ac:dyDescent="0.2">
      <c r="A5604" t="str">
        <f t="shared" si="334"/>
        <v>40787Haapiti18177Autres</v>
      </c>
      <c r="B5604" s="1">
        <v>40787</v>
      </c>
      <c r="C5604" t="s">
        <v>25</v>
      </c>
      <c r="D5604" s="19">
        <v>18</v>
      </c>
      <c r="E5604">
        <v>177</v>
      </c>
      <c r="F5604" t="s">
        <v>14</v>
      </c>
      <c r="H5604">
        <v>0</v>
      </c>
    </row>
    <row r="5605" spans="1:9" x14ac:dyDescent="0.2">
      <c r="A5605" t="str">
        <f t="shared" si="334"/>
        <v>40787Haapiti18178Autres</v>
      </c>
      <c r="B5605" s="1">
        <v>40787</v>
      </c>
      <c r="C5605" t="s">
        <v>25</v>
      </c>
      <c r="D5605" s="19">
        <v>18</v>
      </c>
      <c r="E5605">
        <v>178</v>
      </c>
      <c r="F5605" t="s">
        <v>14</v>
      </c>
      <c r="H5605">
        <v>0</v>
      </c>
    </row>
    <row r="5606" spans="1:9" x14ac:dyDescent="0.2">
      <c r="A5606" t="str">
        <f t="shared" si="334"/>
        <v>40787Haapiti18179Autres</v>
      </c>
      <c r="B5606" s="1">
        <v>40787</v>
      </c>
      <c r="C5606" t="s">
        <v>25</v>
      </c>
      <c r="D5606" s="19">
        <v>18</v>
      </c>
      <c r="E5606">
        <v>179</v>
      </c>
      <c r="F5606" t="s">
        <v>14</v>
      </c>
      <c r="H5606">
        <v>0</v>
      </c>
    </row>
    <row r="5607" spans="1:9" x14ac:dyDescent="0.2">
      <c r="A5607" t="str">
        <f t="shared" si="334"/>
        <v>40787Haapiti18180Autres</v>
      </c>
      <c r="B5607" s="1">
        <v>40787</v>
      </c>
      <c r="C5607" t="s">
        <v>25</v>
      </c>
      <c r="D5607" s="19">
        <v>18</v>
      </c>
      <c r="E5607">
        <v>180</v>
      </c>
      <c r="F5607" t="s">
        <v>14</v>
      </c>
      <c r="H5607">
        <v>0</v>
      </c>
    </row>
    <row r="5608" spans="1:9" x14ac:dyDescent="0.2">
      <c r="A5608" t="str">
        <f t="shared" si="334"/>
        <v>40878Vaipahu61Autres</v>
      </c>
      <c r="B5608" s="1">
        <v>40878</v>
      </c>
      <c r="C5608" t="s">
        <v>23</v>
      </c>
      <c r="D5608" s="19">
        <v>6</v>
      </c>
      <c r="E5608">
        <v>1</v>
      </c>
      <c r="F5608" t="s">
        <v>14</v>
      </c>
      <c r="H5608">
        <v>0</v>
      </c>
    </row>
    <row r="5609" spans="1:9" x14ac:dyDescent="0.2">
      <c r="A5609" t="str">
        <f t="shared" si="334"/>
        <v>40878Vaipahu62Autres</v>
      </c>
      <c r="B5609" s="1">
        <v>40878</v>
      </c>
      <c r="C5609" t="s">
        <v>23</v>
      </c>
      <c r="D5609" s="19">
        <v>6</v>
      </c>
      <c r="E5609">
        <v>2</v>
      </c>
      <c r="F5609" t="s">
        <v>14</v>
      </c>
      <c r="H5609">
        <v>0</v>
      </c>
    </row>
    <row r="5610" spans="1:9" x14ac:dyDescent="0.2">
      <c r="A5610" t="str">
        <f t="shared" si="334"/>
        <v>40878Vaipahu63CassésBords</v>
      </c>
      <c r="B5610" s="1">
        <v>40878</v>
      </c>
      <c r="C5610" t="s">
        <v>23</v>
      </c>
      <c r="D5610" s="19">
        <v>6</v>
      </c>
      <c r="E5610">
        <v>3</v>
      </c>
      <c r="F5610" t="s">
        <v>12</v>
      </c>
      <c r="G5610" t="s">
        <v>13</v>
      </c>
      <c r="H5610">
        <v>1</v>
      </c>
      <c r="I5610" t="s">
        <v>27</v>
      </c>
    </row>
    <row r="5611" spans="1:9" x14ac:dyDescent="0.2">
      <c r="A5611" t="str">
        <f t="shared" si="334"/>
        <v>40878Vaipahu63CassésDessus</v>
      </c>
      <c r="B5611" s="1">
        <v>40878</v>
      </c>
      <c r="C5611" t="s">
        <v>23</v>
      </c>
      <c r="D5611" s="19">
        <v>6</v>
      </c>
      <c r="E5611">
        <v>3</v>
      </c>
      <c r="F5611" t="s">
        <v>12</v>
      </c>
      <c r="G5611" t="s">
        <v>11</v>
      </c>
      <c r="H5611">
        <v>1</v>
      </c>
      <c r="I5611" t="s">
        <v>27</v>
      </c>
    </row>
    <row r="5612" spans="1:9" x14ac:dyDescent="0.2">
      <c r="A5612" t="str">
        <f t="shared" si="334"/>
        <v>40878Vaipahu63PocilloporidaeBords</v>
      </c>
      <c r="B5612" s="1">
        <v>40878</v>
      </c>
      <c r="C5612" t="s">
        <v>23</v>
      </c>
      <c r="D5612" s="19">
        <v>6</v>
      </c>
      <c r="E5612">
        <v>3</v>
      </c>
      <c r="F5612" t="s">
        <v>10</v>
      </c>
      <c r="G5612" t="s">
        <v>13</v>
      </c>
      <c r="H5612">
        <v>1</v>
      </c>
      <c r="I5612" t="s">
        <v>27</v>
      </c>
    </row>
    <row r="5613" spans="1:9" x14ac:dyDescent="0.2">
      <c r="A5613" t="str">
        <f t="shared" si="334"/>
        <v>40878Vaipahu63PocilloporidaeDessus</v>
      </c>
      <c r="B5613" s="1">
        <v>40878</v>
      </c>
      <c r="C5613" t="s">
        <v>23</v>
      </c>
      <c r="D5613" s="19">
        <v>6</v>
      </c>
      <c r="E5613">
        <v>3</v>
      </c>
      <c r="F5613" t="s">
        <v>10</v>
      </c>
      <c r="G5613" t="s">
        <v>11</v>
      </c>
      <c r="H5613">
        <v>1</v>
      </c>
      <c r="I5613" t="s">
        <v>27</v>
      </c>
    </row>
    <row r="5614" spans="1:9" x14ac:dyDescent="0.2">
      <c r="A5614" t="str">
        <f t="shared" si="334"/>
        <v>40878Vaipahu63PoritidaeDessus</v>
      </c>
      <c r="B5614" s="1">
        <v>40878</v>
      </c>
      <c r="C5614" t="s">
        <v>23</v>
      </c>
      <c r="D5614" s="19">
        <v>6</v>
      </c>
      <c r="E5614">
        <v>3</v>
      </c>
      <c r="F5614" t="s">
        <v>7</v>
      </c>
      <c r="G5614" t="s">
        <v>11</v>
      </c>
      <c r="H5614">
        <v>1</v>
      </c>
      <c r="I5614" t="s">
        <v>27</v>
      </c>
    </row>
    <row r="5615" spans="1:9" x14ac:dyDescent="0.2">
      <c r="A5615" t="str">
        <f t="shared" si="334"/>
        <v>40878Vaipahu64PoritidaeDessous</v>
      </c>
      <c r="B5615" s="1">
        <v>40878</v>
      </c>
      <c r="C5615" t="s">
        <v>23</v>
      </c>
      <c r="D5615" s="19">
        <v>6</v>
      </c>
      <c r="E5615">
        <v>4</v>
      </c>
      <c r="F5615" t="s">
        <v>7</v>
      </c>
      <c r="G5615" t="s">
        <v>8</v>
      </c>
      <c r="H5615">
        <v>1</v>
      </c>
      <c r="I5615" t="s">
        <v>27</v>
      </c>
    </row>
    <row r="5616" spans="1:9" x14ac:dyDescent="0.2">
      <c r="A5616" t="str">
        <f t="shared" si="334"/>
        <v>40878Vaipahu65Autres</v>
      </c>
      <c r="B5616" s="1">
        <v>40878</v>
      </c>
      <c r="C5616" t="s">
        <v>23</v>
      </c>
      <c r="D5616" s="19">
        <v>6</v>
      </c>
      <c r="E5616">
        <v>5</v>
      </c>
      <c r="F5616" t="s">
        <v>14</v>
      </c>
      <c r="H5616">
        <v>0</v>
      </c>
    </row>
    <row r="5617" spans="1:9" x14ac:dyDescent="0.2">
      <c r="A5617" t="str">
        <f t="shared" si="334"/>
        <v>40878Vaipahu66CassésBords</v>
      </c>
      <c r="B5617" s="1">
        <v>40878</v>
      </c>
      <c r="C5617" t="s">
        <v>23</v>
      </c>
      <c r="D5617" s="19">
        <v>6</v>
      </c>
      <c r="E5617">
        <v>6</v>
      </c>
      <c r="F5617" t="s">
        <v>12</v>
      </c>
      <c r="G5617" t="s">
        <v>13</v>
      </c>
      <c r="H5617">
        <v>1</v>
      </c>
      <c r="I5617" t="s">
        <v>27</v>
      </c>
    </row>
    <row r="5618" spans="1:9" x14ac:dyDescent="0.2">
      <c r="A5618" t="str">
        <f t="shared" si="334"/>
        <v>40878Vaipahu66CassésDessus</v>
      </c>
      <c r="B5618" s="1">
        <v>40878</v>
      </c>
      <c r="C5618" t="s">
        <v>23</v>
      </c>
      <c r="D5618" s="19">
        <v>6</v>
      </c>
      <c r="E5618">
        <v>6</v>
      </c>
      <c r="F5618" t="s">
        <v>12</v>
      </c>
      <c r="G5618" t="s">
        <v>11</v>
      </c>
      <c r="H5618">
        <v>1</v>
      </c>
      <c r="I5618" t="s">
        <v>27</v>
      </c>
    </row>
    <row r="5619" spans="1:9" x14ac:dyDescent="0.2">
      <c r="A5619" t="str">
        <f t="shared" si="334"/>
        <v>40878Vaipahu66PocilloporidaeDessous</v>
      </c>
      <c r="B5619" s="1">
        <v>40878</v>
      </c>
      <c r="C5619" t="s">
        <v>23</v>
      </c>
      <c r="D5619" s="19">
        <v>6</v>
      </c>
      <c r="E5619">
        <v>6</v>
      </c>
      <c r="F5619" t="s">
        <v>10</v>
      </c>
      <c r="G5619" t="s">
        <v>8</v>
      </c>
      <c r="H5619">
        <v>1</v>
      </c>
      <c r="I5619" t="s">
        <v>27</v>
      </c>
    </row>
    <row r="5620" spans="1:9" x14ac:dyDescent="0.2">
      <c r="A5620" t="str">
        <f t="shared" si="334"/>
        <v>40878Vaipahu66PoritidaeBords</v>
      </c>
      <c r="B5620" s="1">
        <v>40878</v>
      </c>
      <c r="C5620" t="s">
        <v>23</v>
      </c>
      <c r="D5620" s="19">
        <v>6</v>
      </c>
      <c r="E5620">
        <v>6</v>
      </c>
      <c r="F5620" t="s">
        <v>7</v>
      </c>
      <c r="G5620" t="s">
        <v>13</v>
      </c>
      <c r="H5620">
        <v>2</v>
      </c>
      <c r="I5620" t="s">
        <v>27</v>
      </c>
    </row>
    <row r="5621" spans="1:9" x14ac:dyDescent="0.2">
      <c r="A5621" t="str">
        <f t="shared" si="334"/>
        <v>40878Vaipahu67Autres</v>
      </c>
      <c r="B5621" s="1">
        <v>40878</v>
      </c>
      <c r="C5621" t="s">
        <v>23</v>
      </c>
      <c r="D5621" s="19">
        <v>6</v>
      </c>
      <c r="E5621">
        <v>7</v>
      </c>
      <c r="F5621" t="s">
        <v>14</v>
      </c>
      <c r="H5621">
        <v>0</v>
      </c>
    </row>
    <row r="5622" spans="1:9" x14ac:dyDescent="0.2">
      <c r="A5622" t="str">
        <f t="shared" si="334"/>
        <v>40878Vaipahu68CassésBords</v>
      </c>
      <c r="B5622" s="1">
        <v>40878</v>
      </c>
      <c r="C5622" t="s">
        <v>23</v>
      </c>
      <c r="D5622" s="19">
        <v>6</v>
      </c>
      <c r="E5622">
        <v>8</v>
      </c>
      <c r="F5622" t="s">
        <v>12</v>
      </c>
      <c r="G5622" t="s">
        <v>13</v>
      </c>
      <c r="H5622">
        <v>1</v>
      </c>
      <c r="I5622" t="s">
        <v>27</v>
      </c>
    </row>
    <row r="5623" spans="1:9" x14ac:dyDescent="0.2">
      <c r="A5623" t="str">
        <f t="shared" si="334"/>
        <v>40878Vaipahu69PocilloporidaeDessous</v>
      </c>
      <c r="B5623" s="1">
        <v>40878</v>
      </c>
      <c r="C5623" t="s">
        <v>23</v>
      </c>
      <c r="D5623" s="19">
        <v>6</v>
      </c>
      <c r="E5623">
        <v>9</v>
      </c>
      <c r="F5623" t="s">
        <v>10</v>
      </c>
      <c r="G5623" t="s">
        <v>8</v>
      </c>
      <c r="H5623">
        <v>1</v>
      </c>
      <c r="I5623" t="s">
        <v>27</v>
      </c>
    </row>
    <row r="5624" spans="1:9" x14ac:dyDescent="0.2">
      <c r="A5624" t="str">
        <f t="shared" si="334"/>
        <v>40878Vaipahu69PoritidaeBords</v>
      </c>
      <c r="B5624" s="1">
        <v>40878</v>
      </c>
      <c r="C5624" t="s">
        <v>23</v>
      </c>
      <c r="D5624" s="19">
        <v>6</v>
      </c>
      <c r="E5624">
        <v>9</v>
      </c>
      <c r="F5624" t="s">
        <v>7</v>
      </c>
      <c r="G5624" t="s">
        <v>13</v>
      </c>
      <c r="H5624">
        <v>1</v>
      </c>
      <c r="I5624" t="s">
        <v>27</v>
      </c>
    </row>
    <row r="5625" spans="1:9" x14ac:dyDescent="0.2">
      <c r="A5625" t="str">
        <f t="shared" si="334"/>
        <v>40878Vaipahu69PoritidaeDessous</v>
      </c>
      <c r="B5625" s="1">
        <v>40878</v>
      </c>
      <c r="C5625" t="s">
        <v>23</v>
      </c>
      <c r="D5625" s="19">
        <v>6</v>
      </c>
      <c r="E5625">
        <v>9</v>
      </c>
      <c r="F5625" t="s">
        <v>7</v>
      </c>
      <c r="G5625" t="s">
        <v>8</v>
      </c>
      <c r="H5625">
        <v>1</v>
      </c>
      <c r="I5625" t="s">
        <v>27</v>
      </c>
    </row>
    <row r="5626" spans="1:9" x14ac:dyDescent="0.2">
      <c r="A5626" t="str">
        <f t="shared" si="334"/>
        <v>40878Vaipahu610CassésBords</v>
      </c>
      <c r="B5626" s="1">
        <v>40878</v>
      </c>
      <c r="C5626" t="s">
        <v>23</v>
      </c>
      <c r="D5626" s="19">
        <v>6</v>
      </c>
      <c r="E5626">
        <v>10</v>
      </c>
      <c r="F5626" t="s">
        <v>12</v>
      </c>
      <c r="G5626" t="s">
        <v>13</v>
      </c>
      <c r="H5626">
        <v>1</v>
      </c>
      <c r="I5626" t="s">
        <v>27</v>
      </c>
    </row>
    <row r="5627" spans="1:9" x14ac:dyDescent="0.2">
      <c r="A5627" t="str">
        <f t="shared" si="334"/>
        <v>40878Vaipahu610CassésDessous</v>
      </c>
      <c r="B5627" s="1">
        <v>40878</v>
      </c>
      <c r="C5627" t="s">
        <v>23</v>
      </c>
      <c r="D5627" s="19">
        <v>6</v>
      </c>
      <c r="E5627">
        <v>10</v>
      </c>
      <c r="F5627" t="s">
        <v>12</v>
      </c>
      <c r="G5627" t="s">
        <v>8</v>
      </c>
      <c r="H5627">
        <v>1</v>
      </c>
      <c r="I5627" t="s">
        <v>27</v>
      </c>
    </row>
    <row r="5628" spans="1:9" x14ac:dyDescent="0.2">
      <c r="A5628" t="str">
        <f t="shared" si="334"/>
        <v>40878Vaipahu610PocilloporidaeBords</v>
      </c>
      <c r="B5628" s="1">
        <v>40878</v>
      </c>
      <c r="C5628" t="s">
        <v>23</v>
      </c>
      <c r="D5628" s="19">
        <v>6</v>
      </c>
      <c r="E5628">
        <v>10</v>
      </c>
      <c r="F5628" t="s">
        <v>10</v>
      </c>
      <c r="G5628" t="s">
        <v>13</v>
      </c>
      <c r="H5628">
        <v>1</v>
      </c>
      <c r="I5628" t="s">
        <v>27</v>
      </c>
    </row>
    <row r="5629" spans="1:9" x14ac:dyDescent="0.2">
      <c r="A5629" t="str">
        <f t="shared" si="334"/>
        <v>40878Vaipahu610PocilloporidaeDessous</v>
      </c>
      <c r="B5629" s="1">
        <v>40878</v>
      </c>
      <c r="C5629" t="s">
        <v>23</v>
      </c>
      <c r="D5629" s="19">
        <v>6</v>
      </c>
      <c r="E5629">
        <v>10</v>
      </c>
      <c r="F5629" t="s">
        <v>10</v>
      </c>
      <c r="G5629" t="s">
        <v>8</v>
      </c>
      <c r="H5629">
        <v>3</v>
      </c>
      <c r="I5629" t="s">
        <v>27</v>
      </c>
    </row>
    <row r="5630" spans="1:9" x14ac:dyDescent="0.2">
      <c r="A5630" t="str">
        <f t="shared" si="334"/>
        <v>40878Vaipahu610PoritidaeBords</v>
      </c>
      <c r="B5630" s="1">
        <v>40878</v>
      </c>
      <c r="C5630" t="s">
        <v>23</v>
      </c>
      <c r="D5630" s="19">
        <v>6</v>
      </c>
      <c r="E5630">
        <v>10</v>
      </c>
      <c r="F5630" t="s">
        <v>7</v>
      </c>
      <c r="G5630" t="s">
        <v>13</v>
      </c>
      <c r="H5630">
        <v>1</v>
      </c>
      <c r="I5630" t="s">
        <v>27</v>
      </c>
    </row>
    <row r="5631" spans="1:9" x14ac:dyDescent="0.2">
      <c r="A5631" t="str">
        <f t="shared" ref="A5631:A5694" si="335">B5631 &amp; C5631&amp; D5631&amp; E5631 &amp; F5631 &amp;G5631</f>
        <v>40878Vaipahu610PoritidaeDessous</v>
      </c>
      <c r="B5631" s="1">
        <v>40878</v>
      </c>
      <c r="C5631" t="s">
        <v>23</v>
      </c>
      <c r="D5631" s="19">
        <v>6</v>
      </c>
      <c r="E5631">
        <v>10</v>
      </c>
      <c r="F5631" t="s">
        <v>7</v>
      </c>
      <c r="G5631" t="s">
        <v>8</v>
      </c>
      <c r="H5631">
        <v>1</v>
      </c>
      <c r="I5631" t="s">
        <v>27</v>
      </c>
    </row>
    <row r="5632" spans="1:9" x14ac:dyDescent="0.2">
      <c r="A5632" t="str">
        <f t="shared" si="335"/>
        <v>40878Vaipahu610PoritidaeDessus</v>
      </c>
      <c r="B5632" s="1">
        <v>40878</v>
      </c>
      <c r="C5632" t="s">
        <v>23</v>
      </c>
      <c r="D5632" s="19">
        <v>6</v>
      </c>
      <c r="E5632">
        <v>10</v>
      </c>
      <c r="F5632" t="s">
        <v>7</v>
      </c>
      <c r="G5632" t="s">
        <v>11</v>
      </c>
      <c r="H5632">
        <v>1</v>
      </c>
      <c r="I5632" t="s">
        <v>27</v>
      </c>
    </row>
    <row r="5633" spans="1:9" x14ac:dyDescent="0.2">
      <c r="A5633" t="str">
        <f t="shared" si="335"/>
        <v>40878Vaipahu611CassésDessus</v>
      </c>
      <c r="B5633" s="1">
        <v>40878</v>
      </c>
      <c r="C5633" t="s">
        <v>23</v>
      </c>
      <c r="D5633" s="19">
        <v>6</v>
      </c>
      <c r="E5633">
        <v>11</v>
      </c>
      <c r="F5633" t="s">
        <v>12</v>
      </c>
      <c r="G5633" t="s">
        <v>11</v>
      </c>
      <c r="H5633">
        <v>1</v>
      </c>
      <c r="I5633" t="s">
        <v>27</v>
      </c>
    </row>
    <row r="5634" spans="1:9" x14ac:dyDescent="0.2">
      <c r="A5634" t="str">
        <f t="shared" si="335"/>
        <v>40878Vaipahu611PoritidaeBords</v>
      </c>
      <c r="B5634" s="1">
        <v>40878</v>
      </c>
      <c r="C5634" t="s">
        <v>23</v>
      </c>
      <c r="D5634" s="19">
        <v>6</v>
      </c>
      <c r="E5634">
        <v>11</v>
      </c>
      <c r="F5634" t="s">
        <v>7</v>
      </c>
      <c r="G5634" t="s">
        <v>13</v>
      </c>
      <c r="H5634">
        <v>1</v>
      </c>
      <c r="I5634" t="s">
        <v>27</v>
      </c>
    </row>
    <row r="5635" spans="1:9" x14ac:dyDescent="0.2">
      <c r="A5635" t="str">
        <f t="shared" si="335"/>
        <v>40878Vaipahu611PoritidaeDessous</v>
      </c>
      <c r="B5635" s="1">
        <v>40878</v>
      </c>
      <c r="C5635" t="s">
        <v>23</v>
      </c>
      <c r="D5635" s="19">
        <v>6</v>
      </c>
      <c r="E5635">
        <v>11</v>
      </c>
      <c r="F5635" t="s">
        <v>7</v>
      </c>
      <c r="G5635" t="s">
        <v>8</v>
      </c>
      <c r="H5635">
        <v>1</v>
      </c>
      <c r="I5635" t="s">
        <v>27</v>
      </c>
    </row>
    <row r="5636" spans="1:9" x14ac:dyDescent="0.2">
      <c r="A5636" t="str">
        <f t="shared" si="335"/>
        <v>40878Vaipahu612Autres</v>
      </c>
      <c r="B5636" s="1">
        <v>40878</v>
      </c>
      <c r="C5636" t="s">
        <v>23</v>
      </c>
      <c r="D5636" s="19">
        <v>6</v>
      </c>
      <c r="E5636">
        <v>12</v>
      </c>
      <c r="F5636" t="s">
        <v>14</v>
      </c>
      <c r="H5636">
        <v>0</v>
      </c>
    </row>
    <row r="5637" spans="1:9" x14ac:dyDescent="0.2">
      <c r="A5637" t="str">
        <f t="shared" si="335"/>
        <v>40878Vaipahu613Autres</v>
      </c>
      <c r="B5637" s="1">
        <v>40878</v>
      </c>
      <c r="C5637" t="s">
        <v>23</v>
      </c>
      <c r="D5637" s="19">
        <v>6</v>
      </c>
      <c r="E5637">
        <v>13</v>
      </c>
      <c r="F5637" t="s">
        <v>14</v>
      </c>
      <c r="H5637">
        <v>0</v>
      </c>
    </row>
    <row r="5638" spans="1:9" x14ac:dyDescent="0.2">
      <c r="A5638" t="str">
        <f t="shared" si="335"/>
        <v>40878Vaipahu614CassésBords</v>
      </c>
      <c r="B5638" s="1">
        <v>40878</v>
      </c>
      <c r="C5638" t="s">
        <v>23</v>
      </c>
      <c r="D5638" s="19">
        <v>6</v>
      </c>
      <c r="E5638">
        <v>14</v>
      </c>
      <c r="F5638" t="s">
        <v>12</v>
      </c>
      <c r="G5638" t="s">
        <v>13</v>
      </c>
      <c r="H5638">
        <v>1</v>
      </c>
      <c r="I5638" t="s">
        <v>27</v>
      </c>
    </row>
    <row r="5639" spans="1:9" x14ac:dyDescent="0.2">
      <c r="A5639" t="str">
        <f t="shared" si="335"/>
        <v>40878Vaipahu614CassésDessous</v>
      </c>
      <c r="B5639" s="1">
        <v>40878</v>
      </c>
      <c r="C5639" t="s">
        <v>23</v>
      </c>
      <c r="D5639" s="19">
        <v>6</v>
      </c>
      <c r="E5639">
        <v>14</v>
      </c>
      <c r="F5639" t="s">
        <v>12</v>
      </c>
      <c r="G5639" t="s">
        <v>8</v>
      </c>
      <c r="H5639">
        <v>1</v>
      </c>
      <c r="I5639" t="s">
        <v>27</v>
      </c>
    </row>
    <row r="5640" spans="1:9" x14ac:dyDescent="0.2">
      <c r="A5640" t="str">
        <f t="shared" si="335"/>
        <v>40878Vaipahu614PocilloporidaeBords</v>
      </c>
      <c r="B5640" s="1">
        <v>40878</v>
      </c>
      <c r="C5640" t="s">
        <v>23</v>
      </c>
      <c r="D5640" s="19">
        <v>6</v>
      </c>
      <c r="E5640">
        <v>14</v>
      </c>
      <c r="F5640" t="s">
        <v>10</v>
      </c>
      <c r="G5640" t="s">
        <v>13</v>
      </c>
      <c r="H5640">
        <v>1</v>
      </c>
      <c r="I5640" t="s">
        <v>27</v>
      </c>
    </row>
    <row r="5641" spans="1:9" x14ac:dyDescent="0.2">
      <c r="A5641" t="str">
        <f t="shared" si="335"/>
        <v>40878Vaipahu614PoritidaeDessus</v>
      </c>
      <c r="B5641" s="1">
        <v>40878</v>
      </c>
      <c r="C5641" t="s">
        <v>23</v>
      </c>
      <c r="D5641" s="19">
        <v>6</v>
      </c>
      <c r="E5641">
        <v>14</v>
      </c>
      <c r="F5641" t="s">
        <v>7</v>
      </c>
      <c r="G5641" t="s">
        <v>11</v>
      </c>
      <c r="H5641">
        <v>1</v>
      </c>
      <c r="I5641" t="s">
        <v>27</v>
      </c>
    </row>
    <row r="5642" spans="1:9" x14ac:dyDescent="0.2">
      <c r="A5642" t="str">
        <f t="shared" si="335"/>
        <v>40878Vaipahu615CassésBords</v>
      </c>
      <c r="B5642" s="1">
        <v>40878</v>
      </c>
      <c r="C5642" t="s">
        <v>23</v>
      </c>
      <c r="D5642" s="19">
        <v>6</v>
      </c>
      <c r="E5642">
        <v>15</v>
      </c>
      <c r="F5642" t="s">
        <v>12</v>
      </c>
      <c r="G5642" t="s">
        <v>13</v>
      </c>
      <c r="H5642">
        <v>1</v>
      </c>
      <c r="I5642" t="s">
        <v>27</v>
      </c>
    </row>
    <row r="5643" spans="1:9" x14ac:dyDescent="0.2">
      <c r="A5643" t="str">
        <f t="shared" si="335"/>
        <v>40878Vaipahu615PoritidaeBords</v>
      </c>
      <c r="B5643" s="1">
        <v>40878</v>
      </c>
      <c r="C5643" t="s">
        <v>23</v>
      </c>
      <c r="D5643" s="19">
        <v>6</v>
      </c>
      <c r="E5643">
        <v>15</v>
      </c>
      <c r="F5643" t="s">
        <v>7</v>
      </c>
      <c r="G5643" t="s">
        <v>13</v>
      </c>
      <c r="H5643">
        <v>1</v>
      </c>
      <c r="I5643" t="s">
        <v>27</v>
      </c>
    </row>
    <row r="5644" spans="1:9" x14ac:dyDescent="0.2">
      <c r="A5644" t="str">
        <f t="shared" si="335"/>
        <v>40878Vaipahu615PoritidaeDessous</v>
      </c>
      <c r="B5644" s="1">
        <v>40878</v>
      </c>
      <c r="C5644" t="s">
        <v>23</v>
      </c>
      <c r="D5644" s="19">
        <v>6</v>
      </c>
      <c r="E5644">
        <v>15</v>
      </c>
      <c r="F5644" t="s">
        <v>7</v>
      </c>
      <c r="G5644" t="s">
        <v>8</v>
      </c>
      <c r="H5644">
        <v>1</v>
      </c>
      <c r="I5644" t="s">
        <v>27</v>
      </c>
    </row>
    <row r="5645" spans="1:9" x14ac:dyDescent="0.2">
      <c r="A5645" t="str">
        <f t="shared" si="335"/>
        <v>40878Vaipahu616CassésBords</v>
      </c>
      <c r="B5645" s="1">
        <v>40878</v>
      </c>
      <c r="C5645" t="s">
        <v>23</v>
      </c>
      <c r="D5645" s="19">
        <v>6</v>
      </c>
      <c r="E5645">
        <v>16</v>
      </c>
      <c r="F5645" t="s">
        <v>12</v>
      </c>
      <c r="G5645" t="s">
        <v>13</v>
      </c>
      <c r="H5645">
        <v>1</v>
      </c>
      <c r="I5645" t="s">
        <v>27</v>
      </c>
    </row>
    <row r="5646" spans="1:9" x14ac:dyDescent="0.2">
      <c r="A5646" t="str">
        <f t="shared" si="335"/>
        <v>40878Vaipahu616PocilloporidaeDessous</v>
      </c>
      <c r="B5646" s="1">
        <v>40878</v>
      </c>
      <c r="C5646" t="s">
        <v>23</v>
      </c>
      <c r="D5646" s="19">
        <v>6</v>
      </c>
      <c r="E5646">
        <v>16</v>
      </c>
      <c r="F5646" t="s">
        <v>10</v>
      </c>
      <c r="G5646" t="s">
        <v>8</v>
      </c>
      <c r="H5646">
        <v>1</v>
      </c>
      <c r="I5646" t="s">
        <v>27</v>
      </c>
    </row>
    <row r="5647" spans="1:9" x14ac:dyDescent="0.2">
      <c r="A5647" t="str">
        <f t="shared" si="335"/>
        <v>40878Vaipahu616PoritidaeDessous</v>
      </c>
      <c r="B5647" s="1">
        <v>40878</v>
      </c>
      <c r="C5647" t="s">
        <v>23</v>
      </c>
      <c r="D5647" s="19">
        <v>6</v>
      </c>
      <c r="E5647">
        <v>16</v>
      </c>
      <c r="F5647" t="s">
        <v>7</v>
      </c>
      <c r="G5647" t="s">
        <v>8</v>
      </c>
      <c r="H5647">
        <v>1</v>
      </c>
      <c r="I5647" t="s">
        <v>27</v>
      </c>
    </row>
    <row r="5648" spans="1:9" x14ac:dyDescent="0.2">
      <c r="A5648" t="str">
        <f t="shared" si="335"/>
        <v>40878Vaipahu617Autres</v>
      </c>
      <c r="B5648" s="1">
        <v>40878</v>
      </c>
      <c r="C5648" t="s">
        <v>23</v>
      </c>
      <c r="D5648" s="19">
        <v>6</v>
      </c>
      <c r="E5648">
        <v>17</v>
      </c>
      <c r="F5648" t="s">
        <v>14</v>
      </c>
      <c r="H5648">
        <v>0</v>
      </c>
    </row>
    <row r="5649" spans="1:9" x14ac:dyDescent="0.2">
      <c r="A5649" t="str">
        <f t="shared" si="335"/>
        <v>40878Vaipahu618PocilloporidaeDessous</v>
      </c>
      <c r="B5649" s="1">
        <v>40878</v>
      </c>
      <c r="C5649" t="s">
        <v>23</v>
      </c>
      <c r="D5649" s="19">
        <v>6</v>
      </c>
      <c r="E5649">
        <v>18</v>
      </c>
      <c r="F5649" t="s">
        <v>10</v>
      </c>
      <c r="G5649" t="s">
        <v>8</v>
      </c>
      <c r="H5649">
        <v>1</v>
      </c>
      <c r="I5649" t="s">
        <v>27</v>
      </c>
    </row>
    <row r="5650" spans="1:9" x14ac:dyDescent="0.2">
      <c r="A5650" t="str">
        <f t="shared" si="335"/>
        <v>40878Vaipahu618PoritidaeDessous</v>
      </c>
      <c r="B5650" s="1">
        <v>40878</v>
      </c>
      <c r="C5650" t="s">
        <v>23</v>
      </c>
      <c r="D5650" s="19">
        <v>6</v>
      </c>
      <c r="E5650">
        <v>18</v>
      </c>
      <c r="F5650" t="s">
        <v>7</v>
      </c>
      <c r="G5650" t="s">
        <v>8</v>
      </c>
      <c r="H5650">
        <v>1</v>
      </c>
      <c r="I5650" t="s">
        <v>27</v>
      </c>
    </row>
    <row r="5651" spans="1:9" x14ac:dyDescent="0.2">
      <c r="A5651" t="str">
        <f t="shared" si="335"/>
        <v>40878Vaipahu619Autres</v>
      </c>
      <c r="B5651" s="1">
        <v>40878</v>
      </c>
      <c r="C5651" t="s">
        <v>23</v>
      </c>
      <c r="D5651" s="19">
        <v>6</v>
      </c>
      <c r="E5651">
        <v>19</v>
      </c>
      <c r="F5651" t="s">
        <v>14</v>
      </c>
      <c r="H5651">
        <v>0</v>
      </c>
    </row>
    <row r="5652" spans="1:9" x14ac:dyDescent="0.2">
      <c r="A5652" t="str">
        <f t="shared" si="335"/>
        <v>40878Vaipahu620PocilloporidaeDessous</v>
      </c>
      <c r="B5652" s="1">
        <v>40878</v>
      </c>
      <c r="C5652" t="s">
        <v>23</v>
      </c>
      <c r="D5652" s="19">
        <v>6</v>
      </c>
      <c r="E5652">
        <v>20</v>
      </c>
      <c r="F5652" t="s">
        <v>10</v>
      </c>
      <c r="G5652" t="s">
        <v>8</v>
      </c>
      <c r="H5652">
        <v>1</v>
      </c>
      <c r="I5652" t="s">
        <v>27</v>
      </c>
    </row>
    <row r="5653" spans="1:9" x14ac:dyDescent="0.2">
      <c r="A5653" t="str">
        <f t="shared" si="335"/>
        <v>40878Vaipahu1221PocilloporidaeDessous</v>
      </c>
      <c r="B5653" s="1">
        <v>40878</v>
      </c>
      <c r="C5653" t="s">
        <v>23</v>
      </c>
      <c r="D5653" s="19">
        <v>12</v>
      </c>
      <c r="E5653">
        <v>21</v>
      </c>
      <c r="F5653" t="s">
        <v>10</v>
      </c>
      <c r="G5653" t="s">
        <v>8</v>
      </c>
      <c r="H5653">
        <v>1</v>
      </c>
      <c r="I5653" t="s">
        <v>27</v>
      </c>
    </row>
    <row r="5654" spans="1:9" x14ac:dyDescent="0.2">
      <c r="A5654" t="str">
        <f t="shared" si="335"/>
        <v>40878Vaipahu1222PocilloporidaeDessus</v>
      </c>
      <c r="B5654" s="1">
        <v>40878</v>
      </c>
      <c r="C5654" t="s">
        <v>23</v>
      </c>
      <c r="D5654" s="19">
        <v>12</v>
      </c>
      <c r="E5654">
        <v>22</v>
      </c>
      <c r="F5654" t="s">
        <v>10</v>
      </c>
      <c r="G5654" t="s">
        <v>11</v>
      </c>
      <c r="H5654">
        <v>1</v>
      </c>
      <c r="I5654" t="s">
        <v>27</v>
      </c>
    </row>
    <row r="5655" spans="1:9" x14ac:dyDescent="0.2">
      <c r="A5655" t="str">
        <f t="shared" si="335"/>
        <v>40878Vaipahu1223Autres</v>
      </c>
      <c r="B5655" s="1">
        <v>40878</v>
      </c>
      <c r="C5655" t="s">
        <v>23</v>
      </c>
      <c r="D5655" s="19">
        <v>12</v>
      </c>
      <c r="E5655">
        <v>23</v>
      </c>
      <c r="F5655" t="s">
        <v>14</v>
      </c>
      <c r="H5655">
        <v>0</v>
      </c>
    </row>
    <row r="5656" spans="1:9" x14ac:dyDescent="0.2">
      <c r="A5656" t="str">
        <f t="shared" si="335"/>
        <v>40878Vaipahu1224CassésDessous</v>
      </c>
      <c r="B5656" s="1">
        <v>40878</v>
      </c>
      <c r="C5656" t="s">
        <v>23</v>
      </c>
      <c r="D5656" s="19">
        <v>12</v>
      </c>
      <c r="E5656">
        <v>24</v>
      </c>
      <c r="F5656" t="s">
        <v>12</v>
      </c>
      <c r="G5656" t="s">
        <v>8</v>
      </c>
      <c r="H5656">
        <v>1</v>
      </c>
      <c r="I5656" t="s">
        <v>27</v>
      </c>
    </row>
    <row r="5657" spans="1:9" x14ac:dyDescent="0.2">
      <c r="A5657" t="str">
        <f t="shared" si="335"/>
        <v>40878Vaipahu1224PocilloporidaeDessous</v>
      </c>
      <c r="B5657" s="1">
        <v>40878</v>
      </c>
      <c r="C5657" t="s">
        <v>23</v>
      </c>
      <c r="D5657" s="19">
        <v>12</v>
      </c>
      <c r="E5657">
        <v>24</v>
      </c>
      <c r="F5657" t="s">
        <v>10</v>
      </c>
      <c r="G5657" t="s">
        <v>8</v>
      </c>
      <c r="H5657">
        <v>1</v>
      </c>
      <c r="I5657" t="s">
        <v>27</v>
      </c>
    </row>
    <row r="5658" spans="1:9" x14ac:dyDescent="0.2">
      <c r="A5658" t="str">
        <f t="shared" si="335"/>
        <v>40878Vaipahu1224PoritidaeDessous</v>
      </c>
      <c r="B5658" s="1">
        <v>40878</v>
      </c>
      <c r="C5658" t="s">
        <v>23</v>
      </c>
      <c r="D5658" s="19">
        <v>12</v>
      </c>
      <c r="E5658">
        <v>24</v>
      </c>
      <c r="F5658" t="s">
        <v>7</v>
      </c>
      <c r="G5658" t="s">
        <v>8</v>
      </c>
      <c r="H5658">
        <v>1</v>
      </c>
      <c r="I5658" t="s">
        <v>27</v>
      </c>
    </row>
    <row r="5659" spans="1:9" x14ac:dyDescent="0.2">
      <c r="A5659" t="str">
        <f t="shared" si="335"/>
        <v>40878Vaipahu1225PocilloporidaeDessous</v>
      </c>
      <c r="B5659" s="1">
        <v>40878</v>
      </c>
      <c r="C5659" t="s">
        <v>23</v>
      </c>
      <c r="D5659" s="19">
        <v>12</v>
      </c>
      <c r="E5659">
        <v>25</v>
      </c>
      <c r="F5659" t="s">
        <v>10</v>
      </c>
      <c r="G5659" t="s">
        <v>8</v>
      </c>
      <c r="H5659">
        <v>1</v>
      </c>
      <c r="I5659" t="s">
        <v>27</v>
      </c>
    </row>
    <row r="5660" spans="1:9" x14ac:dyDescent="0.2">
      <c r="A5660" t="str">
        <f t="shared" si="335"/>
        <v>40878Vaipahu1226AutresDessous</v>
      </c>
      <c r="B5660" s="1">
        <v>40878</v>
      </c>
      <c r="C5660" t="s">
        <v>23</v>
      </c>
      <c r="D5660" s="19">
        <v>12</v>
      </c>
      <c r="E5660">
        <v>26</v>
      </c>
      <c r="F5660" t="s">
        <v>14</v>
      </c>
      <c r="G5660" t="s">
        <v>8</v>
      </c>
      <c r="H5660">
        <v>1</v>
      </c>
      <c r="I5660" t="s">
        <v>27</v>
      </c>
    </row>
    <row r="5661" spans="1:9" x14ac:dyDescent="0.2">
      <c r="A5661" t="str">
        <f t="shared" si="335"/>
        <v>40878Vaipahu1226PocilloporidaeDessous</v>
      </c>
      <c r="B5661" s="1">
        <v>40878</v>
      </c>
      <c r="C5661" t="s">
        <v>23</v>
      </c>
      <c r="D5661" s="19">
        <v>12</v>
      </c>
      <c r="E5661">
        <v>26</v>
      </c>
      <c r="F5661" t="s">
        <v>10</v>
      </c>
      <c r="G5661" t="s">
        <v>8</v>
      </c>
      <c r="H5661">
        <v>1</v>
      </c>
      <c r="I5661" t="s">
        <v>27</v>
      </c>
    </row>
    <row r="5662" spans="1:9" x14ac:dyDescent="0.2">
      <c r="A5662" t="str">
        <f t="shared" si="335"/>
        <v>40878Vaipahu1226PoritidaeDessous</v>
      </c>
      <c r="B5662" s="1">
        <v>40878</v>
      </c>
      <c r="C5662" t="s">
        <v>23</v>
      </c>
      <c r="D5662" s="19">
        <v>12</v>
      </c>
      <c r="E5662">
        <v>26</v>
      </c>
      <c r="F5662" t="s">
        <v>7</v>
      </c>
      <c r="G5662" t="s">
        <v>8</v>
      </c>
      <c r="H5662">
        <v>1</v>
      </c>
      <c r="I5662" t="s">
        <v>27</v>
      </c>
    </row>
    <row r="5663" spans="1:9" x14ac:dyDescent="0.2">
      <c r="A5663" t="str">
        <f t="shared" si="335"/>
        <v>40878Vaipahu1227Autres</v>
      </c>
      <c r="B5663" s="1">
        <v>40878</v>
      </c>
      <c r="C5663" t="s">
        <v>23</v>
      </c>
      <c r="D5663" s="19">
        <v>12</v>
      </c>
      <c r="E5663">
        <v>27</v>
      </c>
      <c r="F5663" t="s">
        <v>14</v>
      </c>
      <c r="H5663">
        <v>0</v>
      </c>
    </row>
    <row r="5664" spans="1:9" x14ac:dyDescent="0.2">
      <c r="A5664" t="str">
        <f t="shared" si="335"/>
        <v>40878Vaipahu1228Autres</v>
      </c>
      <c r="B5664" s="1">
        <v>40878</v>
      </c>
      <c r="C5664" t="s">
        <v>23</v>
      </c>
      <c r="D5664" s="19">
        <v>12</v>
      </c>
      <c r="E5664">
        <v>28</v>
      </c>
      <c r="F5664" t="s">
        <v>14</v>
      </c>
      <c r="H5664">
        <v>0</v>
      </c>
    </row>
    <row r="5665" spans="1:9" x14ac:dyDescent="0.2">
      <c r="A5665" t="str">
        <f t="shared" si="335"/>
        <v>40878Vaipahu1229CassésDessous</v>
      </c>
      <c r="B5665" s="1">
        <v>40878</v>
      </c>
      <c r="C5665" t="s">
        <v>23</v>
      </c>
      <c r="D5665" s="19">
        <v>12</v>
      </c>
      <c r="E5665">
        <v>29</v>
      </c>
      <c r="F5665" t="s">
        <v>12</v>
      </c>
      <c r="G5665" t="s">
        <v>8</v>
      </c>
      <c r="H5665">
        <v>1</v>
      </c>
      <c r="I5665" t="s">
        <v>27</v>
      </c>
    </row>
    <row r="5666" spans="1:9" x14ac:dyDescent="0.2">
      <c r="A5666" t="str">
        <f t="shared" si="335"/>
        <v>40878Vaipahu1230Autres</v>
      </c>
      <c r="B5666" s="1">
        <v>40878</v>
      </c>
      <c r="C5666" t="s">
        <v>23</v>
      </c>
      <c r="D5666" s="19">
        <v>12</v>
      </c>
      <c r="E5666">
        <v>30</v>
      </c>
      <c r="F5666" t="s">
        <v>14</v>
      </c>
      <c r="H5666">
        <v>0</v>
      </c>
    </row>
    <row r="5667" spans="1:9" x14ac:dyDescent="0.2">
      <c r="A5667" t="str">
        <f t="shared" si="335"/>
        <v>40878Vaipahu1231CassésDessus</v>
      </c>
      <c r="B5667" s="1">
        <v>40878</v>
      </c>
      <c r="C5667" t="s">
        <v>23</v>
      </c>
      <c r="D5667" s="19">
        <v>12</v>
      </c>
      <c r="E5667">
        <v>31</v>
      </c>
      <c r="F5667" t="s">
        <v>12</v>
      </c>
      <c r="G5667" t="s">
        <v>11</v>
      </c>
      <c r="H5667">
        <v>1</v>
      </c>
      <c r="I5667" t="s">
        <v>27</v>
      </c>
    </row>
    <row r="5668" spans="1:9" x14ac:dyDescent="0.2">
      <c r="A5668" t="str">
        <f t="shared" si="335"/>
        <v>40878Vaipahu1231PocilloporidaeDessous</v>
      </c>
      <c r="B5668" s="1">
        <v>40878</v>
      </c>
      <c r="C5668" t="s">
        <v>23</v>
      </c>
      <c r="D5668" s="19">
        <v>12</v>
      </c>
      <c r="E5668">
        <v>31</v>
      </c>
      <c r="F5668" t="s">
        <v>10</v>
      </c>
      <c r="G5668" t="s">
        <v>8</v>
      </c>
      <c r="H5668">
        <v>1</v>
      </c>
      <c r="I5668" t="s">
        <v>27</v>
      </c>
    </row>
    <row r="5669" spans="1:9" x14ac:dyDescent="0.2">
      <c r="A5669" t="str">
        <f t="shared" si="335"/>
        <v>40878Vaipahu1231PocilloporidaeDessus</v>
      </c>
      <c r="B5669" s="1">
        <v>40878</v>
      </c>
      <c r="C5669" t="s">
        <v>23</v>
      </c>
      <c r="D5669" s="19">
        <v>12</v>
      </c>
      <c r="E5669">
        <v>31</v>
      </c>
      <c r="F5669" t="s">
        <v>10</v>
      </c>
      <c r="G5669" t="s">
        <v>11</v>
      </c>
      <c r="H5669">
        <v>1</v>
      </c>
      <c r="I5669" t="s">
        <v>27</v>
      </c>
    </row>
    <row r="5670" spans="1:9" x14ac:dyDescent="0.2">
      <c r="A5670" t="str">
        <f t="shared" si="335"/>
        <v>40878Vaipahu1232Autres</v>
      </c>
      <c r="B5670" s="1">
        <v>40878</v>
      </c>
      <c r="C5670" t="s">
        <v>23</v>
      </c>
      <c r="D5670" s="19">
        <v>12</v>
      </c>
      <c r="E5670">
        <v>32</v>
      </c>
      <c r="F5670" t="s">
        <v>14</v>
      </c>
      <c r="H5670">
        <v>0</v>
      </c>
    </row>
    <row r="5671" spans="1:9" x14ac:dyDescent="0.2">
      <c r="A5671" t="str">
        <f t="shared" si="335"/>
        <v>40878Vaipahu1233Autres</v>
      </c>
      <c r="B5671" s="1">
        <v>40878</v>
      </c>
      <c r="C5671" t="s">
        <v>23</v>
      </c>
      <c r="D5671" s="19">
        <v>12</v>
      </c>
      <c r="E5671">
        <v>33</v>
      </c>
      <c r="F5671" t="s">
        <v>14</v>
      </c>
      <c r="H5671">
        <v>0</v>
      </c>
    </row>
    <row r="5672" spans="1:9" x14ac:dyDescent="0.2">
      <c r="A5672" t="str">
        <f t="shared" si="335"/>
        <v>40878Vaipahu1234CassésBords</v>
      </c>
      <c r="B5672" s="1">
        <v>40878</v>
      </c>
      <c r="C5672" t="s">
        <v>23</v>
      </c>
      <c r="D5672" s="19">
        <v>12</v>
      </c>
      <c r="E5672">
        <v>34</v>
      </c>
      <c r="F5672" t="s">
        <v>12</v>
      </c>
      <c r="G5672" t="s">
        <v>13</v>
      </c>
      <c r="H5672">
        <v>1</v>
      </c>
      <c r="I5672" t="s">
        <v>27</v>
      </c>
    </row>
    <row r="5673" spans="1:9" x14ac:dyDescent="0.2">
      <c r="A5673" t="str">
        <f t="shared" si="335"/>
        <v>40878Vaipahu1235PocilloporidaeDessous</v>
      </c>
      <c r="B5673" s="1">
        <v>40878</v>
      </c>
      <c r="C5673" t="s">
        <v>23</v>
      </c>
      <c r="D5673" s="19">
        <v>12</v>
      </c>
      <c r="E5673">
        <v>35</v>
      </c>
      <c r="F5673" t="s">
        <v>10</v>
      </c>
      <c r="G5673" t="s">
        <v>8</v>
      </c>
      <c r="H5673">
        <v>1</v>
      </c>
      <c r="I5673" t="s">
        <v>27</v>
      </c>
    </row>
    <row r="5674" spans="1:9" x14ac:dyDescent="0.2">
      <c r="A5674" t="str">
        <f t="shared" si="335"/>
        <v>40878Vaipahu1236Autres</v>
      </c>
      <c r="B5674" s="1">
        <v>40878</v>
      </c>
      <c r="C5674" t="s">
        <v>23</v>
      </c>
      <c r="D5674" s="19">
        <v>12</v>
      </c>
      <c r="E5674">
        <v>36</v>
      </c>
      <c r="F5674" t="s">
        <v>14</v>
      </c>
      <c r="H5674">
        <v>0</v>
      </c>
    </row>
    <row r="5675" spans="1:9" x14ac:dyDescent="0.2">
      <c r="A5675" t="str">
        <f t="shared" si="335"/>
        <v>40878Vaipahu1237PocilloporidaeDessous</v>
      </c>
      <c r="B5675" s="1">
        <v>40878</v>
      </c>
      <c r="C5675" t="s">
        <v>23</v>
      </c>
      <c r="D5675" s="19">
        <v>12</v>
      </c>
      <c r="E5675">
        <v>37</v>
      </c>
      <c r="F5675" t="s">
        <v>10</v>
      </c>
      <c r="G5675" t="s">
        <v>8</v>
      </c>
      <c r="H5675">
        <v>2</v>
      </c>
      <c r="I5675" t="s">
        <v>27</v>
      </c>
    </row>
    <row r="5676" spans="1:9" x14ac:dyDescent="0.2">
      <c r="A5676" t="str">
        <f t="shared" si="335"/>
        <v>40878Vaipahu1237PocilloporidaeDessus</v>
      </c>
      <c r="B5676" s="1">
        <v>40878</v>
      </c>
      <c r="C5676" t="s">
        <v>23</v>
      </c>
      <c r="D5676" s="19">
        <v>12</v>
      </c>
      <c r="E5676">
        <v>37</v>
      </c>
      <c r="F5676" t="s">
        <v>10</v>
      </c>
      <c r="G5676" t="s">
        <v>11</v>
      </c>
      <c r="H5676">
        <v>1</v>
      </c>
      <c r="I5676" t="s">
        <v>27</v>
      </c>
    </row>
    <row r="5677" spans="1:9" x14ac:dyDescent="0.2">
      <c r="A5677" t="str">
        <f t="shared" si="335"/>
        <v>40878Vaipahu1237PoritidaeDessous</v>
      </c>
      <c r="B5677" s="1">
        <v>40878</v>
      </c>
      <c r="C5677" t="s">
        <v>23</v>
      </c>
      <c r="D5677" s="19">
        <v>12</v>
      </c>
      <c r="E5677">
        <v>37</v>
      </c>
      <c r="F5677" t="s">
        <v>7</v>
      </c>
      <c r="G5677" t="s">
        <v>8</v>
      </c>
      <c r="H5677">
        <v>1</v>
      </c>
      <c r="I5677" t="s">
        <v>27</v>
      </c>
    </row>
    <row r="5678" spans="1:9" x14ac:dyDescent="0.2">
      <c r="A5678" t="str">
        <f t="shared" si="335"/>
        <v>40878Vaipahu1237PoritidaeDessus</v>
      </c>
      <c r="B5678" s="1">
        <v>40878</v>
      </c>
      <c r="C5678" t="s">
        <v>23</v>
      </c>
      <c r="D5678" s="19">
        <v>12</v>
      </c>
      <c r="E5678">
        <v>37</v>
      </c>
      <c r="F5678" t="s">
        <v>7</v>
      </c>
      <c r="G5678" t="s">
        <v>11</v>
      </c>
      <c r="H5678">
        <v>1</v>
      </c>
      <c r="I5678" t="s">
        <v>27</v>
      </c>
    </row>
    <row r="5679" spans="1:9" x14ac:dyDescent="0.2">
      <c r="A5679" t="str">
        <f t="shared" si="335"/>
        <v>40878Vaipahu1238Autres</v>
      </c>
      <c r="B5679" s="1">
        <v>40878</v>
      </c>
      <c r="C5679" t="s">
        <v>23</v>
      </c>
      <c r="D5679" s="19">
        <v>12</v>
      </c>
      <c r="E5679">
        <v>38</v>
      </c>
      <c r="F5679" t="s">
        <v>14</v>
      </c>
      <c r="H5679">
        <v>0</v>
      </c>
    </row>
    <row r="5680" spans="1:9" x14ac:dyDescent="0.2">
      <c r="A5680" t="str">
        <f t="shared" si="335"/>
        <v>40878Vaipahu1239Autres</v>
      </c>
      <c r="B5680" s="1">
        <v>40878</v>
      </c>
      <c r="C5680" t="s">
        <v>23</v>
      </c>
      <c r="D5680" s="19">
        <v>12</v>
      </c>
      <c r="E5680">
        <v>39</v>
      </c>
      <c r="F5680" t="s">
        <v>14</v>
      </c>
      <c r="H5680">
        <v>0</v>
      </c>
    </row>
    <row r="5681" spans="1:9" x14ac:dyDescent="0.2">
      <c r="A5681" t="str">
        <f t="shared" si="335"/>
        <v>40878Vaipahu1240Autres</v>
      </c>
      <c r="B5681" s="1">
        <v>40878</v>
      </c>
      <c r="C5681" t="s">
        <v>23</v>
      </c>
      <c r="D5681" s="19">
        <v>12</v>
      </c>
      <c r="E5681">
        <v>40</v>
      </c>
      <c r="F5681" t="s">
        <v>14</v>
      </c>
      <c r="H5681">
        <v>0</v>
      </c>
    </row>
    <row r="5682" spans="1:9" x14ac:dyDescent="0.2">
      <c r="A5682" t="str">
        <f t="shared" si="335"/>
        <v>40878Vaipahu1841Autres</v>
      </c>
      <c r="B5682" s="1">
        <v>40878</v>
      </c>
      <c r="C5682" t="s">
        <v>23</v>
      </c>
      <c r="D5682" s="19">
        <v>18</v>
      </c>
      <c r="E5682">
        <v>41</v>
      </c>
      <c r="F5682" t="s">
        <v>14</v>
      </c>
      <c r="H5682">
        <v>0</v>
      </c>
    </row>
    <row r="5683" spans="1:9" x14ac:dyDescent="0.2">
      <c r="A5683" t="str">
        <f t="shared" si="335"/>
        <v>40878Vaipahu1842Autres</v>
      </c>
      <c r="B5683" s="1">
        <v>40878</v>
      </c>
      <c r="C5683" t="s">
        <v>23</v>
      </c>
      <c r="D5683" s="19">
        <v>18</v>
      </c>
      <c r="E5683">
        <v>42</v>
      </c>
      <c r="F5683" t="s">
        <v>14</v>
      </c>
      <c r="H5683">
        <v>0</v>
      </c>
    </row>
    <row r="5684" spans="1:9" x14ac:dyDescent="0.2">
      <c r="A5684" t="str">
        <f t="shared" si="335"/>
        <v>40878Vaipahu1843Autres</v>
      </c>
      <c r="B5684" s="1">
        <v>40878</v>
      </c>
      <c r="C5684" t="s">
        <v>23</v>
      </c>
      <c r="D5684" s="19">
        <v>18</v>
      </c>
      <c r="E5684">
        <v>43</v>
      </c>
      <c r="F5684" t="s">
        <v>14</v>
      </c>
      <c r="H5684">
        <v>0</v>
      </c>
    </row>
    <row r="5685" spans="1:9" x14ac:dyDescent="0.2">
      <c r="A5685" t="str">
        <f t="shared" si="335"/>
        <v>40878Vaipahu1844Autres</v>
      </c>
      <c r="B5685" s="1">
        <v>40878</v>
      </c>
      <c r="C5685" t="s">
        <v>23</v>
      </c>
      <c r="D5685" s="19">
        <v>18</v>
      </c>
      <c r="E5685">
        <v>44</v>
      </c>
      <c r="F5685" t="s">
        <v>14</v>
      </c>
      <c r="H5685">
        <v>0</v>
      </c>
    </row>
    <row r="5686" spans="1:9" x14ac:dyDescent="0.2">
      <c r="A5686" t="str">
        <f t="shared" si="335"/>
        <v>40878Vaipahu1845Autres</v>
      </c>
      <c r="B5686" s="1">
        <v>40878</v>
      </c>
      <c r="C5686" t="s">
        <v>23</v>
      </c>
      <c r="D5686" s="19">
        <v>18</v>
      </c>
      <c r="E5686">
        <v>45</v>
      </c>
      <c r="F5686" t="s">
        <v>14</v>
      </c>
      <c r="H5686">
        <v>0</v>
      </c>
    </row>
    <row r="5687" spans="1:9" x14ac:dyDescent="0.2">
      <c r="A5687" t="str">
        <f t="shared" si="335"/>
        <v>40878Vaipahu1846Autres</v>
      </c>
      <c r="B5687" s="1">
        <v>40878</v>
      </c>
      <c r="C5687" t="s">
        <v>23</v>
      </c>
      <c r="D5687" s="19">
        <v>18</v>
      </c>
      <c r="E5687">
        <v>46</v>
      </c>
      <c r="F5687" t="s">
        <v>14</v>
      </c>
      <c r="H5687">
        <v>0</v>
      </c>
    </row>
    <row r="5688" spans="1:9" x14ac:dyDescent="0.2">
      <c r="A5688" t="str">
        <f t="shared" si="335"/>
        <v>40878Vaipahu1847PocilloporidaeDessous</v>
      </c>
      <c r="B5688" s="1">
        <v>40878</v>
      </c>
      <c r="C5688" t="s">
        <v>23</v>
      </c>
      <c r="D5688" s="19">
        <v>18</v>
      </c>
      <c r="E5688">
        <v>47</v>
      </c>
      <c r="F5688" t="s">
        <v>10</v>
      </c>
      <c r="G5688" t="s">
        <v>8</v>
      </c>
      <c r="H5688">
        <v>1</v>
      </c>
      <c r="I5688" t="s">
        <v>27</v>
      </c>
    </row>
    <row r="5689" spans="1:9" x14ac:dyDescent="0.2">
      <c r="A5689" t="str">
        <f t="shared" si="335"/>
        <v>40878Vaipahu1848Autres</v>
      </c>
      <c r="B5689" s="1">
        <v>40878</v>
      </c>
      <c r="C5689" t="s">
        <v>23</v>
      </c>
      <c r="D5689" s="19">
        <v>18</v>
      </c>
      <c r="E5689">
        <v>48</v>
      </c>
      <c r="F5689" t="s">
        <v>14</v>
      </c>
      <c r="H5689">
        <v>0</v>
      </c>
    </row>
    <row r="5690" spans="1:9" x14ac:dyDescent="0.2">
      <c r="A5690" t="str">
        <f t="shared" si="335"/>
        <v>40878Vaipahu1849Autres</v>
      </c>
      <c r="B5690" s="1">
        <v>40878</v>
      </c>
      <c r="C5690" t="s">
        <v>23</v>
      </c>
      <c r="D5690" s="19">
        <v>18</v>
      </c>
      <c r="E5690">
        <v>49</v>
      </c>
      <c r="F5690" t="s">
        <v>14</v>
      </c>
      <c r="H5690">
        <v>0</v>
      </c>
    </row>
    <row r="5691" spans="1:9" x14ac:dyDescent="0.2">
      <c r="A5691" t="str">
        <f t="shared" si="335"/>
        <v>40878Vaipahu1850CassésDessus</v>
      </c>
      <c r="B5691" s="1">
        <v>40878</v>
      </c>
      <c r="C5691" t="s">
        <v>23</v>
      </c>
      <c r="D5691" s="19">
        <v>18</v>
      </c>
      <c r="E5691">
        <v>50</v>
      </c>
      <c r="F5691" t="s">
        <v>12</v>
      </c>
      <c r="G5691" t="s">
        <v>11</v>
      </c>
      <c r="H5691">
        <v>1</v>
      </c>
      <c r="I5691" t="s">
        <v>27</v>
      </c>
    </row>
    <row r="5692" spans="1:9" x14ac:dyDescent="0.2">
      <c r="A5692" t="str">
        <f t="shared" si="335"/>
        <v>40878Vaipahu1851Autres</v>
      </c>
      <c r="B5692" s="1">
        <v>40878</v>
      </c>
      <c r="C5692" t="s">
        <v>23</v>
      </c>
      <c r="D5692" s="19">
        <v>18</v>
      </c>
      <c r="E5692">
        <v>51</v>
      </c>
      <c r="F5692" t="s">
        <v>14</v>
      </c>
      <c r="H5692">
        <v>0</v>
      </c>
    </row>
    <row r="5693" spans="1:9" x14ac:dyDescent="0.2">
      <c r="A5693" t="str">
        <f t="shared" si="335"/>
        <v>40878Vaipahu1852Autres</v>
      </c>
      <c r="B5693" s="1">
        <v>40878</v>
      </c>
      <c r="C5693" t="s">
        <v>23</v>
      </c>
      <c r="D5693" s="19">
        <v>18</v>
      </c>
      <c r="E5693">
        <v>52</v>
      </c>
      <c r="F5693" t="s">
        <v>14</v>
      </c>
      <c r="H5693">
        <v>0</v>
      </c>
    </row>
    <row r="5694" spans="1:9" x14ac:dyDescent="0.2">
      <c r="A5694" t="str">
        <f t="shared" si="335"/>
        <v>40878Vaipahu1853PocilloporidaeDessous</v>
      </c>
      <c r="B5694" s="1">
        <v>40878</v>
      </c>
      <c r="C5694" t="s">
        <v>23</v>
      </c>
      <c r="D5694" s="19">
        <v>18</v>
      </c>
      <c r="E5694">
        <v>53</v>
      </c>
      <c r="F5694" t="s">
        <v>10</v>
      </c>
      <c r="G5694" t="s">
        <v>8</v>
      </c>
      <c r="H5694">
        <v>2</v>
      </c>
      <c r="I5694" t="s">
        <v>27</v>
      </c>
    </row>
    <row r="5695" spans="1:9" x14ac:dyDescent="0.2">
      <c r="A5695" t="str">
        <f t="shared" ref="A5695:A5758" si="336">B5695 &amp; C5695&amp; D5695&amp; E5695 &amp; F5695 &amp;G5695</f>
        <v>40878Vaipahu1854Autres</v>
      </c>
      <c r="B5695" s="1">
        <v>40878</v>
      </c>
      <c r="C5695" t="s">
        <v>23</v>
      </c>
      <c r="D5695" s="19">
        <v>18</v>
      </c>
      <c r="E5695">
        <v>54</v>
      </c>
      <c r="F5695" t="s">
        <v>14</v>
      </c>
      <c r="H5695">
        <v>0</v>
      </c>
    </row>
    <row r="5696" spans="1:9" x14ac:dyDescent="0.2">
      <c r="A5696" t="str">
        <f t="shared" si="336"/>
        <v>40878Vaipahu1855Autres</v>
      </c>
      <c r="B5696" s="1">
        <v>40878</v>
      </c>
      <c r="C5696" t="s">
        <v>23</v>
      </c>
      <c r="D5696" s="19">
        <v>18</v>
      </c>
      <c r="E5696">
        <v>55</v>
      </c>
      <c r="F5696" t="s">
        <v>14</v>
      </c>
      <c r="H5696">
        <v>0</v>
      </c>
    </row>
    <row r="5697" spans="1:9" x14ac:dyDescent="0.2">
      <c r="A5697" t="str">
        <f t="shared" si="336"/>
        <v>40878Vaipahu1856PocilloporidaeDessus</v>
      </c>
      <c r="B5697" s="1">
        <v>40878</v>
      </c>
      <c r="C5697" t="s">
        <v>23</v>
      </c>
      <c r="D5697" s="19">
        <v>18</v>
      </c>
      <c r="E5697">
        <v>56</v>
      </c>
      <c r="F5697" t="s">
        <v>10</v>
      </c>
      <c r="G5697" t="s">
        <v>11</v>
      </c>
      <c r="H5697">
        <v>1</v>
      </c>
      <c r="I5697" t="s">
        <v>27</v>
      </c>
    </row>
    <row r="5698" spans="1:9" x14ac:dyDescent="0.2">
      <c r="A5698" t="str">
        <f t="shared" si="336"/>
        <v>40878Vaipahu1857Autres</v>
      </c>
      <c r="B5698" s="1">
        <v>40878</v>
      </c>
      <c r="C5698" t="s">
        <v>23</v>
      </c>
      <c r="D5698" s="19">
        <v>18</v>
      </c>
      <c r="E5698">
        <v>57</v>
      </c>
      <c r="F5698" t="s">
        <v>14</v>
      </c>
      <c r="H5698">
        <v>0</v>
      </c>
    </row>
    <row r="5699" spans="1:9" x14ac:dyDescent="0.2">
      <c r="A5699" t="str">
        <f t="shared" si="336"/>
        <v>40878Vaipahu1858Autres</v>
      </c>
      <c r="B5699" s="1">
        <v>40878</v>
      </c>
      <c r="C5699" t="s">
        <v>23</v>
      </c>
      <c r="D5699" s="19">
        <v>18</v>
      </c>
      <c r="E5699">
        <v>58</v>
      </c>
      <c r="F5699" t="s">
        <v>14</v>
      </c>
      <c r="H5699">
        <v>0</v>
      </c>
    </row>
    <row r="5700" spans="1:9" x14ac:dyDescent="0.2">
      <c r="A5700" t="str">
        <f t="shared" si="336"/>
        <v>40878Vaipahu1859Autres</v>
      </c>
      <c r="B5700" s="1">
        <v>40878</v>
      </c>
      <c r="C5700" t="s">
        <v>23</v>
      </c>
      <c r="D5700" s="19">
        <v>18</v>
      </c>
      <c r="E5700">
        <v>59</v>
      </c>
      <c r="F5700" t="s">
        <v>14</v>
      </c>
      <c r="H5700">
        <v>0</v>
      </c>
    </row>
    <row r="5701" spans="1:9" x14ac:dyDescent="0.2">
      <c r="A5701" t="str">
        <f t="shared" si="336"/>
        <v>40878Vaipahu1860Autres</v>
      </c>
      <c r="B5701" s="1">
        <v>40878</v>
      </c>
      <c r="C5701" t="s">
        <v>23</v>
      </c>
      <c r="D5701" s="19">
        <v>18</v>
      </c>
      <c r="E5701">
        <v>60</v>
      </c>
      <c r="F5701" t="s">
        <v>14</v>
      </c>
      <c r="H5701">
        <v>0</v>
      </c>
    </row>
    <row r="5702" spans="1:9" x14ac:dyDescent="0.2">
      <c r="A5702" t="str">
        <f t="shared" si="336"/>
        <v>40878Tiahura661PoritidaeDessus</v>
      </c>
      <c r="B5702" s="1">
        <v>40878</v>
      </c>
      <c r="C5702" t="s">
        <v>24</v>
      </c>
      <c r="D5702" s="19">
        <v>6</v>
      </c>
      <c r="E5702">
        <v>61</v>
      </c>
      <c r="F5702" t="s">
        <v>7</v>
      </c>
      <c r="G5702" t="s">
        <v>11</v>
      </c>
      <c r="H5702">
        <v>1</v>
      </c>
      <c r="I5702" t="s">
        <v>27</v>
      </c>
    </row>
    <row r="5703" spans="1:9" x14ac:dyDescent="0.2">
      <c r="A5703" t="str">
        <f t="shared" si="336"/>
        <v>40878Tiahura662Autres</v>
      </c>
      <c r="B5703" s="1">
        <v>40878</v>
      </c>
      <c r="C5703" t="s">
        <v>24</v>
      </c>
      <c r="D5703" s="19">
        <v>6</v>
      </c>
      <c r="E5703">
        <v>62</v>
      </c>
      <c r="F5703" t="s">
        <v>14</v>
      </c>
      <c r="H5703">
        <v>0</v>
      </c>
    </row>
    <row r="5704" spans="1:9" x14ac:dyDescent="0.2">
      <c r="A5704" t="str">
        <f t="shared" si="336"/>
        <v>40878Tiahura663Autres</v>
      </c>
      <c r="B5704" s="1">
        <v>40878</v>
      </c>
      <c r="C5704" t="s">
        <v>24</v>
      </c>
      <c r="D5704" s="19">
        <v>6</v>
      </c>
      <c r="E5704">
        <v>63</v>
      </c>
      <c r="F5704" t="s">
        <v>14</v>
      </c>
      <c r="H5704">
        <v>0</v>
      </c>
    </row>
    <row r="5705" spans="1:9" x14ac:dyDescent="0.2">
      <c r="A5705" t="str">
        <f t="shared" si="336"/>
        <v>40878Tiahura664Autres</v>
      </c>
      <c r="B5705" s="1">
        <v>40878</v>
      </c>
      <c r="C5705" t="s">
        <v>24</v>
      </c>
      <c r="D5705" s="19">
        <v>6</v>
      </c>
      <c r="E5705">
        <v>64</v>
      </c>
      <c r="F5705" t="s">
        <v>14</v>
      </c>
      <c r="H5705">
        <v>0</v>
      </c>
    </row>
    <row r="5706" spans="1:9" x14ac:dyDescent="0.2">
      <c r="A5706" t="str">
        <f t="shared" si="336"/>
        <v>40878Tiahura665Autres</v>
      </c>
      <c r="B5706" s="1">
        <v>40878</v>
      </c>
      <c r="C5706" t="s">
        <v>24</v>
      </c>
      <c r="D5706" s="19">
        <v>6</v>
      </c>
      <c r="E5706">
        <v>65</v>
      </c>
      <c r="F5706" t="s">
        <v>14</v>
      </c>
      <c r="H5706">
        <v>0</v>
      </c>
    </row>
    <row r="5707" spans="1:9" x14ac:dyDescent="0.2">
      <c r="A5707" t="str">
        <f t="shared" si="336"/>
        <v>40878Tiahura666CassésDessus</v>
      </c>
      <c r="B5707" s="1">
        <v>40878</v>
      </c>
      <c r="C5707" t="s">
        <v>24</v>
      </c>
      <c r="D5707" s="19">
        <v>6</v>
      </c>
      <c r="E5707">
        <v>66</v>
      </c>
      <c r="F5707" t="s">
        <v>12</v>
      </c>
      <c r="G5707" t="s">
        <v>11</v>
      </c>
      <c r="H5707">
        <v>1</v>
      </c>
      <c r="I5707" t="s">
        <v>27</v>
      </c>
    </row>
    <row r="5708" spans="1:9" x14ac:dyDescent="0.2">
      <c r="A5708" t="str">
        <f t="shared" si="336"/>
        <v>40878Tiahura666PocilloporidaeBords</v>
      </c>
      <c r="B5708" s="1">
        <v>40878</v>
      </c>
      <c r="C5708" t="s">
        <v>24</v>
      </c>
      <c r="D5708" s="19">
        <v>6</v>
      </c>
      <c r="E5708">
        <v>66</v>
      </c>
      <c r="F5708" t="s">
        <v>10</v>
      </c>
      <c r="G5708" t="s">
        <v>13</v>
      </c>
      <c r="H5708">
        <v>1</v>
      </c>
      <c r="I5708" t="s">
        <v>27</v>
      </c>
    </row>
    <row r="5709" spans="1:9" x14ac:dyDescent="0.2">
      <c r="A5709" t="str">
        <f t="shared" si="336"/>
        <v>40878Tiahura666PocilloporidaeDessus</v>
      </c>
      <c r="B5709" s="1">
        <v>40878</v>
      </c>
      <c r="C5709" t="s">
        <v>24</v>
      </c>
      <c r="D5709" s="19">
        <v>6</v>
      </c>
      <c r="E5709">
        <v>66</v>
      </c>
      <c r="F5709" t="s">
        <v>10</v>
      </c>
      <c r="G5709" t="s">
        <v>11</v>
      </c>
      <c r="H5709">
        <v>1</v>
      </c>
      <c r="I5709" t="s">
        <v>27</v>
      </c>
    </row>
    <row r="5710" spans="1:9" x14ac:dyDescent="0.2">
      <c r="A5710" t="str">
        <f t="shared" si="336"/>
        <v>40878Tiahura666PoritidaeDessus</v>
      </c>
      <c r="B5710" s="1">
        <v>40878</v>
      </c>
      <c r="C5710" t="s">
        <v>24</v>
      </c>
      <c r="D5710" s="19">
        <v>6</v>
      </c>
      <c r="E5710">
        <v>66</v>
      </c>
      <c r="F5710" t="s">
        <v>7</v>
      </c>
      <c r="G5710" t="s">
        <v>11</v>
      </c>
      <c r="H5710">
        <v>2</v>
      </c>
      <c r="I5710" t="s">
        <v>27</v>
      </c>
    </row>
    <row r="5711" spans="1:9" x14ac:dyDescent="0.2">
      <c r="A5711" t="str">
        <f t="shared" si="336"/>
        <v>40878Tiahura667PocilloporidaeBords</v>
      </c>
      <c r="B5711" s="1">
        <v>40878</v>
      </c>
      <c r="C5711" t="s">
        <v>24</v>
      </c>
      <c r="D5711" s="19">
        <v>6</v>
      </c>
      <c r="E5711">
        <v>67</v>
      </c>
      <c r="F5711" t="s">
        <v>10</v>
      </c>
      <c r="G5711" t="s">
        <v>13</v>
      </c>
      <c r="H5711">
        <v>1</v>
      </c>
      <c r="I5711" t="s">
        <v>27</v>
      </c>
    </row>
    <row r="5712" spans="1:9" x14ac:dyDescent="0.2">
      <c r="A5712" t="str">
        <f t="shared" si="336"/>
        <v>40878Tiahura667PocilloporidaeDessous</v>
      </c>
      <c r="B5712" s="1">
        <v>40878</v>
      </c>
      <c r="C5712" t="s">
        <v>24</v>
      </c>
      <c r="D5712" s="19">
        <v>6</v>
      </c>
      <c r="E5712">
        <v>67</v>
      </c>
      <c r="F5712" t="s">
        <v>10</v>
      </c>
      <c r="G5712" t="s">
        <v>8</v>
      </c>
      <c r="H5712">
        <v>1</v>
      </c>
      <c r="I5712" t="s">
        <v>27</v>
      </c>
    </row>
    <row r="5713" spans="1:9" x14ac:dyDescent="0.2">
      <c r="A5713" t="str">
        <f t="shared" si="336"/>
        <v>40878Tiahura668PoritidaeBords</v>
      </c>
      <c r="B5713" s="1">
        <v>40878</v>
      </c>
      <c r="C5713" t="s">
        <v>24</v>
      </c>
      <c r="D5713" s="19">
        <v>6</v>
      </c>
      <c r="E5713">
        <v>68</v>
      </c>
      <c r="F5713" t="s">
        <v>7</v>
      </c>
      <c r="G5713" t="s">
        <v>13</v>
      </c>
      <c r="H5713">
        <v>1</v>
      </c>
      <c r="I5713" t="s">
        <v>27</v>
      </c>
    </row>
    <row r="5714" spans="1:9" x14ac:dyDescent="0.2">
      <c r="A5714" t="str">
        <f t="shared" si="336"/>
        <v>40878Tiahura669PoritidaeBords</v>
      </c>
      <c r="B5714" s="1">
        <v>40878</v>
      </c>
      <c r="C5714" t="s">
        <v>24</v>
      </c>
      <c r="D5714" s="19">
        <v>6</v>
      </c>
      <c r="E5714">
        <v>69</v>
      </c>
      <c r="F5714" t="s">
        <v>7</v>
      </c>
      <c r="G5714" t="s">
        <v>13</v>
      </c>
      <c r="H5714">
        <v>2</v>
      </c>
      <c r="I5714" t="s">
        <v>27</v>
      </c>
    </row>
    <row r="5715" spans="1:9" x14ac:dyDescent="0.2">
      <c r="A5715" t="str">
        <f t="shared" si="336"/>
        <v>40878Tiahura670CassésDessus</v>
      </c>
      <c r="B5715" s="1">
        <v>40878</v>
      </c>
      <c r="C5715" t="s">
        <v>24</v>
      </c>
      <c r="D5715" s="19">
        <v>6</v>
      </c>
      <c r="E5715">
        <v>70</v>
      </c>
      <c r="F5715" t="s">
        <v>12</v>
      </c>
      <c r="G5715" t="s">
        <v>11</v>
      </c>
      <c r="H5715">
        <v>1</v>
      </c>
      <c r="I5715" t="s">
        <v>27</v>
      </c>
    </row>
    <row r="5716" spans="1:9" x14ac:dyDescent="0.2">
      <c r="A5716" t="str">
        <f t="shared" si="336"/>
        <v>40878Tiahura670PoritidaeDessus</v>
      </c>
      <c r="B5716" s="1">
        <v>40878</v>
      </c>
      <c r="C5716" t="s">
        <v>24</v>
      </c>
      <c r="D5716" s="19">
        <v>6</v>
      </c>
      <c r="E5716">
        <v>70</v>
      </c>
      <c r="F5716" t="s">
        <v>7</v>
      </c>
      <c r="G5716" t="s">
        <v>11</v>
      </c>
      <c r="H5716">
        <v>1</v>
      </c>
      <c r="I5716" t="s">
        <v>27</v>
      </c>
    </row>
    <row r="5717" spans="1:9" x14ac:dyDescent="0.2">
      <c r="A5717" t="str">
        <f t="shared" si="336"/>
        <v>40878Tiahura671Autres</v>
      </c>
      <c r="B5717" s="1">
        <v>40878</v>
      </c>
      <c r="C5717" t="s">
        <v>24</v>
      </c>
      <c r="D5717" s="19">
        <v>6</v>
      </c>
      <c r="E5717">
        <v>71</v>
      </c>
      <c r="F5717" t="s">
        <v>14</v>
      </c>
      <c r="H5717">
        <v>0</v>
      </c>
    </row>
    <row r="5718" spans="1:9" x14ac:dyDescent="0.2">
      <c r="A5718" t="str">
        <f t="shared" si="336"/>
        <v>40878Tiahura672CassésBords</v>
      </c>
      <c r="B5718" s="1">
        <v>40878</v>
      </c>
      <c r="C5718" t="s">
        <v>24</v>
      </c>
      <c r="D5718" s="19">
        <v>6</v>
      </c>
      <c r="E5718">
        <v>72</v>
      </c>
      <c r="F5718" t="s">
        <v>12</v>
      </c>
      <c r="G5718" t="s">
        <v>13</v>
      </c>
      <c r="H5718">
        <v>1</v>
      </c>
      <c r="I5718" t="s">
        <v>27</v>
      </c>
    </row>
    <row r="5719" spans="1:9" x14ac:dyDescent="0.2">
      <c r="A5719" t="str">
        <f t="shared" si="336"/>
        <v>40878Tiahura672PoritidaeBords</v>
      </c>
      <c r="B5719" s="1">
        <v>40878</v>
      </c>
      <c r="C5719" t="s">
        <v>24</v>
      </c>
      <c r="D5719" s="19">
        <v>6</v>
      </c>
      <c r="E5719">
        <v>72</v>
      </c>
      <c r="F5719" t="s">
        <v>7</v>
      </c>
      <c r="G5719" t="s">
        <v>13</v>
      </c>
      <c r="H5719">
        <v>1</v>
      </c>
      <c r="I5719" t="s">
        <v>27</v>
      </c>
    </row>
    <row r="5720" spans="1:9" x14ac:dyDescent="0.2">
      <c r="A5720" t="str">
        <f t="shared" si="336"/>
        <v>40878Tiahura672PoritidaeDessus</v>
      </c>
      <c r="B5720" s="1">
        <v>40878</v>
      </c>
      <c r="C5720" t="s">
        <v>24</v>
      </c>
      <c r="D5720" s="19">
        <v>6</v>
      </c>
      <c r="E5720">
        <v>72</v>
      </c>
      <c r="F5720" t="s">
        <v>7</v>
      </c>
      <c r="G5720" t="s">
        <v>11</v>
      </c>
      <c r="H5720">
        <v>1</v>
      </c>
      <c r="I5720" t="s">
        <v>27</v>
      </c>
    </row>
    <row r="5721" spans="1:9" x14ac:dyDescent="0.2">
      <c r="A5721" t="str">
        <f t="shared" si="336"/>
        <v>40878Tiahura673Autres</v>
      </c>
      <c r="B5721" s="1">
        <v>40878</v>
      </c>
      <c r="C5721" t="s">
        <v>24</v>
      </c>
      <c r="D5721" s="19">
        <v>6</v>
      </c>
      <c r="E5721">
        <v>73</v>
      </c>
      <c r="F5721" t="s">
        <v>14</v>
      </c>
      <c r="H5721">
        <v>0</v>
      </c>
    </row>
    <row r="5722" spans="1:9" x14ac:dyDescent="0.2">
      <c r="A5722" t="str">
        <f t="shared" si="336"/>
        <v>40878Tiahura674AutresDessous</v>
      </c>
      <c r="B5722" s="1">
        <v>40878</v>
      </c>
      <c r="C5722" t="s">
        <v>24</v>
      </c>
      <c r="D5722" s="19">
        <v>6</v>
      </c>
      <c r="E5722">
        <v>74</v>
      </c>
      <c r="F5722" t="s">
        <v>14</v>
      </c>
      <c r="G5722" t="s">
        <v>8</v>
      </c>
      <c r="H5722">
        <v>1</v>
      </c>
      <c r="I5722" t="s">
        <v>27</v>
      </c>
    </row>
    <row r="5723" spans="1:9" x14ac:dyDescent="0.2">
      <c r="A5723" t="str">
        <f t="shared" si="336"/>
        <v>40878Tiahura675Autres</v>
      </c>
      <c r="B5723" s="1">
        <v>40878</v>
      </c>
      <c r="C5723" t="s">
        <v>24</v>
      </c>
      <c r="D5723" s="19">
        <v>6</v>
      </c>
      <c r="E5723">
        <v>75</v>
      </c>
      <c r="F5723" t="s">
        <v>14</v>
      </c>
      <c r="H5723">
        <v>0</v>
      </c>
    </row>
    <row r="5724" spans="1:9" x14ac:dyDescent="0.2">
      <c r="A5724" t="str">
        <f t="shared" si="336"/>
        <v>40878Tiahura676PoritidaeDessus</v>
      </c>
      <c r="B5724" s="1">
        <v>40878</v>
      </c>
      <c r="C5724" t="s">
        <v>24</v>
      </c>
      <c r="D5724" s="19">
        <v>6</v>
      </c>
      <c r="E5724">
        <v>76</v>
      </c>
      <c r="F5724" t="s">
        <v>7</v>
      </c>
      <c r="G5724" t="s">
        <v>11</v>
      </c>
      <c r="H5724">
        <v>1</v>
      </c>
      <c r="I5724" t="s">
        <v>27</v>
      </c>
    </row>
    <row r="5725" spans="1:9" x14ac:dyDescent="0.2">
      <c r="A5725" t="str">
        <f t="shared" si="336"/>
        <v>40878Tiahura677PocilloporidaeBords</v>
      </c>
      <c r="B5725" s="1">
        <v>40878</v>
      </c>
      <c r="C5725" t="s">
        <v>24</v>
      </c>
      <c r="D5725" s="19">
        <v>6</v>
      </c>
      <c r="E5725">
        <v>77</v>
      </c>
      <c r="F5725" t="s">
        <v>10</v>
      </c>
      <c r="G5725" t="s">
        <v>13</v>
      </c>
      <c r="H5725">
        <v>1</v>
      </c>
      <c r="I5725" t="s">
        <v>27</v>
      </c>
    </row>
    <row r="5726" spans="1:9" x14ac:dyDescent="0.2">
      <c r="A5726" t="str">
        <f t="shared" si="336"/>
        <v>40878Tiahura678PoritidaeDessus</v>
      </c>
      <c r="B5726" s="1">
        <v>40878</v>
      </c>
      <c r="C5726" t="s">
        <v>24</v>
      </c>
      <c r="D5726" s="19">
        <v>6</v>
      </c>
      <c r="E5726">
        <v>78</v>
      </c>
      <c r="F5726" t="s">
        <v>7</v>
      </c>
      <c r="G5726" t="s">
        <v>11</v>
      </c>
      <c r="H5726">
        <v>1</v>
      </c>
      <c r="I5726" t="s">
        <v>27</v>
      </c>
    </row>
    <row r="5727" spans="1:9" x14ac:dyDescent="0.2">
      <c r="A5727" t="str">
        <f t="shared" si="336"/>
        <v>40878Tiahura679Autres</v>
      </c>
      <c r="B5727" s="1">
        <v>40878</v>
      </c>
      <c r="C5727" t="s">
        <v>24</v>
      </c>
      <c r="D5727" s="19">
        <v>6</v>
      </c>
      <c r="E5727">
        <v>79</v>
      </c>
      <c r="F5727" t="s">
        <v>14</v>
      </c>
      <c r="H5727">
        <v>0</v>
      </c>
    </row>
    <row r="5728" spans="1:9" x14ac:dyDescent="0.2">
      <c r="A5728" t="str">
        <f t="shared" si="336"/>
        <v>40878Tiahura680CassésBords</v>
      </c>
      <c r="B5728" s="1">
        <v>40878</v>
      </c>
      <c r="C5728" t="s">
        <v>24</v>
      </c>
      <c r="D5728" s="19">
        <v>6</v>
      </c>
      <c r="E5728">
        <v>80</v>
      </c>
      <c r="F5728" t="s">
        <v>12</v>
      </c>
      <c r="G5728" t="s">
        <v>13</v>
      </c>
      <c r="H5728">
        <v>1</v>
      </c>
      <c r="I5728" t="s">
        <v>27</v>
      </c>
    </row>
    <row r="5729" spans="1:9" x14ac:dyDescent="0.2">
      <c r="A5729" t="str">
        <f t="shared" si="336"/>
        <v>40878Tiahura1281PocilloporidaeDessous</v>
      </c>
      <c r="B5729" s="1">
        <v>40878</v>
      </c>
      <c r="C5729" t="s">
        <v>24</v>
      </c>
      <c r="D5729" s="19">
        <v>12</v>
      </c>
      <c r="E5729">
        <v>81</v>
      </c>
      <c r="F5729" t="s">
        <v>10</v>
      </c>
      <c r="G5729" t="s">
        <v>8</v>
      </c>
      <c r="H5729">
        <v>1</v>
      </c>
      <c r="I5729" t="s">
        <v>27</v>
      </c>
    </row>
    <row r="5730" spans="1:9" x14ac:dyDescent="0.2">
      <c r="A5730" t="str">
        <f t="shared" si="336"/>
        <v>40878Tiahura1282AcroporidaeDessous</v>
      </c>
      <c r="B5730" s="1">
        <v>40878</v>
      </c>
      <c r="C5730" t="s">
        <v>24</v>
      </c>
      <c r="D5730" s="19">
        <v>12</v>
      </c>
      <c r="E5730">
        <v>82</v>
      </c>
      <c r="F5730" t="s">
        <v>17</v>
      </c>
      <c r="G5730" t="s">
        <v>8</v>
      </c>
      <c r="H5730">
        <v>1</v>
      </c>
      <c r="I5730" t="s">
        <v>27</v>
      </c>
    </row>
    <row r="5731" spans="1:9" x14ac:dyDescent="0.2">
      <c r="A5731" t="str">
        <f t="shared" si="336"/>
        <v>40878Tiahura1282PoritidaeDessus</v>
      </c>
      <c r="B5731" s="1">
        <v>40878</v>
      </c>
      <c r="C5731" t="s">
        <v>24</v>
      </c>
      <c r="D5731" s="19">
        <v>12</v>
      </c>
      <c r="E5731">
        <v>82</v>
      </c>
      <c r="F5731" t="s">
        <v>7</v>
      </c>
      <c r="G5731" t="s">
        <v>11</v>
      </c>
      <c r="H5731">
        <v>2</v>
      </c>
      <c r="I5731" t="s">
        <v>27</v>
      </c>
    </row>
    <row r="5732" spans="1:9" x14ac:dyDescent="0.2">
      <c r="A5732" t="str">
        <f t="shared" si="336"/>
        <v>40878Tiahura1283CassésDessus</v>
      </c>
      <c r="B5732" s="1">
        <v>40878</v>
      </c>
      <c r="C5732" t="s">
        <v>24</v>
      </c>
      <c r="D5732" s="19">
        <v>12</v>
      </c>
      <c r="E5732">
        <v>83</v>
      </c>
      <c r="F5732" t="s">
        <v>12</v>
      </c>
      <c r="G5732" t="s">
        <v>11</v>
      </c>
      <c r="H5732">
        <v>1</v>
      </c>
      <c r="I5732" t="s">
        <v>27</v>
      </c>
    </row>
    <row r="5733" spans="1:9" x14ac:dyDescent="0.2">
      <c r="A5733" t="str">
        <f t="shared" si="336"/>
        <v>40878Tiahura1283PoritidaeDessous</v>
      </c>
      <c r="B5733" s="1">
        <v>40878</v>
      </c>
      <c r="C5733" t="s">
        <v>24</v>
      </c>
      <c r="D5733" s="19">
        <v>12</v>
      </c>
      <c r="E5733">
        <v>83</v>
      </c>
      <c r="F5733" t="s">
        <v>7</v>
      </c>
      <c r="G5733" t="s">
        <v>8</v>
      </c>
      <c r="H5733">
        <v>2</v>
      </c>
      <c r="I5733" t="s">
        <v>27</v>
      </c>
    </row>
    <row r="5734" spans="1:9" x14ac:dyDescent="0.2">
      <c r="A5734" t="str">
        <f t="shared" si="336"/>
        <v>40878Tiahura1284CassésDessus</v>
      </c>
      <c r="B5734" s="1">
        <v>40878</v>
      </c>
      <c r="C5734" t="s">
        <v>24</v>
      </c>
      <c r="D5734" s="19">
        <v>12</v>
      </c>
      <c r="E5734">
        <v>84</v>
      </c>
      <c r="F5734" t="s">
        <v>12</v>
      </c>
      <c r="G5734" t="s">
        <v>11</v>
      </c>
      <c r="H5734">
        <v>2</v>
      </c>
      <c r="I5734" t="s">
        <v>27</v>
      </c>
    </row>
    <row r="5735" spans="1:9" x14ac:dyDescent="0.2">
      <c r="A5735" t="str">
        <f t="shared" si="336"/>
        <v>40878Tiahura1284PocilloporidaeBords</v>
      </c>
      <c r="B5735" s="1">
        <v>40878</v>
      </c>
      <c r="C5735" t="s">
        <v>24</v>
      </c>
      <c r="D5735" s="19">
        <v>12</v>
      </c>
      <c r="E5735">
        <v>84</v>
      </c>
      <c r="F5735" t="s">
        <v>10</v>
      </c>
      <c r="G5735" t="s">
        <v>13</v>
      </c>
      <c r="H5735">
        <v>1</v>
      </c>
      <c r="I5735" t="s">
        <v>27</v>
      </c>
    </row>
    <row r="5736" spans="1:9" x14ac:dyDescent="0.2">
      <c r="A5736" t="str">
        <f t="shared" si="336"/>
        <v>40878Tiahura1284PoritidaeDessus</v>
      </c>
      <c r="B5736" s="1">
        <v>40878</v>
      </c>
      <c r="C5736" t="s">
        <v>24</v>
      </c>
      <c r="D5736" s="19">
        <v>12</v>
      </c>
      <c r="E5736">
        <v>84</v>
      </c>
      <c r="F5736" t="s">
        <v>7</v>
      </c>
      <c r="G5736" t="s">
        <v>11</v>
      </c>
      <c r="H5736">
        <v>1</v>
      </c>
      <c r="I5736" t="s">
        <v>27</v>
      </c>
    </row>
    <row r="5737" spans="1:9" x14ac:dyDescent="0.2">
      <c r="A5737" t="str">
        <f t="shared" si="336"/>
        <v>40878Tiahura1285CassésDessous</v>
      </c>
      <c r="B5737" s="1">
        <v>40878</v>
      </c>
      <c r="C5737" t="s">
        <v>24</v>
      </c>
      <c r="D5737" s="19">
        <v>12</v>
      </c>
      <c r="E5737">
        <v>85</v>
      </c>
      <c r="F5737" t="s">
        <v>12</v>
      </c>
      <c r="G5737" t="s">
        <v>8</v>
      </c>
      <c r="H5737">
        <v>1</v>
      </c>
      <c r="I5737" t="s">
        <v>27</v>
      </c>
    </row>
    <row r="5738" spans="1:9" x14ac:dyDescent="0.2">
      <c r="A5738" t="str">
        <f t="shared" si="336"/>
        <v>40878Tiahura1285PocilloporidaeDessous</v>
      </c>
      <c r="B5738" s="1">
        <v>40878</v>
      </c>
      <c r="C5738" t="s">
        <v>24</v>
      </c>
      <c r="D5738" s="19">
        <v>12</v>
      </c>
      <c r="E5738">
        <v>85</v>
      </c>
      <c r="F5738" t="s">
        <v>10</v>
      </c>
      <c r="G5738" t="s">
        <v>8</v>
      </c>
      <c r="H5738">
        <v>3</v>
      </c>
      <c r="I5738" t="s">
        <v>27</v>
      </c>
    </row>
    <row r="5739" spans="1:9" x14ac:dyDescent="0.2">
      <c r="A5739" t="str">
        <f t="shared" si="336"/>
        <v>40878Tiahura1285PoritidaeBords</v>
      </c>
      <c r="B5739" s="1">
        <v>40878</v>
      </c>
      <c r="C5739" t="s">
        <v>24</v>
      </c>
      <c r="D5739" s="19">
        <v>12</v>
      </c>
      <c r="E5739">
        <v>85</v>
      </c>
      <c r="F5739" t="s">
        <v>7</v>
      </c>
      <c r="G5739" t="s">
        <v>13</v>
      </c>
      <c r="H5739">
        <v>1</v>
      </c>
      <c r="I5739" t="s">
        <v>27</v>
      </c>
    </row>
    <row r="5740" spans="1:9" x14ac:dyDescent="0.2">
      <c r="A5740" t="str">
        <f t="shared" si="336"/>
        <v>40878Tiahura1285PoritidaeDessous</v>
      </c>
      <c r="B5740" s="1">
        <v>40878</v>
      </c>
      <c r="C5740" t="s">
        <v>24</v>
      </c>
      <c r="D5740" s="19">
        <v>12</v>
      </c>
      <c r="E5740">
        <v>85</v>
      </c>
      <c r="F5740" t="s">
        <v>7</v>
      </c>
      <c r="G5740" t="s">
        <v>8</v>
      </c>
      <c r="H5740">
        <v>2</v>
      </c>
      <c r="I5740" t="s">
        <v>27</v>
      </c>
    </row>
    <row r="5741" spans="1:9" x14ac:dyDescent="0.2">
      <c r="A5741" t="str">
        <f t="shared" si="336"/>
        <v>40878Tiahura1286PocilloporidaeDessus</v>
      </c>
      <c r="B5741" s="1">
        <v>40878</v>
      </c>
      <c r="C5741" t="s">
        <v>24</v>
      </c>
      <c r="D5741" s="19">
        <v>12</v>
      </c>
      <c r="E5741">
        <v>86</v>
      </c>
      <c r="F5741" t="s">
        <v>10</v>
      </c>
      <c r="G5741" t="s">
        <v>11</v>
      </c>
      <c r="H5741">
        <v>1</v>
      </c>
      <c r="I5741" t="s">
        <v>27</v>
      </c>
    </row>
    <row r="5742" spans="1:9" x14ac:dyDescent="0.2">
      <c r="A5742" t="str">
        <f t="shared" si="336"/>
        <v>40878Tiahura1286PoritidaeBords</v>
      </c>
      <c r="B5742" s="1">
        <v>40878</v>
      </c>
      <c r="C5742" t="s">
        <v>24</v>
      </c>
      <c r="D5742" s="19">
        <v>12</v>
      </c>
      <c r="E5742">
        <v>86</v>
      </c>
      <c r="F5742" t="s">
        <v>7</v>
      </c>
      <c r="G5742" t="s">
        <v>13</v>
      </c>
      <c r="H5742">
        <v>1</v>
      </c>
      <c r="I5742" t="s">
        <v>27</v>
      </c>
    </row>
    <row r="5743" spans="1:9" x14ac:dyDescent="0.2">
      <c r="A5743" t="str">
        <f t="shared" si="336"/>
        <v>40878Tiahura1287Autres</v>
      </c>
      <c r="B5743" s="1">
        <v>40878</v>
      </c>
      <c r="C5743" t="s">
        <v>24</v>
      </c>
      <c r="D5743" s="19">
        <v>12</v>
      </c>
      <c r="E5743">
        <v>87</v>
      </c>
      <c r="F5743" t="s">
        <v>14</v>
      </c>
      <c r="H5743">
        <v>0</v>
      </c>
    </row>
    <row r="5744" spans="1:9" x14ac:dyDescent="0.2">
      <c r="A5744" t="str">
        <f t="shared" si="336"/>
        <v>40878Tiahura1288PocilloporidaeDessous</v>
      </c>
      <c r="B5744" s="1">
        <v>40878</v>
      </c>
      <c r="C5744" t="s">
        <v>24</v>
      </c>
      <c r="D5744" s="19">
        <v>12</v>
      </c>
      <c r="E5744">
        <v>88</v>
      </c>
      <c r="F5744" t="s">
        <v>10</v>
      </c>
      <c r="G5744" t="s">
        <v>8</v>
      </c>
      <c r="H5744">
        <v>1</v>
      </c>
      <c r="I5744" t="s">
        <v>27</v>
      </c>
    </row>
    <row r="5745" spans="1:9" x14ac:dyDescent="0.2">
      <c r="A5745" t="str">
        <f t="shared" si="336"/>
        <v>40878Tiahura1289Autres</v>
      </c>
      <c r="B5745" s="1">
        <v>40878</v>
      </c>
      <c r="C5745" t="s">
        <v>24</v>
      </c>
      <c r="D5745" s="19">
        <v>12</v>
      </c>
      <c r="E5745">
        <v>89</v>
      </c>
      <c r="F5745" t="s">
        <v>14</v>
      </c>
      <c r="H5745">
        <v>0</v>
      </c>
    </row>
    <row r="5746" spans="1:9" x14ac:dyDescent="0.2">
      <c r="A5746" t="str">
        <f t="shared" si="336"/>
        <v>40878Tiahura1290PoritidaeBords</v>
      </c>
      <c r="B5746" s="1">
        <v>40878</v>
      </c>
      <c r="C5746" t="s">
        <v>24</v>
      </c>
      <c r="D5746" s="19">
        <v>12</v>
      </c>
      <c r="E5746">
        <v>90</v>
      </c>
      <c r="F5746" t="s">
        <v>7</v>
      </c>
      <c r="G5746" t="s">
        <v>13</v>
      </c>
      <c r="H5746">
        <v>1</v>
      </c>
      <c r="I5746" t="s">
        <v>27</v>
      </c>
    </row>
    <row r="5747" spans="1:9" x14ac:dyDescent="0.2">
      <c r="A5747" t="str">
        <f t="shared" si="336"/>
        <v>40878Tiahura1290PoritidaeDessous</v>
      </c>
      <c r="B5747" s="1">
        <v>40878</v>
      </c>
      <c r="C5747" t="s">
        <v>24</v>
      </c>
      <c r="D5747" s="19">
        <v>12</v>
      </c>
      <c r="E5747">
        <v>90</v>
      </c>
      <c r="F5747" t="s">
        <v>7</v>
      </c>
      <c r="G5747" t="s">
        <v>8</v>
      </c>
      <c r="H5747">
        <v>2</v>
      </c>
      <c r="I5747" t="s">
        <v>27</v>
      </c>
    </row>
    <row r="5748" spans="1:9" x14ac:dyDescent="0.2">
      <c r="A5748" t="str">
        <f t="shared" si="336"/>
        <v>40878Tiahura1290PoritidaeDessus</v>
      </c>
      <c r="B5748" s="1">
        <v>40878</v>
      </c>
      <c r="C5748" t="s">
        <v>24</v>
      </c>
      <c r="D5748" s="19">
        <v>12</v>
      </c>
      <c r="E5748">
        <v>90</v>
      </c>
      <c r="F5748" t="s">
        <v>7</v>
      </c>
      <c r="G5748" t="s">
        <v>11</v>
      </c>
      <c r="H5748">
        <v>1</v>
      </c>
      <c r="I5748" t="s">
        <v>27</v>
      </c>
    </row>
    <row r="5749" spans="1:9" x14ac:dyDescent="0.2">
      <c r="A5749" t="str">
        <f t="shared" si="336"/>
        <v>40878Tiahura1291PoritidaeDessus</v>
      </c>
      <c r="B5749" s="1">
        <v>40878</v>
      </c>
      <c r="C5749" t="s">
        <v>24</v>
      </c>
      <c r="D5749" s="19">
        <v>12</v>
      </c>
      <c r="E5749">
        <v>91</v>
      </c>
      <c r="F5749" t="s">
        <v>7</v>
      </c>
      <c r="G5749" t="s">
        <v>11</v>
      </c>
      <c r="H5749">
        <v>1</v>
      </c>
      <c r="I5749" t="s">
        <v>27</v>
      </c>
    </row>
    <row r="5750" spans="1:9" x14ac:dyDescent="0.2">
      <c r="A5750" t="str">
        <f t="shared" si="336"/>
        <v>40878Tiahura1292Autres</v>
      </c>
      <c r="B5750" s="1">
        <v>40878</v>
      </c>
      <c r="C5750" t="s">
        <v>24</v>
      </c>
      <c r="D5750" s="19">
        <v>12</v>
      </c>
      <c r="E5750">
        <v>92</v>
      </c>
      <c r="F5750" t="s">
        <v>14</v>
      </c>
      <c r="H5750">
        <v>0</v>
      </c>
    </row>
    <row r="5751" spans="1:9" x14ac:dyDescent="0.2">
      <c r="A5751" t="str">
        <f t="shared" si="336"/>
        <v>40878Tiahura1293Autres</v>
      </c>
      <c r="B5751" s="1">
        <v>40878</v>
      </c>
      <c r="C5751" t="s">
        <v>24</v>
      </c>
      <c r="D5751" s="19">
        <v>12</v>
      </c>
      <c r="E5751">
        <v>93</v>
      </c>
      <c r="F5751" t="s">
        <v>14</v>
      </c>
      <c r="H5751">
        <v>0</v>
      </c>
    </row>
    <row r="5752" spans="1:9" x14ac:dyDescent="0.2">
      <c r="A5752" t="str">
        <f t="shared" si="336"/>
        <v>40878Tiahura1294PoritidaeDessous</v>
      </c>
      <c r="B5752" s="1">
        <v>40878</v>
      </c>
      <c r="C5752" t="s">
        <v>24</v>
      </c>
      <c r="D5752" s="19">
        <v>12</v>
      </c>
      <c r="E5752">
        <v>94</v>
      </c>
      <c r="F5752" t="s">
        <v>7</v>
      </c>
      <c r="G5752" t="s">
        <v>8</v>
      </c>
      <c r="H5752">
        <v>1</v>
      </c>
      <c r="I5752" t="s">
        <v>27</v>
      </c>
    </row>
    <row r="5753" spans="1:9" x14ac:dyDescent="0.2">
      <c r="A5753" t="str">
        <f t="shared" si="336"/>
        <v>40878Tiahura1295Autres</v>
      </c>
      <c r="B5753" s="1">
        <v>40878</v>
      </c>
      <c r="C5753" t="s">
        <v>24</v>
      </c>
      <c r="D5753" s="19">
        <v>12</v>
      </c>
      <c r="E5753">
        <v>95</v>
      </c>
      <c r="F5753" t="s">
        <v>14</v>
      </c>
      <c r="H5753">
        <v>0</v>
      </c>
    </row>
    <row r="5754" spans="1:9" x14ac:dyDescent="0.2">
      <c r="A5754" t="str">
        <f t="shared" si="336"/>
        <v>40878Tiahura1296Autres</v>
      </c>
      <c r="B5754" s="1">
        <v>40878</v>
      </c>
      <c r="C5754" t="s">
        <v>24</v>
      </c>
      <c r="D5754" s="19">
        <v>12</v>
      </c>
      <c r="E5754">
        <v>96</v>
      </c>
      <c r="F5754" t="s">
        <v>14</v>
      </c>
      <c r="H5754">
        <v>0</v>
      </c>
    </row>
    <row r="5755" spans="1:9" x14ac:dyDescent="0.2">
      <c r="A5755" t="str">
        <f t="shared" si="336"/>
        <v>40878Tiahura1297PocilloporidaeDessous</v>
      </c>
      <c r="B5755" s="1">
        <v>40878</v>
      </c>
      <c r="C5755" t="s">
        <v>24</v>
      </c>
      <c r="D5755" s="19">
        <v>12</v>
      </c>
      <c r="E5755">
        <v>97</v>
      </c>
      <c r="F5755" t="s">
        <v>10</v>
      </c>
      <c r="G5755" t="s">
        <v>8</v>
      </c>
      <c r="H5755">
        <v>1</v>
      </c>
      <c r="I5755" t="s">
        <v>27</v>
      </c>
    </row>
    <row r="5756" spans="1:9" x14ac:dyDescent="0.2">
      <c r="A5756" t="str">
        <f t="shared" si="336"/>
        <v>40878Tiahura1297PocilloporidaeDessus</v>
      </c>
      <c r="B5756" s="1">
        <v>40878</v>
      </c>
      <c r="C5756" t="s">
        <v>24</v>
      </c>
      <c r="D5756" s="19">
        <v>12</v>
      </c>
      <c r="E5756">
        <v>97</v>
      </c>
      <c r="F5756" t="s">
        <v>10</v>
      </c>
      <c r="G5756" t="s">
        <v>11</v>
      </c>
      <c r="H5756">
        <v>1</v>
      </c>
      <c r="I5756" t="s">
        <v>27</v>
      </c>
    </row>
    <row r="5757" spans="1:9" x14ac:dyDescent="0.2">
      <c r="A5757" t="str">
        <f t="shared" si="336"/>
        <v>40878Tiahura1298Autres</v>
      </c>
      <c r="B5757" s="1">
        <v>40878</v>
      </c>
      <c r="C5757" t="s">
        <v>24</v>
      </c>
      <c r="D5757" s="19">
        <v>12</v>
      </c>
      <c r="E5757">
        <v>98</v>
      </c>
      <c r="F5757" t="s">
        <v>14</v>
      </c>
      <c r="H5757">
        <v>0</v>
      </c>
    </row>
    <row r="5758" spans="1:9" x14ac:dyDescent="0.2">
      <c r="A5758" t="str">
        <f t="shared" si="336"/>
        <v>40878Tiahura1299Autres</v>
      </c>
      <c r="B5758" s="1">
        <v>40878</v>
      </c>
      <c r="C5758" t="s">
        <v>24</v>
      </c>
      <c r="D5758" s="19">
        <v>12</v>
      </c>
      <c r="E5758">
        <v>99</v>
      </c>
      <c r="F5758" t="s">
        <v>14</v>
      </c>
      <c r="H5758">
        <v>0</v>
      </c>
    </row>
    <row r="5759" spans="1:9" x14ac:dyDescent="0.2">
      <c r="A5759" t="str">
        <f t="shared" ref="A5759:A5822" si="337">B5759 &amp; C5759&amp; D5759&amp; E5759 &amp; F5759 &amp;G5759</f>
        <v>40878Tiahura12100Autres</v>
      </c>
      <c r="B5759" s="1">
        <v>40878</v>
      </c>
      <c r="C5759" t="s">
        <v>24</v>
      </c>
      <c r="D5759" s="19">
        <v>12</v>
      </c>
      <c r="E5759">
        <v>100</v>
      </c>
      <c r="F5759" t="s">
        <v>14</v>
      </c>
      <c r="H5759">
        <v>0</v>
      </c>
    </row>
    <row r="5760" spans="1:9" x14ac:dyDescent="0.2">
      <c r="A5760" t="str">
        <f t="shared" si="337"/>
        <v>40878Tiahura18101</v>
      </c>
      <c r="B5760" s="1">
        <v>40878</v>
      </c>
      <c r="C5760" t="s">
        <v>24</v>
      </c>
      <c r="D5760" s="19">
        <v>18</v>
      </c>
      <c r="E5760">
        <v>101</v>
      </c>
      <c r="F5760" t="s">
        <v>27</v>
      </c>
      <c r="G5760" t="s">
        <v>27</v>
      </c>
      <c r="H5760" t="s">
        <v>27</v>
      </c>
      <c r="I5760" t="s">
        <v>31</v>
      </c>
    </row>
    <row r="5761" spans="1:9" x14ac:dyDescent="0.2">
      <c r="A5761" t="str">
        <f t="shared" si="337"/>
        <v>40878Tiahura18102Autres</v>
      </c>
      <c r="B5761" s="1">
        <v>40878</v>
      </c>
      <c r="C5761" t="s">
        <v>24</v>
      </c>
      <c r="D5761" s="19">
        <v>18</v>
      </c>
      <c r="E5761">
        <v>102</v>
      </c>
      <c r="F5761" t="s">
        <v>14</v>
      </c>
      <c r="H5761">
        <v>0</v>
      </c>
    </row>
    <row r="5762" spans="1:9" x14ac:dyDescent="0.2">
      <c r="A5762" t="str">
        <f t="shared" si="337"/>
        <v>40878Tiahura18103Autres</v>
      </c>
      <c r="B5762" s="1">
        <v>40878</v>
      </c>
      <c r="C5762" t="s">
        <v>24</v>
      </c>
      <c r="D5762" s="19">
        <v>18</v>
      </c>
      <c r="E5762">
        <v>103</v>
      </c>
      <c r="F5762" t="s">
        <v>14</v>
      </c>
      <c r="H5762">
        <v>0</v>
      </c>
    </row>
    <row r="5763" spans="1:9" x14ac:dyDescent="0.2">
      <c r="A5763" t="str">
        <f t="shared" si="337"/>
        <v>40878Tiahura18104Autres</v>
      </c>
      <c r="B5763" s="1">
        <v>40878</v>
      </c>
      <c r="C5763" t="s">
        <v>24</v>
      </c>
      <c r="D5763" s="19">
        <v>18</v>
      </c>
      <c r="E5763">
        <v>104</v>
      </c>
      <c r="F5763" t="s">
        <v>14</v>
      </c>
      <c r="H5763">
        <v>0</v>
      </c>
    </row>
    <row r="5764" spans="1:9" x14ac:dyDescent="0.2">
      <c r="A5764" t="str">
        <f t="shared" si="337"/>
        <v>40878Tiahura18105AutresBords</v>
      </c>
      <c r="B5764" s="1">
        <v>40878</v>
      </c>
      <c r="C5764" t="s">
        <v>24</v>
      </c>
      <c r="D5764" s="19">
        <v>18</v>
      </c>
      <c r="E5764">
        <v>105</v>
      </c>
      <c r="F5764" t="s">
        <v>14</v>
      </c>
      <c r="G5764" t="s">
        <v>13</v>
      </c>
      <c r="H5764">
        <v>1</v>
      </c>
      <c r="I5764" t="s">
        <v>27</v>
      </c>
    </row>
    <row r="5765" spans="1:9" x14ac:dyDescent="0.2">
      <c r="A5765" t="str">
        <f t="shared" si="337"/>
        <v>40878Tiahura18105PoritidaeBords</v>
      </c>
      <c r="B5765" s="1">
        <v>40878</v>
      </c>
      <c r="C5765" t="s">
        <v>24</v>
      </c>
      <c r="D5765" s="19">
        <v>18</v>
      </c>
      <c r="E5765">
        <v>105</v>
      </c>
      <c r="F5765" t="s">
        <v>7</v>
      </c>
      <c r="G5765" t="s">
        <v>13</v>
      </c>
      <c r="H5765">
        <v>1</v>
      </c>
      <c r="I5765" t="s">
        <v>27</v>
      </c>
    </row>
    <row r="5766" spans="1:9" x14ac:dyDescent="0.2">
      <c r="A5766" t="str">
        <f t="shared" si="337"/>
        <v>40878Tiahura18106Autres</v>
      </c>
      <c r="B5766" s="1">
        <v>40878</v>
      </c>
      <c r="C5766" t="s">
        <v>24</v>
      </c>
      <c r="D5766" s="19">
        <v>18</v>
      </c>
      <c r="E5766">
        <v>106</v>
      </c>
      <c r="F5766" t="s">
        <v>14</v>
      </c>
      <c r="H5766">
        <v>0</v>
      </c>
    </row>
    <row r="5767" spans="1:9" x14ac:dyDescent="0.2">
      <c r="A5767" t="str">
        <f t="shared" si="337"/>
        <v>40878Tiahura18107Autres</v>
      </c>
      <c r="B5767" s="1">
        <v>40878</v>
      </c>
      <c r="C5767" t="s">
        <v>24</v>
      </c>
      <c r="D5767" s="19">
        <v>18</v>
      </c>
      <c r="E5767">
        <v>107</v>
      </c>
      <c r="F5767" t="s">
        <v>14</v>
      </c>
      <c r="H5767">
        <v>0</v>
      </c>
    </row>
    <row r="5768" spans="1:9" x14ac:dyDescent="0.2">
      <c r="A5768" t="str">
        <f t="shared" si="337"/>
        <v>40878Tiahura18108Autres</v>
      </c>
      <c r="B5768" s="1">
        <v>40878</v>
      </c>
      <c r="C5768" t="s">
        <v>24</v>
      </c>
      <c r="D5768" s="19">
        <v>18</v>
      </c>
      <c r="E5768">
        <v>108</v>
      </c>
      <c r="F5768" t="s">
        <v>14</v>
      </c>
      <c r="H5768">
        <v>0</v>
      </c>
    </row>
    <row r="5769" spans="1:9" x14ac:dyDescent="0.2">
      <c r="A5769" t="str">
        <f t="shared" si="337"/>
        <v>40878Tiahura18109PoritidaeDessus</v>
      </c>
      <c r="B5769" s="1">
        <v>40878</v>
      </c>
      <c r="C5769" t="s">
        <v>24</v>
      </c>
      <c r="D5769" s="19">
        <v>18</v>
      </c>
      <c r="E5769">
        <v>109</v>
      </c>
      <c r="F5769" t="s">
        <v>7</v>
      </c>
      <c r="G5769" t="s">
        <v>11</v>
      </c>
      <c r="H5769">
        <v>1</v>
      </c>
      <c r="I5769" t="s">
        <v>27</v>
      </c>
    </row>
    <row r="5770" spans="1:9" x14ac:dyDescent="0.2">
      <c r="A5770" t="str">
        <f t="shared" si="337"/>
        <v>40878Tiahura18110Autres</v>
      </c>
      <c r="B5770" s="1">
        <v>40878</v>
      </c>
      <c r="C5770" t="s">
        <v>24</v>
      </c>
      <c r="D5770" s="19">
        <v>18</v>
      </c>
      <c r="E5770">
        <v>110</v>
      </c>
      <c r="F5770" t="s">
        <v>14</v>
      </c>
      <c r="H5770">
        <v>0</v>
      </c>
    </row>
    <row r="5771" spans="1:9" x14ac:dyDescent="0.2">
      <c r="A5771" t="str">
        <f t="shared" si="337"/>
        <v>40878Tiahura18111Autres</v>
      </c>
      <c r="B5771" s="1">
        <v>40878</v>
      </c>
      <c r="C5771" t="s">
        <v>24</v>
      </c>
      <c r="D5771" s="19">
        <v>18</v>
      </c>
      <c r="E5771">
        <v>111</v>
      </c>
      <c r="F5771" t="s">
        <v>14</v>
      </c>
      <c r="H5771">
        <v>0</v>
      </c>
    </row>
    <row r="5772" spans="1:9" x14ac:dyDescent="0.2">
      <c r="A5772" t="str">
        <f t="shared" si="337"/>
        <v>40878Tiahura18112CassésBords</v>
      </c>
      <c r="B5772" s="1">
        <v>40878</v>
      </c>
      <c r="C5772" t="s">
        <v>24</v>
      </c>
      <c r="D5772" s="19">
        <v>18</v>
      </c>
      <c r="E5772">
        <v>112</v>
      </c>
      <c r="F5772" t="s">
        <v>12</v>
      </c>
      <c r="G5772" t="s">
        <v>13</v>
      </c>
      <c r="H5772">
        <v>1</v>
      </c>
      <c r="I5772" t="s">
        <v>27</v>
      </c>
    </row>
    <row r="5773" spans="1:9" x14ac:dyDescent="0.2">
      <c r="A5773" t="str">
        <f t="shared" si="337"/>
        <v>40878Tiahura18113Autres</v>
      </c>
      <c r="B5773" s="1">
        <v>40878</v>
      </c>
      <c r="C5773" t="s">
        <v>24</v>
      </c>
      <c r="D5773" s="19">
        <v>18</v>
      </c>
      <c r="E5773">
        <v>113</v>
      </c>
      <c r="F5773" t="s">
        <v>14</v>
      </c>
      <c r="H5773">
        <v>0</v>
      </c>
    </row>
    <row r="5774" spans="1:9" x14ac:dyDescent="0.2">
      <c r="A5774" t="str">
        <f t="shared" si="337"/>
        <v>40878Tiahura18114PocilloporidaeBords</v>
      </c>
      <c r="B5774" s="1">
        <v>40878</v>
      </c>
      <c r="C5774" t="s">
        <v>24</v>
      </c>
      <c r="D5774" s="19">
        <v>18</v>
      </c>
      <c r="E5774">
        <v>114</v>
      </c>
      <c r="F5774" t="s">
        <v>10</v>
      </c>
      <c r="G5774" t="s">
        <v>13</v>
      </c>
      <c r="H5774">
        <v>1</v>
      </c>
      <c r="I5774" t="s">
        <v>27</v>
      </c>
    </row>
    <row r="5775" spans="1:9" x14ac:dyDescent="0.2">
      <c r="A5775" t="str">
        <f t="shared" si="337"/>
        <v>40878Tiahura18115Autres</v>
      </c>
      <c r="B5775" s="1">
        <v>40878</v>
      </c>
      <c r="C5775" t="s">
        <v>24</v>
      </c>
      <c r="D5775" s="19">
        <v>18</v>
      </c>
      <c r="E5775">
        <v>115</v>
      </c>
      <c r="F5775" t="s">
        <v>14</v>
      </c>
      <c r="H5775">
        <v>0</v>
      </c>
    </row>
    <row r="5776" spans="1:9" x14ac:dyDescent="0.2">
      <c r="A5776" t="str">
        <f t="shared" si="337"/>
        <v>40878Tiahura18116Autres</v>
      </c>
      <c r="B5776" s="1">
        <v>40878</v>
      </c>
      <c r="C5776" t="s">
        <v>24</v>
      </c>
      <c r="D5776" s="19">
        <v>18</v>
      </c>
      <c r="E5776">
        <v>116</v>
      </c>
      <c r="F5776" t="s">
        <v>14</v>
      </c>
      <c r="H5776">
        <v>0</v>
      </c>
    </row>
    <row r="5777" spans="1:9" x14ac:dyDescent="0.2">
      <c r="A5777" t="str">
        <f t="shared" si="337"/>
        <v>40878Tiahura18117</v>
      </c>
      <c r="B5777" s="1">
        <v>40878</v>
      </c>
      <c r="C5777" t="s">
        <v>24</v>
      </c>
      <c r="D5777" s="19">
        <v>18</v>
      </c>
      <c r="E5777">
        <v>117</v>
      </c>
      <c r="F5777" t="s">
        <v>27</v>
      </c>
      <c r="G5777" t="s">
        <v>27</v>
      </c>
      <c r="H5777" t="s">
        <v>27</v>
      </c>
      <c r="I5777" t="s">
        <v>31</v>
      </c>
    </row>
    <row r="5778" spans="1:9" x14ac:dyDescent="0.2">
      <c r="A5778" t="str">
        <f t="shared" si="337"/>
        <v>40878Tiahura18118</v>
      </c>
      <c r="B5778" s="1">
        <v>40878</v>
      </c>
      <c r="C5778" t="s">
        <v>24</v>
      </c>
      <c r="D5778" s="19">
        <v>18</v>
      </c>
      <c r="E5778">
        <v>118</v>
      </c>
      <c r="F5778" t="s">
        <v>27</v>
      </c>
      <c r="G5778" t="s">
        <v>27</v>
      </c>
      <c r="H5778" t="s">
        <v>27</v>
      </c>
      <c r="I5778" t="s">
        <v>31</v>
      </c>
    </row>
    <row r="5779" spans="1:9" x14ac:dyDescent="0.2">
      <c r="A5779" t="str">
        <f t="shared" si="337"/>
        <v>40878Tiahura18119Autres</v>
      </c>
      <c r="B5779" s="1">
        <v>40878</v>
      </c>
      <c r="C5779" t="s">
        <v>24</v>
      </c>
      <c r="D5779" s="19">
        <v>18</v>
      </c>
      <c r="E5779">
        <v>119</v>
      </c>
      <c r="F5779" t="s">
        <v>14</v>
      </c>
      <c r="H5779">
        <v>0</v>
      </c>
    </row>
    <row r="5780" spans="1:9" x14ac:dyDescent="0.2">
      <c r="A5780" t="str">
        <f t="shared" si="337"/>
        <v>40878Tiahura18120PoritidaeBords</v>
      </c>
      <c r="B5780" s="1">
        <v>40878</v>
      </c>
      <c r="C5780" t="s">
        <v>24</v>
      </c>
      <c r="D5780" s="19">
        <v>18</v>
      </c>
      <c r="E5780">
        <v>120</v>
      </c>
      <c r="F5780" t="s">
        <v>7</v>
      </c>
      <c r="G5780" t="s">
        <v>13</v>
      </c>
      <c r="H5780">
        <v>1</v>
      </c>
      <c r="I5780" t="s">
        <v>27</v>
      </c>
    </row>
    <row r="5781" spans="1:9" x14ac:dyDescent="0.2">
      <c r="A5781" t="str">
        <f t="shared" si="337"/>
        <v>40878Haapiti6121Autres</v>
      </c>
      <c r="B5781" s="1">
        <v>40878</v>
      </c>
      <c r="C5781" t="s">
        <v>25</v>
      </c>
      <c r="D5781" s="19">
        <v>6</v>
      </c>
      <c r="E5781">
        <v>121</v>
      </c>
      <c r="F5781" t="s">
        <v>14</v>
      </c>
      <c r="H5781">
        <v>0</v>
      </c>
    </row>
    <row r="5782" spans="1:9" x14ac:dyDescent="0.2">
      <c r="A5782" t="str">
        <f t="shared" si="337"/>
        <v>40878Haapiti6122Autres</v>
      </c>
      <c r="B5782" s="1">
        <v>40878</v>
      </c>
      <c r="C5782" t="s">
        <v>25</v>
      </c>
      <c r="D5782" s="19">
        <v>6</v>
      </c>
      <c r="E5782">
        <v>122</v>
      </c>
      <c r="F5782" t="s">
        <v>14</v>
      </c>
      <c r="H5782">
        <v>0</v>
      </c>
    </row>
    <row r="5783" spans="1:9" x14ac:dyDescent="0.2">
      <c r="A5783" t="str">
        <f t="shared" si="337"/>
        <v>40878Haapiti6123PocilloporidaeDessus</v>
      </c>
      <c r="B5783" s="1">
        <v>40878</v>
      </c>
      <c r="C5783" t="s">
        <v>25</v>
      </c>
      <c r="D5783" s="19">
        <v>6</v>
      </c>
      <c r="E5783">
        <v>123</v>
      </c>
      <c r="F5783" t="s">
        <v>10</v>
      </c>
      <c r="G5783" t="s">
        <v>11</v>
      </c>
      <c r="H5783">
        <v>1</v>
      </c>
      <c r="I5783" t="s">
        <v>27</v>
      </c>
    </row>
    <row r="5784" spans="1:9" x14ac:dyDescent="0.2">
      <c r="A5784" t="str">
        <f t="shared" si="337"/>
        <v>40878Haapiti6124Autres</v>
      </c>
      <c r="B5784" s="1">
        <v>40878</v>
      </c>
      <c r="C5784" t="s">
        <v>25</v>
      </c>
      <c r="D5784" s="19">
        <v>6</v>
      </c>
      <c r="E5784">
        <v>124</v>
      </c>
      <c r="F5784" t="s">
        <v>14</v>
      </c>
      <c r="H5784">
        <v>0</v>
      </c>
    </row>
    <row r="5785" spans="1:9" x14ac:dyDescent="0.2">
      <c r="A5785" t="str">
        <f t="shared" si="337"/>
        <v>40878Haapiti6125CassésBords</v>
      </c>
      <c r="B5785" s="1">
        <v>40878</v>
      </c>
      <c r="C5785" t="s">
        <v>25</v>
      </c>
      <c r="D5785" s="19">
        <v>6</v>
      </c>
      <c r="E5785">
        <v>125</v>
      </c>
      <c r="F5785" t="s">
        <v>12</v>
      </c>
      <c r="G5785" t="s">
        <v>13</v>
      </c>
      <c r="H5785">
        <v>1</v>
      </c>
      <c r="I5785" t="s">
        <v>27</v>
      </c>
    </row>
    <row r="5786" spans="1:9" x14ac:dyDescent="0.2">
      <c r="A5786" t="str">
        <f t="shared" si="337"/>
        <v>40878Haapiti6126Autres</v>
      </c>
      <c r="B5786" s="1">
        <v>40878</v>
      </c>
      <c r="C5786" t="s">
        <v>25</v>
      </c>
      <c r="D5786" s="19">
        <v>6</v>
      </c>
      <c r="E5786">
        <v>126</v>
      </c>
      <c r="F5786" t="s">
        <v>14</v>
      </c>
      <c r="H5786">
        <v>0</v>
      </c>
    </row>
    <row r="5787" spans="1:9" x14ac:dyDescent="0.2">
      <c r="A5787" t="str">
        <f t="shared" si="337"/>
        <v>40878Haapiti6127Autres</v>
      </c>
      <c r="B5787" s="1">
        <v>40878</v>
      </c>
      <c r="C5787" t="s">
        <v>25</v>
      </c>
      <c r="D5787" s="19">
        <v>6</v>
      </c>
      <c r="E5787">
        <v>127</v>
      </c>
      <c r="F5787" t="s">
        <v>14</v>
      </c>
      <c r="H5787">
        <v>0</v>
      </c>
    </row>
    <row r="5788" spans="1:9" x14ac:dyDescent="0.2">
      <c r="A5788" t="str">
        <f t="shared" si="337"/>
        <v>40878Haapiti6128Autres</v>
      </c>
      <c r="B5788" s="1">
        <v>40878</v>
      </c>
      <c r="C5788" t="s">
        <v>25</v>
      </c>
      <c r="D5788" s="19">
        <v>6</v>
      </c>
      <c r="E5788">
        <v>128</v>
      </c>
      <c r="F5788" t="s">
        <v>14</v>
      </c>
      <c r="H5788">
        <v>0</v>
      </c>
    </row>
    <row r="5789" spans="1:9" x14ac:dyDescent="0.2">
      <c r="A5789" t="str">
        <f t="shared" si="337"/>
        <v>40878Haapiti6129Autres</v>
      </c>
      <c r="B5789" s="1">
        <v>40878</v>
      </c>
      <c r="C5789" t="s">
        <v>25</v>
      </c>
      <c r="D5789" s="19">
        <v>6</v>
      </c>
      <c r="E5789">
        <v>129</v>
      </c>
      <c r="F5789" t="s">
        <v>14</v>
      </c>
      <c r="H5789">
        <v>0</v>
      </c>
    </row>
    <row r="5790" spans="1:9" x14ac:dyDescent="0.2">
      <c r="A5790" t="str">
        <f t="shared" si="337"/>
        <v>40878Haapiti6130Autres</v>
      </c>
      <c r="B5790" s="1">
        <v>40878</v>
      </c>
      <c r="C5790" t="s">
        <v>25</v>
      </c>
      <c r="D5790" s="19">
        <v>6</v>
      </c>
      <c r="E5790">
        <v>130</v>
      </c>
      <c r="F5790" t="s">
        <v>14</v>
      </c>
      <c r="H5790">
        <v>0</v>
      </c>
    </row>
    <row r="5791" spans="1:9" x14ac:dyDescent="0.2">
      <c r="A5791" t="str">
        <f t="shared" si="337"/>
        <v>40878Haapiti6131PocilloporidaeDessous</v>
      </c>
      <c r="B5791" s="1">
        <v>40878</v>
      </c>
      <c r="C5791" t="s">
        <v>25</v>
      </c>
      <c r="D5791" s="19">
        <v>6</v>
      </c>
      <c r="E5791">
        <v>131</v>
      </c>
      <c r="F5791" t="s">
        <v>10</v>
      </c>
      <c r="G5791" t="s">
        <v>8</v>
      </c>
      <c r="H5791">
        <v>1</v>
      </c>
      <c r="I5791" t="s">
        <v>27</v>
      </c>
    </row>
    <row r="5792" spans="1:9" x14ac:dyDescent="0.2">
      <c r="A5792" t="str">
        <f t="shared" si="337"/>
        <v>40878Haapiti6132PocilloporidaeDessus</v>
      </c>
      <c r="B5792" s="1">
        <v>40878</v>
      </c>
      <c r="C5792" t="s">
        <v>25</v>
      </c>
      <c r="D5792" s="19">
        <v>6</v>
      </c>
      <c r="E5792">
        <v>132</v>
      </c>
      <c r="F5792" t="s">
        <v>10</v>
      </c>
      <c r="G5792" t="s">
        <v>11</v>
      </c>
      <c r="H5792">
        <v>1</v>
      </c>
      <c r="I5792" t="s">
        <v>27</v>
      </c>
    </row>
    <row r="5793" spans="1:9" x14ac:dyDescent="0.2">
      <c r="A5793" t="str">
        <f t="shared" si="337"/>
        <v>40878Haapiti6133Autres</v>
      </c>
      <c r="B5793" s="1">
        <v>40878</v>
      </c>
      <c r="C5793" t="s">
        <v>25</v>
      </c>
      <c r="D5793" s="19">
        <v>6</v>
      </c>
      <c r="E5793">
        <v>133</v>
      </c>
      <c r="F5793" t="s">
        <v>14</v>
      </c>
      <c r="H5793">
        <v>0</v>
      </c>
    </row>
    <row r="5794" spans="1:9" x14ac:dyDescent="0.2">
      <c r="A5794" t="str">
        <f t="shared" si="337"/>
        <v>40878Haapiti6134PocilloporidaeBords</v>
      </c>
      <c r="B5794" s="1">
        <v>40878</v>
      </c>
      <c r="C5794" t="s">
        <v>25</v>
      </c>
      <c r="D5794" s="19">
        <v>6</v>
      </c>
      <c r="E5794">
        <v>134</v>
      </c>
      <c r="F5794" t="s">
        <v>10</v>
      </c>
      <c r="G5794" t="s">
        <v>13</v>
      </c>
      <c r="H5794">
        <v>1</v>
      </c>
      <c r="I5794" t="s">
        <v>27</v>
      </c>
    </row>
    <row r="5795" spans="1:9" x14ac:dyDescent="0.2">
      <c r="A5795" t="str">
        <f t="shared" si="337"/>
        <v>40878Haapiti6134PoritidaeBords</v>
      </c>
      <c r="B5795" s="1">
        <v>40878</v>
      </c>
      <c r="C5795" t="s">
        <v>25</v>
      </c>
      <c r="D5795" s="19">
        <v>6</v>
      </c>
      <c r="E5795">
        <v>134</v>
      </c>
      <c r="F5795" t="s">
        <v>7</v>
      </c>
      <c r="G5795" t="s">
        <v>13</v>
      </c>
      <c r="H5795">
        <v>1</v>
      </c>
      <c r="I5795" t="s">
        <v>27</v>
      </c>
    </row>
    <row r="5796" spans="1:9" x14ac:dyDescent="0.2">
      <c r="A5796" t="str">
        <f t="shared" si="337"/>
        <v>40878Haapiti6135Autres</v>
      </c>
      <c r="B5796" s="1">
        <v>40878</v>
      </c>
      <c r="C5796" t="s">
        <v>25</v>
      </c>
      <c r="D5796" s="19">
        <v>6</v>
      </c>
      <c r="E5796">
        <v>135</v>
      </c>
      <c r="F5796" t="s">
        <v>14</v>
      </c>
      <c r="H5796">
        <v>0</v>
      </c>
    </row>
    <row r="5797" spans="1:9" x14ac:dyDescent="0.2">
      <c r="A5797" t="str">
        <f t="shared" si="337"/>
        <v>40878Haapiti6136PocilloporidaeDessus</v>
      </c>
      <c r="B5797" s="1">
        <v>40878</v>
      </c>
      <c r="C5797" t="s">
        <v>25</v>
      </c>
      <c r="D5797" s="19">
        <v>6</v>
      </c>
      <c r="E5797">
        <v>136</v>
      </c>
      <c r="F5797" t="s">
        <v>10</v>
      </c>
      <c r="G5797" t="s">
        <v>11</v>
      </c>
      <c r="H5797">
        <v>1</v>
      </c>
      <c r="I5797" t="s">
        <v>27</v>
      </c>
    </row>
    <row r="5798" spans="1:9" x14ac:dyDescent="0.2">
      <c r="A5798" t="str">
        <f t="shared" si="337"/>
        <v>40878Haapiti6137Autres</v>
      </c>
      <c r="B5798" s="1">
        <v>40878</v>
      </c>
      <c r="C5798" t="s">
        <v>25</v>
      </c>
      <c r="D5798" s="19">
        <v>6</v>
      </c>
      <c r="E5798">
        <v>137</v>
      </c>
      <c r="F5798" t="s">
        <v>14</v>
      </c>
      <c r="H5798">
        <v>0</v>
      </c>
    </row>
    <row r="5799" spans="1:9" x14ac:dyDescent="0.2">
      <c r="A5799" t="str">
        <f t="shared" si="337"/>
        <v>40878Haapiti6138PocilloporidaeDessous</v>
      </c>
      <c r="B5799" s="1">
        <v>40878</v>
      </c>
      <c r="C5799" t="s">
        <v>25</v>
      </c>
      <c r="D5799" s="19">
        <v>6</v>
      </c>
      <c r="E5799">
        <v>138</v>
      </c>
      <c r="F5799" t="s">
        <v>10</v>
      </c>
      <c r="G5799" t="s">
        <v>8</v>
      </c>
      <c r="H5799">
        <v>1</v>
      </c>
      <c r="I5799" t="s">
        <v>27</v>
      </c>
    </row>
    <row r="5800" spans="1:9" x14ac:dyDescent="0.2">
      <c r="A5800" t="str">
        <f t="shared" si="337"/>
        <v>40878Haapiti6138PocilloporidaeDessus</v>
      </c>
      <c r="B5800" s="1">
        <v>40878</v>
      </c>
      <c r="C5800" t="s">
        <v>25</v>
      </c>
      <c r="D5800" s="19">
        <v>6</v>
      </c>
      <c r="E5800">
        <v>138</v>
      </c>
      <c r="F5800" t="s">
        <v>10</v>
      </c>
      <c r="G5800" t="s">
        <v>11</v>
      </c>
      <c r="H5800">
        <v>1</v>
      </c>
      <c r="I5800" t="s">
        <v>27</v>
      </c>
    </row>
    <row r="5801" spans="1:9" x14ac:dyDescent="0.2">
      <c r="A5801" t="str">
        <f t="shared" si="337"/>
        <v>40878Haapiti6139PocilloporidaeDessous</v>
      </c>
      <c r="B5801" s="1">
        <v>40878</v>
      </c>
      <c r="C5801" t="s">
        <v>25</v>
      </c>
      <c r="D5801" s="19">
        <v>6</v>
      </c>
      <c r="E5801">
        <v>139</v>
      </c>
      <c r="F5801" t="s">
        <v>10</v>
      </c>
      <c r="G5801" t="s">
        <v>8</v>
      </c>
      <c r="H5801">
        <v>1</v>
      </c>
      <c r="I5801" t="s">
        <v>27</v>
      </c>
    </row>
    <row r="5802" spans="1:9" x14ac:dyDescent="0.2">
      <c r="A5802" t="str">
        <f t="shared" si="337"/>
        <v>40878Haapiti6140PocilloporidaeDessus</v>
      </c>
      <c r="B5802" s="1">
        <v>40878</v>
      </c>
      <c r="C5802" t="s">
        <v>25</v>
      </c>
      <c r="D5802" s="19">
        <v>6</v>
      </c>
      <c r="E5802">
        <v>140</v>
      </c>
      <c r="F5802" t="s">
        <v>10</v>
      </c>
      <c r="G5802" t="s">
        <v>11</v>
      </c>
      <c r="H5802">
        <v>2</v>
      </c>
      <c r="I5802" t="s">
        <v>27</v>
      </c>
    </row>
    <row r="5803" spans="1:9" x14ac:dyDescent="0.2">
      <c r="A5803" t="str">
        <f t="shared" si="337"/>
        <v>40878Haapiti12141Autres</v>
      </c>
      <c r="B5803" s="1">
        <v>40878</v>
      </c>
      <c r="C5803" t="s">
        <v>25</v>
      </c>
      <c r="D5803" s="19">
        <v>12</v>
      </c>
      <c r="E5803">
        <v>141</v>
      </c>
      <c r="F5803" t="s">
        <v>14</v>
      </c>
      <c r="H5803">
        <v>0</v>
      </c>
    </row>
    <row r="5804" spans="1:9" x14ac:dyDescent="0.2">
      <c r="A5804" t="str">
        <f t="shared" si="337"/>
        <v>40878Haapiti12142Autres</v>
      </c>
      <c r="B5804" s="1">
        <v>40878</v>
      </c>
      <c r="C5804" t="s">
        <v>25</v>
      </c>
      <c r="D5804" s="19">
        <v>12</v>
      </c>
      <c r="E5804">
        <v>142</v>
      </c>
      <c r="F5804" t="s">
        <v>14</v>
      </c>
      <c r="H5804">
        <v>0</v>
      </c>
    </row>
    <row r="5805" spans="1:9" x14ac:dyDescent="0.2">
      <c r="A5805" t="str">
        <f t="shared" si="337"/>
        <v>40878Haapiti12143Autres</v>
      </c>
      <c r="B5805" s="1">
        <v>40878</v>
      </c>
      <c r="C5805" t="s">
        <v>25</v>
      </c>
      <c r="D5805" s="19">
        <v>12</v>
      </c>
      <c r="E5805">
        <v>143</v>
      </c>
      <c r="F5805" t="s">
        <v>14</v>
      </c>
      <c r="H5805">
        <v>0</v>
      </c>
    </row>
    <row r="5806" spans="1:9" x14ac:dyDescent="0.2">
      <c r="A5806" t="str">
        <f t="shared" si="337"/>
        <v>40878Haapiti12144Autres</v>
      </c>
      <c r="B5806" s="1">
        <v>40878</v>
      </c>
      <c r="C5806" t="s">
        <v>25</v>
      </c>
      <c r="D5806" s="19">
        <v>12</v>
      </c>
      <c r="E5806">
        <v>144</v>
      </c>
      <c r="F5806" t="s">
        <v>14</v>
      </c>
      <c r="H5806">
        <v>0</v>
      </c>
    </row>
    <row r="5807" spans="1:9" x14ac:dyDescent="0.2">
      <c r="A5807" t="str">
        <f t="shared" si="337"/>
        <v>40878Haapiti12145Autres</v>
      </c>
      <c r="B5807" s="1">
        <v>40878</v>
      </c>
      <c r="C5807" t="s">
        <v>25</v>
      </c>
      <c r="D5807" s="19">
        <v>12</v>
      </c>
      <c r="E5807">
        <v>145</v>
      </c>
      <c r="F5807" t="s">
        <v>14</v>
      </c>
      <c r="H5807">
        <v>0</v>
      </c>
    </row>
    <row r="5808" spans="1:9" x14ac:dyDescent="0.2">
      <c r="A5808" t="str">
        <f t="shared" si="337"/>
        <v>40878Haapiti12146Autres</v>
      </c>
      <c r="B5808" s="1">
        <v>40878</v>
      </c>
      <c r="C5808" t="s">
        <v>25</v>
      </c>
      <c r="D5808" s="19">
        <v>12</v>
      </c>
      <c r="E5808">
        <v>146</v>
      </c>
      <c r="F5808" t="s">
        <v>14</v>
      </c>
      <c r="H5808">
        <v>0</v>
      </c>
    </row>
    <row r="5809" spans="1:9" x14ac:dyDescent="0.2">
      <c r="A5809" t="str">
        <f t="shared" si="337"/>
        <v>40878Haapiti12147Autres</v>
      </c>
      <c r="B5809" s="1">
        <v>40878</v>
      </c>
      <c r="C5809" t="s">
        <v>25</v>
      </c>
      <c r="D5809" s="19">
        <v>12</v>
      </c>
      <c r="E5809">
        <v>147</v>
      </c>
      <c r="F5809" t="s">
        <v>14</v>
      </c>
      <c r="H5809">
        <v>0</v>
      </c>
    </row>
    <row r="5810" spans="1:9" x14ac:dyDescent="0.2">
      <c r="A5810" t="str">
        <f t="shared" si="337"/>
        <v>40878Haapiti12148Autres</v>
      </c>
      <c r="B5810" s="1">
        <v>40878</v>
      </c>
      <c r="C5810" t="s">
        <v>25</v>
      </c>
      <c r="D5810" s="19">
        <v>12</v>
      </c>
      <c r="E5810">
        <v>148</v>
      </c>
      <c r="F5810" t="s">
        <v>14</v>
      </c>
      <c r="H5810">
        <v>0</v>
      </c>
    </row>
    <row r="5811" spans="1:9" x14ac:dyDescent="0.2">
      <c r="A5811" t="str">
        <f t="shared" si="337"/>
        <v>40878Haapiti12149CassésDessus</v>
      </c>
      <c r="B5811" s="1">
        <v>40878</v>
      </c>
      <c r="C5811" t="s">
        <v>25</v>
      </c>
      <c r="D5811" s="19">
        <v>12</v>
      </c>
      <c r="E5811">
        <v>149</v>
      </c>
      <c r="F5811" t="s">
        <v>12</v>
      </c>
      <c r="G5811" t="s">
        <v>11</v>
      </c>
      <c r="H5811">
        <v>1</v>
      </c>
      <c r="I5811" t="s">
        <v>27</v>
      </c>
    </row>
    <row r="5812" spans="1:9" x14ac:dyDescent="0.2">
      <c r="A5812" t="str">
        <f t="shared" si="337"/>
        <v>40878Haapiti12150Autres</v>
      </c>
      <c r="B5812" s="1">
        <v>40878</v>
      </c>
      <c r="C5812" t="s">
        <v>25</v>
      </c>
      <c r="D5812" s="19">
        <v>12</v>
      </c>
      <c r="E5812">
        <v>150</v>
      </c>
      <c r="F5812" t="s">
        <v>14</v>
      </c>
      <c r="H5812">
        <v>0</v>
      </c>
    </row>
    <row r="5813" spans="1:9" x14ac:dyDescent="0.2">
      <c r="A5813" t="str">
        <f t="shared" si="337"/>
        <v>40878Haapiti12151PocilloporidaeDessus</v>
      </c>
      <c r="B5813" s="1">
        <v>40878</v>
      </c>
      <c r="C5813" t="s">
        <v>25</v>
      </c>
      <c r="D5813" s="19">
        <v>12</v>
      </c>
      <c r="E5813">
        <v>151</v>
      </c>
      <c r="F5813" t="s">
        <v>10</v>
      </c>
      <c r="G5813" t="s">
        <v>11</v>
      </c>
      <c r="H5813">
        <v>1</v>
      </c>
      <c r="I5813" t="s">
        <v>27</v>
      </c>
    </row>
    <row r="5814" spans="1:9" x14ac:dyDescent="0.2">
      <c r="A5814" t="str">
        <f t="shared" si="337"/>
        <v>40878Haapiti12152PoritidaeDessus</v>
      </c>
      <c r="B5814" s="1">
        <v>40878</v>
      </c>
      <c r="C5814" t="s">
        <v>25</v>
      </c>
      <c r="D5814" s="19">
        <v>12</v>
      </c>
      <c r="E5814">
        <v>152</v>
      </c>
      <c r="F5814" t="s">
        <v>7</v>
      </c>
      <c r="G5814" t="s">
        <v>11</v>
      </c>
      <c r="H5814">
        <v>1</v>
      </c>
      <c r="I5814" t="s">
        <v>27</v>
      </c>
    </row>
    <row r="5815" spans="1:9" x14ac:dyDescent="0.2">
      <c r="A5815" t="str">
        <f t="shared" si="337"/>
        <v>40878Haapiti12153PoritidaeDessous</v>
      </c>
      <c r="B5815" s="1">
        <v>40878</v>
      </c>
      <c r="C5815" t="s">
        <v>25</v>
      </c>
      <c r="D5815" s="19">
        <v>12</v>
      </c>
      <c r="E5815">
        <v>153</v>
      </c>
      <c r="F5815" t="s">
        <v>7</v>
      </c>
      <c r="G5815" t="s">
        <v>8</v>
      </c>
      <c r="H5815">
        <v>1</v>
      </c>
      <c r="I5815" t="s">
        <v>27</v>
      </c>
    </row>
    <row r="5816" spans="1:9" x14ac:dyDescent="0.2">
      <c r="A5816" t="str">
        <f t="shared" si="337"/>
        <v>40878Haapiti12154Autres</v>
      </c>
      <c r="B5816" s="1">
        <v>40878</v>
      </c>
      <c r="C5816" t="s">
        <v>25</v>
      </c>
      <c r="D5816" s="19">
        <v>12</v>
      </c>
      <c r="E5816">
        <v>154</v>
      </c>
      <c r="F5816" t="s">
        <v>14</v>
      </c>
      <c r="H5816">
        <v>0</v>
      </c>
    </row>
    <row r="5817" spans="1:9" x14ac:dyDescent="0.2">
      <c r="A5817" t="str">
        <f t="shared" si="337"/>
        <v>40878Haapiti12155CassésDessus</v>
      </c>
      <c r="B5817" s="1">
        <v>40878</v>
      </c>
      <c r="C5817" t="s">
        <v>25</v>
      </c>
      <c r="D5817" s="19">
        <v>12</v>
      </c>
      <c r="E5817">
        <v>155</v>
      </c>
      <c r="F5817" t="s">
        <v>12</v>
      </c>
      <c r="G5817" t="s">
        <v>11</v>
      </c>
      <c r="H5817">
        <v>1</v>
      </c>
      <c r="I5817" t="s">
        <v>27</v>
      </c>
    </row>
    <row r="5818" spans="1:9" x14ac:dyDescent="0.2">
      <c r="A5818" t="str">
        <f t="shared" si="337"/>
        <v>40878Haapiti12156Autres</v>
      </c>
      <c r="B5818" s="1">
        <v>40878</v>
      </c>
      <c r="C5818" t="s">
        <v>25</v>
      </c>
      <c r="D5818" s="19">
        <v>12</v>
      </c>
      <c r="E5818">
        <v>156</v>
      </c>
      <c r="F5818" t="s">
        <v>14</v>
      </c>
      <c r="H5818">
        <v>0</v>
      </c>
    </row>
    <row r="5819" spans="1:9" x14ac:dyDescent="0.2">
      <c r="A5819" t="str">
        <f t="shared" si="337"/>
        <v>40878Haapiti12157CassésBords</v>
      </c>
      <c r="B5819" s="1">
        <v>40878</v>
      </c>
      <c r="C5819" t="s">
        <v>25</v>
      </c>
      <c r="D5819" s="19">
        <v>12</v>
      </c>
      <c r="E5819">
        <v>157</v>
      </c>
      <c r="F5819" t="s">
        <v>12</v>
      </c>
      <c r="G5819" t="s">
        <v>13</v>
      </c>
      <c r="H5819">
        <v>1</v>
      </c>
      <c r="I5819" t="s">
        <v>27</v>
      </c>
    </row>
    <row r="5820" spans="1:9" x14ac:dyDescent="0.2">
      <c r="A5820" t="str">
        <f t="shared" si="337"/>
        <v>40878Haapiti12157PoritidaeDessus</v>
      </c>
      <c r="B5820" s="1">
        <v>40878</v>
      </c>
      <c r="C5820" t="s">
        <v>25</v>
      </c>
      <c r="D5820" s="19">
        <v>12</v>
      </c>
      <c r="E5820">
        <v>157</v>
      </c>
      <c r="F5820" t="s">
        <v>7</v>
      </c>
      <c r="G5820" t="s">
        <v>11</v>
      </c>
      <c r="H5820">
        <v>2</v>
      </c>
      <c r="I5820" t="s">
        <v>27</v>
      </c>
    </row>
    <row r="5821" spans="1:9" x14ac:dyDescent="0.2">
      <c r="A5821" t="str">
        <f t="shared" si="337"/>
        <v>40878Haapiti12158Autres</v>
      </c>
      <c r="B5821" s="1">
        <v>40878</v>
      </c>
      <c r="C5821" t="s">
        <v>25</v>
      </c>
      <c r="D5821" s="19">
        <v>12</v>
      </c>
      <c r="E5821">
        <v>158</v>
      </c>
      <c r="F5821" t="s">
        <v>14</v>
      </c>
      <c r="H5821">
        <v>0</v>
      </c>
    </row>
    <row r="5822" spans="1:9" x14ac:dyDescent="0.2">
      <c r="A5822" t="str">
        <f t="shared" si="337"/>
        <v>40878Haapiti12159Autres</v>
      </c>
      <c r="B5822" s="1">
        <v>40878</v>
      </c>
      <c r="C5822" t="s">
        <v>25</v>
      </c>
      <c r="D5822" s="19">
        <v>12</v>
      </c>
      <c r="E5822">
        <v>159</v>
      </c>
      <c r="F5822" t="s">
        <v>14</v>
      </c>
      <c r="H5822">
        <v>0</v>
      </c>
    </row>
    <row r="5823" spans="1:9" x14ac:dyDescent="0.2">
      <c r="A5823" t="str">
        <f t="shared" ref="A5823:A5886" si="338">B5823 &amp; C5823&amp; D5823&amp; E5823 &amp; F5823 &amp;G5823</f>
        <v>40878Haapiti12160Autres</v>
      </c>
      <c r="B5823" s="1">
        <v>40878</v>
      </c>
      <c r="C5823" t="s">
        <v>25</v>
      </c>
      <c r="D5823" s="19">
        <v>12</v>
      </c>
      <c r="E5823">
        <v>160</v>
      </c>
      <c r="F5823" t="s">
        <v>14</v>
      </c>
      <c r="H5823">
        <v>0</v>
      </c>
    </row>
    <row r="5824" spans="1:9" x14ac:dyDescent="0.2">
      <c r="A5824" t="str">
        <f t="shared" si="338"/>
        <v>40878Haapiti18161Autres</v>
      </c>
      <c r="B5824" s="1">
        <v>40878</v>
      </c>
      <c r="C5824" t="s">
        <v>25</v>
      </c>
      <c r="D5824" s="19">
        <v>18</v>
      </c>
      <c r="E5824">
        <v>161</v>
      </c>
      <c r="F5824" t="s">
        <v>14</v>
      </c>
      <c r="H5824">
        <v>0</v>
      </c>
    </row>
    <row r="5825" spans="1:9" x14ac:dyDescent="0.2">
      <c r="A5825" t="str">
        <f t="shared" si="338"/>
        <v>40878Haapiti18162Autres</v>
      </c>
      <c r="B5825" s="1">
        <v>40878</v>
      </c>
      <c r="C5825" t="s">
        <v>25</v>
      </c>
      <c r="D5825" s="19">
        <v>18</v>
      </c>
      <c r="E5825">
        <v>162</v>
      </c>
      <c r="F5825" t="s">
        <v>14</v>
      </c>
      <c r="H5825">
        <v>0</v>
      </c>
    </row>
    <row r="5826" spans="1:9" x14ac:dyDescent="0.2">
      <c r="A5826" t="str">
        <f t="shared" si="338"/>
        <v>40878Haapiti18163Autres</v>
      </c>
      <c r="B5826" s="1">
        <v>40878</v>
      </c>
      <c r="C5826" t="s">
        <v>25</v>
      </c>
      <c r="D5826" s="19">
        <v>18</v>
      </c>
      <c r="E5826">
        <v>163</v>
      </c>
      <c r="F5826" t="s">
        <v>14</v>
      </c>
      <c r="H5826">
        <v>0</v>
      </c>
    </row>
    <row r="5827" spans="1:9" x14ac:dyDescent="0.2">
      <c r="A5827" t="str">
        <f t="shared" si="338"/>
        <v>40878Haapiti18164Autres</v>
      </c>
      <c r="B5827" s="1">
        <v>40878</v>
      </c>
      <c r="C5827" t="s">
        <v>25</v>
      </c>
      <c r="D5827" s="19">
        <v>18</v>
      </c>
      <c r="E5827">
        <v>164</v>
      </c>
      <c r="F5827" t="s">
        <v>14</v>
      </c>
      <c r="H5827">
        <v>0</v>
      </c>
    </row>
    <row r="5828" spans="1:9" x14ac:dyDescent="0.2">
      <c r="A5828" t="str">
        <f t="shared" si="338"/>
        <v>40878Haapiti18165Autres</v>
      </c>
      <c r="B5828" s="1">
        <v>40878</v>
      </c>
      <c r="C5828" t="s">
        <v>25</v>
      </c>
      <c r="D5828" s="19">
        <v>18</v>
      </c>
      <c r="E5828">
        <v>165</v>
      </c>
      <c r="F5828" t="s">
        <v>14</v>
      </c>
      <c r="H5828">
        <v>0</v>
      </c>
    </row>
    <row r="5829" spans="1:9" x14ac:dyDescent="0.2">
      <c r="A5829" t="str">
        <f t="shared" si="338"/>
        <v>40878Haapiti18166Autres</v>
      </c>
      <c r="B5829" s="1">
        <v>40878</v>
      </c>
      <c r="C5829" t="s">
        <v>25</v>
      </c>
      <c r="D5829" s="19">
        <v>18</v>
      </c>
      <c r="E5829">
        <v>166</v>
      </c>
      <c r="F5829" t="s">
        <v>14</v>
      </c>
      <c r="H5829">
        <v>0</v>
      </c>
    </row>
    <row r="5830" spans="1:9" x14ac:dyDescent="0.2">
      <c r="A5830" t="str">
        <f t="shared" si="338"/>
        <v>40878Haapiti18167Autres</v>
      </c>
      <c r="B5830" s="1">
        <v>40878</v>
      </c>
      <c r="C5830" t="s">
        <v>25</v>
      </c>
      <c r="D5830" s="19">
        <v>18</v>
      </c>
      <c r="E5830">
        <v>167</v>
      </c>
      <c r="F5830" t="s">
        <v>14</v>
      </c>
      <c r="H5830">
        <v>0</v>
      </c>
    </row>
    <row r="5831" spans="1:9" x14ac:dyDescent="0.2">
      <c r="A5831" t="str">
        <f t="shared" si="338"/>
        <v>40878Haapiti18168Autres</v>
      </c>
      <c r="B5831" s="1">
        <v>40878</v>
      </c>
      <c r="C5831" t="s">
        <v>25</v>
      </c>
      <c r="D5831" s="19">
        <v>18</v>
      </c>
      <c r="E5831">
        <v>168</v>
      </c>
      <c r="F5831" t="s">
        <v>14</v>
      </c>
      <c r="H5831">
        <v>0</v>
      </c>
    </row>
    <row r="5832" spans="1:9" x14ac:dyDescent="0.2">
      <c r="A5832" t="str">
        <f t="shared" si="338"/>
        <v>40878Haapiti18169Autres</v>
      </c>
      <c r="B5832" s="1">
        <v>40878</v>
      </c>
      <c r="C5832" t="s">
        <v>25</v>
      </c>
      <c r="D5832" s="19">
        <v>18</v>
      </c>
      <c r="E5832">
        <v>169</v>
      </c>
      <c r="F5832" t="s">
        <v>14</v>
      </c>
      <c r="H5832">
        <v>0</v>
      </c>
    </row>
    <row r="5833" spans="1:9" x14ac:dyDescent="0.2">
      <c r="A5833" t="str">
        <f t="shared" si="338"/>
        <v>40878Haapiti18170Autres</v>
      </c>
      <c r="B5833" s="1">
        <v>40878</v>
      </c>
      <c r="C5833" t="s">
        <v>25</v>
      </c>
      <c r="D5833" s="19">
        <v>18</v>
      </c>
      <c r="E5833">
        <v>170</v>
      </c>
      <c r="F5833" t="s">
        <v>14</v>
      </c>
      <c r="H5833">
        <v>0</v>
      </c>
    </row>
    <row r="5834" spans="1:9" x14ac:dyDescent="0.2">
      <c r="A5834" t="str">
        <f t="shared" si="338"/>
        <v>40878Haapiti18171Autres</v>
      </c>
      <c r="B5834" s="1">
        <v>40878</v>
      </c>
      <c r="C5834" t="s">
        <v>25</v>
      </c>
      <c r="D5834" s="19">
        <v>18</v>
      </c>
      <c r="E5834">
        <v>171</v>
      </c>
      <c r="F5834" t="s">
        <v>14</v>
      </c>
      <c r="H5834">
        <v>0</v>
      </c>
    </row>
    <row r="5835" spans="1:9" x14ac:dyDescent="0.2">
      <c r="A5835" t="str">
        <f t="shared" si="338"/>
        <v>40878Haapiti18172PocilloporidaeBords</v>
      </c>
      <c r="B5835" s="1">
        <v>40878</v>
      </c>
      <c r="C5835" t="s">
        <v>25</v>
      </c>
      <c r="D5835" s="19">
        <v>18</v>
      </c>
      <c r="E5835">
        <v>172</v>
      </c>
      <c r="F5835" t="s">
        <v>10</v>
      </c>
      <c r="G5835" t="s">
        <v>13</v>
      </c>
      <c r="H5835">
        <v>1</v>
      </c>
      <c r="I5835" t="s">
        <v>27</v>
      </c>
    </row>
    <row r="5836" spans="1:9" x14ac:dyDescent="0.2">
      <c r="A5836" t="str">
        <f t="shared" si="338"/>
        <v>40878Haapiti18173Autres</v>
      </c>
      <c r="B5836" s="1">
        <v>40878</v>
      </c>
      <c r="C5836" t="s">
        <v>25</v>
      </c>
      <c r="D5836" s="19">
        <v>18</v>
      </c>
      <c r="E5836">
        <v>173</v>
      </c>
      <c r="F5836" t="s">
        <v>14</v>
      </c>
      <c r="H5836">
        <v>0</v>
      </c>
    </row>
    <row r="5837" spans="1:9" x14ac:dyDescent="0.2">
      <c r="A5837" t="str">
        <f t="shared" si="338"/>
        <v>40878Haapiti18174Autres</v>
      </c>
      <c r="B5837" s="1">
        <v>40878</v>
      </c>
      <c r="C5837" t="s">
        <v>25</v>
      </c>
      <c r="D5837" s="19">
        <v>18</v>
      </c>
      <c r="E5837">
        <v>174</v>
      </c>
      <c r="F5837" t="s">
        <v>14</v>
      </c>
      <c r="H5837">
        <v>0</v>
      </c>
    </row>
    <row r="5838" spans="1:9" x14ac:dyDescent="0.2">
      <c r="A5838" t="str">
        <f t="shared" si="338"/>
        <v>40878Haapiti18175PoritidaeDessous</v>
      </c>
      <c r="B5838" s="1">
        <v>40878</v>
      </c>
      <c r="C5838" t="s">
        <v>25</v>
      </c>
      <c r="D5838" s="19">
        <v>18</v>
      </c>
      <c r="E5838">
        <v>175</v>
      </c>
      <c r="F5838" t="s">
        <v>7</v>
      </c>
      <c r="G5838" t="s">
        <v>8</v>
      </c>
      <c r="H5838">
        <v>1</v>
      </c>
      <c r="I5838" t="s">
        <v>27</v>
      </c>
    </row>
    <row r="5839" spans="1:9" x14ac:dyDescent="0.2">
      <c r="A5839" t="str">
        <f t="shared" si="338"/>
        <v>40878Haapiti18176CassésDessous</v>
      </c>
      <c r="B5839" s="1">
        <v>40878</v>
      </c>
      <c r="C5839" t="s">
        <v>25</v>
      </c>
      <c r="D5839" s="19">
        <v>18</v>
      </c>
      <c r="E5839">
        <v>176</v>
      </c>
      <c r="F5839" t="s">
        <v>12</v>
      </c>
      <c r="G5839" t="s">
        <v>8</v>
      </c>
      <c r="H5839">
        <v>1</v>
      </c>
      <c r="I5839" t="s">
        <v>27</v>
      </c>
    </row>
    <row r="5840" spans="1:9" x14ac:dyDescent="0.2">
      <c r="A5840" t="str">
        <f t="shared" si="338"/>
        <v>40878Haapiti18177Autres</v>
      </c>
      <c r="B5840" s="1">
        <v>40878</v>
      </c>
      <c r="C5840" t="s">
        <v>25</v>
      </c>
      <c r="D5840" s="19">
        <v>18</v>
      </c>
      <c r="E5840">
        <v>177</v>
      </c>
      <c r="F5840" t="s">
        <v>14</v>
      </c>
      <c r="H5840">
        <v>0</v>
      </c>
    </row>
    <row r="5841" spans="1:9" x14ac:dyDescent="0.2">
      <c r="A5841" t="str">
        <f t="shared" si="338"/>
        <v>40878Haapiti18178PocilloporidaeBords</v>
      </c>
      <c r="B5841" s="1">
        <v>40878</v>
      </c>
      <c r="C5841" t="s">
        <v>25</v>
      </c>
      <c r="D5841" s="19">
        <v>18</v>
      </c>
      <c r="E5841">
        <v>178</v>
      </c>
      <c r="F5841" t="s">
        <v>10</v>
      </c>
      <c r="G5841" t="s">
        <v>13</v>
      </c>
      <c r="H5841">
        <v>1</v>
      </c>
      <c r="I5841" t="s">
        <v>27</v>
      </c>
    </row>
    <row r="5842" spans="1:9" x14ac:dyDescent="0.2">
      <c r="A5842" t="str">
        <f t="shared" si="338"/>
        <v>40878Haapiti18179Autres</v>
      </c>
      <c r="B5842" s="1">
        <v>40878</v>
      </c>
      <c r="C5842" t="s">
        <v>25</v>
      </c>
      <c r="D5842" s="19">
        <v>18</v>
      </c>
      <c r="E5842">
        <v>179</v>
      </c>
      <c r="F5842" t="s">
        <v>14</v>
      </c>
      <c r="H5842">
        <v>0</v>
      </c>
    </row>
    <row r="5843" spans="1:9" x14ac:dyDescent="0.2">
      <c r="A5843" t="str">
        <f t="shared" si="338"/>
        <v>40878Haapiti18180Autres</v>
      </c>
      <c r="B5843" s="1">
        <v>40878</v>
      </c>
      <c r="C5843" t="s">
        <v>25</v>
      </c>
      <c r="D5843" s="19">
        <v>18</v>
      </c>
      <c r="E5843">
        <v>180</v>
      </c>
      <c r="F5843" t="s">
        <v>14</v>
      </c>
      <c r="H5843">
        <v>0</v>
      </c>
    </row>
    <row r="5844" spans="1:9" x14ac:dyDescent="0.2">
      <c r="A5844" t="str">
        <f t="shared" si="338"/>
        <v>41153Vaipahu61Autres</v>
      </c>
      <c r="B5844" s="1">
        <v>41153</v>
      </c>
      <c r="C5844" t="s">
        <v>23</v>
      </c>
      <c r="D5844" s="19">
        <v>6</v>
      </c>
      <c r="E5844">
        <v>1</v>
      </c>
      <c r="F5844" t="s">
        <v>14</v>
      </c>
      <c r="H5844">
        <v>0</v>
      </c>
    </row>
    <row r="5845" spans="1:9" x14ac:dyDescent="0.2">
      <c r="A5845" t="str">
        <f t="shared" si="338"/>
        <v>41153Vaipahu62Autres</v>
      </c>
      <c r="B5845" s="1">
        <v>41153</v>
      </c>
      <c r="C5845" t="s">
        <v>23</v>
      </c>
      <c r="D5845" s="19">
        <v>6</v>
      </c>
      <c r="E5845">
        <v>2</v>
      </c>
      <c r="F5845" t="s">
        <v>14</v>
      </c>
      <c r="H5845">
        <v>0</v>
      </c>
    </row>
    <row r="5846" spans="1:9" x14ac:dyDescent="0.2">
      <c r="A5846" t="str">
        <f t="shared" si="338"/>
        <v>41153Vaipahu63Autres</v>
      </c>
      <c r="B5846" s="1">
        <v>41153</v>
      </c>
      <c r="C5846" t="s">
        <v>23</v>
      </c>
      <c r="D5846" s="19">
        <v>6</v>
      </c>
      <c r="E5846">
        <v>3</v>
      </c>
      <c r="F5846" t="s">
        <v>14</v>
      </c>
      <c r="H5846">
        <v>0</v>
      </c>
    </row>
    <row r="5847" spans="1:9" x14ac:dyDescent="0.2">
      <c r="A5847" t="str">
        <f t="shared" si="338"/>
        <v>41153Vaipahu64Autres</v>
      </c>
      <c r="B5847" s="1">
        <v>41153</v>
      </c>
      <c r="C5847" t="s">
        <v>23</v>
      </c>
      <c r="D5847" s="19">
        <v>6</v>
      </c>
      <c r="E5847">
        <v>4</v>
      </c>
      <c r="F5847" t="s">
        <v>14</v>
      </c>
      <c r="H5847">
        <v>0</v>
      </c>
    </row>
    <row r="5848" spans="1:9" x14ac:dyDescent="0.2">
      <c r="A5848" t="str">
        <f t="shared" si="338"/>
        <v>41153Vaipahu65Autres</v>
      </c>
      <c r="B5848" s="1">
        <v>41153</v>
      </c>
      <c r="C5848" t="s">
        <v>23</v>
      </c>
      <c r="D5848" s="19">
        <v>6</v>
      </c>
      <c r="E5848">
        <v>5</v>
      </c>
      <c r="F5848" t="s">
        <v>14</v>
      </c>
      <c r="H5848">
        <v>0</v>
      </c>
    </row>
    <row r="5849" spans="1:9" x14ac:dyDescent="0.2">
      <c r="A5849" t="str">
        <f t="shared" si="338"/>
        <v>41153Vaipahu66Autres</v>
      </c>
      <c r="B5849" s="1">
        <v>41153</v>
      </c>
      <c r="C5849" t="s">
        <v>23</v>
      </c>
      <c r="D5849" s="19">
        <v>6</v>
      </c>
      <c r="E5849">
        <v>6</v>
      </c>
      <c r="F5849" t="s">
        <v>14</v>
      </c>
      <c r="H5849">
        <v>0</v>
      </c>
    </row>
    <row r="5850" spans="1:9" x14ac:dyDescent="0.2">
      <c r="A5850" t="str">
        <f t="shared" si="338"/>
        <v>41153Vaipahu67Autres</v>
      </c>
      <c r="B5850" s="1">
        <v>41153</v>
      </c>
      <c r="C5850" t="s">
        <v>23</v>
      </c>
      <c r="D5850" s="19">
        <v>6</v>
      </c>
      <c r="E5850">
        <v>7</v>
      </c>
      <c r="F5850" t="s">
        <v>14</v>
      </c>
      <c r="H5850">
        <v>0</v>
      </c>
    </row>
    <row r="5851" spans="1:9" x14ac:dyDescent="0.2">
      <c r="A5851" t="str">
        <f t="shared" si="338"/>
        <v>41153Vaipahu68Autres</v>
      </c>
      <c r="B5851" s="1">
        <v>41153</v>
      </c>
      <c r="C5851" t="s">
        <v>23</v>
      </c>
      <c r="D5851" s="19">
        <v>6</v>
      </c>
      <c r="E5851">
        <v>8</v>
      </c>
      <c r="F5851" t="s">
        <v>14</v>
      </c>
      <c r="H5851">
        <v>0</v>
      </c>
    </row>
    <row r="5852" spans="1:9" x14ac:dyDescent="0.2">
      <c r="A5852" t="str">
        <f t="shared" si="338"/>
        <v>41153Vaipahu69Autres</v>
      </c>
      <c r="B5852" s="1">
        <v>41153</v>
      </c>
      <c r="C5852" t="s">
        <v>23</v>
      </c>
      <c r="D5852" s="19">
        <v>6</v>
      </c>
      <c r="E5852">
        <v>9</v>
      </c>
      <c r="F5852" t="s">
        <v>14</v>
      </c>
      <c r="H5852">
        <v>0</v>
      </c>
    </row>
    <row r="5853" spans="1:9" x14ac:dyDescent="0.2">
      <c r="A5853" t="str">
        <f t="shared" si="338"/>
        <v>41153Vaipahu610Autres</v>
      </c>
      <c r="B5853" s="1">
        <v>41153</v>
      </c>
      <c r="C5853" t="s">
        <v>23</v>
      </c>
      <c r="D5853" s="19">
        <v>6</v>
      </c>
      <c r="E5853">
        <v>10</v>
      </c>
      <c r="F5853" t="s">
        <v>14</v>
      </c>
      <c r="H5853">
        <v>0</v>
      </c>
    </row>
    <row r="5854" spans="1:9" x14ac:dyDescent="0.2">
      <c r="A5854" t="str">
        <f t="shared" si="338"/>
        <v>41153Vaipahu611Autres</v>
      </c>
      <c r="B5854" s="1">
        <v>41153</v>
      </c>
      <c r="C5854" t="s">
        <v>23</v>
      </c>
      <c r="D5854" s="19">
        <v>6</v>
      </c>
      <c r="E5854">
        <v>11</v>
      </c>
      <c r="F5854" t="s">
        <v>14</v>
      </c>
      <c r="H5854">
        <v>0</v>
      </c>
    </row>
    <row r="5855" spans="1:9" x14ac:dyDescent="0.2">
      <c r="A5855" t="str">
        <f t="shared" si="338"/>
        <v>41153Vaipahu612Autres</v>
      </c>
      <c r="B5855" s="1">
        <v>41153</v>
      </c>
      <c r="C5855" t="s">
        <v>23</v>
      </c>
      <c r="D5855" s="19">
        <v>6</v>
      </c>
      <c r="E5855">
        <v>12</v>
      </c>
      <c r="F5855" t="s">
        <v>14</v>
      </c>
      <c r="H5855">
        <v>0</v>
      </c>
    </row>
    <row r="5856" spans="1:9" x14ac:dyDescent="0.2">
      <c r="A5856" t="str">
        <f t="shared" si="338"/>
        <v>41153Vaipahu613Autres</v>
      </c>
      <c r="B5856" s="1">
        <v>41153</v>
      </c>
      <c r="C5856" t="s">
        <v>23</v>
      </c>
      <c r="D5856" s="19">
        <v>6</v>
      </c>
      <c r="E5856">
        <v>13</v>
      </c>
      <c r="F5856" t="s">
        <v>14</v>
      </c>
      <c r="H5856">
        <v>0</v>
      </c>
    </row>
    <row r="5857" spans="1:8" x14ac:dyDescent="0.2">
      <c r="A5857" t="str">
        <f t="shared" si="338"/>
        <v>41153Vaipahu614Autres</v>
      </c>
      <c r="B5857" s="1">
        <v>41153</v>
      </c>
      <c r="C5857" t="s">
        <v>23</v>
      </c>
      <c r="D5857" s="19">
        <v>6</v>
      </c>
      <c r="E5857">
        <v>14</v>
      </c>
      <c r="F5857" t="s">
        <v>14</v>
      </c>
      <c r="H5857">
        <v>0</v>
      </c>
    </row>
    <row r="5858" spans="1:8" x14ac:dyDescent="0.2">
      <c r="A5858" t="str">
        <f t="shared" si="338"/>
        <v>41153Vaipahu615Autres</v>
      </c>
      <c r="B5858" s="1">
        <v>41153</v>
      </c>
      <c r="C5858" t="s">
        <v>23</v>
      </c>
      <c r="D5858" s="19">
        <v>6</v>
      </c>
      <c r="E5858">
        <v>15</v>
      </c>
      <c r="F5858" t="s">
        <v>14</v>
      </c>
      <c r="H5858">
        <v>0</v>
      </c>
    </row>
    <row r="5859" spans="1:8" x14ac:dyDescent="0.2">
      <c r="A5859" t="str">
        <f t="shared" si="338"/>
        <v>41153Vaipahu616Autres</v>
      </c>
      <c r="B5859" s="1">
        <v>41153</v>
      </c>
      <c r="C5859" t="s">
        <v>23</v>
      </c>
      <c r="D5859" s="19">
        <v>6</v>
      </c>
      <c r="E5859">
        <v>16</v>
      </c>
      <c r="F5859" t="s">
        <v>14</v>
      </c>
      <c r="H5859">
        <v>0</v>
      </c>
    </row>
    <row r="5860" spans="1:8" x14ac:dyDescent="0.2">
      <c r="A5860" t="str">
        <f t="shared" si="338"/>
        <v>41153Vaipahu617Autres</v>
      </c>
      <c r="B5860" s="1">
        <v>41153</v>
      </c>
      <c r="C5860" t="s">
        <v>23</v>
      </c>
      <c r="D5860" s="19">
        <v>6</v>
      </c>
      <c r="E5860">
        <v>17</v>
      </c>
      <c r="F5860" t="s">
        <v>14</v>
      </c>
      <c r="H5860">
        <v>0</v>
      </c>
    </row>
    <row r="5861" spans="1:8" x14ac:dyDescent="0.2">
      <c r="A5861" t="str">
        <f t="shared" si="338"/>
        <v>41153Vaipahu618Autres</v>
      </c>
      <c r="B5861" s="1">
        <v>41153</v>
      </c>
      <c r="C5861" t="s">
        <v>23</v>
      </c>
      <c r="D5861" s="19">
        <v>6</v>
      </c>
      <c r="E5861">
        <v>18</v>
      </c>
      <c r="F5861" t="s">
        <v>14</v>
      </c>
      <c r="H5861">
        <v>0</v>
      </c>
    </row>
    <row r="5862" spans="1:8" x14ac:dyDescent="0.2">
      <c r="A5862" t="str">
        <f t="shared" si="338"/>
        <v>41153Vaipahu619Autres</v>
      </c>
      <c r="B5862" s="1">
        <v>41153</v>
      </c>
      <c r="C5862" t="s">
        <v>23</v>
      </c>
      <c r="D5862" s="19">
        <v>6</v>
      </c>
      <c r="E5862">
        <v>19</v>
      </c>
      <c r="F5862" t="s">
        <v>14</v>
      </c>
      <c r="H5862">
        <v>0</v>
      </c>
    </row>
    <row r="5863" spans="1:8" x14ac:dyDescent="0.2">
      <c r="A5863" t="str">
        <f t="shared" si="338"/>
        <v>41153Vaipahu620Autres</v>
      </c>
      <c r="B5863" s="1">
        <v>41153</v>
      </c>
      <c r="C5863" t="s">
        <v>23</v>
      </c>
      <c r="D5863" s="19">
        <v>6</v>
      </c>
      <c r="E5863">
        <v>20</v>
      </c>
      <c r="F5863" t="s">
        <v>14</v>
      </c>
      <c r="H5863">
        <v>0</v>
      </c>
    </row>
    <row r="5864" spans="1:8" x14ac:dyDescent="0.2">
      <c r="A5864" t="str">
        <f t="shared" si="338"/>
        <v>41153Vaipahu1221Autres</v>
      </c>
      <c r="B5864" s="1">
        <v>41153</v>
      </c>
      <c r="C5864" t="s">
        <v>23</v>
      </c>
      <c r="D5864" s="19">
        <v>12</v>
      </c>
      <c r="E5864">
        <v>21</v>
      </c>
      <c r="F5864" t="s">
        <v>14</v>
      </c>
      <c r="H5864">
        <v>0</v>
      </c>
    </row>
    <row r="5865" spans="1:8" x14ac:dyDescent="0.2">
      <c r="A5865" t="str">
        <f t="shared" si="338"/>
        <v>41153Vaipahu1222Autres</v>
      </c>
      <c r="B5865" s="1">
        <v>41153</v>
      </c>
      <c r="C5865" t="s">
        <v>23</v>
      </c>
      <c r="D5865" s="19">
        <v>12</v>
      </c>
      <c r="E5865">
        <v>22</v>
      </c>
      <c r="F5865" t="s">
        <v>14</v>
      </c>
      <c r="H5865">
        <v>0</v>
      </c>
    </row>
    <row r="5866" spans="1:8" x14ac:dyDescent="0.2">
      <c r="A5866" t="str">
        <f t="shared" si="338"/>
        <v>41153Vaipahu1223Autres</v>
      </c>
      <c r="B5866" s="1">
        <v>41153</v>
      </c>
      <c r="C5866" t="s">
        <v>23</v>
      </c>
      <c r="D5866" s="19">
        <v>12</v>
      </c>
      <c r="E5866">
        <v>23</v>
      </c>
      <c r="F5866" t="s">
        <v>14</v>
      </c>
      <c r="H5866">
        <v>0</v>
      </c>
    </row>
    <row r="5867" spans="1:8" x14ac:dyDescent="0.2">
      <c r="A5867" t="str">
        <f t="shared" si="338"/>
        <v>41153Vaipahu1224Autres</v>
      </c>
      <c r="B5867" s="1">
        <v>41153</v>
      </c>
      <c r="C5867" t="s">
        <v>23</v>
      </c>
      <c r="D5867" s="19">
        <v>12</v>
      </c>
      <c r="E5867">
        <v>24</v>
      </c>
      <c r="F5867" t="s">
        <v>14</v>
      </c>
      <c r="H5867">
        <v>0</v>
      </c>
    </row>
    <row r="5868" spans="1:8" x14ac:dyDescent="0.2">
      <c r="A5868" t="str">
        <f t="shared" si="338"/>
        <v>41153Vaipahu1225Autres</v>
      </c>
      <c r="B5868" s="1">
        <v>41153</v>
      </c>
      <c r="C5868" t="s">
        <v>23</v>
      </c>
      <c r="D5868" s="19">
        <v>12</v>
      </c>
      <c r="E5868">
        <v>25</v>
      </c>
      <c r="F5868" t="s">
        <v>14</v>
      </c>
      <c r="H5868">
        <v>0</v>
      </c>
    </row>
    <row r="5869" spans="1:8" x14ac:dyDescent="0.2">
      <c r="A5869" t="str">
        <f t="shared" si="338"/>
        <v>41153Vaipahu1226Autres</v>
      </c>
      <c r="B5869" s="1">
        <v>41153</v>
      </c>
      <c r="C5869" t="s">
        <v>23</v>
      </c>
      <c r="D5869" s="19">
        <v>12</v>
      </c>
      <c r="E5869">
        <v>26</v>
      </c>
      <c r="F5869" t="s">
        <v>14</v>
      </c>
      <c r="H5869">
        <v>0</v>
      </c>
    </row>
    <row r="5870" spans="1:8" x14ac:dyDescent="0.2">
      <c r="A5870" t="str">
        <f t="shared" si="338"/>
        <v>41153Vaipahu1227Autres</v>
      </c>
      <c r="B5870" s="1">
        <v>41153</v>
      </c>
      <c r="C5870" t="s">
        <v>23</v>
      </c>
      <c r="D5870" s="19">
        <v>12</v>
      </c>
      <c r="E5870">
        <v>27</v>
      </c>
      <c r="F5870" t="s">
        <v>14</v>
      </c>
      <c r="H5870">
        <v>0</v>
      </c>
    </row>
    <row r="5871" spans="1:8" x14ac:dyDescent="0.2">
      <c r="A5871" t="str">
        <f t="shared" si="338"/>
        <v>41153Vaipahu1228Autres</v>
      </c>
      <c r="B5871" s="1">
        <v>41153</v>
      </c>
      <c r="C5871" t="s">
        <v>23</v>
      </c>
      <c r="D5871" s="19">
        <v>12</v>
      </c>
      <c r="E5871">
        <v>28</v>
      </c>
      <c r="F5871" t="s">
        <v>14</v>
      </c>
      <c r="H5871">
        <v>0</v>
      </c>
    </row>
    <row r="5872" spans="1:8" x14ac:dyDescent="0.2">
      <c r="A5872" t="str">
        <f t="shared" si="338"/>
        <v>41153Vaipahu1229Autres</v>
      </c>
      <c r="B5872" s="1">
        <v>41153</v>
      </c>
      <c r="C5872" t="s">
        <v>23</v>
      </c>
      <c r="D5872" s="19">
        <v>12</v>
      </c>
      <c r="E5872">
        <v>29</v>
      </c>
      <c r="F5872" t="s">
        <v>14</v>
      </c>
      <c r="H5872">
        <v>0</v>
      </c>
    </row>
    <row r="5873" spans="1:9" x14ac:dyDescent="0.2">
      <c r="A5873" t="str">
        <f t="shared" si="338"/>
        <v>41153Vaipahu1230AcroporidaeDessous</v>
      </c>
      <c r="B5873" s="1">
        <v>41153</v>
      </c>
      <c r="C5873" t="s">
        <v>23</v>
      </c>
      <c r="D5873" s="19">
        <v>12</v>
      </c>
      <c r="E5873">
        <v>30</v>
      </c>
      <c r="F5873" t="s">
        <v>17</v>
      </c>
      <c r="G5873" t="s">
        <v>8</v>
      </c>
      <c r="H5873">
        <v>1</v>
      </c>
      <c r="I5873" t="s">
        <v>27</v>
      </c>
    </row>
    <row r="5874" spans="1:9" x14ac:dyDescent="0.2">
      <c r="A5874" t="str">
        <f t="shared" si="338"/>
        <v>41153Vaipahu1231CassésDessus</v>
      </c>
      <c r="B5874" s="1">
        <v>41153</v>
      </c>
      <c r="C5874" t="s">
        <v>23</v>
      </c>
      <c r="D5874" s="19">
        <v>12</v>
      </c>
      <c r="E5874">
        <v>31</v>
      </c>
      <c r="F5874" t="s">
        <v>12</v>
      </c>
      <c r="G5874" t="s">
        <v>11</v>
      </c>
      <c r="H5874">
        <v>1</v>
      </c>
      <c r="I5874" t="s">
        <v>27</v>
      </c>
    </row>
    <row r="5875" spans="1:9" x14ac:dyDescent="0.2">
      <c r="A5875" t="str">
        <f t="shared" si="338"/>
        <v>41153Vaipahu1232AcroporidaeDessus</v>
      </c>
      <c r="B5875" s="1">
        <v>41153</v>
      </c>
      <c r="C5875" t="s">
        <v>23</v>
      </c>
      <c r="D5875" s="19">
        <v>12</v>
      </c>
      <c r="E5875">
        <v>32</v>
      </c>
      <c r="F5875" t="s">
        <v>17</v>
      </c>
      <c r="G5875" t="s">
        <v>11</v>
      </c>
      <c r="H5875">
        <v>1</v>
      </c>
      <c r="I5875" t="s">
        <v>27</v>
      </c>
    </row>
    <row r="5876" spans="1:9" x14ac:dyDescent="0.2">
      <c r="A5876" t="str">
        <f t="shared" si="338"/>
        <v>41153Vaipahu1233Autres</v>
      </c>
      <c r="B5876" s="1">
        <v>41153</v>
      </c>
      <c r="C5876" t="s">
        <v>23</v>
      </c>
      <c r="D5876" s="19">
        <v>12</v>
      </c>
      <c r="E5876">
        <v>33</v>
      </c>
      <c r="F5876" t="s">
        <v>14</v>
      </c>
      <c r="H5876">
        <v>0</v>
      </c>
    </row>
    <row r="5877" spans="1:9" x14ac:dyDescent="0.2">
      <c r="A5877" t="str">
        <f t="shared" si="338"/>
        <v>41153Vaipahu1234Autres</v>
      </c>
      <c r="B5877" s="1">
        <v>41153</v>
      </c>
      <c r="C5877" t="s">
        <v>23</v>
      </c>
      <c r="D5877" s="19">
        <v>12</v>
      </c>
      <c r="E5877">
        <v>34</v>
      </c>
      <c r="F5877" t="s">
        <v>14</v>
      </c>
      <c r="H5877">
        <v>0</v>
      </c>
    </row>
    <row r="5878" spans="1:9" x14ac:dyDescent="0.2">
      <c r="A5878" t="str">
        <f t="shared" si="338"/>
        <v>41153Vaipahu1235Autres</v>
      </c>
      <c r="B5878" s="1">
        <v>41153</v>
      </c>
      <c r="C5878" t="s">
        <v>23</v>
      </c>
      <c r="D5878" s="19">
        <v>12</v>
      </c>
      <c r="E5878">
        <v>35</v>
      </c>
      <c r="F5878" t="s">
        <v>14</v>
      </c>
      <c r="H5878">
        <v>0</v>
      </c>
    </row>
    <row r="5879" spans="1:9" x14ac:dyDescent="0.2">
      <c r="A5879" t="str">
        <f t="shared" si="338"/>
        <v>41153Vaipahu1236Autres</v>
      </c>
      <c r="B5879" s="1">
        <v>41153</v>
      </c>
      <c r="C5879" t="s">
        <v>23</v>
      </c>
      <c r="D5879" s="19">
        <v>12</v>
      </c>
      <c r="E5879">
        <v>36</v>
      </c>
      <c r="F5879" t="s">
        <v>14</v>
      </c>
      <c r="H5879">
        <v>0</v>
      </c>
    </row>
    <row r="5880" spans="1:9" x14ac:dyDescent="0.2">
      <c r="A5880" t="str">
        <f t="shared" si="338"/>
        <v>41153Vaipahu1237AcroporidaeDessus</v>
      </c>
      <c r="B5880" s="1">
        <v>41153</v>
      </c>
      <c r="C5880" t="s">
        <v>23</v>
      </c>
      <c r="D5880" s="19">
        <v>12</v>
      </c>
      <c r="E5880">
        <v>37</v>
      </c>
      <c r="F5880" t="s">
        <v>17</v>
      </c>
      <c r="G5880" t="s">
        <v>11</v>
      </c>
      <c r="H5880">
        <v>1</v>
      </c>
      <c r="I5880" t="s">
        <v>27</v>
      </c>
    </row>
    <row r="5881" spans="1:9" x14ac:dyDescent="0.2">
      <c r="A5881" t="str">
        <f t="shared" si="338"/>
        <v>41153Vaipahu1238Autres</v>
      </c>
      <c r="B5881" s="1">
        <v>41153</v>
      </c>
      <c r="C5881" t="s">
        <v>23</v>
      </c>
      <c r="D5881" s="19">
        <v>12</v>
      </c>
      <c r="E5881">
        <v>38</v>
      </c>
      <c r="F5881" t="s">
        <v>14</v>
      </c>
      <c r="H5881">
        <v>0</v>
      </c>
    </row>
    <row r="5882" spans="1:9" x14ac:dyDescent="0.2">
      <c r="A5882" t="str">
        <f t="shared" si="338"/>
        <v>41153Vaipahu1239Autres</v>
      </c>
      <c r="B5882" s="1">
        <v>41153</v>
      </c>
      <c r="C5882" t="s">
        <v>23</v>
      </c>
      <c r="D5882" s="19">
        <v>12</v>
      </c>
      <c r="E5882">
        <v>39</v>
      </c>
      <c r="F5882" t="s">
        <v>14</v>
      </c>
      <c r="H5882">
        <v>0</v>
      </c>
    </row>
    <row r="5883" spans="1:9" x14ac:dyDescent="0.2">
      <c r="A5883" t="str">
        <f t="shared" si="338"/>
        <v>41153Vaipahu1240Autres</v>
      </c>
      <c r="B5883" s="1">
        <v>41153</v>
      </c>
      <c r="C5883" t="s">
        <v>23</v>
      </c>
      <c r="D5883" s="19">
        <v>12</v>
      </c>
      <c r="E5883">
        <v>40</v>
      </c>
      <c r="F5883" t="s">
        <v>14</v>
      </c>
      <c r="H5883">
        <v>0</v>
      </c>
    </row>
    <row r="5884" spans="1:9" x14ac:dyDescent="0.2">
      <c r="A5884" t="str">
        <f t="shared" si="338"/>
        <v>41153Vaipahu1841Autres</v>
      </c>
      <c r="B5884" s="1">
        <v>41153</v>
      </c>
      <c r="C5884" t="s">
        <v>23</v>
      </c>
      <c r="D5884" s="19">
        <v>18</v>
      </c>
      <c r="E5884">
        <v>41</v>
      </c>
      <c r="F5884" t="s">
        <v>14</v>
      </c>
      <c r="H5884">
        <v>0</v>
      </c>
    </row>
    <row r="5885" spans="1:9" x14ac:dyDescent="0.2">
      <c r="A5885" t="str">
        <f t="shared" si="338"/>
        <v>41153Vaipahu1842Autres</v>
      </c>
      <c r="B5885" s="1">
        <v>41153</v>
      </c>
      <c r="C5885" t="s">
        <v>23</v>
      </c>
      <c r="D5885" s="19">
        <v>18</v>
      </c>
      <c r="E5885">
        <v>42</v>
      </c>
      <c r="F5885" t="s">
        <v>14</v>
      </c>
      <c r="H5885">
        <v>0</v>
      </c>
    </row>
    <row r="5886" spans="1:9" x14ac:dyDescent="0.2">
      <c r="A5886" t="str">
        <f t="shared" si="338"/>
        <v>41153Vaipahu1843PoritidaeDessous</v>
      </c>
      <c r="B5886" s="1">
        <v>41153</v>
      </c>
      <c r="C5886" t="s">
        <v>23</v>
      </c>
      <c r="D5886" s="19">
        <v>18</v>
      </c>
      <c r="E5886">
        <v>43</v>
      </c>
      <c r="F5886" t="s">
        <v>7</v>
      </c>
      <c r="G5886" t="s">
        <v>8</v>
      </c>
      <c r="H5886">
        <v>1</v>
      </c>
      <c r="I5886" t="s">
        <v>27</v>
      </c>
    </row>
    <row r="5887" spans="1:9" x14ac:dyDescent="0.2">
      <c r="A5887" t="str">
        <f t="shared" ref="A5887:A5950" si="339">B5887 &amp; C5887&amp; D5887&amp; E5887 &amp; F5887 &amp;G5887</f>
        <v>41153Vaipahu1844Autres</v>
      </c>
      <c r="B5887" s="1">
        <v>41153</v>
      </c>
      <c r="C5887" t="s">
        <v>23</v>
      </c>
      <c r="D5887" s="19">
        <v>18</v>
      </c>
      <c r="E5887">
        <v>44</v>
      </c>
      <c r="F5887" t="s">
        <v>14</v>
      </c>
      <c r="H5887">
        <v>0</v>
      </c>
    </row>
    <row r="5888" spans="1:9" x14ac:dyDescent="0.2">
      <c r="A5888" t="str">
        <f t="shared" si="339"/>
        <v>41153Vaipahu1845Autres</v>
      </c>
      <c r="B5888" s="1">
        <v>41153</v>
      </c>
      <c r="C5888" t="s">
        <v>23</v>
      </c>
      <c r="D5888" s="19">
        <v>18</v>
      </c>
      <c r="E5888">
        <v>45</v>
      </c>
      <c r="F5888" t="s">
        <v>14</v>
      </c>
      <c r="H5888">
        <v>0</v>
      </c>
    </row>
    <row r="5889" spans="1:8" x14ac:dyDescent="0.2">
      <c r="A5889" t="str">
        <f t="shared" si="339"/>
        <v>41153Vaipahu1846Autres</v>
      </c>
      <c r="B5889" s="1">
        <v>41153</v>
      </c>
      <c r="C5889" t="s">
        <v>23</v>
      </c>
      <c r="D5889" s="19">
        <v>18</v>
      </c>
      <c r="E5889">
        <v>46</v>
      </c>
      <c r="F5889" t="s">
        <v>14</v>
      </c>
      <c r="H5889">
        <v>0</v>
      </c>
    </row>
    <row r="5890" spans="1:8" x14ac:dyDescent="0.2">
      <c r="A5890" t="str">
        <f t="shared" si="339"/>
        <v>41153Vaipahu1847Autres</v>
      </c>
      <c r="B5890" s="1">
        <v>41153</v>
      </c>
      <c r="C5890" t="s">
        <v>23</v>
      </c>
      <c r="D5890" s="19">
        <v>18</v>
      </c>
      <c r="E5890">
        <v>47</v>
      </c>
      <c r="F5890" t="s">
        <v>14</v>
      </c>
      <c r="H5890">
        <v>0</v>
      </c>
    </row>
    <row r="5891" spans="1:8" x14ac:dyDescent="0.2">
      <c r="A5891" t="str">
        <f t="shared" si="339"/>
        <v>41153Vaipahu1848Autres</v>
      </c>
      <c r="B5891" s="1">
        <v>41153</v>
      </c>
      <c r="C5891" t="s">
        <v>23</v>
      </c>
      <c r="D5891" s="19">
        <v>18</v>
      </c>
      <c r="E5891">
        <v>48</v>
      </c>
      <c r="F5891" t="s">
        <v>14</v>
      </c>
      <c r="H5891">
        <v>0</v>
      </c>
    </row>
    <row r="5892" spans="1:8" x14ac:dyDescent="0.2">
      <c r="A5892" t="str">
        <f t="shared" si="339"/>
        <v>41153Vaipahu1849Autres</v>
      </c>
      <c r="B5892" s="1">
        <v>41153</v>
      </c>
      <c r="C5892" t="s">
        <v>23</v>
      </c>
      <c r="D5892" s="19">
        <v>18</v>
      </c>
      <c r="E5892">
        <v>49</v>
      </c>
      <c r="F5892" t="s">
        <v>14</v>
      </c>
      <c r="H5892">
        <v>0</v>
      </c>
    </row>
    <row r="5893" spans="1:8" x14ac:dyDescent="0.2">
      <c r="A5893" t="str">
        <f t="shared" si="339"/>
        <v>41153Vaipahu1850Autres</v>
      </c>
      <c r="B5893" s="1">
        <v>41153</v>
      </c>
      <c r="C5893" t="s">
        <v>23</v>
      </c>
      <c r="D5893" s="19">
        <v>18</v>
      </c>
      <c r="E5893">
        <v>50</v>
      </c>
      <c r="F5893" t="s">
        <v>14</v>
      </c>
      <c r="H5893">
        <v>0</v>
      </c>
    </row>
    <row r="5894" spans="1:8" x14ac:dyDescent="0.2">
      <c r="A5894" t="str">
        <f t="shared" si="339"/>
        <v>41153Vaipahu1851Autres</v>
      </c>
      <c r="B5894" s="1">
        <v>41153</v>
      </c>
      <c r="C5894" t="s">
        <v>23</v>
      </c>
      <c r="D5894" s="19">
        <v>18</v>
      </c>
      <c r="E5894">
        <v>51</v>
      </c>
      <c r="F5894" t="s">
        <v>14</v>
      </c>
      <c r="H5894">
        <v>0</v>
      </c>
    </row>
    <row r="5895" spans="1:8" x14ac:dyDescent="0.2">
      <c r="A5895" t="str">
        <f t="shared" si="339"/>
        <v>41153Vaipahu1852Autres</v>
      </c>
      <c r="B5895" s="1">
        <v>41153</v>
      </c>
      <c r="C5895" t="s">
        <v>23</v>
      </c>
      <c r="D5895" s="19">
        <v>18</v>
      </c>
      <c r="E5895">
        <v>52</v>
      </c>
      <c r="F5895" t="s">
        <v>14</v>
      </c>
      <c r="H5895">
        <v>0</v>
      </c>
    </row>
    <row r="5896" spans="1:8" x14ac:dyDescent="0.2">
      <c r="A5896" t="str">
        <f t="shared" si="339"/>
        <v>41153Vaipahu1853Autres</v>
      </c>
      <c r="B5896" s="1">
        <v>41153</v>
      </c>
      <c r="C5896" t="s">
        <v>23</v>
      </c>
      <c r="D5896" s="19">
        <v>18</v>
      </c>
      <c r="E5896">
        <v>53</v>
      </c>
      <c r="F5896" t="s">
        <v>14</v>
      </c>
      <c r="H5896">
        <v>0</v>
      </c>
    </row>
    <row r="5897" spans="1:8" x14ac:dyDescent="0.2">
      <c r="A5897" t="str">
        <f t="shared" si="339"/>
        <v>41153Vaipahu1854Autres</v>
      </c>
      <c r="B5897" s="1">
        <v>41153</v>
      </c>
      <c r="C5897" t="s">
        <v>23</v>
      </c>
      <c r="D5897" s="19">
        <v>18</v>
      </c>
      <c r="E5897">
        <v>54</v>
      </c>
      <c r="F5897" t="s">
        <v>14</v>
      </c>
      <c r="H5897">
        <v>0</v>
      </c>
    </row>
    <row r="5898" spans="1:8" x14ac:dyDescent="0.2">
      <c r="A5898" t="str">
        <f t="shared" si="339"/>
        <v>41153Vaipahu1855Autres</v>
      </c>
      <c r="B5898" s="1">
        <v>41153</v>
      </c>
      <c r="C5898" t="s">
        <v>23</v>
      </c>
      <c r="D5898" s="19">
        <v>18</v>
      </c>
      <c r="E5898">
        <v>55</v>
      </c>
      <c r="F5898" t="s">
        <v>14</v>
      </c>
      <c r="H5898">
        <v>0</v>
      </c>
    </row>
    <row r="5899" spans="1:8" x14ac:dyDescent="0.2">
      <c r="A5899" t="str">
        <f t="shared" si="339"/>
        <v>41153Vaipahu1856Autres</v>
      </c>
      <c r="B5899" s="1">
        <v>41153</v>
      </c>
      <c r="C5899" t="s">
        <v>23</v>
      </c>
      <c r="D5899" s="19">
        <v>18</v>
      </c>
      <c r="E5899">
        <v>56</v>
      </c>
      <c r="F5899" t="s">
        <v>14</v>
      </c>
      <c r="H5899">
        <v>0</v>
      </c>
    </row>
    <row r="5900" spans="1:8" x14ac:dyDescent="0.2">
      <c r="A5900" t="str">
        <f t="shared" si="339"/>
        <v>41153Vaipahu1857Autres</v>
      </c>
      <c r="B5900" s="1">
        <v>41153</v>
      </c>
      <c r="C5900" t="s">
        <v>23</v>
      </c>
      <c r="D5900" s="19">
        <v>18</v>
      </c>
      <c r="E5900">
        <v>57</v>
      </c>
      <c r="F5900" t="s">
        <v>14</v>
      </c>
      <c r="H5900">
        <v>0</v>
      </c>
    </row>
    <row r="5901" spans="1:8" x14ac:dyDescent="0.2">
      <c r="A5901" t="str">
        <f t="shared" si="339"/>
        <v>41153Vaipahu1858Autres</v>
      </c>
      <c r="B5901" s="1">
        <v>41153</v>
      </c>
      <c r="C5901" t="s">
        <v>23</v>
      </c>
      <c r="D5901" s="19">
        <v>18</v>
      </c>
      <c r="E5901">
        <v>58</v>
      </c>
      <c r="F5901" t="s">
        <v>14</v>
      </c>
      <c r="H5901">
        <v>0</v>
      </c>
    </row>
    <row r="5902" spans="1:8" x14ac:dyDescent="0.2">
      <c r="A5902" t="str">
        <f t="shared" si="339"/>
        <v>41153Vaipahu1859Autres</v>
      </c>
      <c r="B5902" s="1">
        <v>41153</v>
      </c>
      <c r="C5902" t="s">
        <v>23</v>
      </c>
      <c r="D5902" s="19">
        <v>18</v>
      </c>
      <c r="E5902">
        <v>59</v>
      </c>
      <c r="F5902" t="s">
        <v>14</v>
      </c>
      <c r="H5902">
        <v>0</v>
      </c>
    </row>
    <row r="5903" spans="1:8" x14ac:dyDescent="0.2">
      <c r="A5903" t="str">
        <f t="shared" si="339"/>
        <v>41153Vaipahu1860Autres</v>
      </c>
      <c r="B5903" s="1">
        <v>41153</v>
      </c>
      <c r="C5903" t="s">
        <v>23</v>
      </c>
      <c r="D5903" s="19">
        <v>18</v>
      </c>
      <c r="E5903">
        <v>60</v>
      </c>
      <c r="F5903" t="s">
        <v>14</v>
      </c>
      <c r="H5903">
        <v>0</v>
      </c>
    </row>
    <row r="5904" spans="1:8" x14ac:dyDescent="0.2">
      <c r="A5904" t="str">
        <f t="shared" si="339"/>
        <v>41153Tiahura661Autres</v>
      </c>
      <c r="B5904" s="1">
        <v>41153</v>
      </c>
      <c r="C5904" t="s">
        <v>24</v>
      </c>
      <c r="D5904" s="19">
        <v>6</v>
      </c>
      <c r="E5904">
        <v>61</v>
      </c>
      <c r="F5904" t="s">
        <v>14</v>
      </c>
      <c r="H5904">
        <v>0</v>
      </c>
    </row>
    <row r="5905" spans="1:9" x14ac:dyDescent="0.2">
      <c r="A5905" t="str">
        <f t="shared" si="339"/>
        <v>41153Tiahura662Autres</v>
      </c>
      <c r="B5905" s="1">
        <v>41153</v>
      </c>
      <c r="C5905" t="s">
        <v>24</v>
      </c>
      <c r="D5905" s="19">
        <v>6</v>
      </c>
      <c r="E5905">
        <v>62</v>
      </c>
      <c r="F5905" t="s">
        <v>14</v>
      </c>
      <c r="H5905">
        <v>0</v>
      </c>
    </row>
    <row r="5906" spans="1:9" x14ac:dyDescent="0.2">
      <c r="A5906" t="str">
        <f t="shared" si="339"/>
        <v>41153Tiahura663AcroporidaeBords</v>
      </c>
      <c r="B5906" s="1">
        <v>41153</v>
      </c>
      <c r="C5906" t="s">
        <v>24</v>
      </c>
      <c r="D5906" s="19">
        <v>6</v>
      </c>
      <c r="E5906">
        <v>63</v>
      </c>
      <c r="F5906" t="s">
        <v>17</v>
      </c>
      <c r="G5906" t="s">
        <v>13</v>
      </c>
      <c r="H5906">
        <v>1</v>
      </c>
      <c r="I5906" t="s">
        <v>27</v>
      </c>
    </row>
    <row r="5907" spans="1:9" x14ac:dyDescent="0.2">
      <c r="A5907" t="str">
        <f t="shared" si="339"/>
        <v>41153Tiahura664Autres</v>
      </c>
      <c r="B5907" s="1">
        <v>41153</v>
      </c>
      <c r="C5907" t="s">
        <v>24</v>
      </c>
      <c r="D5907" s="19">
        <v>6</v>
      </c>
      <c r="E5907">
        <v>64</v>
      </c>
      <c r="F5907" t="s">
        <v>14</v>
      </c>
      <c r="H5907">
        <v>0</v>
      </c>
    </row>
    <row r="5908" spans="1:9" x14ac:dyDescent="0.2">
      <c r="A5908" t="str">
        <f t="shared" si="339"/>
        <v>41153Tiahura665Autres</v>
      </c>
      <c r="B5908" s="1">
        <v>41153</v>
      </c>
      <c r="C5908" t="s">
        <v>24</v>
      </c>
      <c r="D5908" s="19">
        <v>6</v>
      </c>
      <c r="E5908">
        <v>65</v>
      </c>
      <c r="F5908" t="s">
        <v>14</v>
      </c>
      <c r="H5908">
        <v>0</v>
      </c>
    </row>
    <row r="5909" spans="1:9" x14ac:dyDescent="0.2">
      <c r="A5909" t="str">
        <f t="shared" si="339"/>
        <v>41153Tiahura666Autres</v>
      </c>
      <c r="B5909" s="1">
        <v>41153</v>
      </c>
      <c r="C5909" t="s">
        <v>24</v>
      </c>
      <c r="D5909" s="19">
        <v>6</v>
      </c>
      <c r="E5909">
        <v>66</v>
      </c>
      <c r="F5909" t="s">
        <v>14</v>
      </c>
      <c r="H5909">
        <v>0</v>
      </c>
    </row>
    <row r="5910" spans="1:9" x14ac:dyDescent="0.2">
      <c r="A5910" t="str">
        <f t="shared" si="339"/>
        <v>41153Tiahura667Autres</v>
      </c>
      <c r="B5910" s="1">
        <v>41153</v>
      </c>
      <c r="C5910" t="s">
        <v>24</v>
      </c>
      <c r="D5910" s="19">
        <v>6</v>
      </c>
      <c r="E5910">
        <v>67</v>
      </c>
      <c r="F5910" t="s">
        <v>14</v>
      </c>
      <c r="H5910">
        <v>0</v>
      </c>
    </row>
    <row r="5911" spans="1:9" x14ac:dyDescent="0.2">
      <c r="A5911" t="str">
        <f t="shared" si="339"/>
        <v>41153Tiahura668Autres</v>
      </c>
      <c r="B5911" s="1">
        <v>41153</v>
      </c>
      <c r="C5911" t="s">
        <v>24</v>
      </c>
      <c r="D5911" s="19">
        <v>6</v>
      </c>
      <c r="E5911">
        <v>68</v>
      </c>
      <c r="F5911" t="s">
        <v>14</v>
      </c>
      <c r="H5911">
        <v>0</v>
      </c>
    </row>
    <row r="5912" spans="1:9" x14ac:dyDescent="0.2">
      <c r="A5912" t="str">
        <f t="shared" si="339"/>
        <v>41153Tiahura669Autres</v>
      </c>
      <c r="B5912" s="1">
        <v>41153</v>
      </c>
      <c r="C5912" t="s">
        <v>24</v>
      </c>
      <c r="D5912" s="19">
        <v>6</v>
      </c>
      <c r="E5912">
        <v>69</v>
      </c>
      <c r="F5912" t="s">
        <v>14</v>
      </c>
      <c r="H5912">
        <v>0</v>
      </c>
    </row>
    <row r="5913" spans="1:9" x14ac:dyDescent="0.2">
      <c r="A5913" t="str">
        <f t="shared" si="339"/>
        <v>41153Tiahura670Autres</v>
      </c>
      <c r="B5913" s="1">
        <v>41153</v>
      </c>
      <c r="C5913" t="s">
        <v>24</v>
      </c>
      <c r="D5913" s="19">
        <v>6</v>
      </c>
      <c r="E5913">
        <v>70</v>
      </c>
      <c r="F5913" t="s">
        <v>14</v>
      </c>
      <c r="H5913">
        <v>0</v>
      </c>
    </row>
    <row r="5914" spans="1:9" x14ac:dyDescent="0.2">
      <c r="A5914" t="str">
        <f t="shared" si="339"/>
        <v>41153Tiahura671Autres</v>
      </c>
      <c r="B5914" s="1">
        <v>41153</v>
      </c>
      <c r="C5914" t="s">
        <v>24</v>
      </c>
      <c r="D5914" s="19">
        <v>6</v>
      </c>
      <c r="E5914">
        <v>71</v>
      </c>
      <c r="F5914" t="s">
        <v>14</v>
      </c>
      <c r="H5914">
        <v>0</v>
      </c>
    </row>
    <row r="5915" spans="1:9" x14ac:dyDescent="0.2">
      <c r="A5915" t="str">
        <f t="shared" si="339"/>
        <v>41153Tiahura672PocilloporidaeBords</v>
      </c>
      <c r="B5915" s="1">
        <v>41153</v>
      </c>
      <c r="C5915" t="s">
        <v>24</v>
      </c>
      <c r="D5915" s="19">
        <v>6</v>
      </c>
      <c r="E5915">
        <v>72</v>
      </c>
      <c r="F5915" t="s">
        <v>10</v>
      </c>
      <c r="G5915" t="s">
        <v>13</v>
      </c>
      <c r="H5915">
        <v>1</v>
      </c>
      <c r="I5915" t="s">
        <v>27</v>
      </c>
    </row>
    <row r="5916" spans="1:9" x14ac:dyDescent="0.2">
      <c r="A5916" t="str">
        <f t="shared" si="339"/>
        <v>41153Tiahura673AcroporidaeDessus</v>
      </c>
      <c r="B5916" s="1">
        <v>41153</v>
      </c>
      <c r="C5916" t="s">
        <v>24</v>
      </c>
      <c r="D5916" s="19">
        <v>6</v>
      </c>
      <c r="E5916">
        <v>73</v>
      </c>
      <c r="F5916" t="s">
        <v>17</v>
      </c>
      <c r="G5916" t="s">
        <v>11</v>
      </c>
      <c r="H5916">
        <v>1</v>
      </c>
      <c r="I5916" t="s">
        <v>27</v>
      </c>
    </row>
    <row r="5917" spans="1:9" x14ac:dyDescent="0.2">
      <c r="A5917" t="str">
        <f t="shared" si="339"/>
        <v>41153Tiahura674Autres</v>
      </c>
      <c r="B5917" s="1">
        <v>41153</v>
      </c>
      <c r="C5917" t="s">
        <v>24</v>
      </c>
      <c r="D5917" s="19">
        <v>6</v>
      </c>
      <c r="E5917">
        <v>74</v>
      </c>
      <c r="F5917" t="s">
        <v>14</v>
      </c>
      <c r="H5917">
        <v>0</v>
      </c>
    </row>
    <row r="5918" spans="1:9" x14ac:dyDescent="0.2">
      <c r="A5918" t="str">
        <f t="shared" si="339"/>
        <v>41153Tiahura675Autres</v>
      </c>
      <c r="B5918" s="1">
        <v>41153</v>
      </c>
      <c r="C5918" t="s">
        <v>24</v>
      </c>
      <c r="D5918" s="19">
        <v>6</v>
      </c>
      <c r="E5918">
        <v>75</v>
      </c>
      <c r="F5918" t="s">
        <v>14</v>
      </c>
      <c r="H5918">
        <v>0</v>
      </c>
    </row>
    <row r="5919" spans="1:9" x14ac:dyDescent="0.2">
      <c r="A5919" t="str">
        <f t="shared" si="339"/>
        <v>41153Tiahura676Autres</v>
      </c>
      <c r="B5919" s="1">
        <v>41153</v>
      </c>
      <c r="C5919" t="s">
        <v>24</v>
      </c>
      <c r="D5919" s="19">
        <v>6</v>
      </c>
      <c r="E5919">
        <v>76</v>
      </c>
      <c r="F5919" t="s">
        <v>14</v>
      </c>
      <c r="H5919">
        <v>0</v>
      </c>
    </row>
    <row r="5920" spans="1:9" x14ac:dyDescent="0.2">
      <c r="A5920" t="str">
        <f t="shared" si="339"/>
        <v>41153Tiahura677Autres</v>
      </c>
      <c r="B5920" s="1">
        <v>41153</v>
      </c>
      <c r="C5920" t="s">
        <v>24</v>
      </c>
      <c r="D5920" s="19">
        <v>6</v>
      </c>
      <c r="E5920">
        <v>77</v>
      </c>
      <c r="F5920" t="s">
        <v>14</v>
      </c>
      <c r="H5920">
        <v>0</v>
      </c>
    </row>
    <row r="5921" spans="1:9" x14ac:dyDescent="0.2">
      <c r="A5921" t="str">
        <f t="shared" si="339"/>
        <v>41153Tiahura678Autres</v>
      </c>
      <c r="B5921" s="1">
        <v>41153</v>
      </c>
      <c r="C5921" t="s">
        <v>24</v>
      </c>
      <c r="D5921" s="19">
        <v>6</v>
      </c>
      <c r="E5921">
        <v>78</v>
      </c>
      <c r="F5921" t="s">
        <v>14</v>
      </c>
      <c r="H5921">
        <v>0</v>
      </c>
    </row>
    <row r="5922" spans="1:9" x14ac:dyDescent="0.2">
      <c r="A5922" t="str">
        <f t="shared" si="339"/>
        <v>41153Tiahura679Autres</v>
      </c>
      <c r="B5922" s="1">
        <v>41153</v>
      </c>
      <c r="C5922" t="s">
        <v>24</v>
      </c>
      <c r="D5922" s="19">
        <v>6</v>
      </c>
      <c r="E5922">
        <v>79</v>
      </c>
      <c r="F5922" t="s">
        <v>14</v>
      </c>
      <c r="H5922">
        <v>0</v>
      </c>
    </row>
    <row r="5923" spans="1:9" x14ac:dyDescent="0.2">
      <c r="A5923" t="str">
        <f t="shared" si="339"/>
        <v>41153Tiahura680Autres</v>
      </c>
      <c r="B5923" s="1">
        <v>41153</v>
      </c>
      <c r="C5923" t="s">
        <v>24</v>
      </c>
      <c r="D5923" s="19">
        <v>6</v>
      </c>
      <c r="E5923">
        <v>80</v>
      </c>
      <c r="F5923" t="s">
        <v>14</v>
      </c>
      <c r="H5923">
        <v>0</v>
      </c>
    </row>
    <row r="5924" spans="1:9" x14ac:dyDescent="0.2">
      <c r="A5924" t="str">
        <f t="shared" si="339"/>
        <v>41153Tiahura1281Autres</v>
      </c>
      <c r="B5924" s="1">
        <v>41153</v>
      </c>
      <c r="C5924" t="s">
        <v>24</v>
      </c>
      <c r="D5924" s="19">
        <v>12</v>
      </c>
      <c r="E5924">
        <v>81</v>
      </c>
      <c r="F5924" t="s">
        <v>14</v>
      </c>
      <c r="H5924">
        <v>0</v>
      </c>
    </row>
    <row r="5925" spans="1:9" x14ac:dyDescent="0.2">
      <c r="A5925" t="str">
        <f t="shared" si="339"/>
        <v>41153Tiahura1282PocilloporidaeDessous</v>
      </c>
      <c r="B5925" s="1">
        <v>41153</v>
      </c>
      <c r="C5925" t="s">
        <v>24</v>
      </c>
      <c r="D5925" s="19">
        <v>12</v>
      </c>
      <c r="E5925">
        <v>82</v>
      </c>
      <c r="F5925" t="s">
        <v>10</v>
      </c>
      <c r="G5925" t="s">
        <v>8</v>
      </c>
      <c r="H5925">
        <v>1</v>
      </c>
      <c r="I5925" t="s">
        <v>27</v>
      </c>
    </row>
    <row r="5926" spans="1:9" x14ac:dyDescent="0.2">
      <c r="A5926" t="str">
        <f t="shared" si="339"/>
        <v>41153Tiahura1283Autres</v>
      </c>
      <c r="B5926" s="1">
        <v>41153</v>
      </c>
      <c r="C5926" t="s">
        <v>24</v>
      </c>
      <c r="D5926" s="19">
        <v>12</v>
      </c>
      <c r="E5926">
        <v>83</v>
      </c>
      <c r="F5926" t="s">
        <v>14</v>
      </c>
      <c r="H5926">
        <v>0</v>
      </c>
    </row>
    <row r="5927" spans="1:9" x14ac:dyDescent="0.2">
      <c r="A5927" t="str">
        <f t="shared" si="339"/>
        <v>41153Tiahura1284Autres</v>
      </c>
      <c r="B5927" s="1">
        <v>41153</v>
      </c>
      <c r="C5927" t="s">
        <v>24</v>
      </c>
      <c r="D5927" s="19">
        <v>12</v>
      </c>
      <c r="E5927">
        <v>84</v>
      </c>
      <c r="F5927" t="s">
        <v>14</v>
      </c>
      <c r="H5927">
        <v>0</v>
      </c>
    </row>
    <row r="5928" spans="1:9" x14ac:dyDescent="0.2">
      <c r="A5928" t="str">
        <f t="shared" si="339"/>
        <v>41153Tiahura1285Autres</v>
      </c>
      <c r="B5928" s="1">
        <v>41153</v>
      </c>
      <c r="C5928" t="s">
        <v>24</v>
      </c>
      <c r="D5928" s="19">
        <v>12</v>
      </c>
      <c r="E5928">
        <v>85</v>
      </c>
      <c r="F5928" t="s">
        <v>14</v>
      </c>
      <c r="H5928">
        <v>0</v>
      </c>
    </row>
    <row r="5929" spans="1:9" x14ac:dyDescent="0.2">
      <c r="A5929" t="str">
        <f t="shared" si="339"/>
        <v>41153Tiahura1286Autres</v>
      </c>
      <c r="B5929" s="1">
        <v>41153</v>
      </c>
      <c r="C5929" t="s">
        <v>24</v>
      </c>
      <c r="D5929" s="19">
        <v>12</v>
      </c>
      <c r="E5929">
        <v>86</v>
      </c>
      <c r="F5929" t="s">
        <v>14</v>
      </c>
      <c r="H5929">
        <v>0</v>
      </c>
    </row>
    <row r="5930" spans="1:9" x14ac:dyDescent="0.2">
      <c r="A5930" t="str">
        <f t="shared" si="339"/>
        <v>41153Tiahura1287PoritidaeDessous</v>
      </c>
      <c r="B5930" s="1">
        <v>41153</v>
      </c>
      <c r="C5930" t="s">
        <v>24</v>
      </c>
      <c r="D5930" s="19">
        <v>12</v>
      </c>
      <c r="E5930">
        <v>87</v>
      </c>
      <c r="F5930" t="s">
        <v>7</v>
      </c>
      <c r="G5930" t="s">
        <v>8</v>
      </c>
      <c r="H5930">
        <v>1</v>
      </c>
      <c r="I5930" t="s">
        <v>27</v>
      </c>
    </row>
    <row r="5931" spans="1:9" x14ac:dyDescent="0.2">
      <c r="A5931" t="str">
        <f t="shared" si="339"/>
        <v>41153Tiahura1288PoritidaeDessous</v>
      </c>
      <c r="B5931" s="1">
        <v>41153</v>
      </c>
      <c r="C5931" t="s">
        <v>24</v>
      </c>
      <c r="D5931" s="19">
        <v>12</v>
      </c>
      <c r="E5931">
        <v>88</v>
      </c>
      <c r="F5931" t="s">
        <v>7</v>
      </c>
      <c r="G5931" t="s">
        <v>8</v>
      </c>
      <c r="H5931">
        <v>1</v>
      </c>
      <c r="I5931" t="s">
        <v>27</v>
      </c>
    </row>
    <row r="5932" spans="1:9" x14ac:dyDescent="0.2">
      <c r="A5932" t="str">
        <f t="shared" si="339"/>
        <v>41153Tiahura1289Autres</v>
      </c>
      <c r="B5932" s="1">
        <v>41153</v>
      </c>
      <c r="C5932" t="s">
        <v>24</v>
      </c>
      <c r="D5932" s="19">
        <v>12</v>
      </c>
      <c r="E5932">
        <v>89</v>
      </c>
      <c r="F5932" t="s">
        <v>14</v>
      </c>
      <c r="H5932">
        <v>0</v>
      </c>
    </row>
    <row r="5933" spans="1:9" x14ac:dyDescent="0.2">
      <c r="A5933" t="str">
        <f t="shared" si="339"/>
        <v>41153Tiahura1290Autres</v>
      </c>
      <c r="B5933" s="1">
        <v>41153</v>
      </c>
      <c r="C5933" t="s">
        <v>24</v>
      </c>
      <c r="D5933" s="19">
        <v>12</v>
      </c>
      <c r="E5933">
        <v>90</v>
      </c>
      <c r="F5933" t="s">
        <v>14</v>
      </c>
      <c r="H5933">
        <v>0</v>
      </c>
    </row>
    <row r="5934" spans="1:9" x14ac:dyDescent="0.2">
      <c r="A5934" t="str">
        <f t="shared" si="339"/>
        <v>41153Tiahura1291Autres</v>
      </c>
      <c r="B5934" s="1">
        <v>41153</v>
      </c>
      <c r="C5934" t="s">
        <v>24</v>
      </c>
      <c r="D5934" s="19">
        <v>12</v>
      </c>
      <c r="E5934">
        <v>91</v>
      </c>
      <c r="F5934" t="s">
        <v>14</v>
      </c>
      <c r="H5934">
        <v>0</v>
      </c>
    </row>
    <row r="5935" spans="1:9" x14ac:dyDescent="0.2">
      <c r="A5935" t="str">
        <f t="shared" si="339"/>
        <v>41153Tiahura1292Autres</v>
      </c>
      <c r="B5935" s="1">
        <v>41153</v>
      </c>
      <c r="C5935" t="s">
        <v>24</v>
      </c>
      <c r="D5935" s="19">
        <v>12</v>
      </c>
      <c r="E5935">
        <v>92</v>
      </c>
      <c r="F5935" t="s">
        <v>14</v>
      </c>
      <c r="H5935">
        <v>0</v>
      </c>
    </row>
    <row r="5936" spans="1:9" x14ac:dyDescent="0.2">
      <c r="A5936" t="str">
        <f t="shared" si="339"/>
        <v>41153Tiahura1293Autres</v>
      </c>
      <c r="B5936" s="1">
        <v>41153</v>
      </c>
      <c r="C5936" t="s">
        <v>24</v>
      </c>
      <c r="D5936" s="19">
        <v>12</v>
      </c>
      <c r="E5936">
        <v>93</v>
      </c>
      <c r="F5936" t="s">
        <v>14</v>
      </c>
      <c r="H5936">
        <v>0</v>
      </c>
    </row>
    <row r="5937" spans="1:9" x14ac:dyDescent="0.2">
      <c r="A5937" t="str">
        <f t="shared" si="339"/>
        <v>41153Tiahura1294Autres</v>
      </c>
      <c r="B5937" s="1">
        <v>41153</v>
      </c>
      <c r="C5937" t="s">
        <v>24</v>
      </c>
      <c r="D5937" s="19">
        <v>12</v>
      </c>
      <c r="E5937">
        <v>94</v>
      </c>
      <c r="F5937" t="s">
        <v>14</v>
      </c>
      <c r="H5937">
        <v>0</v>
      </c>
    </row>
    <row r="5938" spans="1:9" x14ac:dyDescent="0.2">
      <c r="A5938" t="str">
        <f t="shared" si="339"/>
        <v>41153Tiahura1295Autres</v>
      </c>
      <c r="B5938" s="1">
        <v>41153</v>
      </c>
      <c r="C5938" t="s">
        <v>24</v>
      </c>
      <c r="D5938" s="19">
        <v>12</v>
      </c>
      <c r="E5938">
        <v>95</v>
      </c>
      <c r="F5938" t="s">
        <v>14</v>
      </c>
      <c r="H5938">
        <v>0</v>
      </c>
    </row>
    <row r="5939" spans="1:9" x14ac:dyDescent="0.2">
      <c r="A5939" t="str">
        <f t="shared" si="339"/>
        <v>41153Tiahura1296AcroporidaeDessous</v>
      </c>
      <c r="B5939" s="1">
        <v>41153</v>
      </c>
      <c r="C5939" t="s">
        <v>24</v>
      </c>
      <c r="D5939" s="19">
        <v>12</v>
      </c>
      <c r="E5939">
        <v>96</v>
      </c>
      <c r="F5939" t="s">
        <v>17</v>
      </c>
      <c r="G5939" t="s">
        <v>8</v>
      </c>
      <c r="H5939">
        <v>1</v>
      </c>
      <c r="I5939" t="s">
        <v>27</v>
      </c>
    </row>
    <row r="5940" spans="1:9" x14ac:dyDescent="0.2">
      <c r="A5940" t="str">
        <f t="shared" si="339"/>
        <v>41153Tiahura1297Autres</v>
      </c>
      <c r="B5940" s="1">
        <v>41153</v>
      </c>
      <c r="C5940" t="s">
        <v>24</v>
      </c>
      <c r="D5940" s="19">
        <v>12</v>
      </c>
      <c r="E5940">
        <v>97</v>
      </c>
      <c r="F5940" t="s">
        <v>14</v>
      </c>
      <c r="H5940">
        <v>0</v>
      </c>
    </row>
    <row r="5941" spans="1:9" x14ac:dyDescent="0.2">
      <c r="A5941" t="str">
        <f t="shared" si="339"/>
        <v>41153Tiahura1298Autres</v>
      </c>
      <c r="B5941" s="1">
        <v>41153</v>
      </c>
      <c r="C5941" t="s">
        <v>24</v>
      </c>
      <c r="D5941" s="19">
        <v>12</v>
      </c>
      <c r="E5941">
        <v>98</v>
      </c>
      <c r="F5941" t="s">
        <v>14</v>
      </c>
      <c r="H5941">
        <v>0</v>
      </c>
    </row>
    <row r="5942" spans="1:9" x14ac:dyDescent="0.2">
      <c r="A5942" t="str">
        <f t="shared" si="339"/>
        <v>41153Tiahura1299Autres</v>
      </c>
      <c r="B5942" s="1">
        <v>41153</v>
      </c>
      <c r="C5942" t="s">
        <v>24</v>
      </c>
      <c r="D5942" s="19">
        <v>12</v>
      </c>
      <c r="E5942">
        <v>99</v>
      </c>
      <c r="F5942" t="s">
        <v>14</v>
      </c>
      <c r="H5942">
        <v>0</v>
      </c>
    </row>
    <row r="5943" spans="1:9" x14ac:dyDescent="0.2">
      <c r="A5943" t="str">
        <f t="shared" si="339"/>
        <v>41153Tiahura12100Autres</v>
      </c>
      <c r="B5943" s="1">
        <v>41153</v>
      </c>
      <c r="C5943" t="s">
        <v>24</v>
      </c>
      <c r="D5943" s="19">
        <v>12</v>
      </c>
      <c r="E5943">
        <v>100</v>
      </c>
      <c r="F5943" t="s">
        <v>14</v>
      </c>
      <c r="H5943">
        <v>0</v>
      </c>
    </row>
    <row r="5944" spans="1:9" x14ac:dyDescent="0.2">
      <c r="A5944" t="str">
        <f t="shared" si="339"/>
        <v>41153Tiahura18101Autres</v>
      </c>
      <c r="B5944" s="1">
        <v>41153</v>
      </c>
      <c r="C5944" t="s">
        <v>24</v>
      </c>
      <c r="D5944" s="19">
        <v>18</v>
      </c>
      <c r="E5944">
        <v>101</v>
      </c>
      <c r="F5944" t="s">
        <v>14</v>
      </c>
      <c r="H5944">
        <v>0</v>
      </c>
    </row>
    <row r="5945" spans="1:9" x14ac:dyDescent="0.2">
      <c r="A5945" t="str">
        <f t="shared" si="339"/>
        <v>41153Tiahura18102Autres</v>
      </c>
      <c r="B5945" s="1">
        <v>41153</v>
      </c>
      <c r="C5945" t="s">
        <v>24</v>
      </c>
      <c r="D5945" s="19">
        <v>18</v>
      </c>
      <c r="E5945">
        <v>102</v>
      </c>
      <c r="F5945" t="s">
        <v>14</v>
      </c>
      <c r="H5945">
        <v>0</v>
      </c>
    </row>
    <row r="5946" spans="1:9" x14ac:dyDescent="0.2">
      <c r="A5946" t="str">
        <f t="shared" si="339"/>
        <v>41153Tiahura18103</v>
      </c>
      <c r="B5946" s="1">
        <v>41153</v>
      </c>
      <c r="C5946" t="s">
        <v>24</v>
      </c>
      <c r="D5946" s="19">
        <v>18</v>
      </c>
      <c r="E5946">
        <v>103</v>
      </c>
      <c r="I5946" t="s">
        <v>31</v>
      </c>
    </row>
    <row r="5947" spans="1:9" x14ac:dyDescent="0.2">
      <c r="A5947" t="str">
        <f t="shared" si="339"/>
        <v>41153Tiahura18104Autres</v>
      </c>
      <c r="B5947" s="1">
        <v>41153</v>
      </c>
      <c r="C5947" t="s">
        <v>24</v>
      </c>
      <c r="D5947" s="19">
        <v>18</v>
      </c>
      <c r="E5947">
        <v>104</v>
      </c>
      <c r="F5947" t="s">
        <v>14</v>
      </c>
      <c r="H5947">
        <v>0</v>
      </c>
    </row>
    <row r="5948" spans="1:9" x14ac:dyDescent="0.2">
      <c r="A5948" t="str">
        <f t="shared" si="339"/>
        <v>41153Tiahura18105Autres</v>
      </c>
      <c r="B5948" s="1">
        <v>41153</v>
      </c>
      <c r="C5948" t="s">
        <v>24</v>
      </c>
      <c r="D5948" s="19">
        <v>18</v>
      </c>
      <c r="E5948">
        <v>105</v>
      </c>
      <c r="F5948" t="s">
        <v>14</v>
      </c>
      <c r="H5948">
        <v>0</v>
      </c>
    </row>
    <row r="5949" spans="1:9" x14ac:dyDescent="0.2">
      <c r="A5949" t="str">
        <f t="shared" si="339"/>
        <v>41153Tiahura18106Autres</v>
      </c>
      <c r="B5949" s="1">
        <v>41153</v>
      </c>
      <c r="C5949" t="s">
        <v>24</v>
      </c>
      <c r="D5949" s="19">
        <v>18</v>
      </c>
      <c r="E5949">
        <v>106</v>
      </c>
      <c r="F5949" t="s">
        <v>14</v>
      </c>
      <c r="H5949">
        <v>0</v>
      </c>
    </row>
    <row r="5950" spans="1:9" x14ac:dyDescent="0.2">
      <c r="A5950" t="str">
        <f t="shared" si="339"/>
        <v>41153Tiahura18107Autres</v>
      </c>
      <c r="B5950" s="1">
        <v>41153</v>
      </c>
      <c r="C5950" t="s">
        <v>24</v>
      </c>
      <c r="D5950" s="19">
        <v>18</v>
      </c>
      <c r="E5950">
        <v>107</v>
      </c>
      <c r="F5950" t="s">
        <v>14</v>
      </c>
      <c r="H5950">
        <v>0</v>
      </c>
    </row>
    <row r="5951" spans="1:9" x14ac:dyDescent="0.2">
      <c r="A5951" t="str">
        <f t="shared" ref="A5951:A6014" si="340">B5951 &amp; C5951&amp; D5951&amp; E5951 &amp; F5951 &amp;G5951</f>
        <v>41153Tiahura18108Autres</v>
      </c>
      <c r="B5951" s="1">
        <v>41153</v>
      </c>
      <c r="C5951" t="s">
        <v>24</v>
      </c>
      <c r="D5951" s="19">
        <v>18</v>
      </c>
      <c r="E5951">
        <v>108</v>
      </c>
      <c r="F5951" t="s">
        <v>14</v>
      </c>
      <c r="H5951">
        <v>0</v>
      </c>
    </row>
    <row r="5952" spans="1:9" x14ac:dyDescent="0.2">
      <c r="A5952" t="str">
        <f t="shared" si="340"/>
        <v>41153Tiahura18109Autres</v>
      </c>
      <c r="B5952" s="1">
        <v>41153</v>
      </c>
      <c r="C5952" t="s">
        <v>24</v>
      </c>
      <c r="D5952" s="19">
        <v>18</v>
      </c>
      <c r="E5952">
        <v>109</v>
      </c>
      <c r="F5952" t="s">
        <v>14</v>
      </c>
      <c r="H5952">
        <v>0</v>
      </c>
    </row>
    <row r="5953" spans="1:9" x14ac:dyDescent="0.2">
      <c r="A5953" t="str">
        <f t="shared" si="340"/>
        <v>41153Tiahura18110Autres</v>
      </c>
      <c r="B5953" s="1">
        <v>41153</v>
      </c>
      <c r="C5953" t="s">
        <v>24</v>
      </c>
      <c r="D5953" s="19">
        <v>18</v>
      </c>
      <c r="E5953">
        <v>110</v>
      </c>
      <c r="F5953" t="s">
        <v>14</v>
      </c>
      <c r="H5953">
        <v>0</v>
      </c>
    </row>
    <row r="5954" spans="1:9" x14ac:dyDescent="0.2">
      <c r="A5954" t="str">
        <f t="shared" si="340"/>
        <v>41153Tiahura18111Autres</v>
      </c>
      <c r="B5954" s="1">
        <v>41153</v>
      </c>
      <c r="C5954" t="s">
        <v>24</v>
      </c>
      <c r="D5954" s="19">
        <v>18</v>
      </c>
      <c r="E5954">
        <v>111</v>
      </c>
      <c r="F5954" t="s">
        <v>14</v>
      </c>
      <c r="H5954">
        <v>0</v>
      </c>
    </row>
    <row r="5955" spans="1:9" x14ac:dyDescent="0.2">
      <c r="A5955" t="str">
        <f t="shared" si="340"/>
        <v>41153Tiahura18112Autres</v>
      </c>
      <c r="B5955" s="1">
        <v>41153</v>
      </c>
      <c r="C5955" t="s">
        <v>24</v>
      </c>
      <c r="D5955" s="19">
        <v>18</v>
      </c>
      <c r="E5955">
        <v>112</v>
      </c>
      <c r="F5955" t="s">
        <v>14</v>
      </c>
      <c r="H5955">
        <v>0</v>
      </c>
    </row>
    <row r="5956" spans="1:9" x14ac:dyDescent="0.2">
      <c r="A5956" t="str">
        <f t="shared" si="340"/>
        <v>41153Tiahura18113Autres</v>
      </c>
      <c r="B5956" s="1">
        <v>41153</v>
      </c>
      <c r="C5956" t="s">
        <v>24</v>
      </c>
      <c r="D5956" s="19">
        <v>18</v>
      </c>
      <c r="E5956">
        <v>113</v>
      </c>
      <c r="F5956" t="s">
        <v>14</v>
      </c>
      <c r="H5956">
        <v>0</v>
      </c>
    </row>
    <row r="5957" spans="1:9" x14ac:dyDescent="0.2">
      <c r="A5957" t="str">
        <f t="shared" si="340"/>
        <v>41153Tiahura18114Autres</v>
      </c>
      <c r="B5957" s="1">
        <v>41153</v>
      </c>
      <c r="C5957" t="s">
        <v>24</v>
      </c>
      <c r="D5957" s="19">
        <v>18</v>
      </c>
      <c r="E5957">
        <v>114</v>
      </c>
      <c r="F5957" t="s">
        <v>14</v>
      </c>
      <c r="H5957">
        <v>0</v>
      </c>
    </row>
    <row r="5958" spans="1:9" x14ac:dyDescent="0.2">
      <c r="A5958" t="str">
        <f t="shared" si="340"/>
        <v>41153Tiahura18115Autres</v>
      </c>
      <c r="B5958" s="1">
        <v>41153</v>
      </c>
      <c r="C5958" t="s">
        <v>24</v>
      </c>
      <c r="D5958" s="19">
        <v>18</v>
      </c>
      <c r="E5958">
        <v>115</v>
      </c>
      <c r="F5958" t="s">
        <v>14</v>
      </c>
      <c r="H5958">
        <v>0</v>
      </c>
    </row>
    <row r="5959" spans="1:9" x14ac:dyDescent="0.2">
      <c r="A5959" t="str">
        <f t="shared" si="340"/>
        <v>41153Tiahura18116Autres</v>
      </c>
      <c r="B5959" s="1">
        <v>41153</v>
      </c>
      <c r="C5959" t="s">
        <v>24</v>
      </c>
      <c r="D5959" s="19">
        <v>18</v>
      </c>
      <c r="E5959">
        <v>116</v>
      </c>
      <c r="F5959" t="s">
        <v>14</v>
      </c>
      <c r="H5959">
        <v>0</v>
      </c>
    </row>
    <row r="5960" spans="1:9" x14ac:dyDescent="0.2">
      <c r="A5960" t="str">
        <f t="shared" si="340"/>
        <v>41153Tiahura18117Autres</v>
      </c>
      <c r="B5960" s="1">
        <v>41153</v>
      </c>
      <c r="C5960" t="s">
        <v>24</v>
      </c>
      <c r="D5960" s="19">
        <v>18</v>
      </c>
      <c r="E5960">
        <v>117</v>
      </c>
      <c r="F5960" t="s">
        <v>14</v>
      </c>
      <c r="H5960">
        <v>0</v>
      </c>
    </row>
    <row r="5961" spans="1:9" x14ac:dyDescent="0.2">
      <c r="A5961" t="str">
        <f t="shared" si="340"/>
        <v>41153Tiahura18118Autres</v>
      </c>
      <c r="B5961" s="1">
        <v>41153</v>
      </c>
      <c r="C5961" t="s">
        <v>24</v>
      </c>
      <c r="D5961" s="19">
        <v>18</v>
      </c>
      <c r="E5961">
        <v>118</v>
      </c>
      <c r="F5961" t="s">
        <v>14</v>
      </c>
      <c r="H5961">
        <v>0</v>
      </c>
    </row>
    <row r="5962" spans="1:9" x14ac:dyDescent="0.2">
      <c r="A5962" t="str">
        <f t="shared" si="340"/>
        <v>41153Tiahura18119PoritidaeDessous</v>
      </c>
      <c r="B5962" s="1">
        <v>41153</v>
      </c>
      <c r="C5962" t="s">
        <v>24</v>
      </c>
      <c r="D5962" s="19">
        <v>18</v>
      </c>
      <c r="E5962">
        <v>119</v>
      </c>
      <c r="F5962" t="s">
        <v>7</v>
      </c>
      <c r="G5962" t="s">
        <v>8</v>
      </c>
      <c r="H5962">
        <v>1</v>
      </c>
      <c r="I5962" t="s">
        <v>27</v>
      </c>
    </row>
    <row r="5963" spans="1:9" x14ac:dyDescent="0.2">
      <c r="A5963" t="str">
        <f t="shared" si="340"/>
        <v>41153Tiahura18120Autres</v>
      </c>
      <c r="B5963" s="1">
        <v>41153</v>
      </c>
      <c r="C5963" t="s">
        <v>24</v>
      </c>
      <c r="D5963" s="19">
        <v>18</v>
      </c>
      <c r="E5963">
        <v>120</v>
      </c>
      <c r="F5963" t="s">
        <v>14</v>
      </c>
      <c r="H5963">
        <v>0</v>
      </c>
    </row>
    <row r="5964" spans="1:9" x14ac:dyDescent="0.2">
      <c r="A5964" t="str">
        <f t="shared" si="340"/>
        <v>41153Haapiti6121Autres</v>
      </c>
      <c r="B5964" s="1">
        <v>41153</v>
      </c>
      <c r="C5964" t="s">
        <v>25</v>
      </c>
      <c r="D5964" s="19">
        <v>6</v>
      </c>
      <c r="E5964">
        <v>121</v>
      </c>
      <c r="F5964" t="s">
        <v>14</v>
      </c>
      <c r="H5964">
        <v>0</v>
      </c>
    </row>
    <row r="5965" spans="1:9" x14ac:dyDescent="0.2">
      <c r="A5965" t="str">
        <f t="shared" si="340"/>
        <v>41153Haapiti6122Autres</v>
      </c>
      <c r="B5965" s="1">
        <v>41153</v>
      </c>
      <c r="C5965" t="s">
        <v>25</v>
      </c>
      <c r="D5965" s="19">
        <v>6</v>
      </c>
      <c r="E5965">
        <v>122</v>
      </c>
      <c r="F5965" t="s">
        <v>14</v>
      </c>
      <c r="H5965">
        <v>0</v>
      </c>
    </row>
    <row r="5966" spans="1:9" x14ac:dyDescent="0.2">
      <c r="A5966" t="str">
        <f t="shared" si="340"/>
        <v>41153Haapiti6123Autres</v>
      </c>
      <c r="B5966" s="1">
        <v>41153</v>
      </c>
      <c r="C5966" t="s">
        <v>25</v>
      </c>
      <c r="D5966" s="19">
        <v>6</v>
      </c>
      <c r="E5966">
        <v>123</v>
      </c>
      <c r="F5966" t="s">
        <v>14</v>
      </c>
      <c r="H5966">
        <v>0</v>
      </c>
    </row>
    <row r="5967" spans="1:9" x14ac:dyDescent="0.2">
      <c r="A5967" t="str">
        <f t="shared" si="340"/>
        <v>41153Haapiti6124Autres</v>
      </c>
      <c r="B5967" s="1">
        <v>41153</v>
      </c>
      <c r="C5967" t="s">
        <v>25</v>
      </c>
      <c r="D5967" s="19">
        <v>6</v>
      </c>
      <c r="E5967">
        <v>124</v>
      </c>
      <c r="F5967" t="s">
        <v>14</v>
      </c>
      <c r="H5967">
        <v>0</v>
      </c>
    </row>
    <row r="5968" spans="1:9" x14ac:dyDescent="0.2">
      <c r="A5968" t="str">
        <f t="shared" si="340"/>
        <v>41153Haapiti6125Autres</v>
      </c>
      <c r="B5968" s="1">
        <v>41153</v>
      </c>
      <c r="C5968" t="s">
        <v>25</v>
      </c>
      <c r="D5968" s="19">
        <v>6</v>
      </c>
      <c r="E5968">
        <v>125</v>
      </c>
      <c r="F5968" t="s">
        <v>14</v>
      </c>
      <c r="H5968">
        <v>0</v>
      </c>
    </row>
    <row r="5969" spans="1:8" x14ac:dyDescent="0.2">
      <c r="A5969" t="str">
        <f t="shared" si="340"/>
        <v>41153Haapiti6126Autres</v>
      </c>
      <c r="B5969" s="1">
        <v>41153</v>
      </c>
      <c r="C5969" t="s">
        <v>25</v>
      </c>
      <c r="D5969" s="19">
        <v>6</v>
      </c>
      <c r="E5969">
        <v>126</v>
      </c>
      <c r="F5969" t="s">
        <v>14</v>
      </c>
      <c r="H5969">
        <v>0</v>
      </c>
    </row>
    <row r="5970" spans="1:8" x14ac:dyDescent="0.2">
      <c r="A5970" t="str">
        <f t="shared" si="340"/>
        <v>41153Haapiti6127Autres</v>
      </c>
      <c r="B5970" s="1">
        <v>41153</v>
      </c>
      <c r="C5970" t="s">
        <v>25</v>
      </c>
      <c r="D5970" s="19">
        <v>6</v>
      </c>
      <c r="E5970">
        <v>127</v>
      </c>
      <c r="F5970" t="s">
        <v>14</v>
      </c>
      <c r="H5970">
        <v>0</v>
      </c>
    </row>
    <row r="5971" spans="1:8" x14ac:dyDescent="0.2">
      <c r="A5971" t="str">
        <f t="shared" si="340"/>
        <v>41153Haapiti6128Autres</v>
      </c>
      <c r="B5971" s="1">
        <v>41153</v>
      </c>
      <c r="C5971" t="s">
        <v>25</v>
      </c>
      <c r="D5971" s="19">
        <v>6</v>
      </c>
      <c r="E5971">
        <v>128</v>
      </c>
      <c r="F5971" t="s">
        <v>14</v>
      </c>
      <c r="H5971">
        <v>0</v>
      </c>
    </row>
    <row r="5972" spans="1:8" x14ac:dyDescent="0.2">
      <c r="A5972" t="str">
        <f t="shared" si="340"/>
        <v>41153Haapiti6129Autres</v>
      </c>
      <c r="B5972" s="1">
        <v>41153</v>
      </c>
      <c r="C5972" t="s">
        <v>25</v>
      </c>
      <c r="D5972" s="19">
        <v>6</v>
      </c>
      <c r="E5972">
        <v>129</v>
      </c>
      <c r="F5972" t="s">
        <v>14</v>
      </c>
      <c r="H5972">
        <v>0</v>
      </c>
    </row>
    <row r="5973" spans="1:8" x14ac:dyDescent="0.2">
      <c r="A5973" t="str">
        <f t="shared" si="340"/>
        <v>41153Haapiti6130Autres</v>
      </c>
      <c r="B5973" s="1">
        <v>41153</v>
      </c>
      <c r="C5973" t="s">
        <v>25</v>
      </c>
      <c r="D5973" s="19">
        <v>6</v>
      </c>
      <c r="E5973">
        <v>130</v>
      </c>
      <c r="F5973" t="s">
        <v>14</v>
      </c>
      <c r="H5973">
        <v>0</v>
      </c>
    </row>
    <row r="5974" spans="1:8" x14ac:dyDescent="0.2">
      <c r="A5974" t="str">
        <f t="shared" si="340"/>
        <v>41153Haapiti6131Autres</v>
      </c>
      <c r="B5974" s="1">
        <v>41153</v>
      </c>
      <c r="C5974" t="s">
        <v>25</v>
      </c>
      <c r="D5974" s="19">
        <v>6</v>
      </c>
      <c r="E5974">
        <v>131</v>
      </c>
      <c r="F5974" t="s">
        <v>14</v>
      </c>
      <c r="H5974">
        <v>0</v>
      </c>
    </row>
    <row r="5975" spans="1:8" x14ac:dyDescent="0.2">
      <c r="A5975" t="str">
        <f t="shared" si="340"/>
        <v>41153Haapiti6132Autres</v>
      </c>
      <c r="B5975" s="1">
        <v>41153</v>
      </c>
      <c r="C5975" t="s">
        <v>25</v>
      </c>
      <c r="D5975" s="19">
        <v>6</v>
      </c>
      <c r="E5975">
        <v>132</v>
      </c>
      <c r="F5975" t="s">
        <v>14</v>
      </c>
      <c r="H5975">
        <v>0</v>
      </c>
    </row>
    <row r="5976" spans="1:8" x14ac:dyDescent="0.2">
      <c r="A5976" t="str">
        <f t="shared" si="340"/>
        <v>41153Haapiti6133Autres</v>
      </c>
      <c r="B5976" s="1">
        <v>41153</v>
      </c>
      <c r="C5976" t="s">
        <v>25</v>
      </c>
      <c r="D5976" s="19">
        <v>6</v>
      </c>
      <c r="E5976">
        <v>133</v>
      </c>
      <c r="F5976" t="s">
        <v>14</v>
      </c>
      <c r="H5976">
        <v>0</v>
      </c>
    </row>
    <row r="5977" spans="1:8" x14ac:dyDescent="0.2">
      <c r="A5977" t="str">
        <f t="shared" si="340"/>
        <v>41153Haapiti6134Autres</v>
      </c>
      <c r="B5977" s="1">
        <v>41153</v>
      </c>
      <c r="C5977" t="s">
        <v>25</v>
      </c>
      <c r="D5977" s="19">
        <v>6</v>
      </c>
      <c r="E5977">
        <v>134</v>
      </c>
      <c r="F5977" t="s">
        <v>14</v>
      </c>
      <c r="H5977">
        <v>0</v>
      </c>
    </row>
    <row r="5978" spans="1:8" x14ac:dyDescent="0.2">
      <c r="A5978" t="str">
        <f t="shared" si="340"/>
        <v>41153Haapiti6135Autres</v>
      </c>
      <c r="B5978" s="1">
        <v>41153</v>
      </c>
      <c r="C5978" t="s">
        <v>25</v>
      </c>
      <c r="D5978" s="19">
        <v>6</v>
      </c>
      <c r="E5978">
        <v>135</v>
      </c>
      <c r="F5978" t="s">
        <v>14</v>
      </c>
      <c r="H5978">
        <v>0</v>
      </c>
    </row>
    <row r="5979" spans="1:8" x14ac:dyDescent="0.2">
      <c r="A5979" t="str">
        <f t="shared" si="340"/>
        <v>41153Haapiti6136Autres</v>
      </c>
      <c r="B5979" s="1">
        <v>41153</v>
      </c>
      <c r="C5979" t="s">
        <v>25</v>
      </c>
      <c r="D5979" s="19">
        <v>6</v>
      </c>
      <c r="E5979">
        <v>136</v>
      </c>
      <c r="F5979" t="s">
        <v>14</v>
      </c>
      <c r="H5979">
        <v>0</v>
      </c>
    </row>
    <row r="5980" spans="1:8" x14ac:dyDescent="0.2">
      <c r="A5980" t="str">
        <f t="shared" si="340"/>
        <v>41153Haapiti6137Autres</v>
      </c>
      <c r="B5980" s="1">
        <v>41153</v>
      </c>
      <c r="C5980" t="s">
        <v>25</v>
      </c>
      <c r="D5980" s="19">
        <v>6</v>
      </c>
      <c r="E5980">
        <v>137</v>
      </c>
      <c r="F5980" t="s">
        <v>14</v>
      </c>
      <c r="H5980">
        <v>0</v>
      </c>
    </row>
    <row r="5981" spans="1:8" x14ac:dyDescent="0.2">
      <c r="A5981" t="str">
        <f t="shared" si="340"/>
        <v>41153Haapiti6138Autres</v>
      </c>
      <c r="B5981" s="1">
        <v>41153</v>
      </c>
      <c r="C5981" t="s">
        <v>25</v>
      </c>
      <c r="D5981" s="19">
        <v>6</v>
      </c>
      <c r="E5981">
        <v>138</v>
      </c>
      <c r="F5981" t="s">
        <v>14</v>
      </c>
      <c r="H5981">
        <v>0</v>
      </c>
    </row>
    <row r="5982" spans="1:8" x14ac:dyDescent="0.2">
      <c r="A5982" t="str">
        <f t="shared" si="340"/>
        <v>41153Haapiti6139Autres</v>
      </c>
      <c r="B5982" s="1">
        <v>41153</v>
      </c>
      <c r="C5982" t="s">
        <v>25</v>
      </c>
      <c r="D5982" s="19">
        <v>6</v>
      </c>
      <c r="E5982">
        <v>139</v>
      </c>
      <c r="F5982" t="s">
        <v>14</v>
      </c>
      <c r="H5982">
        <v>0</v>
      </c>
    </row>
    <row r="5983" spans="1:8" x14ac:dyDescent="0.2">
      <c r="A5983" t="str">
        <f t="shared" si="340"/>
        <v>41153Haapiti6140Autres</v>
      </c>
      <c r="B5983" s="1">
        <v>41153</v>
      </c>
      <c r="C5983" t="s">
        <v>25</v>
      </c>
      <c r="D5983" s="19">
        <v>6</v>
      </c>
      <c r="E5983">
        <v>140</v>
      </c>
      <c r="F5983" t="s">
        <v>14</v>
      </c>
      <c r="H5983">
        <v>0</v>
      </c>
    </row>
    <row r="5984" spans="1:8" x14ac:dyDescent="0.2">
      <c r="A5984" t="str">
        <f t="shared" si="340"/>
        <v>41153Haapiti12141Autres</v>
      </c>
      <c r="B5984" s="1">
        <v>41153</v>
      </c>
      <c r="C5984" t="s">
        <v>25</v>
      </c>
      <c r="D5984" s="19">
        <v>12</v>
      </c>
      <c r="E5984">
        <v>141</v>
      </c>
      <c r="F5984" t="s">
        <v>14</v>
      </c>
      <c r="H5984">
        <v>0</v>
      </c>
    </row>
    <row r="5985" spans="1:9" x14ac:dyDescent="0.2">
      <c r="A5985" t="str">
        <f t="shared" si="340"/>
        <v>41153Haapiti12142Autres</v>
      </c>
      <c r="B5985" s="1">
        <v>41153</v>
      </c>
      <c r="C5985" t="s">
        <v>25</v>
      </c>
      <c r="D5985" s="19">
        <v>12</v>
      </c>
      <c r="E5985">
        <v>142</v>
      </c>
      <c r="F5985" t="s">
        <v>14</v>
      </c>
      <c r="H5985">
        <v>0</v>
      </c>
    </row>
    <row r="5986" spans="1:9" x14ac:dyDescent="0.2">
      <c r="A5986" t="str">
        <f t="shared" si="340"/>
        <v>41153Haapiti12143Autres</v>
      </c>
      <c r="B5986" s="1">
        <v>41153</v>
      </c>
      <c r="C5986" t="s">
        <v>25</v>
      </c>
      <c r="D5986" s="19">
        <v>12</v>
      </c>
      <c r="E5986">
        <v>143</v>
      </c>
      <c r="F5986" t="s">
        <v>14</v>
      </c>
      <c r="H5986">
        <v>0</v>
      </c>
    </row>
    <row r="5987" spans="1:9" x14ac:dyDescent="0.2">
      <c r="A5987" t="str">
        <f t="shared" si="340"/>
        <v>41153Haapiti12144Autres</v>
      </c>
      <c r="B5987" s="1">
        <v>41153</v>
      </c>
      <c r="C5987" t="s">
        <v>25</v>
      </c>
      <c r="D5987" s="19">
        <v>12</v>
      </c>
      <c r="E5987">
        <v>144</v>
      </c>
      <c r="F5987" t="s">
        <v>14</v>
      </c>
      <c r="H5987">
        <v>0</v>
      </c>
    </row>
    <row r="5988" spans="1:9" x14ac:dyDescent="0.2">
      <c r="A5988" t="str">
        <f t="shared" si="340"/>
        <v>41153Haapiti12145Autres</v>
      </c>
      <c r="B5988" s="1">
        <v>41153</v>
      </c>
      <c r="C5988" t="s">
        <v>25</v>
      </c>
      <c r="D5988" s="19">
        <v>12</v>
      </c>
      <c r="E5988">
        <v>145</v>
      </c>
      <c r="F5988" t="s">
        <v>14</v>
      </c>
      <c r="H5988">
        <v>0</v>
      </c>
    </row>
    <row r="5989" spans="1:9" x14ac:dyDescent="0.2">
      <c r="A5989" t="str">
        <f t="shared" si="340"/>
        <v>41153Haapiti12146Autres</v>
      </c>
      <c r="B5989" s="1">
        <v>41153</v>
      </c>
      <c r="C5989" t="s">
        <v>25</v>
      </c>
      <c r="D5989" s="19">
        <v>12</v>
      </c>
      <c r="E5989">
        <v>146</v>
      </c>
      <c r="F5989" t="s">
        <v>14</v>
      </c>
      <c r="H5989">
        <v>0</v>
      </c>
    </row>
    <row r="5990" spans="1:9" x14ac:dyDescent="0.2">
      <c r="A5990" t="str">
        <f t="shared" si="340"/>
        <v>41153Haapiti12147PocilloporidaeDessus</v>
      </c>
      <c r="B5990" s="1">
        <v>41153</v>
      </c>
      <c r="C5990" t="s">
        <v>25</v>
      </c>
      <c r="D5990" s="19">
        <v>12</v>
      </c>
      <c r="E5990">
        <v>147</v>
      </c>
      <c r="F5990" t="s">
        <v>10</v>
      </c>
      <c r="G5990" t="s">
        <v>11</v>
      </c>
      <c r="H5990">
        <v>1</v>
      </c>
      <c r="I5990" t="s">
        <v>27</v>
      </c>
    </row>
    <row r="5991" spans="1:9" x14ac:dyDescent="0.2">
      <c r="A5991" t="str">
        <f t="shared" si="340"/>
        <v>41153Haapiti12148Autres</v>
      </c>
      <c r="B5991" s="1">
        <v>41153</v>
      </c>
      <c r="C5991" t="s">
        <v>25</v>
      </c>
      <c r="D5991" s="19">
        <v>12</v>
      </c>
      <c r="E5991">
        <v>148</v>
      </c>
      <c r="F5991" t="s">
        <v>14</v>
      </c>
      <c r="H5991">
        <v>0</v>
      </c>
    </row>
    <row r="5992" spans="1:9" x14ac:dyDescent="0.2">
      <c r="A5992" t="str">
        <f t="shared" si="340"/>
        <v>41153Haapiti12149Autres</v>
      </c>
      <c r="B5992" s="1">
        <v>41153</v>
      </c>
      <c r="C5992" t="s">
        <v>25</v>
      </c>
      <c r="D5992" s="19">
        <v>12</v>
      </c>
      <c r="E5992">
        <v>149</v>
      </c>
      <c r="F5992" t="s">
        <v>14</v>
      </c>
      <c r="H5992">
        <v>0</v>
      </c>
    </row>
    <row r="5993" spans="1:9" x14ac:dyDescent="0.2">
      <c r="A5993" t="str">
        <f t="shared" si="340"/>
        <v>41153Haapiti12150Autres</v>
      </c>
      <c r="B5993" s="1">
        <v>41153</v>
      </c>
      <c r="C5993" t="s">
        <v>25</v>
      </c>
      <c r="D5993" s="19">
        <v>12</v>
      </c>
      <c r="E5993">
        <v>150</v>
      </c>
      <c r="F5993" t="s">
        <v>14</v>
      </c>
      <c r="H5993">
        <v>0</v>
      </c>
    </row>
    <row r="5994" spans="1:9" x14ac:dyDescent="0.2">
      <c r="A5994" t="str">
        <f t="shared" si="340"/>
        <v>41153Haapiti12151Autres</v>
      </c>
      <c r="B5994" s="1">
        <v>41153</v>
      </c>
      <c r="C5994" t="s">
        <v>25</v>
      </c>
      <c r="D5994" s="19">
        <v>12</v>
      </c>
      <c r="E5994">
        <v>151</v>
      </c>
      <c r="F5994" t="s">
        <v>14</v>
      </c>
      <c r="H5994">
        <v>0</v>
      </c>
    </row>
    <row r="5995" spans="1:9" x14ac:dyDescent="0.2">
      <c r="A5995" t="str">
        <f t="shared" si="340"/>
        <v>41153Haapiti12152Autres</v>
      </c>
      <c r="B5995" s="1">
        <v>41153</v>
      </c>
      <c r="C5995" t="s">
        <v>25</v>
      </c>
      <c r="D5995" s="19">
        <v>12</v>
      </c>
      <c r="E5995">
        <v>152</v>
      </c>
      <c r="F5995" t="s">
        <v>14</v>
      </c>
      <c r="H5995">
        <v>0</v>
      </c>
    </row>
    <row r="5996" spans="1:9" x14ac:dyDescent="0.2">
      <c r="A5996" t="str">
        <f t="shared" si="340"/>
        <v>41153Haapiti12153Autres</v>
      </c>
      <c r="B5996" s="1">
        <v>41153</v>
      </c>
      <c r="C5996" t="s">
        <v>25</v>
      </c>
      <c r="D5996" s="19">
        <v>12</v>
      </c>
      <c r="E5996">
        <v>153</v>
      </c>
      <c r="F5996" t="s">
        <v>14</v>
      </c>
      <c r="H5996">
        <v>0</v>
      </c>
    </row>
    <row r="5997" spans="1:9" x14ac:dyDescent="0.2">
      <c r="A5997" t="str">
        <f t="shared" si="340"/>
        <v>41153Haapiti12154Autres</v>
      </c>
      <c r="B5997" s="1">
        <v>41153</v>
      </c>
      <c r="C5997" t="s">
        <v>25</v>
      </c>
      <c r="D5997" s="19">
        <v>12</v>
      </c>
      <c r="E5997">
        <v>154</v>
      </c>
      <c r="F5997" t="s">
        <v>14</v>
      </c>
      <c r="H5997">
        <v>0</v>
      </c>
    </row>
    <row r="5998" spans="1:9" x14ac:dyDescent="0.2">
      <c r="A5998" t="str">
        <f t="shared" si="340"/>
        <v>41153Haapiti12155Autres</v>
      </c>
      <c r="B5998" s="1">
        <v>41153</v>
      </c>
      <c r="C5998" t="s">
        <v>25</v>
      </c>
      <c r="D5998" s="19">
        <v>12</v>
      </c>
      <c r="E5998">
        <v>155</v>
      </c>
      <c r="F5998" t="s">
        <v>14</v>
      </c>
      <c r="H5998">
        <v>0</v>
      </c>
    </row>
    <row r="5999" spans="1:9" x14ac:dyDescent="0.2">
      <c r="A5999" t="str">
        <f t="shared" si="340"/>
        <v>41153Haapiti12156PocilloporidaeDessus</v>
      </c>
      <c r="B5999" s="1">
        <v>41153</v>
      </c>
      <c r="C5999" t="s">
        <v>25</v>
      </c>
      <c r="D5999" s="19">
        <v>12</v>
      </c>
      <c r="E5999">
        <v>156</v>
      </c>
      <c r="F5999" t="s">
        <v>10</v>
      </c>
      <c r="G5999" t="s">
        <v>11</v>
      </c>
      <c r="H5999">
        <v>1</v>
      </c>
      <c r="I5999" t="s">
        <v>27</v>
      </c>
    </row>
    <row r="6000" spans="1:9" x14ac:dyDescent="0.2">
      <c r="A6000" t="str">
        <f t="shared" si="340"/>
        <v>41153Haapiti12157Autres</v>
      </c>
      <c r="B6000" s="1">
        <v>41153</v>
      </c>
      <c r="C6000" t="s">
        <v>25</v>
      </c>
      <c r="D6000" s="19">
        <v>12</v>
      </c>
      <c r="E6000">
        <v>157</v>
      </c>
      <c r="F6000" t="s">
        <v>14</v>
      </c>
      <c r="H6000">
        <v>0</v>
      </c>
    </row>
    <row r="6001" spans="1:9" x14ac:dyDescent="0.2">
      <c r="A6001" t="str">
        <f t="shared" si="340"/>
        <v>41153Haapiti12158Autres</v>
      </c>
      <c r="B6001" s="1">
        <v>41153</v>
      </c>
      <c r="C6001" t="s">
        <v>25</v>
      </c>
      <c r="D6001" s="19">
        <v>12</v>
      </c>
      <c r="E6001">
        <v>158</v>
      </c>
      <c r="F6001" t="s">
        <v>14</v>
      </c>
      <c r="H6001">
        <v>0</v>
      </c>
    </row>
    <row r="6002" spans="1:9" x14ac:dyDescent="0.2">
      <c r="A6002" t="str">
        <f t="shared" si="340"/>
        <v>41153Haapiti12159Autres</v>
      </c>
      <c r="B6002" s="1">
        <v>41153</v>
      </c>
      <c r="C6002" t="s">
        <v>25</v>
      </c>
      <c r="D6002" s="19">
        <v>12</v>
      </c>
      <c r="E6002">
        <v>159</v>
      </c>
      <c r="F6002" t="s">
        <v>14</v>
      </c>
      <c r="H6002">
        <v>0</v>
      </c>
    </row>
    <row r="6003" spans="1:9" x14ac:dyDescent="0.2">
      <c r="A6003" t="str">
        <f t="shared" si="340"/>
        <v>41153Haapiti12160Autres</v>
      </c>
      <c r="B6003" s="1">
        <v>41153</v>
      </c>
      <c r="C6003" t="s">
        <v>25</v>
      </c>
      <c r="D6003" s="19">
        <v>12</v>
      </c>
      <c r="E6003">
        <v>160</v>
      </c>
      <c r="F6003" t="s">
        <v>14</v>
      </c>
      <c r="H6003">
        <v>0</v>
      </c>
    </row>
    <row r="6004" spans="1:9" x14ac:dyDescent="0.2">
      <c r="A6004" t="str">
        <f t="shared" si="340"/>
        <v>41153Haapiti18161Autres</v>
      </c>
      <c r="B6004" s="1">
        <v>41153</v>
      </c>
      <c r="C6004" t="s">
        <v>25</v>
      </c>
      <c r="D6004" s="19">
        <v>18</v>
      </c>
      <c r="E6004">
        <v>161</v>
      </c>
      <c r="F6004" t="s">
        <v>14</v>
      </c>
      <c r="H6004">
        <v>0</v>
      </c>
    </row>
    <row r="6005" spans="1:9" x14ac:dyDescent="0.2">
      <c r="A6005" t="str">
        <f t="shared" si="340"/>
        <v>41153Haapiti18162Autres</v>
      </c>
      <c r="B6005" s="1">
        <v>41153</v>
      </c>
      <c r="C6005" t="s">
        <v>25</v>
      </c>
      <c r="D6005" s="19">
        <v>18</v>
      </c>
      <c r="E6005">
        <v>162</v>
      </c>
      <c r="F6005" t="s">
        <v>14</v>
      </c>
      <c r="H6005">
        <v>0</v>
      </c>
    </row>
    <row r="6006" spans="1:9" x14ac:dyDescent="0.2">
      <c r="A6006" t="str">
        <f t="shared" si="340"/>
        <v>41153Haapiti18163Autres</v>
      </c>
      <c r="B6006" s="1">
        <v>41153</v>
      </c>
      <c r="C6006" t="s">
        <v>25</v>
      </c>
      <c r="D6006" s="19">
        <v>18</v>
      </c>
      <c r="E6006">
        <v>163</v>
      </c>
      <c r="F6006" t="s">
        <v>14</v>
      </c>
      <c r="H6006">
        <v>0</v>
      </c>
    </row>
    <row r="6007" spans="1:9" x14ac:dyDescent="0.2">
      <c r="A6007" t="str">
        <f t="shared" si="340"/>
        <v>41153Haapiti18164Autres</v>
      </c>
      <c r="B6007" s="1">
        <v>41153</v>
      </c>
      <c r="C6007" t="s">
        <v>25</v>
      </c>
      <c r="D6007" s="19">
        <v>18</v>
      </c>
      <c r="E6007">
        <v>164</v>
      </c>
      <c r="F6007" t="s">
        <v>14</v>
      </c>
      <c r="H6007">
        <v>0</v>
      </c>
    </row>
    <row r="6008" spans="1:9" x14ac:dyDescent="0.2">
      <c r="A6008" t="str">
        <f t="shared" si="340"/>
        <v>41153Haapiti18165Autres</v>
      </c>
      <c r="B6008" s="1">
        <v>41153</v>
      </c>
      <c r="C6008" t="s">
        <v>25</v>
      </c>
      <c r="D6008" s="19">
        <v>18</v>
      </c>
      <c r="E6008">
        <v>165</v>
      </c>
      <c r="F6008" t="s">
        <v>14</v>
      </c>
      <c r="H6008">
        <v>0</v>
      </c>
    </row>
    <row r="6009" spans="1:9" x14ac:dyDescent="0.2">
      <c r="A6009" t="str">
        <f t="shared" si="340"/>
        <v>41153Haapiti18166Autres</v>
      </c>
      <c r="B6009" s="1">
        <v>41153</v>
      </c>
      <c r="C6009" t="s">
        <v>25</v>
      </c>
      <c r="D6009" s="19">
        <v>18</v>
      </c>
      <c r="E6009">
        <v>166</v>
      </c>
      <c r="F6009" t="s">
        <v>14</v>
      </c>
      <c r="H6009">
        <v>0</v>
      </c>
    </row>
    <row r="6010" spans="1:9" x14ac:dyDescent="0.2">
      <c r="A6010" t="str">
        <f t="shared" si="340"/>
        <v>41153Haapiti18167Autres</v>
      </c>
      <c r="B6010" s="1">
        <v>41153</v>
      </c>
      <c r="C6010" t="s">
        <v>25</v>
      </c>
      <c r="D6010" s="19">
        <v>18</v>
      </c>
      <c r="E6010">
        <v>167</v>
      </c>
      <c r="F6010" t="s">
        <v>14</v>
      </c>
      <c r="H6010">
        <v>0</v>
      </c>
    </row>
    <row r="6011" spans="1:9" x14ac:dyDescent="0.2">
      <c r="A6011" t="str">
        <f t="shared" si="340"/>
        <v>41153Haapiti18168Autres</v>
      </c>
      <c r="B6011" s="1">
        <v>41153</v>
      </c>
      <c r="C6011" t="s">
        <v>25</v>
      </c>
      <c r="D6011" s="19">
        <v>18</v>
      </c>
      <c r="E6011">
        <v>168</v>
      </c>
      <c r="F6011" t="s">
        <v>14</v>
      </c>
      <c r="H6011">
        <v>0</v>
      </c>
    </row>
    <row r="6012" spans="1:9" x14ac:dyDescent="0.2">
      <c r="A6012" t="str">
        <f t="shared" si="340"/>
        <v>41153Haapiti18169Autres</v>
      </c>
      <c r="B6012" s="1">
        <v>41153</v>
      </c>
      <c r="C6012" t="s">
        <v>25</v>
      </c>
      <c r="D6012" s="19">
        <v>18</v>
      </c>
      <c r="E6012">
        <v>169</v>
      </c>
      <c r="F6012" t="s">
        <v>14</v>
      </c>
      <c r="H6012">
        <v>0</v>
      </c>
    </row>
    <row r="6013" spans="1:9" x14ac:dyDescent="0.2">
      <c r="A6013" t="str">
        <f t="shared" si="340"/>
        <v>41153Haapiti18170Autres</v>
      </c>
      <c r="B6013" s="1">
        <v>41153</v>
      </c>
      <c r="C6013" t="s">
        <v>25</v>
      </c>
      <c r="D6013" s="19">
        <v>18</v>
      </c>
      <c r="E6013">
        <v>170</v>
      </c>
      <c r="F6013" t="s">
        <v>14</v>
      </c>
      <c r="H6013">
        <v>0</v>
      </c>
    </row>
    <row r="6014" spans="1:9" x14ac:dyDescent="0.2">
      <c r="A6014" t="str">
        <f t="shared" si="340"/>
        <v>41153Haapiti18171AcroporidaeBords</v>
      </c>
      <c r="B6014" s="1">
        <v>41153</v>
      </c>
      <c r="C6014" t="s">
        <v>25</v>
      </c>
      <c r="D6014" s="19">
        <v>18</v>
      </c>
      <c r="E6014">
        <v>171</v>
      </c>
      <c r="F6014" t="s">
        <v>17</v>
      </c>
      <c r="G6014" t="s">
        <v>13</v>
      </c>
      <c r="H6014">
        <v>1</v>
      </c>
      <c r="I6014" t="s">
        <v>27</v>
      </c>
    </row>
    <row r="6015" spans="1:9" x14ac:dyDescent="0.2">
      <c r="A6015" t="str">
        <f t="shared" ref="A6015:A6078" si="341">B6015 &amp; C6015&amp; D6015&amp; E6015 &amp; F6015 &amp;G6015</f>
        <v>41153Haapiti18172Autres</v>
      </c>
      <c r="B6015" s="1">
        <v>41153</v>
      </c>
      <c r="C6015" t="s">
        <v>25</v>
      </c>
      <c r="D6015" s="19">
        <v>18</v>
      </c>
      <c r="E6015">
        <v>172</v>
      </c>
      <c r="F6015" t="s">
        <v>14</v>
      </c>
      <c r="H6015">
        <v>0</v>
      </c>
    </row>
    <row r="6016" spans="1:9" x14ac:dyDescent="0.2">
      <c r="A6016" t="str">
        <f t="shared" si="341"/>
        <v>41153Haapiti18173Autres</v>
      </c>
      <c r="B6016" s="1">
        <v>41153</v>
      </c>
      <c r="C6016" t="s">
        <v>25</v>
      </c>
      <c r="D6016" s="19">
        <v>18</v>
      </c>
      <c r="E6016">
        <v>173</v>
      </c>
      <c r="F6016" t="s">
        <v>14</v>
      </c>
      <c r="H6016">
        <v>0</v>
      </c>
    </row>
    <row r="6017" spans="1:9" x14ac:dyDescent="0.2">
      <c r="A6017" t="str">
        <f t="shared" si="341"/>
        <v>41153Haapiti18174</v>
      </c>
      <c r="B6017" s="1">
        <v>41153</v>
      </c>
      <c r="C6017" t="s">
        <v>25</v>
      </c>
      <c r="D6017" s="19">
        <v>18</v>
      </c>
      <c r="E6017">
        <v>174</v>
      </c>
      <c r="F6017" t="s">
        <v>27</v>
      </c>
      <c r="G6017" t="s">
        <v>27</v>
      </c>
      <c r="H6017" t="s">
        <v>27</v>
      </c>
      <c r="I6017" t="s">
        <v>31</v>
      </c>
    </row>
    <row r="6018" spans="1:9" x14ac:dyDescent="0.2">
      <c r="A6018" t="str">
        <f t="shared" si="341"/>
        <v>41153Haapiti18175Autres</v>
      </c>
      <c r="B6018" s="1">
        <v>41153</v>
      </c>
      <c r="C6018" t="s">
        <v>25</v>
      </c>
      <c r="D6018" s="19">
        <v>18</v>
      </c>
      <c r="E6018">
        <v>175</v>
      </c>
      <c r="F6018" t="s">
        <v>14</v>
      </c>
      <c r="H6018">
        <v>0</v>
      </c>
    </row>
    <row r="6019" spans="1:9" x14ac:dyDescent="0.2">
      <c r="A6019" t="str">
        <f t="shared" si="341"/>
        <v>41153Haapiti18176Autres</v>
      </c>
      <c r="B6019" s="1">
        <v>41153</v>
      </c>
      <c r="C6019" t="s">
        <v>25</v>
      </c>
      <c r="D6019" s="19">
        <v>18</v>
      </c>
      <c r="E6019">
        <v>176</v>
      </c>
      <c r="F6019" t="s">
        <v>14</v>
      </c>
      <c r="H6019">
        <v>0</v>
      </c>
    </row>
    <row r="6020" spans="1:9" x14ac:dyDescent="0.2">
      <c r="A6020" t="str">
        <f t="shared" si="341"/>
        <v>41153Haapiti18177Autres</v>
      </c>
      <c r="B6020" s="1">
        <v>41153</v>
      </c>
      <c r="C6020" t="s">
        <v>25</v>
      </c>
      <c r="D6020" s="19">
        <v>18</v>
      </c>
      <c r="E6020">
        <v>177</v>
      </c>
      <c r="F6020" t="s">
        <v>14</v>
      </c>
      <c r="H6020">
        <v>0</v>
      </c>
    </row>
    <row r="6021" spans="1:9" x14ac:dyDescent="0.2">
      <c r="A6021" t="str">
        <f t="shared" si="341"/>
        <v>41153Haapiti18178Autres</v>
      </c>
      <c r="B6021" s="1">
        <v>41153</v>
      </c>
      <c r="C6021" t="s">
        <v>25</v>
      </c>
      <c r="D6021" s="19">
        <v>18</v>
      </c>
      <c r="E6021">
        <v>178</v>
      </c>
      <c r="F6021" t="s">
        <v>14</v>
      </c>
      <c r="H6021">
        <v>0</v>
      </c>
    </row>
    <row r="6022" spans="1:9" x14ac:dyDescent="0.2">
      <c r="A6022" t="str">
        <f t="shared" si="341"/>
        <v>41153Haapiti18179Autres</v>
      </c>
      <c r="B6022" s="1">
        <v>41153</v>
      </c>
      <c r="C6022" t="s">
        <v>25</v>
      </c>
      <c r="D6022" s="19">
        <v>18</v>
      </c>
      <c r="E6022">
        <v>179</v>
      </c>
      <c r="F6022" t="s">
        <v>14</v>
      </c>
      <c r="H6022">
        <v>0</v>
      </c>
    </row>
    <row r="6023" spans="1:9" x14ac:dyDescent="0.2">
      <c r="A6023" t="str">
        <f t="shared" si="341"/>
        <v>41153Haapiti18180Autres</v>
      </c>
      <c r="B6023" s="1">
        <v>41153</v>
      </c>
      <c r="C6023" t="s">
        <v>25</v>
      </c>
      <c r="D6023" s="19">
        <v>18</v>
      </c>
      <c r="E6023">
        <v>180</v>
      </c>
      <c r="F6023" t="s">
        <v>14</v>
      </c>
      <c r="H6023">
        <v>0</v>
      </c>
    </row>
    <row r="6024" spans="1:9" x14ac:dyDescent="0.2">
      <c r="A6024" t="str">
        <f t="shared" si="341"/>
        <v>41244Vaipahu61PocilloporidaeDessous</v>
      </c>
      <c r="B6024" s="1">
        <v>41244</v>
      </c>
      <c r="C6024" t="s">
        <v>23</v>
      </c>
      <c r="D6024" s="19">
        <v>6</v>
      </c>
      <c r="E6024">
        <v>1</v>
      </c>
      <c r="F6024" t="s">
        <v>10</v>
      </c>
      <c r="G6024" t="s">
        <v>8</v>
      </c>
      <c r="H6024">
        <v>1</v>
      </c>
      <c r="I6024" t="s">
        <v>27</v>
      </c>
    </row>
    <row r="6025" spans="1:9" x14ac:dyDescent="0.2">
      <c r="A6025" t="str">
        <f t="shared" si="341"/>
        <v>41244Vaipahu61PocilloporidaeDessus</v>
      </c>
      <c r="B6025" s="1">
        <v>41244</v>
      </c>
      <c r="C6025" t="s">
        <v>23</v>
      </c>
      <c r="D6025" s="19">
        <v>6</v>
      </c>
      <c r="E6025">
        <v>1</v>
      </c>
      <c r="F6025" t="s">
        <v>10</v>
      </c>
      <c r="G6025" t="s">
        <v>11</v>
      </c>
      <c r="H6025">
        <v>1</v>
      </c>
      <c r="I6025" t="s">
        <v>27</v>
      </c>
    </row>
    <row r="6026" spans="1:9" x14ac:dyDescent="0.2">
      <c r="A6026" t="str">
        <f t="shared" si="341"/>
        <v>41244Vaipahu62CassésDessus</v>
      </c>
      <c r="B6026" s="1">
        <v>41244</v>
      </c>
      <c r="C6026" t="s">
        <v>23</v>
      </c>
      <c r="D6026" s="19">
        <v>6</v>
      </c>
      <c r="E6026">
        <v>2</v>
      </c>
      <c r="F6026" t="s">
        <v>12</v>
      </c>
      <c r="G6026" t="s">
        <v>11</v>
      </c>
      <c r="H6026">
        <v>1</v>
      </c>
      <c r="I6026" t="s">
        <v>27</v>
      </c>
    </row>
    <row r="6027" spans="1:9" x14ac:dyDescent="0.2">
      <c r="A6027" t="str">
        <f t="shared" si="341"/>
        <v>41244Vaipahu62PocilloporidaeDessous</v>
      </c>
      <c r="B6027" s="1">
        <v>41244</v>
      </c>
      <c r="C6027" t="s">
        <v>23</v>
      </c>
      <c r="D6027" s="19">
        <v>6</v>
      </c>
      <c r="E6027">
        <v>2</v>
      </c>
      <c r="F6027" t="s">
        <v>10</v>
      </c>
      <c r="G6027" t="s">
        <v>8</v>
      </c>
      <c r="H6027">
        <v>1</v>
      </c>
      <c r="I6027" t="s">
        <v>27</v>
      </c>
    </row>
    <row r="6028" spans="1:9" x14ac:dyDescent="0.2">
      <c r="A6028" t="str">
        <f t="shared" si="341"/>
        <v>41244Vaipahu62PocilloporidaeDessus</v>
      </c>
      <c r="B6028" s="1">
        <v>41244</v>
      </c>
      <c r="C6028" t="s">
        <v>23</v>
      </c>
      <c r="D6028" s="19">
        <v>6</v>
      </c>
      <c r="E6028">
        <v>2</v>
      </c>
      <c r="F6028" t="s">
        <v>10</v>
      </c>
      <c r="G6028" t="s">
        <v>11</v>
      </c>
      <c r="H6028">
        <v>2</v>
      </c>
      <c r="I6028" t="s">
        <v>27</v>
      </c>
    </row>
    <row r="6029" spans="1:9" x14ac:dyDescent="0.2">
      <c r="A6029" t="str">
        <f t="shared" si="341"/>
        <v>41244Vaipahu63PocilloporidaeBords</v>
      </c>
      <c r="B6029" s="1">
        <v>41244</v>
      </c>
      <c r="C6029" t="s">
        <v>23</v>
      </c>
      <c r="D6029" s="19">
        <v>6</v>
      </c>
      <c r="E6029">
        <v>3</v>
      </c>
      <c r="F6029" t="s">
        <v>10</v>
      </c>
      <c r="G6029" t="s">
        <v>13</v>
      </c>
      <c r="H6029">
        <v>1</v>
      </c>
      <c r="I6029" t="s">
        <v>27</v>
      </c>
    </row>
    <row r="6030" spans="1:9" x14ac:dyDescent="0.2">
      <c r="A6030" t="str">
        <f t="shared" si="341"/>
        <v>41244Vaipahu64PocilloporidaeDessous</v>
      </c>
      <c r="B6030" s="1">
        <v>41244</v>
      </c>
      <c r="C6030" t="s">
        <v>23</v>
      </c>
      <c r="D6030" s="19">
        <v>6</v>
      </c>
      <c r="E6030">
        <v>4</v>
      </c>
      <c r="F6030" t="s">
        <v>10</v>
      </c>
      <c r="G6030" t="s">
        <v>8</v>
      </c>
      <c r="H6030">
        <v>1</v>
      </c>
      <c r="I6030" t="s">
        <v>27</v>
      </c>
    </row>
    <row r="6031" spans="1:9" x14ac:dyDescent="0.2">
      <c r="A6031" t="str">
        <f t="shared" si="341"/>
        <v>41244Vaipahu65Autres</v>
      </c>
      <c r="B6031" s="1">
        <v>41244</v>
      </c>
      <c r="C6031" t="s">
        <v>23</v>
      </c>
      <c r="D6031" s="19">
        <v>6</v>
      </c>
      <c r="E6031">
        <v>5</v>
      </c>
      <c r="F6031" t="s">
        <v>14</v>
      </c>
      <c r="H6031">
        <v>0</v>
      </c>
    </row>
    <row r="6032" spans="1:9" x14ac:dyDescent="0.2">
      <c r="A6032" t="str">
        <f t="shared" si="341"/>
        <v>41244Vaipahu66PocilloporidaeDessous</v>
      </c>
      <c r="B6032" s="1">
        <v>41244</v>
      </c>
      <c r="C6032" t="s">
        <v>23</v>
      </c>
      <c r="D6032" s="19">
        <v>6</v>
      </c>
      <c r="E6032">
        <v>6</v>
      </c>
      <c r="F6032" t="s">
        <v>10</v>
      </c>
      <c r="G6032" t="s">
        <v>8</v>
      </c>
      <c r="H6032">
        <v>1</v>
      </c>
      <c r="I6032" t="s">
        <v>27</v>
      </c>
    </row>
    <row r="6033" spans="1:9" x14ac:dyDescent="0.2">
      <c r="A6033" t="str">
        <f t="shared" si="341"/>
        <v>41244Vaipahu67PocilloporidaeDessous</v>
      </c>
      <c r="B6033" s="1">
        <v>41244</v>
      </c>
      <c r="C6033" t="s">
        <v>23</v>
      </c>
      <c r="D6033" s="19">
        <v>6</v>
      </c>
      <c r="E6033">
        <v>7</v>
      </c>
      <c r="F6033" t="s">
        <v>10</v>
      </c>
      <c r="G6033" t="s">
        <v>8</v>
      </c>
      <c r="H6033">
        <v>3</v>
      </c>
      <c r="I6033" t="s">
        <v>27</v>
      </c>
    </row>
    <row r="6034" spans="1:9" x14ac:dyDescent="0.2">
      <c r="A6034" t="str">
        <f t="shared" si="341"/>
        <v>41244Vaipahu68CassésDessus</v>
      </c>
      <c r="B6034" s="1">
        <v>41244</v>
      </c>
      <c r="C6034" t="s">
        <v>23</v>
      </c>
      <c r="D6034" s="19">
        <v>6</v>
      </c>
      <c r="E6034">
        <v>8</v>
      </c>
      <c r="F6034" t="s">
        <v>12</v>
      </c>
      <c r="G6034" t="s">
        <v>11</v>
      </c>
      <c r="H6034">
        <v>1</v>
      </c>
      <c r="I6034" t="s">
        <v>27</v>
      </c>
    </row>
    <row r="6035" spans="1:9" x14ac:dyDescent="0.2">
      <c r="A6035" t="str">
        <f t="shared" si="341"/>
        <v>41244Vaipahu68PocilloporidaeDessous</v>
      </c>
      <c r="B6035" s="1">
        <v>41244</v>
      </c>
      <c r="C6035" t="s">
        <v>23</v>
      </c>
      <c r="D6035" s="19">
        <v>6</v>
      </c>
      <c r="E6035">
        <v>8</v>
      </c>
      <c r="F6035" t="s">
        <v>10</v>
      </c>
      <c r="G6035" t="s">
        <v>8</v>
      </c>
      <c r="H6035">
        <v>1</v>
      </c>
      <c r="I6035" t="s">
        <v>27</v>
      </c>
    </row>
    <row r="6036" spans="1:9" x14ac:dyDescent="0.2">
      <c r="A6036" t="str">
        <f t="shared" si="341"/>
        <v>41244Vaipahu68PocilloporidaeDessus</v>
      </c>
      <c r="B6036" s="1">
        <v>41244</v>
      </c>
      <c r="C6036" t="s">
        <v>23</v>
      </c>
      <c r="D6036" s="19">
        <v>6</v>
      </c>
      <c r="E6036">
        <v>8</v>
      </c>
      <c r="F6036" t="s">
        <v>10</v>
      </c>
      <c r="G6036" t="s">
        <v>11</v>
      </c>
      <c r="H6036">
        <v>2</v>
      </c>
      <c r="I6036" t="s">
        <v>27</v>
      </c>
    </row>
    <row r="6037" spans="1:9" x14ac:dyDescent="0.2">
      <c r="A6037" t="str">
        <f t="shared" si="341"/>
        <v>41244Vaipahu69PocilloporidaeBords</v>
      </c>
      <c r="B6037" s="1">
        <v>41244</v>
      </c>
      <c r="C6037" t="s">
        <v>23</v>
      </c>
      <c r="D6037" s="19">
        <v>6</v>
      </c>
      <c r="E6037">
        <v>9</v>
      </c>
      <c r="F6037" t="s">
        <v>10</v>
      </c>
      <c r="G6037" t="s">
        <v>13</v>
      </c>
      <c r="H6037">
        <v>1</v>
      </c>
      <c r="I6037" t="s">
        <v>27</v>
      </c>
    </row>
    <row r="6038" spans="1:9" x14ac:dyDescent="0.2">
      <c r="A6038" t="str">
        <f t="shared" si="341"/>
        <v>41244Vaipahu69PocilloporidaeDessous</v>
      </c>
      <c r="B6038" s="1">
        <v>41244</v>
      </c>
      <c r="C6038" t="s">
        <v>23</v>
      </c>
      <c r="D6038" s="19">
        <v>6</v>
      </c>
      <c r="E6038">
        <v>9</v>
      </c>
      <c r="F6038" t="s">
        <v>10</v>
      </c>
      <c r="G6038" t="s">
        <v>8</v>
      </c>
      <c r="H6038">
        <v>1</v>
      </c>
      <c r="I6038" t="s">
        <v>27</v>
      </c>
    </row>
    <row r="6039" spans="1:9" x14ac:dyDescent="0.2">
      <c r="A6039" t="str">
        <f t="shared" si="341"/>
        <v>41244Vaipahu610PocilloporidaeBords</v>
      </c>
      <c r="B6039" s="1">
        <v>41244</v>
      </c>
      <c r="C6039" t="s">
        <v>23</v>
      </c>
      <c r="D6039" s="19">
        <v>6</v>
      </c>
      <c r="E6039">
        <v>10</v>
      </c>
      <c r="F6039" t="s">
        <v>10</v>
      </c>
      <c r="G6039" t="s">
        <v>13</v>
      </c>
      <c r="H6039">
        <v>3</v>
      </c>
      <c r="I6039" t="s">
        <v>27</v>
      </c>
    </row>
    <row r="6040" spans="1:9" x14ac:dyDescent="0.2">
      <c r="A6040" t="str">
        <f t="shared" si="341"/>
        <v>41244Vaipahu611Autres</v>
      </c>
      <c r="B6040" s="1">
        <v>41244</v>
      </c>
      <c r="C6040" t="s">
        <v>23</v>
      </c>
      <c r="D6040" s="19">
        <v>6</v>
      </c>
      <c r="E6040">
        <v>11</v>
      </c>
      <c r="F6040" t="s">
        <v>14</v>
      </c>
      <c r="H6040">
        <v>0</v>
      </c>
    </row>
    <row r="6041" spans="1:9" x14ac:dyDescent="0.2">
      <c r="A6041" t="str">
        <f t="shared" si="341"/>
        <v>41244Vaipahu612Autres</v>
      </c>
      <c r="B6041" s="1">
        <v>41244</v>
      </c>
      <c r="C6041" t="s">
        <v>23</v>
      </c>
      <c r="D6041" s="19">
        <v>6</v>
      </c>
      <c r="E6041">
        <v>12</v>
      </c>
      <c r="F6041" t="s">
        <v>14</v>
      </c>
      <c r="H6041">
        <v>0</v>
      </c>
    </row>
    <row r="6042" spans="1:9" x14ac:dyDescent="0.2">
      <c r="A6042" t="str">
        <f t="shared" si="341"/>
        <v>41244Vaipahu613Autres</v>
      </c>
      <c r="B6042" s="1">
        <v>41244</v>
      </c>
      <c r="C6042" t="s">
        <v>23</v>
      </c>
      <c r="D6042" s="19">
        <v>6</v>
      </c>
      <c r="E6042">
        <v>13</v>
      </c>
      <c r="F6042" t="s">
        <v>14</v>
      </c>
      <c r="H6042">
        <v>0</v>
      </c>
    </row>
    <row r="6043" spans="1:9" x14ac:dyDescent="0.2">
      <c r="A6043" t="str">
        <f t="shared" si="341"/>
        <v>41244Vaipahu614PocilloporidaeBords</v>
      </c>
      <c r="B6043" s="1">
        <v>41244</v>
      </c>
      <c r="C6043" t="s">
        <v>23</v>
      </c>
      <c r="D6043" s="19">
        <v>6</v>
      </c>
      <c r="E6043">
        <v>14</v>
      </c>
      <c r="F6043" t="s">
        <v>10</v>
      </c>
      <c r="G6043" t="s">
        <v>13</v>
      </c>
      <c r="H6043">
        <v>2</v>
      </c>
      <c r="I6043" t="s">
        <v>27</v>
      </c>
    </row>
    <row r="6044" spans="1:9" x14ac:dyDescent="0.2">
      <c r="A6044" t="str">
        <f t="shared" si="341"/>
        <v>41244Vaipahu614PocilloporidaeDessous</v>
      </c>
      <c r="B6044" s="1">
        <v>41244</v>
      </c>
      <c r="C6044" t="s">
        <v>23</v>
      </c>
      <c r="D6044" s="19">
        <v>6</v>
      </c>
      <c r="E6044">
        <v>14</v>
      </c>
      <c r="F6044" t="s">
        <v>10</v>
      </c>
      <c r="G6044" t="s">
        <v>8</v>
      </c>
      <c r="H6044">
        <v>6</v>
      </c>
      <c r="I6044" t="s">
        <v>27</v>
      </c>
    </row>
    <row r="6045" spans="1:9" x14ac:dyDescent="0.2">
      <c r="A6045" t="str">
        <f t="shared" si="341"/>
        <v>41244Vaipahu615PocilloporidaeDessous</v>
      </c>
      <c r="B6045" s="1">
        <v>41244</v>
      </c>
      <c r="C6045" t="s">
        <v>23</v>
      </c>
      <c r="D6045" s="19">
        <v>6</v>
      </c>
      <c r="E6045">
        <v>15</v>
      </c>
      <c r="F6045" t="s">
        <v>10</v>
      </c>
      <c r="G6045" t="s">
        <v>8</v>
      </c>
      <c r="H6045">
        <v>5</v>
      </c>
      <c r="I6045" t="s">
        <v>27</v>
      </c>
    </row>
    <row r="6046" spans="1:9" x14ac:dyDescent="0.2">
      <c r="A6046" t="str">
        <f t="shared" si="341"/>
        <v>41244Vaipahu616AcroporidaeBords</v>
      </c>
      <c r="B6046" s="1">
        <v>41244</v>
      </c>
      <c r="C6046" t="s">
        <v>23</v>
      </c>
      <c r="D6046" s="19">
        <v>6</v>
      </c>
      <c r="E6046">
        <v>16</v>
      </c>
      <c r="F6046" t="s">
        <v>17</v>
      </c>
      <c r="G6046" t="s">
        <v>13</v>
      </c>
      <c r="H6046">
        <v>2</v>
      </c>
      <c r="I6046" t="s">
        <v>27</v>
      </c>
    </row>
    <row r="6047" spans="1:9" x14ac:dyDescent="0.2">
      <c r="A6047" t="str">
        <f t="shared" si="341"/>
        <v>41244Vaipahu616PocilloporidaeBords</v>
      </c>
      <c r="B6047" s="1">
        <v>41244</v>
      </c>
      <c r="C6047" t="s">
        <v>23</v>
      </c>
      <c r="D6047" s="19">
        <v>6</v>
      </c>
      <c r="E6047">
        <v>16</v>
      </c>
      <c r="F6047" t="s">
        <v>10</v>
      </c>
      <c r="G6047" t="s">
        <v>13</v>
      </c>
      <c r="H6047">
        <v>2</v>
      </c>
      <c r="I6047" t="s">
        <v>27</v>
      </c>
    </row>
    <row r="6048" spans="1:9" x14ac:dyDescent="0.2">
      <c r="A6048" t="str">
        <f t="shared" si="341"/>
        <v>41244Vaipahu616PocilloporidaeDessous</v>
      </c>
      <c r="B6048" s="1">
        <v>41244</v>
      </c>
      <c r="C6048" t="s">
        <v>23</v>
      </c>
      <c r="D6048" s="19">
        <v>6</v>
      </c>
      <c r="E6048">
        <v>16</v>
      </c>
      <c r="F6048" t="s">
        <v>10</v>
      </c>
      <c r="G6048" t="s">
        <v>8</v>
      </c>
      <c r="H6048">
        <v>1</v>
      </c>
      <c r="I6048" t="s">
        <v>27</v>
      </c>
    </row>
    <row r="6049" spans="1:9" x14ac:dyDescent="0.2">
      <c r="A6049" t="str">
        <f t="shared" si="341"/>
        <v>41244Vaipahu617PocilloporidaeDessus</v>
      </c>
      <c r="B6049" s="1">
        <v>41244</v>
      </c>
      <c r="C6049" t="s">
        <v>23</v>
      </c>
      <c r="D6049" s="19">
        <v>6</v>
      </c>
      <c r="E6049">
        <v>17</v>
      </c>
      <c r="F6049" t="s">
        <v>10</v>
      </c>
      <c r="G6049" t="s">
        <v>11</v>
      </c>
      <c r="H6049">
        <v>1</v>
      </c>
      <c r="I6049" t="s">
        <v>27</v>
      </c>
    </row>
    <row r="6050" spans="1:9" x14ac:dyDescent="0.2">
      <c r="A6050" t="str">
        <f t="shared" si="341"/>
        <v>41244Vaipahu618PocilloporidaeDessous</v>
      </c>
      <c r="B6050" s="1">
        <v>41244</v>
      </c>
      <c r="C6050" t="s">
        <v>23</v>
      </c>
      <c r="D6050" s="19">
        <v>6</v>
      </c>
      <c r="E6050">
        <v>18</v>
      </c>
      <c r="F6050" t="s">
        <v>10</v>
      </c>
      <c r="G6050" t="s">
        <v>8</v>
      </c>
      <c r="H6050">
        <v>1</v>
      </c>
      <c r="I6050" t="s">
        <v>27</v>
      </c>
    </row>
    <row r="6051" spans="1:9" x14ac:dyDescent="0.2">
      <c r="A6051" t="str">
        <f t="shared" si="341"/>
        <v>41244Vaipahu619Autres</v>
      </c>
      <c r="B6051" s="1">
        <v>41244</v>
      </c>
      <c r="C6051" t="s">
        <v>23</v>
      </c>
      <c r="D6051" s="19">
        <v>6</v>
      </c>
      <c r="E6051">
        <v>19</v>
      </c>
      <c r="F6051" t="s">
        <v>14</v>
      </c>
      <c r="H6051">
        <v>0</v>
      </c>
    </row>
    <row r="6052" spans="1:9" x14ac:dyDescent="0.2">
      <c r="A6052" t="str">
        <f t="shared" si="341"/>
        <v>41244Vaipahu620Autres</v>
      </c>
      <c r="B6052" s="1">
        <v>41244</v>
      </c>
      <c r="C6052" t="s">
        <v>23</v>
      </c>
      <c r="D6052" s="19">
        <v>6</v>
      </c>
      <c r="E6052">
        <v>20</v>
      </c>
      <c r="F6052" t="s">
        <v>14</v>
      </c>
      <c r="H6052">
        <v>0</v>
      </c>
    </row>
    <row r="6053" spans="1:9" x14ac:dyDescent="0.2">
      <c r="A6053" t="str">
        <f t="shared" si="341"/>
        <v>41244Vaipahu1221PocilloporidaeDessous</v>
      </c>
      <c r="B6053" s="1">
        <v>41244</v>
      </c>
      <c r="C6053" t="s">
        <v>23</v>
      </c>
      <c r="D6053" s="19">
        <v>12</v>
      </c>
      <c r="E6053">
        <v>21</v>
      </c>
      <c r="F6053" t="s">
        <v>10</v>
      </c>
      <c r="G6053" t="s">
        <v>8</v>
      </c>
      <c r="H6053">
        <v>1</v>
      </c>
      <c r="I6053" t="s">
        <v>27</v>
      </c>
    </row>
    <row r="6054" spans="1:9" x14ac:dyDescent="0.2">
      <c r="A6054" t="str">
        <f t="shared" si="341"/>
        <v>41244Vaipahu1222PocilloporidaeDessous</v>
      </c>
      <c r="B6054" s="1">
        <v>41244</v>
      </c>
      <c r="C6054" t="s">
        <v>23</v>
      </c>
      <c r="D6054" s="19">
        <v>12</v>
      </c>
      <c r="E6054">
        <v>22</v>
      </c>
      <c r="F6054" t="s">
        <v>10</v>
      </c>
      <c r="G6054" t="s">
        <v>8</v>
      </c>
      <c r="H6054">
        <v>1</v>
      </c>
      <c r="I6054" t="s">
        <v>27</v>
      </c>
    </row>
    <row r="6055" spans="1:9" x14ac:dyDescent="0.2">
      <c r="A6055" t="str">
        <f t="shared" si="341"/>
        <v>41244Vaipahu1223PocilloporidaeBords</v>
      </c>
      <c r="B6055" s="1">
        <v>41244</v>
      </c>
      <c r="C6055" t="s">
        <v>23</v>
      </c>
      <c r="D6055" s="19">
        <v>12</v>
      </c>
      <c r="E6055">
        <v>23</v>
      </c>
      <c r="F6055" t="s">
        <v>10</v>
      </c>
      <c r="G6055" t="s">
        <v>13</v>
      </c>
      <c r="H6055">
        <v>1</v>
      </c>
      <c r="I6055" t="s">
        <v>27</v>
      </c>
    </row>
    <row r="6056" spans="1:9" x14ac:dyDescent="0.2">
      <c r="A6056" t="str">
        <f t="shared" si="341"/>
        <v>41244Vaipahu1223PocilloporidaeDessus</v>
      </c>
      <c r="B6056" s="1">
        <v>41244</v>
      </c>
      <c r="C6056" t="s">
        <v>23</v>
      </c>
      <c r="D6056" s="19">
        <v>12</v>
      </c>
      <c r="E6056">
        <v>23</v>
      </c>
      <c r="F6056" t="s">
        <v>10</v>
      </c>
      <c r="G6056" t="s">
        <v>11</v>
      </c>
      <c r="H6056">
        <v>1</v>
      </c>
      <c r="I6056" t="s">
        <v>27</v>
      </c>
    </row>
    <row r="6057" spans="1:9" x14ac:dyDescent="0.2">
      <c r="A6057" t="str">
        <f t="shared" si="341"/>
        <v>41244Vaipahu1224PocilloporidaeBords</v>
      </c>
      <c r="B6057" s="1">
        <v>41244</v>
      </c>
      <c r="C6057" t="s">
        <v>23</v>
      </c>
      <c r="D6057" s="19">
        <v>12</v>
      </c>
      <c r="E6057">
        <v>24</v>
      </c>
      <c r="F6057" t="s">
        <v>10</v>
      </c>
      <c r="G6057" t="s">
        <v>13</v>
      </c>
      <c r="H6057">
        <v>1</v>
      </c>
      <c r="I6057" t="s">
        <v>27</v>
      </c>
    </row>
    <row r="6058" spans="1:9" x14ac:dyDescent="0.2">
      <c r="A6058" t="str">
        <f t="shared" si="341"/>
        <v>41244Vaipahu1224PocilloporidaeDessous</v>
      </c>
      <c r="B6058" s="1">
        <v>41244</v>
      </c>
      <c r="C6058" t="s">
        <v>23</v>
      </c>
      <c r="D6058" s="19">
        <v>12</v>
      </c>
      <c r="E6058">
        <v>24</v>
      </c>
      <c r="F6058" t="s">
        <v>10</v>
      </c>
      <c r="G6058" t="s">
        <v>8</v>
      </c>
      <c r="H6058">
        <v>1</v>
      </c>
      <c r="I6058" t="s">
        <v>27</v>
      </c>
    </row>
    <row r="6059" spans="1:9" x14ac:dyDescent="0.2">
      <c r="A6059" t="str">
        <f t="shared" si="341"/>
        <v>41244Vaipahu1225PocilloporidaeDessous</v>
      </c>
      <c r="B6059" s="1">
        <v>41244</v>
      </c>
      <c r="C6059" t="s">
        <v>23</v>
      </c>
      <c r="D6059" s="19">
        <v>12</v>
      </c>
      <c r="E6059">
        <v>25</v>
      </c>
      <c r="F6059" t="s">
        <v>10</v>
      </c>
      <c r="G6059" t="s">
        <v>8</v>
      </c>
      <c r="H6059">
        <v>1</v>
      </c>
      <c r="I6059" t="s">
        <v>27</v>
      </c>
    </row>
    <row r="6060" spans="1:9" x14ac:dyDescent="0.2">
      <c r="A6060" t="str">
        <f t="shared" si="341"/>
        <v>41244Vaipahu1225PocilloporidaeDessus</v>
      </c>
      <c r="B6060" s="1">
        <v>41244</v>
      </c>
      <c r="C6060" t="s">
        <v>23</v>
      </c>
      <c r="D6060" s="19">
        <v>12</v>
      </c>
      <c r="E6060">
        <v>25</v>
      </c>
      <c r="F6060" t="s">
        <v>10</v>
      </c>
      <c r="G6060" t="s">
        <v>11</v>
      </c>
      <c r="H6060">
        <v>1</v>
      </c>
      <c r="I6060" t="s">
        <v>27</v>
      </c>
    </row>
    <row r="6061" spans="1:9" x14ac:dyDescent="0.2">
      <c r="A6061" t="str">
        <f t="shared" si="341"/>
        <v>41244Vaipahu1226PocilloporidaeDessous</v>
      </c>
      <c r="B6061" s="1">
        <v>41244</v>
      </c>
      <c r="C6061" t="s">
        <v>23</v>
      </c>
      <c r="D6061" s="19">
        <v>12</v>
      </c>
      <c r="E6061">
        <v>26</v>
      </c>
      <c r="F6061" t="s">
        <v>10</v>
      </c>
      <c r="G6061" t="s">
        <v>8</v>
      </c>
      <c r="H6061">
        <v>2</v>
      </c>
      <c r="I6061" t="s">
        <v>27</v>
      </c>
    </row>
    <row r="6062" spans="1:9" x14ac:dyDescent="0.2">
      <c r="A6062" t="str">
        <f t="shared" si="341"/>
        <v>41244Vaipahu1227PocilloporidaeDessous</v>
      </c>
      <c r="B6062" s="1">
        <v>41244</v>
      </c>
      <c r="C6062" t="s">
        <v>23</v>
      </c>
      <c r="D6062" s="19">
        <v>12</v>
      </c>
      <c r="E6062">
        <v>27</v>
      </c>
      <c r="F6062" t="s">
        <v>10</v>
      </c>
      <c r="G6062" t="s">
        <v>8</v>
      </c>
      <c r="H6062">
        <v>1</v>
      </c>
      <c r="I6062" t="s">
        <v>27</v>
      </c>
    </row>
    <row r="6063" spans="1:9" x14ac:dyDescent="0.2">
      <c r="A6063" t="str">
        <f t="shared" si="341"/>
        <v>41244Vaipahu1227PocilloporidaeDessus</v>
      </c>
      <c r="B6063" s="1">
        <v>41244</v>
      </c>
      <c r="C6063" t="s">
        <v>23</v>
      </c>
      <c r="D6063" s="19">
        <v>12</v>
      </c>
      <c r="E6063">
        <v>27</v>
      </c>
      <c r="F6063" t="s">
        <v>10</v>
      </c>
      <c r="G6063" t="s">
        <v>11</v>
      </c>
      <c r="H6063">
        <v>1</v>
      </c>
      <c r="I6063" t="s">
        <v>27</v>
      </c>
    </row>
    <row r="6064" spans="1:9" x14ac:dyDescent="0.2">
      <c r="A6064" t="str">
        <f t="shared" si="341"/>
        <v>41244Vaipahu1228PocilloporidaeDessous</v>
      </c>
      <c r="B6064" s="1">
        <v>41244</v>
      </c>
      <c r="C6064" t="s">
        <v>23</v>
      </c>
      <c r="D6064" s="19">
        <v>12</v>
      </c>
      <c r="E6064">
        <v>28</v>
      </c>
      <c r="F6064" t="s">
        <v>10</v>
      </c>
      <c r="G6064" t="s">
        <v>8</v>
      </c>
      <c r="H6064">
        <v>1</v>
      </c>
      <c r="I6064" t="s">
        <v>27</v>
      </c>
    </row>
    <row r="6065" spans="1:9" x14ac:dyDescent="0.2">
      <c r="A6065" t="str">
        <f t="shared" si="341"/>
        <v>41244Vaipahu1229PocilloporidaeBords</v>
      </c>
      <c r="B6065" s="1">
        <v>41244</v>
      </c>
      <c r="C6065" t="s">
        <v>23</v>
      </c>
      <c r="D6065" s="19">
        <v>12</v>
      </c>
      <c r="E6065">
        <v>29</v>
      </c>
      <c r="F6065" t="s">
        <v>10</v>
      </c>
      <c r="G6065" t="s">
        <v>13</v>
      </c>
      <c r="H6065">
        <v>1</v>
      </c>
      <c r="I6065" t="s">
        <v>27</v>
      </c>
    </row>
    <row r="6066" spans="1:9" x14ac:dyDescent="0.2">
      <c r="A6066" t="str">
        <f t="shared" si="341"/>
        <v>41244Vaipahu1229PocilloporidaeDessus</v>
      </c>
      <c r="B6066" s="1">
        <v>41244</v>
      </c>
      <c r="C6066" t="s">
        <v>23</v>
      </c>
      <c r="D6066" s="19">
        <v>12</v>
      </c>
      <c r="E6066">
        <v>29</v>
      </c>
      <c r="F6066" t="s">
        <v>10</v>
      </c>
      <c r="G6066" t="s">
        <v>11</v>
      </c>
      <c r="H6066">
        <v>1</v>
      </c>
      <c r="I6066" t="s">
        <v>27</v>
      </c>
    </row>
    <row r="6067" spans="1:9" x14ac:dyDescent="0.2">
      <c r="A6067" t="str">
        <f t="shared" si="341"/>
        <v>41244Vaipahu1230Autres</v>
      </c>
      <c r="B6067" s="1">
        <v>41244</v>
      </c>
      <c r="C6067" t="s">
        <v>23</v>
      </c>
      <c r="D6067" s="19">
        <v>12</v>
      </c>
      <c r="E6067">
        <v>30</v>
      </c>
      <c r="F6067" t="s">
        <v>14</v>
      </c>
      <c r="H6067">
        <v>0</v>
      </c>
    </row>
    <row r="6068" spans="1:9" x14ac:dyDescent="0.2">
      <c r="A6068" t="str">
        <f t="shared" si="341"/>
        <v>41244Vaipahu1231CassésDessous</v>
      </c>
      <c r="B6068" s="1">
        <v>41244</v>
      </c>
      <c r="C6068" t="s">
        <v>23</v>
      </c>
      <c r="D6068" s="19">
        <v>12</v>
      </c>
      <c r="E6068">
        <v>31</v>
      </c>
      <c r="F6068" t="s">
        <v>12</v>
      </c>
      <c r="G6068" t="s">
        <v>8</v>
      </c>
      <c r="H6068">
        <v>1</v>
      </c>
      <c r="I6068" t="s">
        <v>27</v>
      </c>
    </row>
    <row r="6069" spans="1:9" x14ac:dyDescent="0.2">
      <c r="A6069" t="str">
        <f t="shared" si="341"/>
        <v>41244Vaipahu1232PocilloporidaeDessus</v>
      </c>
      <c r="B6069" s="1">
        <v>41244</v>
      </c>
      <c r="C6069" t="s">
        <v>23</v>
      </c>
      <c r="D6069" s="19">
        <v>12</v>
      </c>
      <c r="E6069">
        <v>32</v>
      </c>
      <c r="F6069" t="s">
        <v>10</v>
      </c>
      <c r="G6069" t="s">
        <v>11</v>
      </c>
      <c r="H6069">
        <v>2</v>
      </c>
      <c r="I6069" t="s">
        <v>27</v>
      </c>
    </row>
    <row r="6070" spans="1:9" x14ac:dyDescent="0.2">
      <c r="A6070" t="str">
        <f t="shared" si="341"/>
        <v>41244Vaipahu1233PocilloporidaeDessous</v>
      </c>
      <c r="B6070" s="1">
        <v>41244</v>
      </c>
      <c r="C6070" t="s">
        <v>23</v>
      </c>
      <c r="D6070" s="19">
        <v>12</v>
      </c>
      <c r="E6070">
        <v>33</v>
      </c>
      <c r="F6070" t="s">
        <v>10</v>
      </c>
      <c r="G6070" t="s">
        <v>8</v>
      </c>
      <c r="H6070">
        <v>1</v>
      </c>
      <c r="I6070" t="s">
        <v>27</v>
      </c>
    </row>
    <row r="6071" spans="1:9" x14ac:dyDescent="0.2">
      <c r="A6071" t="str">
        <f t="shared" si="341"/>
        <v>41244Vaipahu1234Autres</v>
      </c>
      <c r="B6071" s="1">
        <v>41244</v>
      </c>
      <c r="C6071" t="s">
        <v>23</v>
      </c>
      <c r="D6071" s="19">
        <v>12</v>
      </c>
      <c r="E6071">
        <v>34</v>
      </c>
      <c r="F6071" t="s">
        <v>14</v>
      </c>
      <c r="H6071">
        <v>0</v>
      </c>
    </row>
    <row r="6072" spans="1:9" x14ac:dyDescent="0.2">
      <c r="A6072" t="str">
        <f t="shared" si="341"/>
        <v>41244Vaipahu1235Autres</v>
      </c>
      <c r="B6072" s="1">
        <v>41244</v>
      </c>
      <c r="C6072" t="s">
        <v>23</v>
      </c>
      <c r="D6072" s="19">
        <v>12</v>
      </c>
      <c r="E6072">
        <v>35</v>
      </c>
      <c r="F6072" t="s">
        <v>14</v>
      </c>
      <c r="H6072">
        <v>0</v>
      </c>
    </row>
    <row r="6073" spans="1:9" x14ac:dyDescent="0.2">
      <c r="A6073" t="str">
        <f t="shared" si="341"/>
        <v>41244Vaipahu1236PocilloporidaeDessous</v>
      </c>
      <c r="B6073" s="1">
        <v>41244</v>
      </c>
      <c r="C6073" t="s">
        <v>23</v>
      </c>
      <c r="D6073" s="19">
        <v>12</v>
      </c>
      <c r="E6073">
        <v>36</v>
      </c>
      <c r="F6073" t="s">
        <v>10</v>
      </c>
      <c r="G6073" t="s">
        <v>8</v>
      </c>
      <c r="H6073">
        <v>2</v>
      </c>
      <c r="I6073" t="s">
        <v>27</v>
      </c>
    </row>
    <row r="6074" spans="1:9" x14ac:dyDescent="0.2">
      <c r="A6074" t="str">
        <f t="shared" si="341"/>
        <v>41244Vaipahu1237PocilloporidaeDessous</v>
      </c>
      <c r="B6074" s="1">
        <v>41244</v>
      </c>
      <c r="C6074" t="s">
        <v>23</v>
      </c>
      <c r="D6074" s="19">
        <v>12</v>
      </c>
      <c r="E6074">
        <v>37</v>
      </c>
      <c r="F6074" t="s">
        <v>10</v>
      </c>
      <c r="G6074" t="s">
        <v>8</v>
      </c>
      <c r="H6074">
        <v>2</v>
      </c>
      <c r="I6074" t="s">
        <v>27</v>
      </c>
    </row>
    <row r="6075" spans="1:9" x14ac:dyDescent="0.2">
      <c r="A6075" t="str">
        <f t="shared" si="341"/>
        <v>41244Vaipahu1238Autres</v>
      </c>
      <c r="B6075" s="1">
        <v>41244</v>
      </c>
      <c r="C6075" t="s">
        <v>23</v>
      </c>
      <c r="D6075" s="19">
        <v>12</v>
      </c>
      <c r="E6075">
        <v>38</v>
      </c>
      <c r="F6075" t="s">
        <v>14</v>
      </c>
      <c r="H6075">
        <v>0</v>
      </c>
    </row>
    <row r="6076" spans="1:9" x14ac:dyDescent="0.2">
      <c r="A6076" t="str">
        <f t="shared" si="341"/>
        <v>41244Vaipahu1239Autres</v>
      </c>
      <c r="B6076" s="1">
        <v>41244</v>
      </c>
      <c r="C6076" t="s">
        <v>23</v>
      </c>
      <c r="D6076" s="19">
        <v>12</v>
      </c>
      <c r="E6076">
        <v>39</v>
      </c>
      <c r="F6076" t="s">
        <v>14</v>
      </c>
      <c r="H6076">
        <v>0</v>
      </c>
    </row>
    <row r="6077" spans="1:9" x14ac:dyDescent="0.2">
      <c r="A6077" t="str">
        <f t="shared" si="341"/>
        <v>41244Vaipahu1240Autres</v>
      </c>
      <c r="B6077" s="1">
        <v>41244</v>
      </c>
      <c r="C6077" t="s">
        <v>23</v>
      </c>
      <c r="D6077" s="19">
        <v>12</v>
      </c>
      <c r="E6077">
        <v>40</v>
      </c>
      <c r="F6077" t="s">
        <v>14</v>
      </c>
      <c r="H6077">
        <v>0</v>
      </c>
    </row>
    <row r="6078" spans="1:9" x14ac:dyDescent="0.2">
      <c r="A6078" t="str">
        <f t="shared" si="341"/>
        <v>41244Vaipahu1841Autres</v>
      </c>
      <c r="B6078" s="1">
        <v>41244</v>
      </c>
      <c r="C6078" t="s">
        <v>23</v>
      </c>
      <c r="D6078" s="19">
        <v>18</v>
      </c>
      <c r="E6078">
        <v>41</v>
      </c>
      <c r="F6078" t="s">
        <v>14</v>
      </c>
      <c r="H6078">
        <v>0</v>
      </c>
    </row>
    <row r="6079" spans="1:9" x14ac:dyDescent="0.2">
      <c r="A6079" t="str">
        <f t="shared" ref="A6079:A6142" si="342">B6079 &amp; C6079&amp; D6079&amp; E6079 &amp; F6079 &amp;G6079</f>
        <v>41244Vaipahu1842Autres</v>
      </c>
      <c r="B6079" s="1">
        <v>41244</v>
      </c>
      <c r="C6079" t="s">
        <v>23</v>
      </c>
      <c r="D6079" s="19">
        <v>18</v>
      </c>
      <c r="E6079">
        <v>42</v>
      </c>
      <c r="F6079" t="s">
        <v>14</v>
      </c>
      <c r="H6079">
        <v>0</v>
      </c>
    </row>
    <row r="6080" spans="1:9" x14ac:dyDescent="0.2">
      <c r="A6080" t="str">
        <f t="shared" si="342"/>
        <v>41244Vaipahu1843Autres</v>
      </c>
      <c r="B6080" s="1">
        <v>41244</v>
      </c>
      <c r="C6080" t="s">
        <v>23</v>
      </c>
      <c r="D6080" s="19">
        <v>18</v>
      </c>
      <c r="E6080">
        <v>43</v>
      </c>
      <c r="F6080" t="s">
        <v>14</v>
      </c>
      <c r="H6080">
        <v>0</v>
      </c>
    </row>
    <row r="6081" spans="1:9" x14ac:dyDescent="0.2">
      <c r="A6081" t="str">
        <f t="shared" si="342"/>
        <v>41244Vaipahu1844CassésDessous</v>
      </c>
      <c r="B6081" s="1">
        <v>41244</v>
      </c>
      <c r="C6081" t="s">
        <v>23</v>
      </c>
      <c r="D6081" s="19">
        <v>18</v>
      </c>
      <c r="E6081">
        <v>44</v>
      </c>
      <c r="F6081" t="s">
        <v>12</v>
      </c>
      <c r="G6081" t="s">
        <v>8</v>
      </c>
      <c r="H6081">
        <v>1</v>
      </c>
      <c r="I6081" t="s">
        <v>27</v>
      </c>
    </row>
    <row r="6082" spans="1:9" x14ac:dyDescent="0.2">
      <c r="A6082" t="str">
        <f t="shared" si="342"/>
        <v>41244Vaipahu1845Autres</v>
      </c>
      <c r="B6082" s="1">
        <v>41244</v>
      </c>
      <c r="C6082" t="s">
        <v>23</v>
      </c>
      <c r="D6082" s="19">
        <v>18</v>
      </c>
      <c r="E6082">
        <v>45</v>
      </c>
      <c r="F6082" t="s">
        <v>14</v>
      </c>
      <c r="H6082">
        <v>0</v>
      </c>
    </row>
    <row r="6083" spans="1:9" x14ac:dyDescent="0.2">
      <c r="A6083" t="str">
        <f t="shared" si="342"/>
        <v>41244Vaipahu1846Autres</v>
      </c>
      <c r="B6083" s="1">
        <v>41244</v>
      </c>
      <c r="C6083" t="s">
        <v>23</v>
      </c>
      <c r="D6083" s="19">
        <v>18</v>
      </c>
      <c r="E6083">
        <v>46</v>
      </c>
      <c r="F6083" t="s">
        <v>14</v>
      </c>
      <c r="H6083">
        <v>0</v>
      </c>
    </row>
    <row r="6084" spans="1:9" x14ac:dyDescent="0.2">
      <c r="A6084" t="str">
        <f t="shared" si="342"/>
        <v>41244Vaipahu1847PocilloporidaeDessous</v>
      </c>
      <c r="B6084" s="1">
        <v>41244</v>
      </c>
      <c r="C6084" t="s">
        <v>23</v>
      </c>
      <c r="D6084" s="19">
        <v>18</v>
      </c>
      <c r="E6084">
        <v>47</v>
      </c>
      <c r="F6084" t="s">
        <v>10</v>
      </c>
      <c r="G6084" t="s">
        <v>8</v>
      </c>
      <c r="H6084">
        <v>4</v>
      </c>
      <c r="I6084" t="s">
        <v>27</v>
      </c>
    </row>
    <row r="6085" spans="1:9" x14ac:dyDescent="0.2">
      <c r="A6085" t="str">
        <f t="shared" si="342"/>
        <v>41244Vaipahu1848PocilloporidaeDessous</v>
      </c>
      <c r="B6085" s="1">
        <v>41244</v>
      </c>
      <c r="C6085" t="s">
        <v>23</v>
      </c>
      <c r="D6085" s="19">
        <v>18</v>
      </c>
      <c r="E6085">
        <v>48</v>
      </c>
      <c r="F6085" t="s">
        <v>10</v>
      </c>
      <c r="G6085" t="s">
        <v>8</v>
      </c>
      <c r="H6085">
        <v>1</v>
      </c>
      <c r="I6085" t="s">
        <v>27</v>
      </c>
    </row>
    <row r="6086" spans="1:9" x14ac:dyDescent="0.2">
      <c r="A6086" t="str">
        <f t="shared" si="342"/>
        <v>41244Vaipahu1849Autres</v>
      </c>
      <c r="B6086" s="1">
        <v>41244</v>
      </c>
      <c r="C6086" t="s">
        <v>23</v>
      </c>
      <c r="D6086" s="19">
        <v>18</v>
      </c>
      <c r="E6086">
        <v>49</v>
      </c>
      <c r="F6086" t="s">
        <v>14</v>
      </c>
      <c r="H6086">
        <v>0</v>
      </c>
    </row>
    <row r="6087" spans="1:9" x14ac:dyDescent="0.2">
      <c r="A6087" t="str">
        <f t="shared" si="342"/>
        <v>41244Vaipahu1850Autres</v>
      </c>
      <c r="B6087" s="1">
        <v>41244</v>
      </c>
      <c r="C6087" t="s">
        <v>23</v>
      </c>
      <c r="D6087" s="19">
        <v>18</v>
      </c>
      <c r="E6087">
        <v>50</v>
      </c>
      <c r="F6087" t="s">
        <v>14</v>
      </c>
      <c r="H6087">
        <v>0</v>
      </c>
    </row>
    <row r="6088" spans="1:9" x14ac:dyDescent="0.2">
      <c r="A6088" t="str">
        <f t="shared" si="342"/>
        <v>41244Vaipahu1851Autres</v>
      </c>
      <c r="B6088" s="1">
        <v>41244</v>
      </c>
      <c r="C6088" t="s">
        <v>23</v>
      </c>
      <c r="D6088" s="19">
        <v>18</v>
      </c>
      <c r="E6088">
        <v>51</v>
      </c>
      <c r="F6088" t="s">
        <v>14</v>
      </c>
      <c r="H6088">
        <v>0</v>
      </c>
    </row>
    <row r="6089" spans="1:9" x14ac:dyDescent="0.2">
      <c r="A6089" t="str">
        <f t="shared" si="342"/>
        <v>41244Vaipahu1852Autres</v>
      </c>
      <c r="B6089" s="1">
        <v>41244</v>
      </c>
      <c r="C6089" t="s">
        <v>23</v>
      </c>
      <c r="D6089" s="19">
        <v>18</v>
      </c>
      <c r="E6089">
        <v>52</v>
      </c>
      <c r="F6089" t="s">
        <v>14</v>
      </c>
      <c r="H6089">
        <v>0</v>
      </c>
    </row>
    <row r="6090" spans="1:9" x14ac:dyDescent="0.2">
      <c r="A6090" t="str">
        <f t="shared" si="342"/>
        <v>41244Vaipahu1853PocilloporidaeDessous</v>
      </c>
      <c r="B6090" s="1">
        <v>41244</v>
      </c>
      <c r="C6090" t="s">
        <v>23</v>
      </c>
      <c r="D6090" s="19">
        <v>18</v>
      </c>
      <c r="E6090">
        <v>53</v>
      </c>
      <c r="F6090" t="s">
        <v>10</v>
      </c>
      <c r="G6090" t="s">
        <v>8</v>
      </c>
      <c r="H6090">
        <v>1</v>
      </c>
      <c r="I6090" t="s">
        <v>27</v>
      </c>
    </row>
    <row r="6091" spans="1:9" x14ac:dyDescent="0.2">
      <c r="A6091" t="str">
        <f t="shared" si="342"/>
        <v>41244Vaipahu1854Autres</v>
      </c>
      <c r="B6091" s="1">
        <v>41244</v>
      </c>
      <c r="C6091" t="s">
        <v>23</v>
      </c>
      <c r="D6091" s="19">
        <v>18</v>
      </c>
      <c r="E6091">
        <v>54</v>
      </c>
      <c r="F6091" t="s">
        <v>14</v>
      </c>
      <c r="H6091">
        <v>0</v>
      </c>
    </row>
    <row r="6092" spans="1:9" x14ac:dyDescent="0.2">
      <c r="A6092" t="str">
        <f t="shared" si="342"/>
        <v>41244Vaipahu1855PocilloporidaeDessous</v>
      </c>
      <c r="B6092" s="1">
        <v>41244</v>
      </c>
      <c r="C6092" t="s">
        <v>23</v>
      </c>
      <c r="D6092" s="19">
        <v>18</v>
      </c>
      <c r="E6092">
        <v>55</v>
      </c>
      <c r="F6092" t="s">
        <v>10</v>
      </c>
      <c r="G6092" t="s">
        <v>8</v>
      </c>
      <c r="H6092">
        <v>1</v>
      </c>
      <c r="I6092" t="s">
        <v>27</v>
      </c>
    </row>
    <row r="6093" spans="1:9" x14ac:dyDescent="0.2">
      <c r="A6093" t="str">
        <f t="shared" si="342"/>
        <v>41244Vaipahu1855PocilloporidaeDessus</v>
      </c>
      <c r="B6093" s="1">
        <v>41244</v>
      </c>
      <c r="C6093" t="s">
        <v>23</v>
      </c>
      <c r="D6093" s="19">
        <v>18</v>
      </c>
      <c r="E6093">
        <v>55</v>
      </c>
      <c r="F6093" t="s">
        <v>10</v>
      </c>
      <c r="G6093" t="s">
        <v>11</v>
      </c>
      <c r="H6093">
        <v>2</v>
      </c>
      <c r="I6093" t="s">
        <v>27</v>
      </c>
    </row>
    <row r="6094" spans="1:9" x14ac:dyDescent="0.2">
      <c r="A6094" t="str">
        <f t="shared" si="342"/>
        <v>41244Vaipahu1856Autres</v>
      </c>
      <c r="B6094" s="1">
        <v>41244</v>
      </c>
      <c r="C6094" t="s">
        <v>23</v>
      </c>
      <c r="D6094" s="19">
        <v>18</v>
      </c>
      <c r="E6094">
        <v>56</v>
      </c>
      <c r="F6094" t="s">
        <v>14</v>
      </c>
      <c r="H6094">
        <v>0</v>
      </c>
    </row>
    <row r="6095" spans="1:9" x14ac:dyDescent="0.2">
      <c r="A6095" t="str">
        <f t="shared" si="342"/>
        <v>41244Vaipahu1857PocilloporidaeDessous</v>
      </c>
      <c r="B6095" s="1">
        <v>41244</v>
      </c>
      <c r="C6095" t="s">
        <v>23</v>
      </c>
      <c r="D6095" s="19">
        <v>18</v>
      </c>
      <c r="E6095">
        <v>57</v>
      </c>
      <c r="F6095" t="s">
        <v>10</v>
      </c>
      <c r="G6095" t="s">
        <v>8</v>
      </c>
      <c r="H6095">
        <v>2</v>
      </c>
      <c r="I6095" t="s">
        <v>27</v>
      </c>
    </row>
    <row r="6096" spans="1:9" x14ac:dyDescent="0.2">
      <c r="A6096" t="str">
        <f t="shared" si="342"/>
        <v>41244Vaipahu1858Autres</v>
      </c>
      <c r="B6096" s="1">
        <v>41244</v>
      </c>
      <c r="C6096" t="s">
        <v>23</v>
      </c>
      <c r="D6096" s="19">
        <v>18</v>
      </c>
      <c r="E6096">
        <v>58</v>
      </c>
      <c r="F6096" t="s">
        <v>14</v>
      </c>
      <c r="H6096">
        <v>0</v>
      </c>
    </row>
    <row r="6097" spans="1:9" x14ac:dyDescent="0.2">
      <c r="A6097" t="str">
        <f t="shared" si="342"/>
        <v>41244Vaipahu1859PocilloporidaeDessous</v>
      </c>
      <c r="B6097" s="1">
        <v>41244</v>
      </c>
      <c r="C6097" t="s">
        <v>23</v>
      </c>
      <c r="D6097" s="19">
        <v>18</v>
      </c>
      <c r="E6097">
        <v>59</v>
      </c>
      <c r="F6097" t="s">
        <v>10</v>
      </c>
      <c r="G6097" t="s">
        <v>8</v>
      </c>
      <c r="H6097">
        <v>2</v>
      </c>
      <c r="I6097" t="s">
        <v>27</v>
      </c>
    </row>
    <row r="6098" spans="1:9" x14ac:dyDescent="0.2">
      <c r="A6098" t="str">
        <f t="shared" si="342"/>
        <v>41244Vaipahu1860PoritidaeBords</v>
      </c>
      <c r="B6098" s="1">
        <v>41244</v>
      </c>
      <c r="C6098" t="s">
        <v>23</v>
      </c>
      <c r="D6098" s="19">
        <v>18</v>
      </c>
      <c r="E6098">
        <v>60</v>
      </c>
      <c r="F6098" t="s">
        <v>7</v>
      </c>
      <c r="G6098" t="s">
        <v>13</v>
      </c>
      <c r="H6098">
        <v>1</v>
      </c>
      <c r="I6098" t="s">
        <v>27</v>
      </c>
    </row>
    <row r="6099" spans="1:9" x14ac:dyDescent="0.2">
      <c r="A6099" t="str">
        <f t="shared" si="342"/>
        <v>41244Tiahura661Autres</v>
      </c>
      <c r="B6099" s="1">
        <v>41244</v>
      </c>
      <c r="C6099" t="s">
        <v>24</v>
      </c>
      <c r="D6099" s="19">
        <v>6</v>
      </c>
      <c r="E6099">
        <v>61</v>
      </c>
      <c r="F6099" t="s">
        <v>14</v>
      </c>
      <c r="H6099">
        <v>0</v>
      </c>
    </row>
    <row r="6100" spans="1:9" x14ac:dyDescent="0.2">
      <c r="A6100" t="str">
        <f t="shared" si="342"/>
        <v>41244Tiahura662Autres</v>
      </c>
      <c r="B6100" s="1">
        <v>41244</v>
      </c>
      <c r="C6100" t="s">
        <v>24</v>
      </c>
      <c r="D6100" s="19">
        <v>6</v>
      </c>
      <c r="E6100">
        <v>62</v>
      </c>
      <c r="F6100" t="s">
        <v>14</v>
      </c>
      <c r="H6100">
        <v>0</v>
      </c>
    </row>
    <row r="6101" spans="1:9" x14ac:dyDescent="0.2">
      <c r="A6101" t="str">
        <f t="shared" si="342"/>
        <v>41244Tiahura663Autres</v>
      </c>
      <c r="B6101" s="1">
        <v>41244</v>
      </c>
      <c r="C6101" t="s">
        <v>24</v>
      </c>
      <c r="D6101" s="19">
        <v>6</v>
      </c>
      <c r="E6101">
        <v>63</v>
      </c>
      <c r="F6101" t="s">
        <v>14</v>
      </c>
      <c r="H6101">
        <v>0</v>
      </c>
    </row>
    <row r="6102" spans="1:9" x14ac:dyDescent="0.2">
      <c r="A6102" t="str">
        <f t="shared" si="342"/>
        <v>41244Tiahura664Autres</v>
      </c>
      <c r="B6102" s="1">
        <v>41244</v>
      </c>
      <c r="C6102" t="s">
        <v>24</v>
      </c>
      <c r="D6102" s="19">
        <v>6</v>
      </c>
      <c r="E6102">
        <v>64</v>
      </c>
      <c r="F6102" t="s">
        <v>14</v>
      </c>
      <c r="H6102">
        <v>0</v>
      </c>
    </row>
    <row r="6103" spans="1:9" x14ac:dyDescent="0.2">
      <c r="A6103" t="str">
        <f t="shared" si="342"/>
        <v>41244Tiahura665PocilloporidaeDessous</v>
      </c>
      <c r="B6103" s="1">
        <v>41244</v>
      </c>
      <c r="C6103" t="s">
        <v>24</v>
      </c>
      <c r="D6103" s="19">
        <v>6</v>
      </c>
      <c r="E6103">
        <v>65</v>
      </c>
      <c r="F6103" t="s">
        <v>10</v>
      </c>
      <c r="G6103" t="s">
        <v>8</v>
      </c>
      <c r="H6103">
        <v>1</v>
      </c>
      <c r="I6103" t="s">
        <v>27</v>
      </c>
    </row>
    <row r="6104" spans="1:9" x14ac:dyDescent="0.2">
      <c r="A6104" t="str">
        <f t="shared" si="342"/>
        <v>41244Tiahura666Autres</v>
      </c>
      <c r="B6104" s="1">
        <v>41244</v>
      </c>
      <c r="C6104" t="s">
        <v>24</v>
      </c>
      <c r="D6104" s="19">
        <v>6</v>
      </c>
      <c r="E6104">
        <v>66</v>
      </c>
      <c r="F6104" t="s">
        <v>14</v>
      </c>
      <c r="H6104">
        <v>0</v>
      </c>
    </row>
    <row r="6105" spans="1:9" x14ac:dyDescent="0.2">
      <c r="A6105" t="str">
        <f t="shared" si="342"/>
        <v>41244Tiahura667PocilloporidaeBords</v>
      </c>
      <c r="B6105" s="1">
        <v>41244</v>
      </c>
      <c r="C6105" t="s">
        <v>24</v>
      </c>
      <c r="D6105" s="19">
        <v>6</v>
      </c>
      <c r="E6105">
        <v>67</v>
      </c>
      <c r="F6105" t="s">
        <v>10</v>
      </c>
      <c r="G6105" t="s">
        <v>13</v>
      </c>
      <c r="H6105">
        <v>4</v>
      </c>
      <c r="I6105" t="s">
        <v>27</v>
      </c>
    </row>
    <row r="6106" spans="1:9" x14ac:dyDescent="0.2">
      <c r="A6106" t="str">
        <f t="shared" si="342"/>
        <v>41244Tiahura668PocilloporidaeDessous</v>
      </c>
      <c r="B6106" s="1">
        <v>41244</v>
      </c>
      <c r="C6106" t="s">
        <v>24</v>
      </c>
      <c r="D6106" s="19">
        <v>6</v>
      </c>
      <c r="E6106">
        <v>68</v>
      </c>
      <c r="F6106" t="s">
        <v>10</v>
      </c>
      <c r="G6106" t="s">
        <v>8</v>
      </c>
      <c r="H6106">
        <v>1</v>
      </c>
      <c r="I6106" t="s">
        <v>27</v>
      </c>
    </row>
    <row r="6107" spans="1:9" x14ac:dyDescent="0.2">
      <c r="A6107" t="str">
        <f t="shared" si="342"/>
        <v>41244Tiahura668PocilloporidaeDessus</v>
      </c>
      <c r="B6107" s="1">
        <v>41244</v>
      </c>
      <c r="C6107" t="s">
        <v>24</v>
      </c>
      <c r="D6107" s="19">
        <v>6</v>
      </c>
      <c r="E6107">
        <v>68</v>
      </c>
      <c r="F6107" t="s">
        <v>10</v>
      </c>
      <c r="G6107" t="s">
        <v>11</v>
      </c>
      <c r="H6107">
        <v>1</v>
      </c>
      <c r="I6107" t="s">
        <v>27</v>
      </c>
    </row>
    <row r="6108" spans="1:9" x14ac:dyDescent="0.2">
      <c r="A6108" t="str">
        <f t="shared" si="342"/>
        <v>41244Tiahura669Autres</v>
      </c>
      <c r="B6108" s="1">
        <v>41244</v>
      </c>
      <c r="C6108" t="s">
        <v>24</v>
      </c>
      <c r="D6108" s="19">
        <v>6</v>
      </c>
      <c r="E6108">
        <v>69</v>
      </c>
      <c r="F6108" t="s">
        <v>14</v>
      </c>
      <c r="H6108">
        <v>0</v>
      </c>
    </row>
    <row r="6109" spans="1:9" x14ac:dyDescent="0.2">
      <c r="A6109" t="str">
        <f t="shared" si="342"/>
        <v>41244Tiahura670Autres</v>
      </c>
      <c r="B6109" s="1">
        <v>41244</v>
      </c>
      <c r="C6109" t="s">
        <v>24</v>
      </c>
      <c r="D6109" s="19">
        <v>6</v>
      </c>
      <c r="E6109">
        <v>70</v>
      </c>
      <c r="F6109" t="s">
        <v>14</v>
      </c>
      <c r="H6109">
        <v>0</v>
      </c>
    </row>
    <row r="6110" spans="1:9" x14ac:dyDescent="0.2">
      <c r="A6110" t="str">
        <f t="shared" si="342"/>
        <v>41244Tiahura671PocilloporidaeBords</v>
      </c>
      <c r="B6110" s="1">
        <v>41244</v>
      </c>
      <c r="C6110" t="s">
        <v>24</v>
      </c>
      <c r="D6110" s="19">
        <v>6</v>
      </c>
      <c r="E6110">
        <v>71</v>
      </c>
      <c r="F6110" t="s">
        <v>10</v>
      </c>
      <c r="G6110" t="s">
        <v>13</v>
      </c>
      <c r="H6110">
        <v>1</v>
      </c>
      <c r="I6110" t="s">
        <v>27</v>
      </c>
    </row>
    <row r="6111" spans="1:9" x14ac:dyDescent="0.2">
      <c r="A6111" t="str">
        <f t="shared" si="342"/>
        <v>41244Tiahura671PocilloporidaeDessus</v>
      </c>
      <c r="B6111" s="1">
        <v>41244</v>
      </c>
      <c r="C6111" t="s">
        <v>24</v>
      </c>
      <c r="D6111" s="19">
        <v>6</v>
      </c>
      <c r="E6111">
        <v>71</v>
      </c>
      <c r="F6111" t="s">
        <v>10</v>
      </c>
      <c r="G6111" t="s">
        <v>11</v>
      </c>
      <c r="H6111">
        <v>1</v>
      </c>
      <c r="I6111" t="s">
        <v>27</v>
      </c>
    </row>
    <row r="6112" spans="1:9" x14ac:dyDescent="0.2">
      <c r="A6112" t="str">
        <f t="shared" si="342"/>
        <v>41244Tiahura672PocilloporidaeDessous</v>
      </c>
      <c r="B6112" s="1">
        <v>41244</v>
      </c>
      <c r="C6112" t="s">
        <v>24</v>
      </c>
      <c r="D6112" s="19">
        <v>6</v>
      </c>
      <c r="E6112">
        <v>72</v>
      </c>
      <c r="F6112" t="s">
        <v>10</v>
      </c>
      <c r="G6112" t="s">
        <v>8</v>
      </c>
      <c r="H6112">
        <v>2</v>
      </c>
      <c r="I6112" t="s">
        <v>27</v>
      </c>
    </row>
    <row r="6113" spans="1:9" x14ac:dyDescent="0.2">
      <c r="A6113" t="str">
        <f t="shared" si="342"/>
        <v>41244Tiahura673PocilloporidaeDessous</v>
      </c>
      <c r="B6113" s="1">
        <v>41244</v>
      </c>
      <c r="C6113" t="s">
        <v>24</v>
      </c>
      <c r="D6113" s="19">
        <v>6</v>
      </c>
      <c r="E6113">
        <v>73</v>
      </c>
      <c r="F6113" t="s">
        <v>10</v>
      </c>
      <c r="G6113" t="s">
        <v>8</v>
      </c>
      <c r="H6113">
        <v>1</v>
      </c>
      <c r="I6113" t="s">
        <v>27</v>
      </c>
    </row>
    <row r="6114" spans="1:9" x14ac:dyDescent="0.2">
      <c r="A6114" t="str">
        <f t="shared" si="342"/>
        <v>41244Tiahura674PocilloporidaeDessous</v>
      </c>
      <c r="B6114" s="1">
        <v>41244</v>
      </c>
      <c r="C6114" t="s">
        <v>24</v>
      </c>
      <c r="D6114" s="19">
        <v>6</v>
      </c>
      <c r="E6114">
        <v>74</v>
      </c>
      <c r="F6114" t="s">
        <v>10</v>
      </c>
      <c r="G6114" t="s">
        <v>8</v>
      </c>
      <c r="H6114">
        <v>1</v>
      </c>
      <c r="I6114" t="s">
        <v>27</v>
      </c>
    </row>
    <row r="6115" spans="1:9" x14ac:dyDescent="0.2">
      <c r="A6115" t="str">
        <f t="shared" si="342"/>
        <v>41244Tiahura675Autres</v>
      </c>
      <c r="B6115" s="1">
        <v>41244</v>
      </c>
      <c r="C6115" t="s">
        <v>24</v>
      </c>
      <c r="D6115" s="19">
        <v>6</v>
      </c>
      <c r="E6115">
        <v>75</v>
      </c>
      <c r="F6115" t="s">
        <v>14</v>
      </c>
      <c r="H6115">
        <v>0</v>
      </c>
    </row>
    <row r="6116" spans="1:9" x14ac:dyDescent="0.2">
      <c r="A6116" t="str">
        <f t="shared" si="342"/>
        <v>41244Tiahura676CassésDessous</v>
      </c>
      <c r="B6116" s="1">
        <v>41244</v>
      </c>
      <c r="C6116" t="s">
        <v>24</v>
      </c>
      <c r="D6116" s="19">
        <v>6</v>
      </c>
      <c r="E6116">
        <v>76</v>
      </c>
      <c r="F6116" t="s">
        <v>12</v>
      </c>
      <c r="G6116" t="s">
        <v>8</v>
      </c>
      <c r="H6116">
        <v>1</v>
      </c>
      <c r="I6116" t="s">
        <v>27</v>
      </c>
    </row>
    <row r="6117" spans="1:9" x14ac:dyDescent="0.2">
      <c r="A6117" t="str">
        <f t="shared" si="342"/>
        <v>41244Tiahura676PocilloporidaeDessus</v>
      </c>
      <c r="B6117" s="1">
        <v>41244</v>
      </c>
      <c r="C6117" t="s">
        <v>24</v>
      </c>
      <c r="D6117" s="19">
        <v>6</v>
      </c>
      <c r="E6117">
        <v>76</v>
      </c>
      <c r="F6117" t="s">
        <v>10</v>
      </c>
      <c r="G6117" t="s">
        <v>11</v>
      </c>
      <c r="H6117">
        <v>2</v>
      </c>
      <c r="I6117" t="s">
        <v>27</v>
      </c>
    </row>
    <row r="6118" spans="1:9" x14ac:dyDescent="0.2">
      <c r="A6118" t="str">
        <f t="shared" si="342"/>
        <v>41244Tiahura677Autres</v>
      </c>
      <c r="B6118" s="1">
        <v>41244</v>
      </c>
      <c r="C6118" t="s">
        <v>24</v>
      </c>
      <c r="D6118" s="19">
        <v>6</v>
      </c>
      <c r="E6118">
        <v>77</v>
      </c>
      <c r="F6118" t="s">
        <v>14</v>
      </c>
      <c r="H6118">
        <v>0</v>
      </c>
    </row>
    <row r="6119" spans="1:9" x14ac:dyDescent="0.2">
      <c r="A6119" t="str">
        <f t="shared" si="342"/>
        <v>41244Tiahura678AcroporidaeBords</v>
      </c>
      <c r="B6119" s="1">
        <v>41244</v>
      </c>
      <c r="C6119" t="s">
        <v>24</v>
      </c>
      <c r="D6119" s="19">
        <v>6</v>
      </c>
      <c r="E6119">
        <v>78</v>
      </c>
      <c r="F6119" t="s">
        <v>17</v>
      </c>
      <c r="G6119" t="s">
        <v>13</v>
      </c>
      <c r="H6119">
        <v>1</v>
      </c>
      <c r="I6119" t="s">
        <v>27</v>
      </c>
    </row>
    <row r="6120" spans="1:9" x14ac:dyDescent="0.2">
      <c r="A6120" t="str">
        <f t="shared" si="342"/>
        <v>41244Tiahura678CassésBords</v>
      </c>
      <c r="B6120" s="1">
        <v>41244</v>
      </c>
      <c r="C6120" t="s">
        <v>24</v>
      </c>
      <c r="D6120" s="19">
        <v>6</v>
      </c>
      <c r="E6120">
        <v>78</v>
      </c>
      <c r="F6120" t="s">
        <v>12</v>
      </c>
      <c r="G6120" t="s">
        <v>13</v>
      </c>
      <c r="H6120">
        <v>1</v>
      </c>
      <c r="I6120" t="s">
        <v>27</v>
      </c>
    </row>
    <row r="6121" spans="1:9" x14ac:dyDescent="0.2">
      <c r="A6121" t="str">
        <f t="shared" si="342"/>
        <v>41244Tiahura678PocilloporidaeBords</v>
      </c>
      <c r="B6121" s="1">
        <v>41244</v>
      </c>
      <c r="C6121" t="s">
        <v>24</v>
      </c>
      <c r="D6121" s="19">
        <v>6</v>
      </c>
      <c r="E6121">
        <v>78</v>
      </c>
      <c r="F6121" t="s">
        <v>10</v>
      </c>
      <c r="G6121" t="s">
        <v>13</v>
      </c>
      <c r="H6121">
        <v>3</v>
      </c>
      <c r="I6121" t="s">
        <v>27</v>
      </c>
    </row>
    <row r="6122" spans="1:9" x14ac:dyDescent="0.2">
      <c r="A6122" t="str">
        <f t="shared" si="342"/>
        <v>41244Tiahura678PocilloporidaeDessus</v>
      </c>
      <c r="B6122" s="1">
        <v>41244</v>
      </c>
      <c r="C6122" t="s">
        <v>24</v>
      </c>
      <c r="D6122" s="19">
        <v>6</v>
      </c>
      <c r="E6122">
        <v>78</v>
      </c>
      <c r="F6122" t="s">
        <v>10</v>
      </c>
      <c r="G6122" t="s">
        <v>11</v>
      </c>
      <c r="H6122">
        <v>1</v>
      </c>
      <c r="I6122" t="s">
        <v>27</v>
      </c>
    </row>
    <row r="6123" spans="1:9" x14ac:dyDescent="0.2">
      <c r="A6123" t="str">
        <f t="shared" si="342"/>
        <v>41244Tiahura679PocilloporidaeDessous</v>
      </c>
      <c r="B6123" s="1">
        <v>41244</v>
      </c>
      <c r="C6123" t="s">
        <v>24</v>
      </c>
      <c r="D6123" s="19">
        <v>6</v>
      </c>
      <c r="E6123">
        <v>79</v>
      </c>
      <c r="F6123" t="s">
        <v>10</v>
      </c>
      <c r="G6123" t="s">
        <v>8</v>
      </c>
      <c r="H6123">
        <v>2</v>
      </c>
      <c r="I6123" t="s">
        <v>27</v>
      </c>
    </row>
    <row r="6124" spans="1:9" x14ac:dyDescent="0.2">
      <c r="A6124" t="str">
        <f t="shared" si="342"/>
        <v>41244Tiahura680PoritidaeBords</v>
      </c>
      <c r="B6124" s="1">
        <v>41244</v>
      </c>
      <c r="C6124" t="s">
        <v>24</v>
      </c>
      <c r="D6124" s="19">
        <v>6</v>
      </c>
      <c r="E6124">
        <v>80</v>
      </c>
      <c r="F6124" t="s">
        <v>7</v>
      </c>
      <c r="G6124" t="s">
        <v>13</v>
      </c>
      <c r="H6124">
        <v>1</v>
      </c>
      <c r="I6124" t="s">
        <v>27</v>
      </c>
    </row>
    <row r="6125" spans="1:9" x14ac:dyDescent="0.2">
      <c r="A6125" t="str">
        <f t="shared" si="342"/>
        <v>41244Tiahura1281Autres</v>
      </c>
      <c r="B6125" s="1">
        <v>41244</v>
      </c>
      <c r="C6125" t="s">
        <v>24</v>
      </c>
      <c r="D6125" s="19">
        <v>12</v>
      </c>
      <c r="E6125">
        <v>81</v>
      </c>
      <c r="F6125" t="s">
        <v>14</v>
      </c>
      <c r="H6125">
        <v>0</v>
      </c>
    </row>
    <row r="6126" spans="1:9" x14ac:dyDescent="0.2">
      <c r="A6126" t="str">
        <f t="shared" si="342"/>
        <v>41244Tiahura1282PocilloporidaeDessous</v>
      </c>
      <c r="B6126" s="1">
        <v>41244</v>
      </c>
      <c r="C6126" t="s">
        <v>24</v>
      </c>
      <c r="D6126" s="19">
        <v>12</v>
      </c>
      <c r="E6126">
        <v>82</v>
      </c>
      <c r="F6126" t="s">
        <v>10</v>
      </c>
      <c r="G6126" t="s">
        <v>8</v>
      </c>
      <c r="H6126">
        <v>1</v>
      </c>
      <c r="I6126" t="s">
        <v>27</v>
      </c>
    </row>
    <row r="6127" spans="1:9" x14ac:dyDescent="0.2">
      <c r="A6127" t="str">
        <f t="shared" si="342"/>
        <v>41244Tiahura1283Autres</v>
      </c>
      <c r="B6127" s="1">
        <v>41244</v>
      </c>
      <c r="C6127" t="s">
        <v>24</v>
      </c>
      <c r="D6127" s="19">
        <v>12</v>
      </c>
      <c r="E6127">
        <v>83</v>
      </c>
      <c r="F6127" t="s">
        <v>14</v>
      </c>
      <c r="H6127">
        <v>0</v>
      </c>
    </row>
    <row r="6128" spans="1:9" x14ac:dyDescent="0.2">
      <c r="A6128" t="str">
        <f t="shared" si="342"/>
        <v>41244Tiahura1284PoritidaeBords</v>
      </c>
      <c r="B6128" s="1">
        <v>41244</v>
      </c>
      <c r="C6128" t="s">
        <v>24</v>
      </c>
      <c r="D6128" s="19">
        <v>12</v>
      </c>
      <c r="E6128">
        <v>84</v>
      </c>
      <c r="F6128" t="s">
        <v>7</v>
      </c>
      <c r="G6128" t="s">
        <v>13</v>
      </c>
      <c r="H6128">
        <v>1</v>
      </c>
      <c r="I6128" t="s">
        <v>27</v>
      </c>
    </row>
    <row r="6129" spans="1:9" x14ac:dyDescent="0.2">
      <c r="A6129" t="str">
        <f t="shared" si="342"/>
        <v>41244Tiahura1285Autres</v>
      </c>
      <c r="B6129" s="1">
        <v>41244</v>
      </c>
      <c r="C6129" t="s">
        <v>24</v>
      </c>
      <c r="D6129" s="19">
        <v>12</v>
      </c>
      <c r="E6129">
        <v>85</v>
      </c>
      <c r="F6129" t="s">
        <v>14</v>
      </c>
      <c r="H6129">
        <v>0</v>
      </c>
    </row>
    <row r="6130" spans="1:9" x14ac:dyDescent="0.2">
      <c r="A6130" t="str">
        <f t="shared" si="342"/>
        <v>41244Tiahura1286PocilloporidaeDessous</v>
      </c>
      <c r="B6130" s="1">
        <v>41244</v>
      </c>
      <c r="C6130" t="s">
        <v>24</v>
      </c>
      <c r="D6130" s="19">
        <v>12</v>
      </c>
      <c r="E6130">
        <v>86</v>
      </c>
      <c r="F6130" t="s">
        <v>10</v>
      </c>
      <c r="G6130" t="s">
        <v>8</v>
      </c>
      <c r="H6130">
        <v>1</v>
      </c>
      <c r="I6130" t="s">
        <v>27</v>
      </c>
    </row>
    <row r="6131" spans="1:9" x14ac:dyDescent="0.2">
      <c r="A6131" t="str">
        <f t="shared" si="342"/>
        <v>41244Tiahura1287Autres</v>
      </c>
      <c r="B6131" s="1">
        <v>41244</v>
      </c>
      <c r="C6131" t="s">
        <v>24</v>
      </c>
      <c r="D6131" s="19">
        <v>12</v>
      </c>
      <c r="E6131">
        <v>87</v>
      </c>
      <c r="F6131" t="s">
        <v>14</v>
      </c>
      <c r="H6131">
        <v>0</v>
      </c>
    </row>
    <row r="6132" spans="1:9" x14ac:dyDescent="0.2">
      <c r="A6132" t="str">
        <f t="shared" si="342"/>
        <v>41244Tiahura1288AcroporidaeDessous</v>
      </c>
      <c r="B6132" s="1">
        <v>41244</v>
      </c>
      <c r="C6132" t="s">
        <v>24</v>
      </c>
      <c r="D6132" s="19">
        <v>12</v>
      </c>
      <c r="E6132">
        <v>88</v>
      </c>
      <c r="F6132" t="s">
        <v>17</v>
      </c>
      <c r="G6132" t="s">
        <v>8</v>
      </c>
      <c r="H6132">
        <v>1</v>
      </c>
      <c r="I6132" t="s">
        <v>27</v>
      </c>
    </row>
    <row r="6133" spans="1:9" x14ac:dyDescent="0.2">
      <c r="A6133" t="str">
        <f t="shared" si="342"/>
        <v>41244Tiahura1288PocilloporidaeDessous</v>
      </c>
      <c r="B6133" s="1">
        <v>41244</v>
      </c>
      <c r="C6133" t="s">
        <v>24</v>
      </c>
      <c r="D6133" s="19">
        <v>12</v>
      </c>
      <c r="E6133">
        <v>88</v>
      </c>
      <c r="F6133" t="s">
        <v>10</v>
      </c>
      <c r="G6133" t="s">
        <v>8</v>
      </c>
      <c r="H6133">
        <v>3</v>
      </c>
      <c r="I6133" t="s">
        <v>27</v>
      </c>
    </row>
    <row r="6134" spans="1:9" x14ac:dyDescent="0.2">
      <c r="A6134" t="str">
        <f t="shared" si="342"/>
        <v>41244Tiahura1288PoritidaeDessous</v>
      </c>
      <c r="B6134" s="1">
        <v>41244</v>
      </c>
      <c r="C6134" t="s">
        <v>24</v>
      </c>
      <c r="D6134" s="19">
        <v>12</v>
      </c>
      <c r="E6134">
        <v>88</v>
      </c>
      <c r="F6134" t="s">
        <v>7</v>
      </c>
      <c r="G6134" t="s">
        <v>8</v>
      </c>
      <c r="H6134">
        <v>2</v>
      </c>
      <c r="I6134" t="s">
        <v>27</v>
      </c>
    </row>
    <row r="6135" spans="1:9" x14ac:dyDescent="0.2">
      <c r="A6135" t="str">
        <f t="shared" si="342"/>
        <v>41244Tiahura1289PoritidaeBords</v>
      </c>
      <c r="B6135" s="1">
        <v>41244</v>
      </c>
      <c r="C6135" t="s">
        <v>24</v>
      </c>
      <c r="D6135" s="19">
        <v>12</v>
      </c>
      <c r="E6135">
        <v>89</v>
      </c>
      <c r="F6135" t="s">
        <v>7</v>
      </c>
      <c r="G6135" t="s">
        <v>13</v>
      </c>
      <c r="H6135">
        <v>1</v>
      </c>
      <c r="I6135" t="s">
        <v>27</v>
      </c>
    </row>
    <row r="6136" spans="1:9" x14ac:dyDescent="0.2">
      <c r="A6136" t="str">
        <f t="shared" si="342"/>
        <v>41244Tiahura1289PoritidaeDessus</v>
      </c>
      <c r="B6136" s="1">
        <v>41244</v>
      </c>
      <c r="C6136" t="s">
        <v>24</v>
      </c>
      <c r="D6136" s="19">
        <v>12</v>
      </c>
      <c r="E6136">
        <v>89</v>
      </c>
      <c r="F6136" t="s">
        <v>7</v>
      </c>
      <c r="G6136" t="s">
        <v>11</v>
      </c>
      <c r="H6136">
        <v>2</v>
      </c>
      <c r="I6136" t="s">
        <v>27</v>
      </c>
    </row>
    <row r="6137" spans="1:9" x14ac:dyDescent="0.2">
      <c r="A6137" t="str">
        <f t="shared" si="342"/>
        <v>41244Tiahura1290AcroporidaeDessous</v>
      </c>
      <c r="B6137" s="1">
        <v>41244</v>
      </c>
      <c r="C6137" t="s">
        <v>24</v>
      </c>
      <c r="D6137" s="19">
        <v>12</v>
      </c>
      <c r="E6137">
        <v>90</v>
      </c>
      <c r="F6137" t="s">
        <v>17</v>
      </c>
      <c r="G6137" t="s">
        <v>8</v>
      </c>
      <c r="H6137">
        <v>1</v>
      </c>
      <c r="I6137" t="s">
        <v>27</v>
      </c>
    </row>
    <row r="6138" spans="1:9" x14ac:dyDescent="0.2">
      <c r="A6138" t="str">
        <f t="shared" si="342"/>
        <v>41244Tiahura1291PocilloporidaeDessous</v>
      </c>
      <c r="B6138" s="1">
        <v>41244</v>
      </c>
      <c r="C6138" t="s">
        <v>24</v>
      </c>
      <c r="D6138" s="19">
        <v>12</v>
      </c>
      <c r="E6138">
        <v>91</v>
      </c>
      <c r="F6138" t="s">
        <v>10</v>
      </c>
      <c r="G6138" t="s">
        <v>8</v>
      </c>
      <c r="H6138">
        <v>1</v>
      </c>
      <c r="I6138" t="s">
        <v>27</v>
      </c>
    </row>
    <row r="6139" spans="1:9" x14ac:dyDescent="0.2">
      <c r="A6139" t="str">
        <f t="shared" si="342"/>
        <v>41244Tiahura1292Autres</v>
      </c>
      <c r="B6139" s="1">
        <v>41244</v>
      </c>
      <c r="C6139" t="s">
        <v>24</v>
      </c>
      <c r="D6139" s="19">
        <v>12</v>
      </c>
      <c r="E6139">
        <v>92</v>
      </c>
      <c r="F6139" t="s">
        <v>14</v>
      </c>
      <c r="H6139">
        <v>0</v>
      </c>
    </row>
    <row r="6140" spans="1:9" x14ac:dyDescent="0.2">
      <c r="A6140" t="str">
        <f t="shared" si="342"/>
        <v>41244Tiahura1293Autres</v>
      </c>
      <c r="B6140" s="1">
        <v>41244</v>
      </c>
      <c r="C6140" t="s">
        <v>24</v>
      </c>
      <c r="D6140" s="19">
        <v>12</v>
      </c>
      <c r="E6140">
        <v>93</v>
      </c>
      <c r="F6140" t="s">
        <v>14</v>
      </c>
      <c r="H6140">
        <v>0</v>
      </c>
    </row>
    <row r="6141" spans="1:9" x14ac:dyDescent="0.2">
      <c r="A6141" t="str">
        <f t="shared" si="342"/>
        <v>41244Tiahura1294Autres</v>
      </c>
      <c r="B6141" s="1">
        <v>41244</v>
      </c>
      <c r="C6141" t="s">
        <v>24</v>
      </c>
      <c r="D6141" s="19">
        <v>12</v>
      </c>
      <c r="E6141">
        <v>94</v>
      </c>
      <c r="F6141" t="s">
        <v>14</v>
      </c>
      <c r="H6141">
        <v>0</v>
      </c>
    </row>
    <row r="6142" spans="1:9" x14ac:dyDescent="0.2">
      <c r="A6142" t="str">
        <f t="shared" si="342"/>
        <v>41244Tiahura1295PocilloporidaeDessous</v>
      </c>
      <c r="B6142" s="1">
        <v>41244</v>
      </c>
      <c r="C6142" t="s">
        <v>24</v>
      </c>
      <c r="D6142" s="19">
        <v>12</v>
      </c>
      <c r="E6142">
        <v>95</v>
      </c>
      <c r="F6142" t="s">
        <v>10</v>
      </c>
      <c r="G6142" t="s">
        <v>8</v>
      </c>
      <c r="H6142">
        <v>1</v>
      </c>
      <c r="I6142" t="s">
        <v>27</v>
      </c>
    </row>
    <row r="6143" spans="1:9" x14ac:dyDescent="0.2">
      <c r="A6143" t="str">
        <f t="shared" ref="A6143:A6206" si="343">B6143 &amp; C6143&amp; D6143&amp; E6143 &amp; F6143 &amp;G6143</f>
        <v>41244Tiahura1296CassésDessus</v>
      </c>
      <c r="B6143" s="1">
        <v>41244</v>
      </c>
      <c r="C6143" t="s">
        <v>24</v>
      </c>
      <c r="D6143" s="19">
        <v>12</v>
      </c>
      <c r="E6143">
        <v>96</v>
      </c>
      <c r="F6143" t="s">
        <v>12</v>
      </c>
      <c r="G6143" t="s">
        <v>11</v>
      </c>
      <c r="H6143">
        <v>1</v>
      </c>
      <c r="I6143" t="s">
        <v>27</v>
      </c>
    </row>
    <row r="6144" spans="1:9" x14ac:dyDescent="0.2">
      <c r="A6144" t="str">
        <f t="shared" si="343"/>
        <v>41244Tiahura1296PocilloporidaeDessous</v>
      </c>
      <c r="B6144" s="1">
        <v>41244</v>
      </c>
      <c r="C6144" t="s">
        <v>24</v>
      </c>
      <c r="D6144" s="19">
        <v>12</v>
      </c>
      <c r="E6144">
        <v>96</v>
      </c>
      <c r="F6144" t="s">
        <v>10</v>
      </c>
      <c r="G6144" t="s">
        <v>8</v>
      </c>
      <c r="H6144">
        <v>2</v>
      </c>
      <c r="I6144" t="s">
        <v>27</v>
      </c>
    </row>
    <row r="6145" spans="1:9" x14ac:dyDescent="0.2">
      <c r="A6145" t="str">
        <f t="shared" si="343"/>
        <v>41244Tiahura1297PocilloporidaeBords</v>
      </c>
      <c r="B6145" s="1">
        <v>41244</v>
      </c>
      <c r="C6145" t="s">
        <v>24</v>
      </c>
      <c r="D6145" s="19">
        <v>12</v>
      </c>
      <c r="E6145">
        <v>97</v>
      </c>
      <c r="F6145" t="s">
        <v>10</v>
      </c>
      <c r="G6145" t="s">
        <v>13</v>
      </c>
      <c r="H6145">
        <v>1</v>
      </c>
      <c r="I6145" t="s">
        <v>27</v>
      </c>
    </row>
    <row r="6146" spans="1:9" x14ac:dyDescent="0.2">
      <c r="A6146" t="str">
        <f t="shared" si="343"/>
        <v>41244Tiahura1297PocilloporidaeDessous</v>
      </c>
      <c r="B6146" s="1">
        <v>41244</v>
      </c>
      <c r="C6146" t="s">
        <v>24</v>
      </c>
      <c r="D6146" s="19">
        <v>12</v>
      </c>
      <c r="E6146">
        <v>97</v>
      </c>
      <c r="F6146" t="s">
        <v>10</v>
      </c>
      <c r="G6146" t="s">
        <v>8</v>
      </c>
      <c r="H6146">
        <v>2</v>
      </c>
      <c r="I6146" t="s">
        <v>27</v>
      </c>
    </row>
    <row r="6147" spans="1:9" x14ac:dyDescent="0.2">
      <c r="A6147" t="str">
        <f t="shared" si="343"/>
        <v>41244Tiahura1298PocilloporidaeBords</v>
      </c>
      <c r="B6147" s="1">
        <v>41244</v>
      </c>
      <c r="C6147" t="s">
        <v>24</v>
      </c>
      <c r="D6147" s="19">
        <v>12</v>
      </c>
      <c r="E6147">
        <v>98</v>
      </c>
      <c r="F6147" t="s">
        <v>10</v>
      </c>
      <c r="G6147" t="s">
        <v>13</v>
      </c>
      <c r="H6147">
        <v>1</v>
      </c>
      <c r="I6147" t="s">
        <v>27</v>
      </c>
    </row>
    <row r="6148" spans="1:9" x14ac:dyDescent="0.2">
      <c r="A6148" t="str">
        <f t="shared" si="343"/>
        <v>41244Tiahura1299Autres</v>
      </c>
      <c r="B6148" s="1">
        <v>41244</v>
      </c>
      <c r="C6148" t="s">
        <v>24</v>
      </c>
      <c r="D6148" s="19">
        <v>12</v>
      </c>
      <c r="E6148">
        <v>99</v>
      </c>
      <c r="F6148" t="s">
        <v>14</v>
      </c>
      <c r="H6148">
        <v>0</v>
      </c>
    </row>
    <row r="6149" spans="1:9" x14ac:dyDescent="0.2">
      <c r="A6149" t="str">
        <f t="shared" si="343"/>
        <v>41244Tiahura12100Autres</v>
      </c>
      <c r="B6149" s="1">
        <v>41244</v>
      </c>
      <c r="C6149" t="s">
        <v>24</v>
      </c>
      <c r="D6149" s="19">
        <v>12</v>
      </c>
      <c r="E6149">
        <v>100</v>
      </c>
      <c r="F6149" t="s">
        <v>14</v>
      </c>
      <c r="H6149">
        <v>0</v>
      </c>
    </row>
    <row r="6150" spans="1:9" x14ac:dyDescent="0.2">
      <c r="A6150" t="str">
        <f t="shared" si="343"/>
        <v>41244Tiahura18101Autres</v>
      </c>
      <c r="B6150" s="1">
        <v>41244</v>
      </c>
      <c r="C6150" t="s">
        <v>24</v>
      </c>
      <c r="D6150" s="19">
        <v>18</v>
      </c>
      <c r="E6150">
        <v>101</v>
      </c>
      <c r="F6150" t="s">
        <v>14</v>
      </c>
      <c r="H6150">
        <v>0</v>
      </c>
    </row>
    <row r="6151" spans="1:9" x14ac:dyDescent="0.2">
      <c r="A6151" t="str">
        <f t="shared" si="343"/>
        <v>41244Tiahura18102Autres</v>
      </c>
      <c r="B6151" s="1">
        <v>41244</v>
      </c>
      <c r="C6151" t="s">
        <v>24</v>
      </c>
      <c r="D6151" s="19">
        <v>18</v>
      </c>
      <c r="E6151">
        <v>102</v>
      </c>
      <c r="F6151" t="s">
        <v>14</v>
      </c>
      <c r="H6151">
        <v>0</v>
      </c>
    </row>
    <row r="6152" spans="1:9" x14ac:dyDescent="0.2">
      <c r="A6152" t="str">
        <f t="shared" si="343"/>
        <v>41244Tiahura18103Autres</v>
      </c>
      <c r="B6152" s="1">
        <v>41244</v>
      </c>
      <c r="C6152" t="s">
        <v>24</v>
      </c>
      <c r="D6152" s="19">
        <v>18</v>
      </c>
      <c r="E6152">
        <v>103</v>
      </c>
      <c r="F6152" t="s">
        <v>14</v>
      </c>
      <c r="H6152">
        <v>0</v>
      </c>
    </row>
    <row r="6153" spans="1:9" x14ac:dyDescent="0.2">
      <c r="A6153" t="str">
        <f t="shared" si="343"/>
        <v>41244Tiahura18104CassésDessus</v>
      </c>
      <c r="B6153" s="1">
        <v>41244</v>
      </c>
      <c r="C6153" t="s">
        <v>24</v>
      </c>
      <c r="D6153" s="19">
        <v>18</v>
      </c>
      <c r="E6153">
        <v>104</v>
      </c>
      <c r="F6153" t="s">
        <v>12</v>
      </c>
      <c r="G6153" t="s">
        <v>11</v>
      </c>
      <c r="H6153">
        <v>1</v>
      </c>
      <c r="I6153" t="s">
        <v>27</v>
      </c>
    </row>
    <row r="6154" spans="1:9" x14ac:dyDescent="0.2">
      <c r="A6154" t="str">
        <f t="shared" si="343"/>
        <v>41244Tiahura18105PoritidaeBords</v>
      </c>
      <c r="B6154" s="1">
        <v>41244</v>
      </c>
      <c r="C6154" t="s">
        <v>24</v>
      </c>
      <c r="D6154" s="19">
        <v>18</v>
      </c>
      <c r="E6154">
        <v>105</v>
      </c>
      <c r="F6154" t="s">
        <v>7</v>
      </c>
      <c r="G6154" t="s">
        <v>13</v>
      </c>
      <c r="H6154">
        <v>1</v>
      </c>
      <c r="I6154" t="s">
        <v>27</v>
      </c>
    </row>
    <row r="6155" spans="1:9" x14ac:dyDescent="0.2">
      <c r="A6155" t="str">
        <f t="shared" si="343"/>
        <v>41244Tiahura18105PoritidaeDessus</v>
      </c>
      <c r="B6155" s="1">
        <v>41244</v>
      </c>
      <c r="C6155" t="s">
        <v>24</v>
      </c>
      <c r="D6155" s="19">
        <v>18</v>
      </c>
      <c r="E6155">
        <v>105</v>
      </c>
      <c r="F6155" t="s">
        <v>7</v>
      </c>
      <c r="G6155" t="s">
        <v>11</v>
      </c>
      <c r="H6155">
        <v>2</v>
      </c>
      <c r="I6155" t="s">
        <v>27</v>
      </c>
    </row>
    <row r="6156" spans="1:9" x14ac:dyDescent="0.2">
      <c r="A6156" t="str">
        <f t="shared" si="343"/>
        <v>41244Tiahura18106Autres</v>
      </c>
      <c r="B6156" s="1">
        <v>41244</v>
      </c>
      <c r="C6156" t="s">
        <v>24</v>
      </c>
      <c r="D6156" s="19">
        <v>18</v>
      </c>
      <c r="E6156">
        <v>106</v>
      </c>
      <c r="F6156" t="s">
        <v>14</v>
      </c>
      <c r="H6156">
        <v>0</v>
      </c>
    </row>
    <row r="6157" spans="1:9" x14ac:dyDescent="0.2">
      <c r="A6157" t="str">
        <f t="shared" si="343"/>
        <v>41244Tiahura18107Autres</v>
      </c>
      <c r="B6157" s="1">
        <v>41244</v>
      </c>
      <c r="C6157" t="s">
        <v>24</v>
      </c>
      <c r="D6157" s="19">
        <v>18</v>
      </c>
      <c r="E6157">
        <v>107</v>
      </c>
      <c r="F6157" t="s">
        <v>14</v>
      </c>
      <c r="H6157">
        <v>0</v>
      </c>
    </row>
    <row r="6158" spans="1:9" x14ac:dyDescent="0.2">
      <c r="A6158" t="str">
        <f t="shared" si="343"/>
        <v>41244Tiahura18108Autres</v>
      </c>
      <c r="B6158" s="1">
        <v>41244</v>
      </c>
      <c r="C6158" t="s">
        <v>24</v>
      </c>
      <c r="D6158" s="19">
        <v>18</v>
      </c>
      <c r="E6158">
        <v>108</v>
      </c>
      <c r="F6158" t="s">
        <v>14</v>
      </c>
      <c r="H6158">
        <v>0</v>
      </c>
    </row>
    <row r="6159" spans="1:9" x14ac:dyDescent="0.2">
      <c r="A6159" t="str">
        <f t="shared" si="343"/>
        <v>41244Tiahura18109Autres</v>
      </c>
      <c r="B6159" s="1">
        <v>41244</v>
      </c>
      <c r="C6159" t="s">
        <v>24</v>
      </c>
      <c r="D6159" s="19">
        <v>18</v>
      </c>
      <c r="E6159">
        <v>109</v>
      </c>
      <c r="F6159" t="s">
        <v>14</v>
      </c>
      <c r="H6159">
        <v>0</v>
      </c>
    </row>
    <row r="6160" spans="1:9" x14ac:dyDescent="0.2">
      <c r="A6160" t="str">
        <f t="shared" si="343"/>
        <v>41244Tiahura18110Autres</v>
      </c>
      <c r="B6160" s="1">
        <v>41244</v>
      </c>
      <c r="C6160" t="s">
        <v>24</v>
      </c>
      <c r="D6160" s="19">
        <v>18</v>
      </c>
      <c r="E6160">
        <v>110</v>
      </c>
      <c r="F6160" t="s">
        <v>14</v>
      </c>
      <c r="H6160">
        <v>0</v>
      </c>
    </row>
    <row r="6161" spans="1:9" x14ac:dyDescent="0.2">
      <c r="A6161" t="str">
        <f t="shared" si="343"/>
        <v>41244Tiahura18111PoritidaeDessus</v>
      </c>
      <c r="B6161" s="1">
        <v>41244</v>
      </c>
      <c r="C6161" t="s">
        <v>24</v>
      </c>
      <c r="D6161" s="19">
        <v>18</v>
      </c>
      <c r="E6161">
        <v>111</v>
      </c>
      <c r="F6161" t="s">
        <v>7</v>
      </c>
      <c r="G6161" t="s">
        <v>11</v>
      </c>
      <c r="H6161">
        <v>1</v>
      </c>
      <c r="I6161" t="s">
        <v>27</v>
      </c>
    </row>
    <row r="6162" spans="1:9" x14ac:dyDescent="0.2">
      <c r="A6162" t="str">
        <f t="shared" si="343"/>
        <v>41244Tiahura18112Autres</v>
      </c>
      <c r="B6162" s="1">
        <v>41244</v>
      </c>
      <c r="C6162" t="s">
        <v>24</v>
      </c>
      <c r="D6162" s="19">
        <v>18</v>
      </c>
      <c r="E6162">
        <v>112</v>
      </c>
      <c r="F6162" t="s">
        <v>14</v>
      </c>
      <c r="H6162">
        <v>0</v>
      </c>
    </row>
    <row r="6163" spans="1:9" x14ac:dyDescent="0.2">
      <c r="A6163" t="str">
        <f t="shared" si="343"/>
        <v>41244Tiahura18113Autres</v>
      </c>
      <c r="B6163" s="1">
        <v>41244</v>
      </c>
      <c r="C6163" t="s">
        <v>24</v>
      </c>
      <c r="D6163" s="19">
        <v>18</v>
      </c>
      <c r="E6163">
        <v>113</v>
      </c>
      <c r="F6163" t="s">
        <v>14</v>
      </c>
      <c r="H6163">
        <v>0</v>
      </c>
    </row>
    <row r="6164" spans="1:9" x14ac:dyDescent="0.2">
      <c r="A6164" t="str">
        <f t="shared" si="343"/>
        <v>41244Tiahura18114PocilloporidaeDessous</v>
      </c>
      <c r="B6164" s="1">
        <v>41244</v>
      </c>
      <c r="C6164" t="s">
        <v>24</v>
      </c>
      <c r="D6164" s="19">
        <v>18</v>
      </c>
      <c r="E6164">
        <v>114</v>
      </c>
      <c r="F6164" t="s">
        <v>10</v>
      </c>
      <c r="G6164" t="s">
        <v>8</v>
      </c>
      <c r="H6164">
        <v>1</v>
      </c>
      <c r="I6164" t="s">
        <v>27</v>
      </c>
    </row>
    <row r="6165" spans="1:9" x14ac:dyDescent="0.2">
      <c r="A6165" t="str">
        <f t="shared" si="343"/>
        <v>41244Tiahura18115PocilloporidaeDessous</v>
      </c>
      <c r="B6165" s="1">
        <v>41244</v>
      </c>
      <c r="C6165" t="s">
        <v>24</v>
      </c>
      <c r="D6165" s="19">
        <v>18</v>
      </c>
      <c r="E6165">
        <v>115</v>
      </c>
      <c r="F6165" t="s">
        <v>10</v>
      </c>
      <c r="G6165" t="s">
        <v>8</v>
      </c>
      <c r="H6165">
        <v>1</v>
      </c>
      <c r="I6165" t="s">
        <v>27</v>
      </c>
    </row>
    <row r="6166" spans="1:9" x14ac:dyDescent="0.2">
      <c r="A6166" t="str">
        <f t="shared" si="343"/>
        <v>41244Tiahura18116Autres</v>
      </c>
      <c r="B6166" s="1">
        <v>41244</v>
      </c>
      <c r="C6166" t="s">
        <v>24</v>
      </c>
      <c r="D6166" s="19">
        <v>18</v>
      </c>
      <c r="E6166">
        <v>116</v>
      </c>
      <c r="F6166" t="s">
        <v>14</v>
      </c>
      <c r="H6166">
        <v>0</v>
      </c>
    </row>
    <row r="6167" spans="1:9" x14ac:dyDescent="0.2">
      <c r="A6167" t="str">
        <f t="shared" si="343"/>
        <v>41244Tiahura18117PocilloporidaeBords</v>
      </c>
      <c r="B6167" s="1">
        <v>41244</v>
      </c>
      <c r="C6167" t="s">
        <v>24</v>
      </c>
      <c r="D6167" s="19">
        <v>18</v>
      </c>
      <c r="E6167">
        <v>117</v>
      </c>
      <c r="F6167" t="s">
        <v>10</v>
      </c>
      <c r="G6167" t="s">
        <v>13</v>
      </c>
      <c r="H6167">
        <v>1</v>
      </c>
      <c r="I6167" t="s">
        <v>27</v>
      </c>
    </row>
    <row r="6168" spans="1:9" x14ac:dyDescent="0.2">
      <c r="A6168" t="str">
        <f t="shared" si="343"/>
        <v>41244Tiahura18118Autres</v>
      </c>
      <c r="B6168" s="1">
        <v>41244</v>
      </c>
      <c r="C6168" t="s">
        <v>24</v>
      </c>
      <c r="D6168" s="19">
        <v>18</v>
      </c>
      <c r="E6168">
        <v>118</v>
      </c>
      <c r="F6168" t="s">
        <v>14</v>
      </c>
      <c r="H6168">
        <v>0</v>
      </c>
    </row>
    <row r="6169" spans="1:9" x14ac:dyDescent="0.2">
      <c r="A6169" t="str">
        <f t="shared" si="343"/>
        <v>41244Tiahura18119Autres</v>
      </c>
      <c r="B6169" s="1">
        <v>41244</v>
      </c>
      <c r="C6169" t="s">
        <v>24</v>
      </c>
      <c r="D6169" s="19">
        <v>18</v>
      </c>
      <c r="E6169">
        <v>119</v>
      </c>
      <c r="F6169" t="s">
        <v>14</v>
      </c>
      <c r="H6169">
        <v>0</v>
      </c>
    </row>
    <row r="6170" spans="1:9" x14ac:dyDescent="0.2">
      <c r="A6170" t="str">
        <f t="shared" si="343"/>
        <v>41244Tiahura18120Autres</v>
      </c>
      <c r="B6170" s="1">
        <v>41244</v>
      </c>
      <c r="C6170" t="s">
        <v>24</v>
      </c>
      <c r="D6170" s="19">
        <v>18</v>
      </c>
      <c r="E6170">
        <v>120</v>
      </c>
      <c r="F6170" t="s">
        <v>14</v>
      </c>
      <c r="H6170">
        <v>0</v>
      </c>
    </row>
    <row r="6171" spans="1:9" x14ac:dyDescent="0.2">
      <c r="A6171" t="str">
        <f t="shared" si="343"/>
        <v>41244Haapiti6121PocilloporidaeBords</v>
      </c>
      <c r="B6171" s="1">
        <v>41244</v>
      </c>
      <c r="C6171" t="s">
        <v>25</v>
      </c>
      <c r="D6171" s="19">
        <v>6</v>
      </c>
      <c r="E6171">
        <v>121</v>
      </c>
      <c r="F6171" t="s">
        <v>10</v>
      </c>
      <c r="G6171" t="s">
        <v>13</v>
      </c>
      <c r="H6171">
        <v>1</v>
      </c>
      <c r="I6171" t="s">
        <v>27</v>
      </c>
    </row>
    <row r="6172" spans="1:9" x14ac:dyDescent="0.2">
      <c r="A6172" t="str">
        <f t="shared" si="343"/>
        <v>41244Haapiti6121PocilloporidaeDessus</v>
      </c>
      <c r="B6172" s="1">
        <v>41244</v>
      </c>
      <c r="C6172" t="s">
        <v>25</v>
      </c>
      <c r="D6172" s="19">
        <v>6</v>
      </c>
      <c r="E6172">
        <v>121</v>
      </c>
      <c r="F6172" t="s">
        <v>10</v>
      </c>
      <c r="G6172" t="s">
        <v>11</v>
      </c>
      <c r="H6172">
        <v>1</v>
      </c>
      <c r="I6172" t="s">
        <v>27</v>
      </c>
    </row>
    <row r="6173" spans="1:9" x14ac:dyDescent="0.2">
      <c r="A6173" t="str">
        <f t="shared" si="343"/>
        <v>41244Haapiti6122Autres</v>
      </c>
      <c r="B6173" s="1">
        <v>41244</v>
      </c>
      <c r="C6173" t="s">
        <v>25</v>
      </c>
      <c r="D6173" s="19">
        <v>6</v>
      </c>
      <c r="E6173">
        <v>122</v>
      </c>
      <c r="F6173" t="s">
        <v>14</v>
      </c>
      <c r="H6173">
        <v>0</v>
      </c>
    </row>
    <row r="6174" spans="1:9" x14ac:dyDescent="0.2">
      <c r="A6174" t="str">
        <f t="shared" si="343"/>
        <v>41244Haapiti6123PocilloporidaeDessus</v>
      </c>
      <c r="B6174" s="1">
        <v>41244</v>
      </c>
      <c r="C6174" t="s">
        <v>25</v>
      </c>
      <c r="D6174" s="19">
        <v>6</v>
      </c>
      <c r="E6174">
        <v>123</v>
      </c>
      <c r="F6174" t="s">
        <v>10</v>
      </c>
      <c r="G6174" t="s">
        <v>11</v>
      </c>
      <c r="H6174">
        <v>1</v>
      </c>
      <c r="I6174" t="s">
        <v>27</v>
      </c>
    </row>
    <row r="6175" spans="1:9" x14ac:dyDescent="0.2">
      <c r="A6175" t="str">
        <f t="shared" si="343"/>
        <v>41244Haapiti6124Autres</v>
      </c>
      <c r="B6175" s="1">
        <v>41244</v>
      </c>
      <c r="C6175" t="s">
        <v>25</v>
      </c>
      <c r="D6175" s="19">
        <v>6</v>
      </c>
      <c r="E6175">
        <v>124</v>
      </c>
      <c r="F6175" t="s">
        <v>14</v>
      </c>
      <c r="H6175">
        <v>0</v>
      </c>
    </row>
    <row r="6176" spans="1:9" x14ac:dyDescent="0.2">
      <c r="A6176" t="str">
        <f t="shared" si="343"/>
        <v>41244Haapiti6125Autres</v>
      </c>
      <c r="B6176" s="1">
        <v>41244</v>
      </c>
      <c r="C6176" t="s">
        <v>25</v>
      </c>
      <c r="D6176" s="19">
        <v>6</v>
      </c>
      <c r="E6176">
        <v>125</v>
      </c>
      <c r="F6176" t="s">
        <v>14</v>
      </c>
      <c r="H6176">
        <v>0</v>
      </c>
    </row>
    <row r="6177" spans="1:9" x14ac:dyDescent="0.2">
      <c r="A6177" t="str">
        <f t="shared" si="343"/>
        <v>41244Haapiti6126Autres</v>
      </c>
      <c r="B6177" s="1">
        <v>41244</v>
      </c>
      <c r="C6177" t="s">
        <v>25</v>
      </c>
      <c r="D6177" s="19">
        <v>6</v>
      </c>
      <c r="E6177">
        <v>126</v>
      </c>
      <c r="F6177" t="s">
        <v>14</v>
      </c>
      <c r="H6177">
        <v>0</v>
      </c>
    </row>
    <row r="6178" spans="1:9" x14ac:dyDescent="0.2">
      <c r="A6178" t="str">
        <f t="shared" si="343"/>
        <v>41244Haapiti6127Autres</v>
      </c>
      <c r="B6178" s="1">
        <v>41244</v>
      </c>
      <c r="C6178" t="s">
        <v>25</v>
      </c>
      <c r="D6178" s="19">
        <v>6</v>
      </c>
      <c r="E6178">
        <v>127</v>
      </c>
      <c r="F6178" t="s">
        <v>14</v>
      </c>
      <c r="H6178">
        <v>0</v>
      </c>
      <c r="I6178" t="s">
        <v>33</v>
      </c>
    </row>
    <row r="6179" spans="1:9" x14ac:dyDescent="0.2">
      <c r="A6179" t="str">
        <f t="shared" si="343"/>
        <v>41244Haapiti6127PoritidaeDessous</v>
      </c>
      <c r="B6179" s="1">
        <v>41244</v>
      </c>
      <c r="C6179" t="s">
        <v>25</v>
      </c>
      <c r="D6179" s="19">
        <v>6</v>
      </c>
      <c r="E6179">
        <v>127</v>
      </c>
      <c r="F6179" t="s">
        <v>7</v>
      </c>
      <c r="G6179" t="s">
        <v>8</v>
      </c>
      <c r="H6179">
        <v>1</v>
      </c>
      <c r="I6179" t="s">
        <v>27</v>
      </c>
    </row>
    <row r="6180" spans="1:9" x14ac:dyDescent="0.2">
      <c r="A6180" t="str">
        <f t="shared" si="343"/>
        <v>41244Haapiti6128Autres</v>
      </c>
      <c r="B6180" s="1">
        <v>41244</v>
      </c>
      <c r="C6180" t="s">
        <v>25</v>
      </c>
      <c r="D6180" s="19">
        <v>6</v>
      </c>
      <c r="E6180">
        <v>128</v>
      </c>
      <c r="F6180" t="s">
        <v>14</v>
      </c>
      <c r="H6180">
        <v>0</v>
      </c>
    </row>
    <row r="6181" spans="1:9" x14ac:dyDescent="0.2">
      <c r="A6181" t="str">
        <f t="shared" si="343"/>
        <v>41244Haapiti6129Autres</v>
      </c>
      <c r="B6181" s="1">
        <v>41244</v>
      </c>
      <c r="C6181" t="s">
        <v>25</v>
      </c>
      <c r="D6181" s="19">
        <v>6</v>
      </c>
      <c r="E6181">
        <v>129</v>
      </c>
      <c r="F6181" t="s">
        <v>14</v>
      </c>
      <c r="H6181">
        <v>0</v>
      </c>
    </row>
    <row r="6182" spans="1:9" x14ac:dyDescent="0.2">
      <c r="A6182" t="str">
        <f t="shared" si="343"/>
        <v>41244Haapiti6130PocilloporidaeDessous</v>
      </c>
      <c r="B6182" s="1">
        <v>41244</v>
      </c>
      <c r="C6182" t="s">
        <v>25</v>
      </c>
      <c r="D6182" s="19">
        <v>6</v>
      </c>
      <c r="E6182">
        <v>130</v>
      </c>
      <c r="F6182" t="s">
        <v>10</v>
      </c>
      <c r="G6182" t="s">
        <v>8</v>
      </c>
      <c r="H6182">
        <v>2</v>
      </c>
      <c r="I6182" t="s">
        <v>27</v>
      </c>
    </row>
    <row r="6183" spans="1:9" x14ac:dyDescent="0.2">
      <c r="A6183" t="str">
        <f t="shared" si="343"/>
        <v>41244Haapiti6131PocilloporidaeBords</v>
      </c>
      <c r="B6183" s="1">
        <v>41244</v>
      </c>
      <c r="C6183" t="s">
        <v>25</v>
      </c>
      <c r="D6183" s="19">
        <v>6</v>
      </c>
      <c r="E6183">
        <v>131</v>
      </c>
      <c r="F6183" t="s">
        <v>10</v>
      </c>
      <c r="G6183" t="s">
        <v>13</v>
      </c>
      <c r="H6183">
        <v>1</v>
      </c>
      <c r="I6183" t="s">
        <v>27</v>
      </c>
    </row>
    <row r="6184" spans="1:9" x14ac:dyDescent="0.2">
      <c r="A6184" t="str">
        <f t="shared" si="343"/>
        <v>41244Haapiti6131PocilloporidaeDessus</v>
      </c>
      <c r="B6184" s="1">
        <v>41244</v>
      </c>
      <c r="C6184" t="s">
        <v>25</v>
      </c>
      <c r="D6184" s="19">
        <v>6</v>
      </c>
      <c r="E6184">
        <v>131</v>
      </c>
      <c r="F6184" t="s">
        <v>10</v>
      </c>
      <c r="G6184" t="s">
        <v>11</v>
      </c>
      <c r="H6184">
        <v>1</v>
      </c>
      <c r="I6184" t="s">
        <v>27</v>
      </c>
    </row>
    <row r="6185" spans="1:9" x14ac:dyDescent="0.2">
      <c r="A6185" t="str">
        <f t="shared" si="343"/>
        <v>41244Haapiti6132PocilloporidaeBords</v>
      </c>
      <c r="B6185" s="1">
        <v>41244</v>
      </c>
      <c r="C6185" t="s">
        <v>25</v>
      </c>
      <c r="D6185" s="19">
        <v>6</v>
      </c>
      <c r="E6185">
        <v>132</v>
      </c>
      <c r="F6185" t="s">
        <v>10</v>
      </c>
      <c r="G6185" t="s">
        <v>13</v>
      </c>
      <c r="H6185">
        <v>1</v>
      </c>
      <c r="I6185" t="s">
        <v>27</v>
      </c>
    </row>
    <row r="6186" spans="1:9" x14ac:dyDescent="0.2">
      <c r="A6186" t="str">
        <f t="shared" si="343"/>
        <v>41244Haapiti6132PocilloporidaeDessous</v>
      </c>
      <c r="B6186" s="1">
        <v>41244</v>
      </c>
      <c r="C6186" t="s">
        <v>25</v>
      </c>
      <c r="D6186" s="19">
        <v>6</v>
      </c>
      <c r="E6186">
        <v>132</v>
      </c>
      <c r="F6186" t="s">
        <v>10</v>
      </c>
      <c r="G6186" t="s">
        <v>8</v>
      </c>
      <c r="H6186">
        <v>1</v>
      </c>
      <c r="I6186" t="s">
        <v>27</v>
      </c>
    </row>
    <row r="6187" spans="1:9" x14ac:dyDescent="0.2">
      <c r="A6187" t="str">
        <f t="shared" si="343"/>
        <v>41244Haapiti6132PocilloporidaeDessus</v>
      </c>
      <c r="B6187" s="1">
        <v>41244</v>
      </c>
      <c r="C6187" t="s">
        <v>25</v>
      </c>
      <c r="D6187" s="19">
        <v>6</v>
      </c>
      <c r="E6187">
        <v>132</v>
      </c>
      <c r="F6187" t="s">
        <v>10</v>
      </c>
      <c r="G6187" t="s">
        <v>11</v>
      </c>
      <c r="H6187">
        <v>1</v>
      </c>
      <c r="I6187" t="s">
        <v>27</v>
      </c>
    </row>
    <row r="6188" spans="1:9" x14ac:dyDescent="0.2">
      <c r="A6188" t="str">
        <f t="shared" si="343"/>
        <v>41244Haapiti6133Autres</v>
      </c>
      <c r="B6188" s="1">
        <v>41244</v>
      </c>
      <c r="C6188" t="s">
        <v>25</v>
      </c>
      <c r="D6188" s="19">
        <v>6</v>
      </c>
      <c r="E6188">
        <v>133</v>
      </c>
      <c r="F6188" t="s">
        <v>14</v>
      </c>
      <c r="H6188">
        <v>0</v>
      </c>
    </row>
    <row r="6189" spans="1:9" x14ac:dyDescent="0.2">
      <c r="A6189" t="str">
        <f t="shared" si="343"/>
        <v>41244Haapiti6134PocilloporidaeBords</v>
      </c>
      <c r="B6189" s="1">
        <v>41244</v>
      </c>
      <c r="C6189" t="s">
        <v>25</v>
      </c>
      <c r="D6189" s="19">
        <v>6</v>
      </c>
      <c r="E6189">
        <v>134</v>
      </c>
      <c r="F6189" t="s">
        <v>10</v>
      </c>
      <c r="G6189" t="s">
        <v>13</v>
      </c>
      <c r="H6189">
        <v>1</v>
      </c>
      <c r="I6189" t="s">
        <v>27</v>
      </c>
    </row>
    <row r="6190" spans="1:9" x14ac:dyDescent="0.2">
      <c r="A6190" t="str">
        <f t="shared" si="343"/>
        <v>41244Haapiti6134PocilloporidaeDessus</v>
      </c>
      <c r="B6190" s="1">
        <v>41244</v>
      </c>
      <c r="C6190" t="s">
        <v>25</v>
      </c>
      <c r="D6190" s="19">
        <v>6</v>
      </c>
      <c r="E6190">
        <v>134</v>
      </c>
      <c r="F6190" t="s">
        <v>10</v>
      </c>
      <c r="G6190" t="s">
        <v>11</v>
      </c>
      <c r="H6190">
        <v>1</v>
      </c>
      <c r="I6190" t="s">
        <v>27</v>
      </c>
    </row>
    <row r="6191" spans="1:9" x14ac:dyDescent="0.2">
      <c r="A6191" t="str">
        <f t="shared" si="343"/>
        <v>41244Haapiti6135Autres</v>
      </c>
      <c r="B6191" s="1">
        <v>41244</v>
      </c>
      <c r="C6191" t="s">
        <v>25</v>
      </c>
      <c r="D6191" s="19">
        <v>6</v>
      </c>
      <c r="E6191">
        <v>135</v>
      </c>
      <c r="F6191" t="s">
        <v>14</v>
      </c>
      <c r="H6191">
        <v>0</v>
      </c>
    </row>
    <row r="6192" spans="1:9" x14ac:dyDescent="0.2">
      <c r="A6192" t="str">
        <f t="shared" si="343"/>
        <v>41244Haapiti6136Autres</v>
      </c>
      <c r="B6192" s="1">
        <v>41244</v>
      </c>
      <c r="C6192" t="s">
        <v>25</v>
      </c>
      <c r="D6192" s="19">
        <v>6</v>
      </c>
      <c r="E6192">
        <v>136</v>
      </c>
      <c r="F6192" t="s">
        <v>14</v>
      </c>
      <c r="H6192">
        <v>0</v>
      </c>
    </row>
    <row r="6193" spans="1:9" x14ac:dyDescent="0.2">
      <c r="A6193" t="str">
        <f t="shared" si="343"/>
        <v>41244Haapiti6137Autres</v>
      </c>
      <c r="B6193" s="1">
        <v>41244</v>
      </c>
      <c r="C6193" t="s">
        <v>25</v>
      </c>
      <c r="D6193" s="19">
        <v>6</v>
      </c>
      <c r="E6193">
        <v>137</v>
      </c>
      <c r="F6193" t="s">
        <v>14</v>
      </c>
      <c r="H6193">
        <v>0</v>
      </c>
    </row>
    <row r="6194" spans="1:9" x14ac:dyDescent="0.2">
      <c r="A6194" t="str">
        <f t="shared" si="343"/>
        <v>41244Haapiti6138Autres</v>
      </c>
      <c r="B6194" s="1">
        <v>41244</v>
      </c>
      <c r="C6194" t="s">
        <v>25</v>
      </c>
      <c r="D6194" s="19">
        <v>6</v>
      </c>
      <c r="E6194">
        <v>138</v>
      </c>
      <c r="F6194" t="s">
        <v>14</v>
      </c>
      <c r="H6194">
        <v>0</v>
      </c>
      <c r="I6194" t="s">
        <v>34</v>
      </c>
    </row>
    <row r="6195" spans="1:9" x14ac:dyDescent="0.2">
      <c r="A6195" t="str">
        <f t="shared" si="343"/>
        <v>41244Haapiti6139Autres</v>
      </c>
      <c r="B6195" s="1">
        <v>41244</v>
      </c>
      <c r="C6195" t="s">
        <v>25</v>
      </c>
      <c r="D6195" s="19">
        <v>6</v>
      </c>
      <c r="E6195">
        <v>139</v>
      </c>
      <c r="F6195" t="s">
        <v>14</v>
      </c>
      <c r="H6195">
        <v>0</v>
      </c>
    </row>
    <row r="6196" spans="1:9" x14ac:dyDescent="0.2">
      <c r="A6196" t="str">
        <f t="shared" si="343"/>
        <v>41244Haapiti6140Autres</v>
      </c>
      <c r="B6196" s="1">
        <v>41244</v>
      </c>
      <c r="C6196" t="s">
        <v>25</v>
      </c>
      <c r="D6196" s="19">
        <v>6</v>
      </c>
      <c r="E6196">
        <v>140</v>
      </c>
      <c r="F6196" t="s">
        <v>14</v>
      </c>
      <c r="H6196">
        <v>0</v>
      </c>
    </row>
    <row r="6197" spans="1:9" x14ac:dyDescent="0.2">
      <c r="A6197" t="str">
        <f t="shared" si="343"/>
        <v>41244Haapiti12141PocilloporidaeBords</v>
      </c>
      <c r="B6197" s="1">
        <v>41244</v>
      </c>
      <c r="C6197" t="s">
        <v>25</v>
      </c>
      <c r="D6197" s="19">
        <v>12</v>
      </c>
      <c r="E6197">
        <v>141</v>
      </c>
      <c r="F6197" t="s">
        <v>10</v>
      </c>
      <c r="G6197" t="s">
        <v>13</v>
      </c>
      <c r="H6197">
        <v>1</v>
      </c>
      <c r="I6197" t="s">
        <v>27</v>
      </c>
    </row>
    <row r="6198" spans="1:9" x14ac:dyDescent="0.2">
      <c r="A6198" t="str">
        <f t="shared" si="343"/>
        <v>41244Haapiti12141PocilloporidaeDessus</v>
      </c>
      <c r="B6198" s="1">
        <v>41244</v>
      </c>
      <c r="C6198" t="s">
        <v>25</v>
      </c>
      <c r="D6198" s="19">
        <v>12</v>
      </c>
      <c r="E6198">
        <v>141</v>
      </c>
      <c r="F6198" t="s">
        <v>10</v>
      </c>
      <c r="G6198" t="s">
        <v>11</v>
      </c>
      <c r="H6198">
        <v>2</v>
      </c>
      <c r="I6198" t="s">
        <v>27</v>
      </c>
    </row>
    <row r="6199" spans="1:9" x14ac:dyDescent="0.2">
      <c r="A6199" t="str">
        <f t="shared" si="343"/>
        <v>41244Haapiti12142Autres</v>
      </c>
      <c r="B6199" s="1">
        <v>41244</v>
      </c>
      <c r="C6199" t="s">
        <v>25</v>
      </c>
      <c r="D6199" s="19">
        <v>12</v>
      </c>
      <c r="E6199">
        <v>142</v>
      </c>
      <c r="F6199" t="s">
        <v>14</v>
      </c>
      <c r="H6199">
        <v>0</v>
      </c>
    </row>
    <row r="6200" spans="1:9" x14ac:dyDescent="0.2">
      <c r="A6200" t="str">
        <f t="shared" si="343"/>
        <v>41244Haapiti12143PocilloporidaeDessus</v>
      </c>
      <c r="B6200" s="1">
        <v>41244</v>
      </c>
      <c r="C6200" t="s">
        <v>25</v>
      </c>
      <c r="D6200" s="19">
        <v>12</v>
      </c>
      <c r="E6200">
        <v>143</v>
      </c>
      <c r="F6200" t="s">
        <v>10</v>
      </c>
      <c r="G6200" t="s">
        <v>11</v>
      </c>
      <c r="H6200">
        <v>1</v>
      </c>
      <c r="I6200" t="s">
        <v>27</v>
      </c>
    </row>
    <row r="6201" spans="1:9" x14ac:dyDescent="0.2">
      <c r="A6201" t="str">
        <f t="shared" si="343"/>
        <v>41244Haapiti12144Autres</v>
      </c>
      <c r="B6201" s="1">
        <v>41244</v>
      </c>
      <c r="C6201" t="s">
        <v>25</v>
      </c>
      <c r="D6201" s="19">
        <v>12</v>
      </c>
      <c r="E6201">
        <v>144</v>
      </c>
      <c r="F6201" t="s">
        <v>14</v>
      </c>
      <c r="H6201">
        <v>0</v>
      </c>
    </row>
    <row r="6202" spans="1:9" x14ac:dyDescent="0.2">
      <c r="A6202" t="str">
        <f t="shared" si="343"/>
        <v>41244Haapiti12145CassésDessus</v>
      </c>
      <c r="B6202" s="1">
        <v>41244</v>
      </c>
      <c r="C6202" t="s">
        <v>25</v>
      </c>
      <c r="D6202" s="19">
        <v>12</v>
      </c>
      <c r="E6202">
        <v>145</v>
      </c>
      <c r="F6202" t="s">
        <v>12</v>
      </c>
      <c r="G6202" t="s">
        <v>11</v>
      </c>
      <c r="H6202">
        <v>1</v>
      </c>
      <c r="I6202" t="s">
        <v>27</v>
      </c>
    </row>
    <row r="6203" spans="1:9" x14ac:dyDescent="0.2">
      <c r="A6203" t="str">
        <f t="shared" si="343"/>
        <v>41244Haapiti12145PocilloporidaeDessus</v>
      </c>
      <c r="B6203" s="1">
        <v>41244</v>
      </c>
      <c r="C6203" t="s">
        <v>25</v>
      </c>
      <c r="D6203" s="19">
        <v>12</v>
      </c>
      <c r="E6203">
        <v>145</v>
      </c>
      <c r="F6203" t="s">
        <v>10</v>
      </c>
      <c r="G6203" t="s">
        <v>11</v>
      </c>
      <c r="H6203">
        <v>1</v>
      </c>
      <c r="I6203" t="s">
        <v>27</v>
      </c>
    </row>
    <row r="6204" spans="1:9" x14ac:dyDescent="0.2">
      <c r="A6204" t="str">
        <f t="shared" si="343"/>
        <v>41244Haapiti12146PocilloporidaeDessus</v>
      </c>
      <c r="B6204" s="1">
        <v>41244</v>
      </c>
      <c r="C6204" t="s">
        <v>25</v>
      </c>
      <c r="D6204" s="19">
        <v>12</v>
      </c>
      <c r="E6204">
        <v>146</v>
      </c>
      <c r="F6204" t="s">
        <v>10</v>
      </c>
      <c r="G6204" t="s">
        <v>11</v>
      </c>
      <c r="H6204">
        <v>1</v>
      </c>
      <c r="I6204" t="s">
        <v>27</v>
      </c>
    </row>
    <row r="6205" spans="1:9" x14ac:dyDescent="0.2">
      <c r="A6205" t="str">
        <f t="shared" si="343"/>
        <v>41244Haapiti12147Autres</v>
      </c>
      <c r="B6205" s="1">
        <v>41244</v>
      </c>
      <c r="C6205" t="s">
        <v>25</v>
      </c>
      <c r="D6205" s="19">
        <v>12</v>
      </c>
      <c r="E6205">
        <v>147</v>
      </c>
      <c r="F6205" t="s">
        <v>14</v>
      </c>
      <c r="H6205">
        <v>0</v>
      </c>
    </row>
    <row r="6206" spans="1:9" x14ac:dyDescent="0.2">
      <c r="A6206" t="str">
        <f t="shared" si="343"/>
        <v>41244Haapiti12148PocilloporidaeBords</v>
      </c>
      <c r="B6206" s="1">
        <v>41244</v>
      </c>
      <c r="C6206" t="s">
        <v>25</v>
      </c>
      <c r="D6206" s="19">
        <v>12</v>
      </c>
      <c r="E6206">
        <v>148</v>
      </c>
      <c r="F6206" t="s">
        <v>10</v>
      </c>
      <c r="G6206" t="s">
        <v>13</v>
      </c>
      <c r="H6206">
        <v>1</v>
      </c>
      <c r="I6206" t="s">
        <v>27</v>
      </c>
    </row>
    <row r="6207" spans="1:9" x14ac:dyDescent="0.2">
      <c r="A6207" t="str">
        <f t="shared" ref="A6207:A6270" si="344">B6207 &amp; C6207&amp; D6207&amp; E6207 &amp; F6207 &amp;G6207</f>
        <v>41244Haapiti12149Autres</v>
      </c>
      <c r="B6207" s="1">
        <v>41244</v>
      </c>
      <c r="C6207" t="s">
        <v>25</v>
      </c>
      <c r="D6207" s="19">
        <v>12</v>
      </c>
      <c r="E6207">
        <v>149</v>
      </c>
      <c r="F6207" t="s">
        <v>14</v>
      </c>
      <c r="H6207">
        <v>0</v>
      </c>
    </row>
    <row r="6208" spans="1:9" x14ac:dyDescent="0.2">
      <c r="A6208" t="str">
        <f t="shared" si="344"/>
        <v>41244Haapiti12150PocilloporidaeDessus</v>
      </c>
      <c r="B6208" s="1">
        <v>41244</v>
      </c>
      <c r="C6208" t="s">
        <v>25</v>
      </c>
      <c r="D6208" s="19">
        <v>12</v>
      </c>
      <c r="E6208">
        <v>150</v>
      </c>
      <c r="F6208" t="s">
        <v>10</v>
      </c>
      <c r="G6208" t="s">
        <v>11</v>
      </c>
      <c r="H6208">
        <v>1</v>
      </c>
      <c r="I6208" t="s">
        <v>27</v>
      </c>
    </row>
    <row r="6209" spans="1:9" x14ac:dyDescent="0.2">
      <c r="A6209" t="str">
        <f t="shared" si="344"/>
        <v>41244Haapiti12151Autres</v>
      </c>
      <c r="B6209" s="1">
        <v>41244</v>
      </c>
      <c r="C6209" t="s">
        <v>25</v>
      </c>
      <c r="D6209" s="19">
        <v>12</v>
      </c>
      <c r="E6209">
        <v>151</v>
      </c>
      <c r="F6209" t="s">
        <v>14</v>
      </c>
      <c r="H6209">
        <v>0</v>
      </c>
    </row>
    <row r="6210" spans="1:9" x14ac:dyDescent="0.2">
      <c r="A6210" t="str">
        <f t="shared" si="344"/>
        <v>41244Haapiti12152Autres</v>
      </c>
      <c r="B6210" s="1">
        <v>41244</v>
      </c>
      <c r="C6210" t="s">
        <v>25</v>
      </c>
      <c r="D6210" s="19">
        <v>12</v>
      </c>
      <c r="E6210">
        <v>152</v>
      </c>
      <c r="F6210" t="s">
        <v>14</v>
      </c>
      <c r="H6210">
        <v>0</v>
      </c>
    </row>
    <row r="6211" spans="1:9" x14ac:dyDescent="0.2">
      <c r="A6211" t="str">
        <f t="shared" si="344"/>
        <v>41244Haapiti12153PocilloporidaeBords</v>
      </c>
      <c r="B6211" s="1">
        <v>41244</v>
      </c>
      <c r="C6211" t="s">
        <v>25</v>
      </c>
      <c r="D6211" s="19">
        <v>12</v>
      </c>
      <c r="E6211">
        <v>153</v>
      </c>
      <c r="F6211" t="s">
        <v>10</v>
      </c>
      <c r="G6211" t="s">
        <v>13</v>
      </c>
      <c r="H6211">
        <v>1</v>
      </c>
      <c r="I6211" t="s">
        <v>27</v>
      </c>
    </row>
    <row r="6212" spans="1:9" x14ac:dyDescent="0.2">
      <c r="A6212" t="str">
        <f t="shared" si="344"/>
        <v>41244Haapiti12153PocilloporidaeDessous</v>
      </c>
      <c r="B6212" s="1">
        <v>41244</v>
      </c>
      <c r="C6212" t="s">
        <v>25</v>
      </c>
      <c r="D6212" s="19">
        <v>12</v>
      </c>
      <c r="E6212">
        <v>153</v>
      </c>
      <c r="F6212" t="s">
        <v>10</v>
      </c>
      <c r="G6212" t="s">
        <v>8</v>
      </c>
      <c r="H6212">
        <v>3</v>
      </c>
      <c r="I6212" t="s">
        <v>27</v>
      </c>
    </row>
    <row r="6213" spans="1:9" x14ac:dyDescent="0.2">
      <c r="A6213" t="str">
        <f t="shared" si="344"/>
        <v>41244Haapiti12153PocilloporidaeDessus</v>
      </c>
      <c r="B6213" s="1">
        <v>41244</v>
      </c>
      <c r="C6213" t="s">
        <v>25</v>
      </c>
      <c r="D6213" s="19">
        <v>12</v>
      </c>
      <c r="E6213">
        <v>153</v>
      </c>
      <c r="F6213" t="s">
        <v>10</v>
      </c>
      <c r="G6213" t="s">
        <v>11</v>
      </c>
      <c r="H6213">
        <v>1</v>
      </c>
      <c r="I6213" t="s">
        <v>27</v>
      </c>
    </row>
    <row r="6214" spans="1:9" x14ac:dyDescent="0.2">
      <c r="A6214" t="str">
        <f t="shared" si="344"/>
        <v>41244Haapiti12154CassésDessus</v>
      </c>
      <c r="B6214" s="1">
        <v>41244</v>
      </c>
      <c r="C6214" t="s">
        <v>25</v>
      </c>
      <c r="D6214" s="19">
        <v>12</v>
      </c>
      <c r="E6214">
        <v>154</v>
      </c>
      <c r="F6214" t="s">
        <v>12</v>
      </c>
      <c r="G6214" t="s">
        <v>11</v>
      </c>
      <c r="H6214">
        <v>1</v>
      </c>
      <c r="I6214" t="s">
        <v>27</v>
      </c>
    </row>
    <row r="6215" spans="1:9" x14ac:dyDescent="0.2">
      <c r="A6215" t="str">
        <f t="shared" si="344"/>
        <v>41244Haapiti12154PocilloporidaeBords</v>
      </c>
      <c r="B6215" s="1">
        <v>41244</v>
      </c>
      <c r="C6215" t="s">
        <v>25</v>
      </c>
      <c r="D6215" s="19">
        <v>12</v>
      </c>
      <c r="E6215">
        <v>154</v>
      </c>
      <c r="F6215" t="s">
        <v>10</v>
      </c>
      <c r="G6215" t="s">
        <v>13</v>
      </c>
      <c r="H6215">
        <v>1</v>
      </c>
      <c r="I6215" t="s">
        <v>27</v>
      </c>
    </row>
    <row r="6216" spans="1:9" x14ac:dyDescent="0.2">
      <c r="A6216" t="str">
        <f t="shared" si="344"/>
        <v>41244Haapiti12154PoritidaeDessus</v>
      </c>
      <c r="B6216" s="1">
        <v>41244</v>
      </c>
      <c r="C6216" t="s">
        <v>25</v>
      </c>
      <c r="D6216" s="19">
        <v>12</v>
      </c>
      <c r="E6216">
        <v>154</v>
      </c>
      <c r="F6216" t="s">
        <v>7</v>
      </c>
      <c r="G6216" t="s">
        <v>11</v>
      </c>
      <c r="H6216">
        <v>1</v>
      </c>
      <c r="I6216" t="s">
        <v>27</v>
      </c>
    </row>
    <row r="6217" spans="1:9" x14ac:dyDescent="0.2">
      <c r="A6217" t="str">
        <f t="shared" si="344"/>
        <v>41244Haapiti12155Autres</v>
      </c>
      <c r="B6217" s="1">
        <v>41244</v>
      </c>
      <c r="C6217" t="s">
        <v>25</v>
      </c>
      <c r="D6217" s="19">
        <v>12</v>
      </c>
      <c r="E6217">
        <v>155</v>
      </c>
      <c r="F6217" t="s">
        <v>14</v>
      </c>
      <c r="H6217">
        <v>0</v>
      </c>
    </row>
    <row r="6218" spans="1:9" x14ac:dyDescent="0.2">
      <c r="A6218" t="str">
        <f t="shared" si="344"/>
        <v>41244Haapiti12156Autres</v>
      </c>
      <c r="B6218" s="1">
        <v>41244</v>
      </c>
      <c r="C6218" t="s">
        <v>25</v>
      </c>
      <c r="D6218" s="19">
        <v>12</v>
      </c>
      <c r="E6218">
        <v>156</v>
      </c>
      <c r="F6218" t="s">
        <v>14</v>
      </c>
      <c r="H6218">
        <v>0</v>
      </c>
    </row>
    <row r="6219" spans="1:9" x14ac:dyDescent="0.2">
      <c r="A6219" t="str">
        <f t="shared" si="344"/>
        <v>41244Haapiti12157Autres</v>
      </c>
      <c r="B6219" s="1">
        <v>41244</v>
      </c>
      <c r="C6219" t="s">
        <v>25</v>
      </c>
      <c r="D6219" s="19">
        <v>12</v>
      </c>
      <c r="E6219">
        <v>157</v>
      </c>
      <c r="F6219" t="s">
        <v>14</v>
      </c>
      <c r="H6219">
        <v>0</v>
      </c>
    </row>
    <row r="6220" spans="1:9" x14ac:dyDescent="0.2">
      <c r="A6220" t="str">
        <f t="shared" si="344"/>
        <v>41244Haapiti12158Autres</v>
      </c>
      <c r="B6220" s="1">
        <v>41244</v>
      </c>
      <c r="C6220" t="s">
        <v>25</v>
      </c>
      <c r="D6220" s="19">
        <v>12</v>
      </c>
      <c r="E6220">
        <v>158</v>
      </c>
      <c r="F6220" t="s">
        <v>14</v>
      </c>
      <c r="H6220">
        <v>0</v>
      </c>
    </row>
    <row r="6221" spans="1:9" x14ac:dyDescent="0.2">
      <c r="A6221" t="str">
        <f t="shared" si="344"/>
        <v>41244Haapiti12159PocilloporidaeDessous</v>
      </c>
      <c r="B6221" s="1">
        <v>41244</v>
      </c>
      <c r="C6221" t="s">
        <v>25</v>
      </c>
      <c r="D6221" s="19">
        <v>12</v>
      </c>
      <c r="E6221">
        <v>159</v>
      </c>
      <c r="F6221" t="s">
        <v>10</v>
      </c>
      <c r="G6221" t="s">
        <v>8</v>
      </c>
      <c r="H6221">
        <v>1</v>
      </c>
      <c r="I6221" t="s">
        <v>27</v>
      </c>
    </row>
    <row r="6222" spans="1:9" x14ac:dyDescent="0.2">
      <c r="A6222" t="str">
        <f t="shared" si="344"/>
        <v>41244Haapiti12160Autres</v>
      </c>
      <c r="B6222" s="1">
        <v>41244</v>
      </c>
      <c r="C6222" t="s">
        <v>25</v>
      </c>
      <c r="D6222" s="19">
        <v>12</v>
      </c>
      <c r="E6222">
        <v>160</v>
      </c>
      <c r="F6222" t="s">
        <v>14</v>
      </c>
      <c r="H6222">
        <v>0</v>
      </c>
    </row>
    <row r="6223" spans="1:9" x14ac:dyDescent="0.2">
      <c r="A6223" t="str">
        <f t="shared" si="344"/>
        <v>41244Haapiti18161PocilloporidaeDessous</v>
      </c>
      <c r="B6223" s="1">
        <v>41244</v>
      </c>
      <c r="C6223" t="s">
        <v>25</v>
      </c>
      <c r="D6223" s="19">
        <v>18</v>
      </c>
      <c r="E6223">
        <v>161</v>
      </c>
      <c r="F6223" t="s">
        <v>10</v>
      </c>
      <c r="G6223" t="s">
        <v>8</v>
      </c>
      <c r="H6223">
        <v>2</v>
      </c>
      <c r="I6223" t="s">
        <v>27</v>
      </c>
    </row>
    <row r="6224" spans="1:9" x14ac:dyDescent="0.2">
      <c r="A6224" t="str">
        <f t="shared" si="344"/>
        <v>41244Haapiti18161PocilloporidaeDessus</v>
      </c>
      <c r="B6224" s="1">
        <v>41244</v>
      </c>
      <c r="C6224" t="s">
        <v>25</v>
      </c>
      <c r="D6224" s="19">
        <v>18</v>
      </c>
      <c r="E6224">
        <v>161</v>
      </c>
      <c r="F6224" t="s">
        <v>10</v>
      </c>
      <c r="G6224" t="s">
        <v>11</v>
      </c>
      <c r="H6224">
        <v>1</v>
      </c>
      <c r="I6224" t="s">
        <v>27</v>
      </c>
    </row>
    <row r="6225" spans="1:9" x14ac:dyDescent="0.2">
      <c r="A6225" t="str">
        <f t="shared" si="344"/>
        <v>41244Haapiti18162Autres</v>
      </c>
      <c r="B6225" s="1">
        <v>41244</v>
      </c>
      <c r="C6225" t="s">
        <v>25</v>
      </c>
      <c r="D6225" s="19">
        <v>18</v>
      </c>
      <c r="E6225">
        <v>162</v>
      </c>
      <c r="F6225" t="s">
        <v>14</v>
      </c>
      <c r="H6225">
        <v>0</v>
      </c>
    </row>
    <row r="6226" spans="1:9" x14ac:dyDescent="0.2">
      <c r="A6226" t="str">
        <f t="shared" si="344"/>
        <v>41244Haapiti18163CassésDessus</v>
      </c>
      <c r="B6226" s="1">
        <v>41244</v>
      </c>
      <c r="C6226" t="s">
        <v>25</v>
      </c>
      <c r="D6226" s="19">
        <v>18</v>
      </c>
      <c r="E6226">
        <v>163</v>
      </c>
      <c r="F6226" t="s">
        <v>12</v>
      </c>
      <c r="G6226" t="s">
        <v>11</v>
      </c>
      <c r="H6226">
        <v>1</v>
      </c>
      <c r="I6226" t="s">
        <v>27</v>
      </c>
    </row>
    <row r="6227" spans="1:9" x14ac:dyDescent="0.2">
      <c r="A6227" t="str">
        <f t="shared" si="344"/>
        <v>41244Haapiti18163PocilloporidaeDessus</v>
      </c>
      <c r="B6227" s="1">
        <v>41244</v>
      </c>
      <c r="C6227" t="s">
        <v>25</v>
      </c>
      <c r="D6227" s="19">
        <v>18</v>
      </c>
      <c r="E6227">
        <v>163</v>
      </c>
      <c r="F6227" t="s">
        <v>10</v>
      </c>
      <c r="G6227" t="s">
        <v>11</v>
      </c>
      <c r="H6227">
        <v>2</v>
      </c>
      <c r="I6227" t="s">
        <v>27</v>
      </c>
    </row>
    <row r="6228" spans="1:9" x14ac:dyDescent="0.2">
      <c r="A6228" t="str">
        <f t="shared" si="344"/>
        <v>41244Haapiti18164Autres</v>
      </c>
      <c r="B6228" s="1">
        <v>41244</v>
      </c>
      <c r="C6228" t="s">
        <v>25</v>
      </c>
      <c r="D6228" s="19">
        <v>18</v>
      </c>
      <c r="E6228">
        <v>164</v>
      </c>
      <c r="F6228" t="s">
        <v>14</v>
      </c>
      <c r="H6228">
        <v>0</v>
      </c>
    </row>
    <row r="6229" spans="1:9" x14ac:dyDescent="0.2">
      <c r="A6229" t="str">
        <f t="shared" si="344"/>
        <v>41244Haapiti18165Autres</v>
      </c>
      <c r="B6229" s="1">
        <v>41244</v>
      </c>
      <c r="C6229" t="s">
        <v>25</v>
      </c>
      <c r="D6229" s="19">
        <v>18</v>
      </c>
      <c r="E6229">
        <v>165</v>
      </c>
      <c r="F6229" t="s">
        <v>14</v>
      </c>
      <c r="H6229">
        <v>0</v>
      </c>
    </row>
    <row r="6230" spans="1:9" x14ac:dyDescent="0.2">
      <c r="A6230" t="str">
        <f t="shared" si="344"/>
        <v>41244Haapiti18166Autres</v>
      </c>
      <c r="B6230" s="1">
        <v>41244</v>
      </c>
      <c r="C6230" t="s">
        <v>25</v>
      </c>
      <c r="D6230" s="19">
        <v>18</v>
      </c>
      <c r="E6230">
        <v>166</v>
      </c>
      <c r="F6230" t="s">
        <v>14</v>
      </c>
      <c r="H6230">
        <v>0</v>
      </c>
    </row>
    <row r="6231" spans="1:9" x14ac:dyDescent="0.2">
      <c r="A6231" t="str">
        <f t="shared" si="344"/>
        <v>41244Haapiti18167Autres</v>
      </c>
      <c r="B6231" s="1">
        <v>41244</v>
      </c>
      <c r="C6231" t="s">
        <v>25</v>
      </c>
      <c r="D6231" s="19">
        <v>18</v>
      </c>
      <c r="E6231">
        <v>167</v>
      </c>
      <c r="F6231" t="s">
        <v>14</v>
      </c>
      <c r="H6231">
        <v>0</v>
      </c>
    </row>
    <row r="6232" spans="1:9" x14ac:dyDescent="0.2">
      <c r="A6232" t="str">
        <f t="shared" si="344"/>
        <v>41244Haapiti18168PocilloporidaeDessus</v>
      </c>
      <c r="B6232" s="1">
        <v>41244</v>
      </c>
      <c r="C6232" t="s">
        <v>25</v>
      </c>
      <c r="D6232" s="19">
        <v>18</v>
      </c>
      <c r="E6232">
        <v>168</v>
      </c>
      <c r="F6232" t="s">
        <v>10</v>
      </c>
      <c r="G6232" t="s">
        <v>11</v>
      </c>
      <c r="H6232">
        <v>1</v>
      </c>
      <c r="I6232" t="s">
        <v>27</v>
      </c>
    </row>
    <row r="6233" spans="1:9" x14ac:dyDescent="0.2">
      <c r="A6233" t="str">
        <f t="shared" si="344"/>
        <v>41244Haapiti18169Autres</v>
      </c>
      <c r="B6233" s="1">
        <v>41244</v>
      </c>
      <c r="C6233" t="s">
        <v>25</v>
      </c>
      <c r="D6233" s="19">
        <v>18</v>
      </c>
      <c r="E6233">
        <v>169</v>
      </c>
      <c r="F6233" t="s">
        <v>14</v>
      </c>
      <c r="H6233">
        <v>0</v>
      </c>
    </row>
    <row r="6234" spans="1:9" x14ac:dyDescent="0.2">
      <c r="A6234" t="str">
        <f t="shared" si="344"/>
        <v>41244Haapiti18170Autres</v>
      </c>
      <c r="B6234" s="1">
        <v>41244</v>
      </c>
      <c r="C6234" t="s">
        <v>25</v>
      </c>
      <c r="D6234" s="19">
        <v>18</v>
      </c>
      <c r="E6234">
        <v>170</v>
      </c>
      <c r="F6234" t="s">
        <v>14</v>
      </c>
      <c r="H6234">
        <v>0</v>
      </c>
    </row>
    <row r="6235" spans="1:9" x14ac:dyDescent="0.2">
      <c r="A6235" t="str">
        <f t="shared" si="344"/>
        <v>41244Haapiti18171Autres</v>
      </c>
      <c r="B6235" s="1">
        <v>41244</v>
      </c>
      <c r="C6235" t="s">
        <v>25</v>
      </c>
      <c r="D6235" s="19">
        <v>18</v>
      </c>
      <c r="E6235">
        <v>171</v>
      </c>
      <c r="F6235" t="s">
        <v>14</v>
      </c>
      <c r="H6235">
        <v>0</v>
      </c>
    </row>
    <row r="6236" spans="1:9" x14ac:dyDescent="0.2">
      <c r="A6236" t="str">
        <f t="shared" si="344"/>
        <v>41244Haapiti18172PocilloporidaeBords</v>
      </c>
      <c r="B6236" s="1">
        <v>41244</v>
      </c>
      <c r="C6236" t="s">
        <v>25</v>
      </c>
      <c r="D6236" s="19">
        <v>18</v>
      </c>
      <c r="E6236">
        <v>172</v>
      </c>
      <c r="F6236" t="s">
        <v>10</v>
      </c>
      <c r="G6236" t="s">
        <v>13</v>
      </c>
      <c r="H6236">
        <v>1</v>
      </c>
      <c r="I6236" t="s">
        <v>27</v>
      </c>
    </row>
    <row r="6237" spans="1:9" x14ac:dyDescent="0.2">
      <c r="A6237" t="str">
        <f t="shared" si="344"/>
        <v>41244Haapiti18173Autres</v>
      </c>
      <c r="B6237" s="1">
        <v>41244</v>
      </c>
      <c r="C6237" t="s">
        <v>25</v>
      </c>
      <c r="D6237" s="19">
        <v>18</v>
      </c>
      <c r="E6237">
        <v>173</v>
      </c>
      <c r="F6237" t="s">
        <v>14</v>
      </c>
      <c r="H6237">
        <v>0</v>
      </c>
    </row>
    <row r="6238" spans="1:9" x14ac:dyDescent="0.2">
      <c r="A6238" t="str">
        <f t="shared" si="344"/>
        <v>41244Haapiti18174PocilloporidaeDessous</v>
      </c>
      <c r="B6238" s="1">
        <v>41244</v>
      </c>
      <c r="C6238" t="s">
        <v>25</v>
      </c>
      <c r="D6238" s="19">
        <v>18</v>
      </c>
      <c r="E6238">
        <v>174</v>
      </c>
      <c r="F6238" t="s">
        <v>10</v>
      </c>
      <c r="G6238" t="s">
        <v>8</v>
      </c>
      <c r="H6238">
        <v>1</v>
      </c>
      <c r="I6238" t="s">
        <v>33</v>
      </c>
    </row>
    <row r="6239" spans="1:9" x14ac:dyDescent="0.2">
      <c r="A6239" t="str">
        <f t="shared" si="344"/>
        <v>41244Haapiti18175PocilloporidaeDessous</v>
      </c>
      <c r="B6239" s="1">
        <v>41244</v>
      </c>
      <c r="C6239" t="s">
        <v>25</v>
      </c>
      <c r="D6239" s="19">
        <v>18</v>
      </c>
      <c r="E6239">
        <v>175</v>
      </c>
      <c r="F6239" t="s">
        <v>10</v>
      </c>
      <c r="G6239" t="s">
        <v>8</v>
      </c>
      <c r="H6239">
        <v>1</v>
      </c>
      <c r="I6239" t="s">
        <v>27</v>
      </c>
    </row>
    <row r="6240" spans="1:9" x14ac:dyDescent="0.2">
      <c r="A6240" t="str">
        <f t="shared" si="344"/>
        <v>41244Haapiti18176PoritidaeDessus</v>
      </c>
      <c r="B6240" s="1">
        <v>41244</v>
      </c>
      <c r="C6240" t="s">
        <v>25</v>
      </c>
      <c r="D6240" s="19">
        <v>18</v>
      </c>
      <c r="E6240">
        <v>176</v>
      </c>
      <c r="F6240" t="s">
        <v>7</v>
      </c>
      <c r="G6240" t="s">
        <v>11</v>
      </c>
      <c r="H6240">
        <v>1</v>
      </c>
      <c r="I6240" t="s">
        <v>27</v>
      </c>
    </row>
    <row r="6241" spans="1:9" x14ac:dyDescent="0.2">
      <c r="A6241" t="str">
        <f t="shared" si="344"/>
        <v>41244Haapiti18177Autres</v>
      </c>
      <c r="B6241" s="1">
        <v>41244</v>
      </c>
      <c r="C6241" t="s">
        <v>25</v>
      </c>
      <c r="D6241" s="19">
        <v>18</v>
      </c>
      <c r="E6241">
        <v>177</v>
      </c>
      <c r="F6241" t="s">
        <v>14</v>
      </c>
      <c r="H6241">
        <v>0</v>
      </c>
    </row>
    <row r="6242" spans="1:9" x14ac:dyDescent="0.2">
      <c r="A6242" t="str">
        <f t="shared" si="344"/>
        <v>41244Haapiti18178Autres</v>
      </c>
      <c r="B6242" s="1">
        <v>41244</v>
      </c>
      <c r="C6242" t="s">
        <v>25</v>
      </c>
      <c r="D6242" s="19">
        <v>18</v>
      </c>
      <c r="E6242">
        <v>178</v>
      </c>
      <c r="F6242" t="s">
        <v>14</v>
      </c>
      <c r="H6242">
        <v>0</v>
      </c>
    </row>
    <row r="6243" spans="1:9" x14ac:dyDescent="0.2">
      <c r="A6243" t="str">
        <f t="shared" si="344"/>
        <v>41244Haapiti18179Autres</v>
      </c>
      <c r="B6243" s="1">
        <v>41244</v>
      </c>
      <c r="C6243" t="s">
        <v>25</v>
      </c>
      <c r="D6243" s="19">
        <v>18</v>
      </c>
      <c r="E6243">
        <v>179</v>
      </c>
      <c r="F6243" t="s">
        <v>14</v>
      </c>
      <c r="H6243">
        <v>0</v>
      </c>
    </row>
    <row r="6244" spans="1:9" x14ac:dyDescent="0.2">
      <c r="A6244" t="str">
        <f t="shared" si="344"/>
        <v>41244Haapiti18180PocilloporidaeDessus</v>
      </c>
      <c r="B6244" s="1">
        <v>41244</v>
      </c>
      <c r="C6244" t="s">
        <v>25</v>
      </c>
      <c r="D6244" s="19">
        <v>18</v>
      </c>
      <c r="E6244">
        <v>180</v>
      </c>
      <c r="F6244" t="s">
        <v>10</v>
      </c>
      <c r="G6244" t="s">
        <v>11</v>
      </c>
      <c r="H6244">
        <v>1</v>
      </c>
      <c r="I6244" t="s">
        <v>27</v>
      </c>
    </row>
    <row r="6245" spans="1:9" x14ac:dyDescent="0.2">
      <c r="A6245" t="str">
        <f t="shared" si="344"/>
        <v>41518Vaipahu61Autres</v>
      </c>
      <c r="B6245" s="1">
        <v>41518</v>
      </c>
      <c r="C6245" t="s">
        <v>23</v>
      </c>
      <c r="D6245" s="19">
        <v>6</v>
      </c>
      <c r="E6245">
        <v>1</v>
      </c>
      <c r="F6245" t="s">
        <v>14</v>
      </c>
      <c r="H6245">
        <v>0</v>
      </c>
    </row>
    <row r="6246" spans="1:9" x14ac:dyDescent="0.2">
      <c r="A6246" t="str">
        <f t="shared" si="344"/>
        <v>41518Vaipahu62Autres</v>
      </c>
      <c r="B6246" s="1">
        <v>41518</v>
      </c>
      <c r="C6246" t="s">
        <v>23</v>
      </c>
      <c r="D6246" s="19">
        <v>6</v>
      </c>
      <c r="E6246">
        <v>2</v>
      </c>
      <c r="F6246" t="s">
        <v>14</v>
      </c>
      <c r="H6246">
        <v>0</v>
      </c>
    </row>
    <row r="6247" spans="1:9" x14ac:dyDescent="0.2">
      <c r="A6247" t="str">
        <f t="shared" si="344"/>
        <v>41518Vaipahu63Autres</v>
      </c>
      <c r="B6247" s="1">
        <v>41518</v>
      </c>
      <c r="C6247" t="s">
        <v>23</v>
      </c>
      <c r="D6247" s="19">
        <v>6</v>
      </c>
      <c r="E6247">
        <v>3</v>
      </c>
      <c r="F6247" t="s">
        <v>14</v>
      </c>
      <c r="H6247">
        <v>0</v>
      </c>
    </row>
    <row r="6248" spans="1:9" x14ac:dyDescent="0.2">
      <c r="A6248" t="str">
        <f t="shared" si="344"/>
        <v>41518Vaipahu64Autres</v>
      </c>
      <c r="B6248" s="1">
        <v>41518</v>
      </c>
      <c r="C6248" t="s">
        <v>23</v>
      </c>
      <c r="D6248" s="19">
        <v>6</v>
      </c>
      <c r="E6248">
        <v>4</v>
      </c>
      <c r="F6248" t="s">
        <v>14</v>
      </c>
      <c r="H6248">
        <v>0</v>
      </c>
    </row>
    <row r="6249" spans="1:9" x14ac:dyDescent="0.2">
      <c r="A6249" t="str">
        <f t="shared" si="344"/>
        <v>41518Vaipahu65Autres</v>
      </c>
      <c r="B6249" s="1">
        <v>41518</v>
      </c>
      <c r="C6249" t="s">
        <v>23</v>
      </c>
      <c r="D6249" s="19">
        <v>6</v>
      </c>
      <c r="E6249">
        <v>5</v>
      </c>
      <c r="F6249" t="s">
        <v>14</v>
      </c>
      <c r="H6249">
        <v>0</v>
      </c>
    </row>
    <row r="6250" spans="1:9" x14ac:dyDescent="0.2">
      <c r="A6250" t="str">
        <f t="shared" si="344"/>
        <v>41518Vaipahu66Autres</v>
      </c>
      <c r="B6250" s="1">
        <v>41518</v>
      </c>
      <c r="C6250" t="s">
        <v>23</v>
      </c>
      <c r="D6250" s="19">
        <v>6</v>
      </c>
      <c r="E6250">
        <v>6</v>
      </c>
      <c r="F6250" t="s">
        <v>14</v>
      </c>
      <c r="H6250">
        <v>0</v>
      </c>
    </row>
    <row r="6251" spans="1:9" x14ac:dyDescent="0.2">
      <c r="A6251" t="str">
        <f t="shared" si="344"/>
        <v>41518Vaipahu67Autres</v>
      </c>
      <c r="B6251" s="1">
        <v>41518</v>
      </c>
      <c r="C6251" t="s">
        <v>23</v>
      </c>
      <c r="D6251" s="19">
        <v>6</v>
      </c>
      <c r="E6251">
        <v>7</v>
      </c>
      <c r="F6251" t="s">
        <v>14</v>
      </c>
      <c r="H6251">
        <v>0</v>
      </c>
    </row>
    <row r="6252" spans="1:9" x14ac:dyDescent="0.2">
      <c r="A6252" t="str">
        <f t="shared" si="344"/>
        <v>41518Vaipahu68Autres</v>
      </c>
      <c r="B6252" s="1">
        <v>41518</v>
      </c>
      <c r="C6252" t="s">
        <v>23</v>
      </c>
      <c r="D6252" s="19">
        <v>6</v>
      </c>
      <c r="E6252">
        <v>8</v>
      </c>
      <c r="F6252" t="s">
        <v>14</v>
      </c>
      <c r="H6252">
        <v>0</v>
      </c>
    </row>
    <row r="6253" spans="1:9" x14ac:dyDescent="0.2">
      <c r="A6253" t="str">
        <f t="shared" si="344"/>
        <v>41518Vaipahu69CassésDessus</v>
      </c>
      <c r="B6253" s="1">
        <v>41518</v>
      </c>
      <c r="C6253" t="s">
        <v>23</v>
      </c>
      <c r="D6253" s="19">
        <v>6</v>
      </c>
      <c r="E6253">
        <v>9</v>
      </c>
      <c r="F6253" t="s">
        <v>12</v>
      </c>
      <c r="G6253" t="s">
        <v>11</v>
      </c>
      <c r="H6253">
        <v>1</v>
      </c>
      <c r="I6253" t="s">
        <v>27</v>
      </c>
    </row>
    <row r="6254" spans="1:9" x14ac:dyDescent="0.2">
      <c r="A6254" t="str">
        <f t="shared" si="344"/>
        <v>41518Vaipahu610Autres</v>
      </c>
      <c r="B6254" s="1">
        <v>41518</v>
      </c>
      <c r="C6254" t="s">
        <v>23</v>
      </c>
      <c r="D6254" s="19">
        <v>6</v>
      </c>
      <c r="E6254">
        <v>10</v>
      </c>
      <c r="F6254" t="s">
        <v>14</v>
      </c>
      <c r="H6254">
        <v>0</v>
      </c>
    </row>
    <row r="6255" spans="1:9" x14ac:dyDescent="0.2">
      <c r="A6255" t="str">
        <f t="shared" si="344"/>
        <v>41518Vaipahu611PoritidaeDessous</v>
      </c>
      <c r="B6255" s="1">
        <v>41518</v>
      </c>
      <c r="C6255" t="s">
        <v>23</v>
      </c>
      <c r="D6255" s="19">
        <v>6</v>
      </c>
      <c r="E6255">
        <v>11</v>
      </c>
      <c r="F6255" t="s">
        <v>7</v>
      </c>
      <c r="G6255" t="s">
        <v>8</v>
      </c>
      <c r="H6255">
        <v>1</v>
      </c>
      <c r="I6255" t="s">
        <v>27</v>
      </c>
    </row>
    <row r="6256" spans="1:9" x14ac:dyDescent="0.2">
      <c r="A6256" t="str">
        <f t="shared" si="344"/>
        <v>41518Vaipahu612Autres</v>
      </c>
      <c r="B6256" s="1">
        <v>41518</v>
      </c>
      <c r="C6256" t="s">
        <v>23</v>
      </c>
      <c r="D6256" s="19">
        <v>6</v>
      </c>
      <c r="E6256">
        <v>12</v>
      </c>
      <c r="F6256" t="s">
        <v>14</v>
      </c>
      <c r="H6256">
        <v>0</v>
      </c>
    </row>
    <row r="6257" spans="1:9" x14ac:dyDescent="0.2">
      <c r="A6257" t="str">
        <f t="shared" si="344"/>
        <v>41518Vaipahu613Autres</v>
      </c>
      <c r="B6257" s="1">
        <v>41518</v>
      </c>
      <c r="C6257" t="s">
        <v>23</v>
      </c>
      <c r="D6257" s="19">
        <v>6</v>
      </c>
      <c r="E6257">
        <v>13</v>
      </c>
      <c r="F6257" t="s">
        <v>14</v>
      </c>
      <c r="H6257">
        <v>0</v>
      </c>
    </row>
    <row r="6258" spans="1:9" x14ac:dyDescent="0.2">
      <c r="A6258" t="str">
        <f t="shared" si="344"/>
        <v>41518Vaipahu614PocilloporidaeDessous</v>
      </c>
      <c r="B6258" s="1">
        <v>41518</v>
      </c>
      <c r="C6258" t="s">
        <v>23</v>
      </c>
      <c r="D6258" s="19">
        <v>6</v>
      </c>
      <c r="E6258">
        <v>14</v>
      </c>
      <c r="F6258" t="s">
        <v>10</v>
      </c>
      <c r="G6258" t="s">
        <v>8</v>
      </c>
      <c r="H6258">
        <v>2</v>
      </c>
      <c r="I6258" t="s">
        <v>27</v>
      </c>
    </row>
    <row r="6259" spans="1:9" x14ac:dyDescent="0.2">
      <c r="A6259" t="str">
        <f t="shared" si="344"/>
        <v>41518Vaipahu615Autres</v>
      </c>
      <c r="B6259" s="1">
        <v>41518</v>
      </c>
      <c r="C6259" t="s">
        <v>23</v>
      </c>
      <c r="D6259" s="19">
        <v>6</v>
      </c>
      <c r="E6259">
        <v>15</v>
      </c>
      <c r="F6259" t="s">
        <v>14</v>
      </c>
      <c r="H6259">
        <v>0</v>
      </c>
    </row>
    <row r="6260" spans="1:9" x14ac:dyDescent="0.2">
      <c r="A6260" t="str">
        <f t="shared" si="344"/>
        <v>41518Vaipahu616PocilloporidaeDessous</v>
      </c>
      <c r="B6260" s="1">
        <v>41518</v>
      </c>
      <c r="C6260" t="s">
        <v>23</v>
      </c>
      <c r="D6260" s="19">
        <v>6</v>
      </c>
      <c r="E6260">
        <v>16</v>
      </c>
      <c r="F6260" t="s">
        <v>10</v>
      </c>
      <c r="G6260" t="s">
        <v>8</v>
      </c>
      <c r="H6260">
        <v>1</v>
      </c>
      <c r="I6260" t="s">
        <v>27</v>
      </c>
    </row>
    <row r="6261" spans="1:9" x14ac:dyDescent="0.2">
      <c r="A6261" t="str">
        <f t="shared" si="344"/>
        <v>41518Vaipahu617PocilloporidaeDessous</v>
      </c>
      <c r="B6261" s="1">
        <v>41518</v>
      </c>
      <c r="C6261" t="s">
        <v>23</v>
      </c>
      <c r="D6261" s="19">
        <v>6</v>
      </c>
      <c r="E6261">
        <v>17</v>
      </c>
      <c r="F6261" t="s">
        <v>10</v>
      </c>
      <c r="G6261" t="s">
        <v>8</v>
      </c>
      <c r="H6261">
        <v>1</v>
      </c>
      <c r="I6261" t="s">
        <v>27</v>
      </c>
    </row>
    <row r="6262" spans="1:9" x14ac:dyDescent="0.2">
      <c r="A6262" t="str">
        <f t="shared" si="344"/>
        <v>41518Vaipahu618Autres</v>
      </c>
      <c r="B6262" s="1">
        <v>41518</v>
      </c>
      <c r="C6262" t="s">
        <v>23</v>
      </c>
      <c r="D6262" s="19">
        <v>6</v>
      </c>
      <c r="E6262">
        <v>18</v>
      </c>
      <c r="F6262" t="s">
        <v>14</v>
      </c>
      <c r="H6262">
        <v>0</v>
      </c>
    </row>
    <row r="6263" spans="1:9" x14ac:dyDescent="0.2">
      <c r="A6263" t="str">
        <f t="shared" si="344"/>
        <v>41518Vaipahu619Autres</v>
      </c>
      <c r="B6263" s="1">
        <v>41518</v>
      </c>
      <c r="C6263" t="s">
        <v>23</v>
      </c>
      <c r="D6263" s="19">
        <v>6</v>
      </c>
      <c r="E6263">
        <v>19</v>
      </c>
      <c r="F6263" t="s">
        <v>14</v>
      </c>
      <c r="H6263">
        <v>0</v>
      </c>
    </row>
    <row r="6264" spans="1:9" x14ac:dyDescent="0.2">
      <c r="A6264" t="str">
        <f t="shared" si="344"/>
        <v>41518Vaipahu620Autres</v>
      </c>
      <c r="B6264" s="1">
        <v>41518</v>
      </c>
      <c r="C6264" t="s">
        <v>23</v>
      </c>
      <c r="D6264" s="19">
        <v>6</v>
      </c>
      <c r="E6264">
        <v>20</v>
      </c>
      <c r="F6264" t="s">
        <v>14</v>
      </c>
      <c r="H6264">
        <v>0</v>
      </c>
    </row>
    <row r="6265" spans="1:9" x14ac:dyDescent="0.2">
      <c r="A6265" t="str">
        <f t="shared" si="344"/>
        <v>41518Vaipahu1221Autres</v>
      </c>
      <c r="B6265" s="1">
        <v>41518</v>
      </c>
      <c r="C6265" t="s">
        <v>23</v>
      </c>
      <c r="D6265" s="19">
        <v>12</v>
      </c>
      <c r="E6265">
        <v>21</v>
      </c>
      <c r="F6265" t="s">
        <v>14</v>
      </c>
      <c r="H6265">
        <v>0</v>
      </c>
    </row>
    <row r="6266" spans="1:9" x14ac:dyDescent="0.2">
      <c r="A6266" t="str">
        <f t="shared" si="344"/>
        <v>41518Vaipahu1222Autres</v>
      </c>
      <c r="B6266" s="1">
        <v>41518</v>
      </c>
      <c r="C6266" t="s">
        <v>23</v>
      </c>
      <c r="D6266" s="19">
        <v>12</v>
      </c>
      <c r="E6266">
        <v>22</v>
      </c>
      <c r="F6266" t="s">
        <v>14</v>
      </c>
      <c r="H6266">
        <v>0</v>
      </c>
    </row>
    <row r="6267" spans="1:9" x14ac:dyDescent="0.2">
      <c r="A6267" t="str">
        <f t="shared" si="344"/>
        <v>41518Vaipahu1223Autres</v>
      </c>
      <c r="B6267" s="1">
        <v>41518</v>
      </c>
      <c r="C6267" t="s">
        <v>23</v>
      </c>
      <c r="D6267" s="19">
        <v>12</v>
      </c>
      <c r="E6267">
        <v>23</v>
      </c>
      <c r="F6267" t="s">
        <v>14</v>
      </c>
      <c r="H6267">
        <v>0</v>
      </c>
    </row>
    <row r="6268" spans="1:9" x14ac:dyDescent="0.2">
      <c r="A6268" t="str">
        <f t="shared" si="344"/>
        <v>41518Vaipahu1224Autres</v>
      </c>
      <c r="B6268" s="1">
        <v>41518</v>
      </c>
      <c r="C6268" t="s">
        <v>23</v>
      </c>
      <c r="D6268" s="19">
        <v>12</v>
      </c>
      <c r="E6268">
        <v>24</v>
      </c>
      <c r="F6268" t="s">
        <v>14</v>
      </c>
      <c r="H6268">
        <v>0</v>
      </c>
    </row>
    <row r="6269" spans="1:9" x14ac:dyDescent="0.2">
      <c r="A6269" t="str">
        <f t="shared" si="344"/>
        <v>41518Vaipahu1225Autres</v>
      </c>
      <c r="B6269" s="1">
        <v>41518</v>
      </c>
      <c r="C6269" t="s">
        <v>23</v>
      </c>
      <c r="D6269" s="19">
        <v>12</v>
      </c>
      <c r="E6269">
        <v>25</v>
      </c>
      <c r="F6269" t="s">
        <v>14</v>
      </c>
      <c r="H6269">
        <v>0</v>
      </c>
    </row>
    <row r="6270" spans="1:9" x14ac:dyDescent="0.2">
      <c r="A6270" t="str">
        <f t="shared" si="344"/>
        <v>41518Vaipahu1226PocilloporidaeDessous</v>
      </c>
      <c r="B6270" s="1">
        <v>41518</v>
      </c>
      <c r="C6270" t="s">
        <v>23</v>
      </c>
      <c r="D6270" s="19">
        <v>12</v>
      </c>
      <c r="E6270">
        <v>26</v>
      </c>
      <c r="F6270" t="s">
        <v>10</v>
      </c>
      <c r="G6270" t="s">
        <v>8</v>
      </c>
      <c r="H6270">
        <v>2</v>
      </c>
      <c r="I6270" t="s">
        <v>27</v>
      </c>
    </row>
    <row r="6271" spans="1:9" x14ac:dyDescent="0.2">
      <c r="A6271" t="str">
        <f t="shared" ref="A6271:A6334" si="345">B6271 &amp; C6271&amp; D6271&amp; E6271 &amp; F6271 &amp;G6271</f>
        <v>41518Vaipahu1227Autres</v>
      </c>
      <c r="B6271" s="1">
        <v>41518</v>
      </c>
      <c r="C6271" t="s">
        <v>23</v>
      </c>
      <c r="D6271" s="19">
        <v>12</v>
      </c>
      <c r="E6271">
        <v>27</v>
      </c>
      <c r="F6271" t="s">
        <v>14</v>
      </c>
      <c r="H6271">
        <v>0</v>
      </c>
    </row>
    <row r="6272" spans="1:9" x14ac:dyDescent="0.2">
      <c r="A6272" t="str">
        <f t="shared" si="345"/>
        <v>41518Vaipahu1228Autres</v>
      </c>
      <c r="B6272" s="1">
        <v>41518</v>
      </c>
      <c r="C6272" t="s">
        <v>23</v>
      </c>
      <c r="D6272" s="19">
        <v>12</v>
      </c>
      <c r="E6272">
        <v>28</v>
      </c>
      <c r="F6272" t="s">
        <v>14</v>
      </c>
      <c r="H6272">
        <v>0</v>
      </c>
    </row>
    <row r="6273" spans="1:9" x14ac:dyDescent="0.2">
      <c r="A6273" t="str">
        <f t="shared" si="345"/>
        <v>41518Vaipahu1229Autres</v>
      </c>
      <c r="B6273" s="1">
        <v>41518</v>
      </c>
      <c r="C6273" t="s">
        <v>23</v>
      </c>
      <c r="D6273" s="19">
        <v>12</v>
      </c>
      <c r="E6273">
        <v>29</v>
      </c>
      <c r="F6273" t="s">
        <v>14</v>
      </c>
      <c r="H6273">
        <v>0</v>
      </c>
    </row>
    <row r="6274" spans="1:9" x14ac:dyDescent="0.2">
      <c r="A6274" t="str">
        <f t="shared" si="345"/>
        <v>41518Vaipahu1230Autres</v>
      </c>
      <c r="B6274" s="1">
        <v>41518</v>
      </c>
      <c r="C6274" t="s">
        <v>23</v>
      </c>
      <c r="D6274" s="19">
        <v>12</v>
      </c>
      <c r="E6274">
        <v>30</v>
      </c>
      <c r="F6274" t="s">
        <v>14</v>
      </c>
      <c r="H6274">
        <v>0</v>
      </c>
    </row>
    <row r="6275" spans="1:9" x14ac:dyDescent="0.2">
      <c r="A6275" t="str">
        <f t="shared" si="345"/>
        <v>41518Vaipahu1231Autres</v>
      </c>
      <c r="B6275" s="1">
        <v>41518</v>
      </c>
      <c r="C6275" t="s">
        <v>23</v>
      </c>
      <c r="D6275" s="19">
        <v>12</v>
      </c>
      <c r="E6275">
        <v>31</v>
      </c>
      <c r="F6275" t="s">
        <v>14</v>
      </c>
      <c r="H6275">
        <v>0</v>
      </c>
    </row>
    <row r="6276" spans="1:9" x14ac:dyDescent="0.2">
      <c r="A6276" t="str">
        <f t="shared" si="345"/>
        <v>41518Vaipahu1232PocilloporidaeDessous</v>
      </c>
      <c r="B6276" s="1">
        <v>41518</v>
      </c>
      <c r="C6276" t="s">
        <v>23</v>
      </c>
      <c r="D6276" s="19">
        <v>12</v>
      </c>
      <c r="E6276">
        <v>32</v>
      </c>
      <c r="F6276" t="s">
        <v>10</v>
      </c>
      <c r="G6276" t="s">
        <v>8</v>
      </c>
      <c r="H6276">
        <v>1</v>
      </c>
      <c r="I6276" t="s">
        <v>27</v>
      </c>
    </row>
    <row r="6277" spans="1:9" x14ac:dyDescent="0.2">
      <c r="A6277" t="str">
        <f t="shared" si="345"/>
        <v>41518Vaipahu1233Autres</v>
      </c>
      <c r="B6277" s="1">
        <v>41518</v>
      </c>
      <c r="C6277" t="s">
        <v>23</v>
      </c>
      <c r="D6277" s="19">
        <v>12</v>
      </c>
      <c r="E6277">
        <v>33</v>
      </c>
      <c r="F6277" t="s">
        <v>14</v>
      </c>
      <c r="H6277">
        <v>0</v>
      </c>
    </row>
    <row r="6278" spans="1:9" x14ac:dyDescent="0.2">
      <c r="A6278" t="str">
        <f t="shared" si="345"/>
        <v>41518Vaipahu1234Autres</v>
      </c>
      <c r="B6278" s="1">
        <v>41518</v>
      </c>
      <c r="C6278" t="s">
        <v>23</v>
      </c>
      <c r="D6278" s="19">
        <v>12</v>
      </c>
      <c r="E6278">
        <v>34</v>
      </c>
      <c r="F6278" t="s">
        <v>14</v>
      </c>
      <c r="H6278">
        <v>0</v>
      </c>
    </row>
    <row r="6279" spans="1:9" x14ac:dyDescent="0.2">
      <c r="A6279" t="str">
        <f t="shared" si="345"/>
        <v>41518Vaipahu1235PocilloporidaeDessous</v>
      </c>
      <c r="B6279" s="1">
        <v>41518</v>
      </c>
      <c r="C6279" t="s">
        <v>23</v>
      </c>
      <c r="D6279" s="19">
        <v>12</v>
      </c>
      <c r="E6279">
        <v>35</v>
      </c>
      <c r="F6279" t="s">
        <v>10</v>
      </c>
      <c r="G6279" t="s">
        <v>8</v>
      </c>
      <c r="H6279">
        <v>1</v>
      </c>
      <c r="I6279" t="s">
        <v>27</v>
      </c>
    </row>
    <row r="6280" spans="1:9" x14ac:dyDescent="0.2">
      <c r="A6280" t="str">
        <f t="shared" si="345"/>
        <v>41518Vaipahu1236Autres</v>
      </c>
      <c r="B6280" s="1">
        <v>41518</v>
      </c>
      <c r="C6280" t="s">
        <v>23</v>
      </c>
      <c r="D6280" s="19">
        <v>12</v>
      </c>
      <c r="E6280">
        <v>36</v>
      </c>
      <c r="F6280" t="s">
        <v>14</v>
      </c>
      <c r="H6280">
        <v>0</v>
      </c>
    </row>
    <row r="6281" spans="1:9" x14ac:dyDescent="0.2">
      <c r="A6281" t="str">
        <f t="shared" si="345"/>
        <v>41518Vaipahu1237Autres</v>
      </c>
      <c r="B6281" s="1">
        <v>41518</v>
      </c>
      <c r="C6281" t="s">
        <v>23</v>
      </c>
      <c r="D6281" s="19">
        <v>12</v>
      </c>
      <c r="E6281">
        <v>37</v>
      </c>
      <c r="F6281" t="s">
        <v>14</v>
      </c>
      <c r="H6281">
        <v>0</v>
      </c>
    </row>
    <row r="6282" spans="1:9" x14ac:dyDescent="0.2">
      <c r="A6282" t="str">
        <f t="shared" si="345"/>
        <v>41518Vaipahu1238PoritidaeDessous</v>
      </c>
      <c r="B6282" s="1">
        <v>41518</v>
      </c>
      <c r="C6282" t="s">
        <v>23</v>
      </c>
      <c r="D6282" s="19">
        <v>12</v>
      </c>
      <c r="E6282">
        <v>38</v>
      </c>
      <c r="F6282" t="s">
        <v>7</v>
      </c>
      <c r="G6282" t="s">
        <v>8</v>
      </c>
      <c r="H6282">
        <v>1</v>
      </c>
      <c r="I6282" t="s">
        <v>27</v>
      </c>
    </row>
    <row r="6283" spans="1:9" x14ac:dyDescent="0.2">
      <c r="A6283" t="str">
        <f t="shared" si="345"/>
        <v>41518Vaipahu1239Autres</v>
      </c>
      <c r="B6283" s="1">
        <v>41518</v>
      </c>
      <c r="C6283" t="s">
        <v>23</v>
      </c>
      <c r="D6283" s="19">
        <v>12</v>
      </c>
      <c r="E6283">
        <v>39</v>
      </c>
      <c r="F6283" t="s">
        <v>14</v>
      </c>
      <c r="H6283">
        <v>0</v>
      </c>
    </row>
    <row r="6284" spans="1:9" x14ac:dyDescent="0.2">
      <c r="A6284" t="str">
        <f t="shared" si="345"/>
        <v>41518Vaipahu1240Autres</v>
      </c>
      <c r="B6284" s="1">
        <v>41518</v>
      </c>
      <c r="C6284" t="s">
        <v>23</v>
      </c>
      <c r="D6284" s="19">
        <v>12</v>
      </c>
      <c r="E6284">
        <v>40</v>
      </c>
      <c r="F6284" t="s">
        <v>14</v>
      </c>
      <c r="H6284">
        <v>0</v>
      </c>
    </row>
    <row r="6285" spans="1:9" x14ac:dyDescent="0.2">
      <c r="A6285" t="str">
        <f t="shared" si="345"/>
        <v>41518Vaipahu1841Autres</v>
      </c>
      <c r="B6285" s="1">
        <v>41518</v>
      </c>
      <c r="C6285" t="s">
        <v>23</v>
      </c>
      <c r="D6285" s="19">
        <v>18</v>
      </c>
      <c r="E6285">
        <v>41</v>
      </c>
      <c r="F6285" t="s">
        <v>14</v>
      </c>
      <c r="H6285">
        <v>0</v>
      </c>
    </row>
    <row r="6286" spans="1:9" x14ac:dyDescent="0.2">
      <c r="A6286" t="str">
        <f t="shared" si="345"/>
        <v>41518Vaipahu1842PocilloporidaeDessous</v>
      </c>
      <c r="B6286" s="1">
        <v>41518</v>
      </c>
      <c r="C6286" t="s">
        <v>23</v>
      </c>
      <c r="D6286" s="19">
        <v>18</v>
      </c>
      <c r="E6286">
        <v>42</v>
      </c>
      <c r="F6286" t="s">
        <v>10</v>
      </c>
      <c r="G6286" t="s">
        <v>8</v>
      </c>
      <c r="H6286">
        <v>1</v>
      </c>
      <c r="I6286" t="s">
        <v>27</v>
      </c>
    </row>
    <row r="6287" spans="1:9" x14ac:dyDescent="0.2">
      <c r="A6287" t="str">
        <f t="shared" si="345"/>
        <v>41518Vaipahu1842PocilloporidaeDessus</v>
      </c>
      <c r="B6287" s="1">
        <v>41518</v>
      </c>
      <c r="C6287" t="s">
        <v>23</v>
      </c>
      <c r="D6287" s="19">
        <v>18</v>
      </c>
      <c r="E6287">
        <v>42</v>
      </c>
      <c r="F6287" t="s">
        <v>10</v>
      </c>
      <c r="G6287" t="s">
        <v>11</v>
      </c>
      <c r="H6287">
        <v>1</v>
      </c>
      <c r="I6287" t="s">
        <v>27</v>
      </c>
    </row>
    <row r="6288" spans="1:9" x14ac:dyDescent="0.2">
      <c r="A6288" t="str">
        <f t="shared" si="345"/>
        <v>41518Vaipahu1843Autres</v>
      </c>
      <c r="B6288" s="1">
        <v>41518</v>
      </c>
      <c r="C6288" t="s">
        <v>23</v>
      </c>
      <c r="D6288" s="19">
        <v>18</v>
      </c>
      <c r="E6288">
        <v>43</v>
      </c>
      <c r="F6288" t="s">
        <v>14</v>
      </c>
      <c r="H6288">
        <v>0</v>
      </c>
    </row>
    <row r="6289" spans="1:8" x14ac:dyDescent="0.2">
      <c r="A6289" t="str">
        <f t="shared" si="345"/>
        <v>41518Vaipahu1844Autres</v>
      </c>
      <c r="B6289" s="1">
        <v>41518</v>
      </c>
      <c r="C6289" t="s">
        <v>23</v>
      </c>
      <c r="D6289" s="19">
        <v>18</v>
      </c>
      <c r="E6289">
        <v>44</v>
      </c>
      <c r="F6289" t="s">
        <v>14</v>
      </c>
      <c r="H6289">
        <v>0</v>
      </c>
    </row>
    <row r="6290" spans="1:8" x14ac:dyDescent="0.2">
      <c r="A6290" t="str">
        <f t="shared" si="345"/>
        <v>41518Vaipahu1845Autres</v>
      </c>
      <c r="B6290" s="1">
        <v>41518</v>
      </c>
      <c r="C6290" t="s">
        <v>23</v>
      </c>
      <c r="D6290" s="19">
        <v>18</v>
      </c>
      <c r="E6290">
        <v>45</v>
      </c>
      <c r="F6290" t="s">
        <v>14</v>
      </c>
      <c r="H6290">
        <v>0</v>
      </c>
    </row>
    <row r="6291" spans="1:8" x14ac:dyDescent="0.2">
      <c r="A6291" t="str">
        <f t="shared" si="345"/>
        <v>41518Vaipahu1846Autres</v>
      </c>
      <c r="B6291" s="1">
        <v>41518</v>
      </c>
      <c r="C6291" t="s">
        <v>23</v>
      </c>
      <c r="D6291" s="19">
        <v>18</v>
      </c>
      <c r="E6291">
        <v>46</v>
      </c>
      <c r="F6291" t="s">
        <v>14</v>
      </c>
      <c r="H6291">
        <v>0</v>
      </c>
    </row>
    <row r="6292" spans="1:8" x14ac:dyDescent="0.2">
      <c r="A6292" t="str">
        <f t="shared" si="345"/>
        <v>41518Vaipahu1847Autres</v>
      </c>
      <c r="B6292" s="1">
        <v>41518</v>
      </c>
      <c r="C6292" t="s">
        <v>23</v>
      </c>
      <c r="D6292" s="19">
        <v>18</v>
      </c>
      <c r="E6292">
        <v>47</v>
      </c>
      <c r="F6292" t="s">
        <v>14</v>
      </c>
      <c r="H6292">
        <v>0</v>
      </c>
    </row>
    <row r="6293" spans="1:8" x14ac:dyDescent="0.2">
      <c r="A6293" t="str">
        <f t="shared" si="345"/>
        <v>41518Vaipahu1848Autres</v>
      </c>
      <c r="B6293" s="1">
        <v>41518</v>
      </c>
      <c r="C6293" t="s">
        <v>23</v>
      </c>
      <c r="D6293" s="19">
        <v>18</v>
      </c>
      <c r="E6293">
        <v>48</v>
      </c>
      <c r="F6293" t="s">
        <v>14</v>
      </c>
      <c r="H6293">
        <v>0</v>
      </c>
    </row>
    <row r="6294" spans="1:8" x14ac:dyDescent="0.2">
      <c r="A6294" t="str">
        <f t="shared" si="345"/>
        <v>41518Vaipahu1849Autres</v>
      </c>
      <c r="B6294" s="1">
        <v>41518</v>
      </c>
      <c r="C6294" t="s">
        <v>23</v>
      </c>
      <c r="D6294" s="19">
        <v>18</v>
      </c>
      <c r="E6294">
        <v>49</v>
      </c>
      <c r="F6294" t="s">
        <v>14</v>
      </c>
      <c r="H6294">
        <v>0</v>
      </c>
    </row>
    <row r="6295" spans="1:8" x14ac:dyDescent="0.2">
      <c r="A6295" t="str">
        <f t="shared" si="345"/>
        <v>41518Vaipahu1850Autres</v>
      </c>
      <c r="B6295" s="1">
        <v>41518</v>
      </c>
      <c r="C6295" t="s">
        <v>23</v>
      </c>
      <c r="D6295" s="19">
        <v>18</v>
      </c>
      <c r="E6295">
        <v>50</v>
      </c>
      <c r="F6295" t="s">
        <v>14</v>
      </c>
      <c r="H6295">
        <v>0</v>
      </c>
    </row>
    <row r="6296" spans="1:8" x14ac:dyDescent="0.2">
      <c r="A6296" t="str">
        <f t="shared" si="345"/>
        <v>41518Vaipahu1851Autres</v>
      </c>
      <c r="B6296" s="1">
        <v>41518</v>
      </c>
      <c r="C6296" t="s">
        <v>23</v>
      </c>
      <c r="D6296" s="19">
        <v>18</v>
      </c>
      <c r="E6296">
        <v>51</v>
      </c>
      <c r="F6296" t="s">
        <v>14</v>
      </c>
      <c r="H6296">
        <v>0</v>
      </c>
    </row>
    <row r="6297" spans="1:8" x14ac:dyDescent="0.2">
      <c r="A6297" t="str">
        <f t="shared" si="345"/>
        <v>41518Vaipahu1852Autres</v>
      </c>
      <c r="B6297" s="1">
        <v>41518</v>
      </c>
      <c r="C6297" t="s">
        <v>23</v>
      </c>
      <c r="D6297" s="19">
        <v>18</v>
      </c>
      <c r="E6297">
        <v>52</v>
      </c>
      <c r="F6297" t="s">
        <v>14</v>
      </c>
      <c r="H6297">
        <v>0</v>
      </c>
    </row>
    <row r="6298" spans="1:8" x14ac:dyDescent="0.2">
      <c r="A6298" t="str">
        <f t="shared" si="345"/>
        <v>41518Vaipahu1853Autres</v>
      </c>
      <c r="B6298" s="1">
        <v>41518</v>
      </c>
      <c r="C6298" t="s">
        <v>23</v>
      </c>
      <c r="D6298" s="19">
        <v>18</v>
      </c>
      <c r="E6298">
        <v>53</v>
      </c>
      <c r="F6298" t="s">
        <v>14</v>
      </c>
      <c r="H6298">
        <v>0</v>
      </c>
    </row>
    <row r="6299" spans="1:8" x14ac:dyDescent="0.2">
      <c r="A6299" t="str">
        <f t="shared" si="345"/>
        <v>41518Vaipahu1854Autres</v>
      </c>
      <c r="B6299" s="1">
        <v>41518</v>
      </c>
      <c r="C6299" t="s">
        <v>23</v>
      </c>
      <c r="D6299" s="19">
        <v>18</v>
      </c>
      <c r="E6299">
        <v>54</v>
      </c>
      <c r="F6299" t="s">
        <v>14</v>
      </c>
      <c r="H6299">
        <v>0</v>
      </c>
    </row>
    <row r="6300" spans="1:8" x14ac:dyDescent="0.2">
      <c r="A6300" t="str">
        <f t="shared" si="345"/>
        <v>41518Vaipahu1855Autres</v>
      </c>
      <c r="B6300" s="1">
        <v>41518</v>
      </c>
      <c r="C6300" t="s">
        <v>23</v>
      </c>
      <c r="D6300" s="19">
        <v>18</v>
      </c>
      <c r="E6300">
        <v>55</v>
      </c>
      <c r="F6300" t="s">
        <v>14</v>
      </c>
      <c r="H6300">
        <v>0</v>
      </c>
    </row>
    <row r="6301" spans="1:8" x14ac:dyDescent="0.2">
      <c r="A6301" t="str">
        <f t="shared" si="345"/>
        <v>41518Vaipahu1856Autres</v>
      </c>
      <c r="B6301" s="1">
        <v>41518</v>
      </c>
      <c r="C6301" t="s">
        <v>23</v>
      </c>
      <c r="D6301" s="19">
        <v>18</v>
      </c>
      <c r="E6301">
        <v>56</v>
      </c>
      <c r="F6301" t="s">
        <v>14</v>
      </c>
      <c r="H6301">
        <v>0</v>
      </c>
    </row>
    <row r="6302" spans="1:8" x14ac:dyDescent="0.2">
      <c r="A6302" t="str">
        <f t="shared" si="345"/>
        <v>41518Vaipahu1857Autres</v>
      </c>
      <c r="B6302" s="1">
        <v>41518</v>
      </c>
      <c r="C6302" t="s">
        <v>23</v>
      </c>
      <c r="D6302" s="19">
        <v>18</v>
      </c>
      <c r="E6302">
        <v>57</v>
      </c>
      <c r="F6302" t="s">
        <v>14</v>
      </c>
      <c r="H6302">
        <v>0</v>
      </c>
    </row>
    <row r="6303" spans="1:8" x14ac:dyDescent="0.2">
      <c r="A6303" t="str">
        <f t="shared" si="345"/>
        <v>41518Vaipahu1858Autres</v>
      </c>
      <c r="B6303" s="1">
        <v>41518</v>
      </c>
      <c r="C6303" t="s">
        <v>23</v>
      </c>
      <c r="D6303" s="19">
        <v>18</v>
      </c>
      <c r="E6303">
        <v>58</v>
      </c>
      <c r="F6303" t="s">
        <v>14</v>
      </c>
      <c r="H6303">
        <v>0</v>
      </c>
    </row>
    <row r="6304" spans="1:8" x14ac:dyDescent="0.2">
      <c r="A6304" t="str">
        <f t="shared" si="345"/>
        <v>41518Vaipahu1859Autres</v>
      </c>
      <c r="B6304" s="1">
        <v>41518</v>
      </c>
      <c r="C6304" t="s">
        <v>23</v>
      </c>
      <c r="D6304" s="19">
        <v>18</v>
      </c>
      <c r="E6304">
        <v>59</v>
      </c>
      <c r="F6304" t="s">
        <v>14</v>
      </c>
      <c r="H6304">
        <v>0</v>
      </c>
    </row>
    <row r="6305" spans="1:9" x14ac:dyDescent="0.2">
      <c r="A6305" t="str">
        <f t="shared" si="345"/>
        <v>41518Vaipahu1860Autres</v>
      </c>
      <c r="B6305" s="1">
        <v>41518</v>
      </c>
      <c r="C6305" t="s">
        <v>23</v>
      </c>
      <c r="D6305" s="19">
        <v>18</v>
      </c>
      <c r="E6305">
        <v>60</v>
      </c>
      <c r="F6305" t="s">
        <v>14</v>
      </c>
      <c r="H6305">
        <v>0</v>
      </c>
    </row>
    <row r="6306" spans="1:9" x14ac:dyDescent="0.2">
      <c r="A6306" t="str">
        <f t="shared" si="345"/>
        <v>41518Tiahura661Autres</v>
      </c>
      <c r="B6306" s="1">
        <v>41518</v>
      </c>
      <c r="C6306" t="s">
        <v>24</v>
      </c>
      <c r="D6306" s="19">
        <v>6</v>
      </c>
      <c r="E6306">
        <v>61</v>
      </c>
      <c r="F6306" t="s">
        <v>14</v>
      </c>
      <c r="H6306">
        <v>0</v>
      </c>
    </row>
    <row r="6307" spans="1:9" x14ac:dyDescent="0.2">
      <c r="A6307" t="str">
        <f t="shared" si="345"/>
        <v>41518Tiahura662Autres</v>
      </c>
      <c r="B6307" s="1">
        <v>41518</v>
      </c>
      <c r="C6307" t="s">
        <v>24</v>
      </c>
      <c r="D6307" s="19">
        <v>6</v>
      </c>
      <c r="E6307">
        <v>62</v>
      </c>
      <c r="F6307" t="s">
        <v>14</v>
      </c>
      <c r="H6307">
        <v>0</v>
      </c>
    </row>
    <row r="6308" spans="1:9" x14ac:dyDescent="0.2">
      <c r="A6308" t="str">
        <f t="shared" si="345"/>
        <v>41518Tiahura663PocilloporidaeDessus</v>
      </c>
      <c r="B6308" s="1">
        <v>41518</v>
      </c>
      <c r="C6308" t="s">
        <v>24</v>
      </c>
      <c r="D6308" s="19">
        <v>6</v>
      </c>
      <c r="E6308">
        <v>63</v>
      </c>
      <c r="F6308" t="s">
        <v>10</v>
      </c>
      <c r="G6308" t="s">
        <v>11</v>
      </c>
      <c r="H6308">
        <v>1</v>
      </c>
      <c r="I6308" t="s">
        <v>27</v>
      </c>
    </row>
    <row r="6309" spans="1:9" x14ac:dyDescent="0.2">
      <c r="A6309" t="str">
        <f t="shared" si="345"/>
        <v>41518Tiahura664PocilloporidaeDessous</v>
      </c>
      <c r="B6309" s="1">
        <v>41518</v>
      </c>
      <c r="C6309" t="s">
        <v>24</v>
      </c>
      <c r="D6309" s="19">
        <v>6</v>
      </c>
      <c r="E6309">
        <v>64</v>
      </c>
      <c r="F6309" t="s">
        <v>10</v>
      </c>
      <c r="G6309" t="s">
        <v>8</v>
      </c>
      <c r="H6309">
        <v>4</v>
      </c>
      <c r="I6309" t="s">
        <v>27</v>
      </c>
    </row>
    <row r="6310" spans="1:9" x14ac:dyDescent="0.2">
      <c r="A6310" t="str">
        <f t="shared" si="345"/>
        <v>41518Tiahura665Autres</v>
      </c>
      <c r="B6310" s="1">
        <v>41518</v>
      </c>
      <c r="C6310" t="s">
        <v>24</v>
      </c>
      <c r="D6310" s="19">
        <v>6</v>
      </c>
      <c r="E6310">
        <v>65</v>
      </c>
      <c r="F6310" t="s">
        <v>14</v>
      </c>
      <c r="H6310">
        <v>0</v>
      </c>
    </row>
    <row r="6311" spans="1:9" x14ac:dyDescent="0.2">
      <c r="A6311" t="str">
        <f t="shared" si="345"/>
        <v>41518Tiahura666PocilloporidaeDessus</v>
      </c>
      <c r="B6311" s="1">
        <v>41518</v>
      </c>
      <c r="C6311" t="s">
        <v>24</v>
      </c>
      <c r="D6311" s="19">
        <v>6</v>
      </c>
      <c r="E6311">
        <v>66</v>
      </c>
      <c r="F6311" t="s">
        <v>10</v>
      </c>
      <c r="G6311" t="s">
        <v>11</v>
      </c>
      <c r="H6311">
        <v>1</v>
      </c>
      <c r="I6311" t="s">
        <v>27</v>
      </c>
    </row>
    <row r="6312" spans="1:9" x14ac:dyDescent="0.2">
      <c r="A6312" t="str">
        <f t="shared" si="345"/>
        <v>41518Tiahura667Autres</v>
      </c>
      <c r="B6312" s="1">
        <v>41518</v>
      </c>
      <c r="C6312" t="s">
        <v>24</v>
      </c>
      <c r="D6312" s="19">
        <v>6</v>
      </c>
      <c r="E6312">
        <v>67</v>
      </c>
      <c r="F6312" t="s">
        <v>14</v>
      </c>
      <c r="H6312">
        <v>0</v>
      </c>
    </row>
    <row r="6313" spans="1:9" x14ac:dyDescent="0.2">
      <c r="A6313" t="str">
        <f t="shared" si="345"/>
        <v>41518Tiahura668PocilloporidaeDessous</v>
      </c>
      <c r="B6313" s="1">
        <v>41518</v>
      </c>
      <c r="C6313" t="s">
        <v>24</v>
      </c>
      <c r="D6313" s="19">
        <v>6</v>
      </c>
      <c r="E6313">
        <v>68</v>
      </c>
      <c r="F6313" t="s">
        <v>10</v>
      </c>
      <c r="G6313" t="s">
        <v>8</v>
      </c>
      <c r="H6313">
        <v>1</v>
      </c>
      <c r="I6313" t="s">
        <v>27</v>
      </c>
    </row>
    <row r="6314" spans="1:9" x14ac:dyDescent="0.2">
      <c r="A6314" t="str">
        <f t="shared" si="345"/>
        <v>41518Tiahura669Autres</v>
      </c>
      <c r="B6314" s="1">
        <v>41518</v>
      </c>
      <c r="C6314" t="s">
        <v>24</v>
      </c>
      <c r="D6314" s="19">
        <v>6</v>
      </c>
      <c r="E6314">
        <v>69</v>
      </c>
      <c r="F6314" t="s">
        <v>14</v>
      </c>
      <c r="H6314">
        <v>0</v>
      </c>
    </row>
    <row r="6315" spans="1:9" x14ac:dyDescent="0.2">
      <c r="A6315" t="str">
        <f t="shared" si="345"/>
        <v>41518Tiahura670Autres</v>
      </c>
      <c r="B6315" s="1">
        <v>41518</v>
      </c>
      <c r="C6315" t="s">
        <v>24</v>
      </c>
      <c r="D6315" s="19">
        <v>6</v>
      </c>
      <c r="E6315">
        <v>70</v>
      </c>
      <c r="F6315" t="s">
        <v>14</v>
      </c>
      <c r="H6315">
        <v>0</v>
      </c>
    </row>
    <row r="6316" spans="1:9" x14ac:dyDescent="0.2">
      <c r="A6316" t="str">
        <f t="shared" si="345"/>
        <v>41518Tiahura671Autres</v>
      </c>
      <c r="B6316" s="1">
        <v>41518</v>
      </c>
      <c r="C6316" t="s">
        <v>24</v>
      </c>
      <c r="D6316" s="19">
        <v>6</v>
      </c>
      <c r="E6316">
        <v>71</v>
      </c>
      <c r="F6316" t="s">
        <v>14</v>
      </c>
      <c r="H6316">
        <v>0</v>
      </c>
    </row>
    <row r="6317" spans="1:9" x14ac:dyDescent="0.2">
      <c r="A6317" t="str">
        <f t="shared" si="345"/>
        <v>41518Tiahura672Autres</v>
      </c>
      <c r="B6317" s="1">
        <v>41518</v>
      </c>
      <c r="C6317" t="s">
        <v>24</v>
      </c>
      <c r="D6317" s="19">
        <v>6</v>
      </c>
      <c r="E6317">
        <v>72</v>
      </c>
      <c r="F6317" t="s">
        <v>14</v>
      </c>
      <c r="H6317">
        <v>0</v>
      </c>
    </row>
    <row r="6318" spans="1:9" x14ac:dyDescent="0.2">
      <c r="A6318" t="str">
        <f t="shared" si="345"/>
        <v>41518Tiahura673PocilloporidaeDessous</v>
      </c>
      <c r="B6318" s="1">
        <v>41518</v>
      </c>
      <c r="C6318" t="s">
        <v>24</v>
      </c>
      <c r="D6318" s="19">
        <v>6</v>
      </c>
      <c r="E6318">
        <v>73</v>
      </c>
      <c r="F6318" t="s">
        <v>10</v>
      </c>
      <c r="G6318" t="s">
        <v>8</v>
      </c>
      <c r="H6318">
        <v>3</v>
      </c>
      <c r="I6318" t="s">
        <v>27</v>
      </c>
    </row>
    <row r="6319" spans="1:9" x14ac:dyDescent="0.2">
      <c r="A6319" t="str">
        <f t="shared" si="345"/>
        <v>41518Tiahura674Autres</v>
      </c>
      <c r="B6319" s="1">
        <v>41518</v>
      </c>
      <c r="C6319" t="s">
        <v>24</v>
      </c>
      <c r="D6319" s="19">
        <v>6</v>
      </c>
      <c r="E6319">
        <v>74</v>
      </c>
      <c r="F6319" t="s">
        <v>14</v>
      </c>
      <c r="H6319">
        <v>0</v>
      </c>
    </row>
    <row r="6320" spans="1:9" x14ac:dyDescent="0.2">
      <c r="A6320" t="str">
        <f t="shared" si="345"/>
        <v>41518Tiahura675Autres</v>
      </c>
      <c r="B6320" s="1">
        <v>41518</v>
      </c>
      <c r="C6320" t="s">
        <v>24</v>
      </c>
      <c r="D6320" s="19">
        <v>6</v>
      </c>
      <c r="E6320">
        <v>75</v>
      </c>
      <c r="F6320" t="s">
        <v>14</v>
      </c>
      <c r="H6320">
        <v>0</v>
      </c>
    </row>
    <row r="6321" spans="1:9" x14ac:dyDescent="0.2">
      <c r="A6321" t="str">
        <f t="shared" si="345"/>
        <v>41518Tiahura676Autres</v>
      </c>
      <c r="B6321" s="1">
        <v>41518</v>
      </c>
      <c r="C6321" t="s">
        <v>24</v>
      </c>
      <c r="D6321" s="19">
        <v>6</v>
      </c>
      <c r="E6321">
        <v>76</v>
      </c>
      <c r="F6321" t="s">
        <v>14</v>
      </c>
      <c r="H6321">
        <v>0</v>
      </c>
    </row>
    <row r="6322" spans="1:9" x14ac:dyDescent="0.2">
      <c r="A6322" t="str">
        <f t="shared" si="345"/>
        <v>41518Tiahura677Autres</v>
      </c>
      <c r="B6322" s="1">
        <v>41518</v>
      </c>
      <c r="C6322" t="s">
        <v>24</v>
      </c>
      <c r="D6322" s="19">
        <v>6</v>
      </c>
      <c r="E6322">
        <v>77</v>
      </c>
      <c r="F6322" t="s">
        <v>14</v>
      </c>
      <c r="H6322">
        <v>0</v>
      </c>
    </row>
    <row r="6323" spans="1:9" x14ac:dyDescent="0.2">
      <c r="A6323" t="str">
        <f t="shared" si="345"/>
        <v>41518Tiahura678Autres</v>
      </c>
      <c r="B6323" s="1">
        <v>41518</v>
      </c>
      <c r="C6323" t="s">
        <v>24</v>
      </c>
      <c r="D6323" s="19">
        <v>6</v>
      </c>
      <c r="E6323">
        <v>78</v>
      </c>
      <c r="F6323" t="s">
        <v>14</v>
      </c>
      <c r="H6323">
        <v>0</v>
      </c>
    </row>
    <row r="6324" spans="1:9" x14ac:dyDescent="0.2">
      <c r="A6324" t="str">
        <f t="shared" si="345"/>
        <v>41518Tiahura679Autres</v>
      </c>
      <c r="B6324" s="1">
        <v>41518</v>
      </c>
      <c r="C6324" t="s">
        <v>24</v>
      </c>
      <c r="D6324" s="19">
        <v>6</v>
      </c>
      <c r="E6324">
        <v>79</v>
      </c>
      <c r="F6324" t="s">
        <v>14</v>
      </c>
      <c r="H6324">
        <v>0</v>
      </c>
    </row>
    <row r="6325" spans="1:9" x14ac:dyDescent="0.2">
      <c r="A6325" t="str">
        <f t="shared" si="345"/>
        <v>41518Tiahura680Autres</v>
      </c>
      <c r="B6325" s="1">
        <v>41518</v>
      </c>
      <c r="C6325" t="s">
        <v>24</v>
      </c>
      <c r="D6325" s="19">
        <v>6</v>
      </c>
      <c r="E6325">
        <v>80</v>
      </c>
      <c r="F6325" t="s">
        <v>14</v>
      </c>
      <c r="H6325">
        <v>0</v>
      </c>
    </row>
    <row r="6326" spans="1:9" x14ac:dyDescent="0.2">
      <c r="A6326" t="str">
        <f t="shared" si="345"/>
        <v>41518Tiahura1281Autres</v>
      </c>
      <c r="B6326" s="1">
        <v>41518</v>
      </c>
      <c r="C6326" t="s">
        <v>24</v>
      </c>
      <c r="D6326" s="19">
        <v>12</v>
      </c>
      <c r="E6326">
        <v>81</v>
      </c>
      <c r="F6326" t="s">
        <v>14</v>
      </c>
      <c r="H6326">
        <v>0</v>
      </c>
    </row>
    <row r="6327" spans="1:9" x14ac:dyDescent="0.2">
      <c r="A6327" t="str">
        <f t="shared" si="345"/>
        <v>41518Tiahura1282Autres</v>
      </c>
      <c r="B6327" s="1">
        <v>41518</v>
      </c>
      <c r="C6327" t="s">
        <v>24</v>
      </c>
      <c r="D6327" s="19">
        <v>12</v>
      </c>
      <c r="E6327">
        <v>82</v>
      </c>
      <c r="F6327" t="s">
        <v>14</v>
      </c>
      <c r="H6327">
        <v>0</v>
      </c>
    </row>
    <row r="6328" spans="1:9" x14ac:dyDescent="0.2">
      <c r="A6328" t="str">
        <f t="shared" si="345"/>
        <v>41518Tiahura1283Autres</v>
      </c>
      <c r="B6328" s="1">
        <v>41518</v>
      </c>
      <c r="C6328" t="s">
        <v>24</v>
      </c>
      <c r="D6328" s="19">
        <v>12</v>
      </c>
      <c r="E6328">
        <v>83</v>
      </c>
      <c r="F6328" t="s">
        <v>14</v>
      </c>
      <c r="H6328">
        <v>0</v>
      </c>
    </row>
    <row r="6329" spans="1:9" x14ac:dyDescent="0.2">
      <c r="A6329" t="str">
        <f t="shared" si="345"/>
        <v>41518Tiahura1284PocilloporidaeBords</v>
      </c>
      <c r="B6329" s="1">
        <v>41518</v>
      </c>
      <c r="C6329" t="s">
        <v>24</v>
      </c>
      <c r="D6329" s="19">
        <v>12</v>
      </c>
      <c r="E6329">
        <v>84</v>
      </c>
      <c r="F6329" t="s">
        <v>10</v>
      </c>
      <c r="G6329" t="s">
        <v>13</v>
      </c>
      <c r="H6329">
        <v>1</v>
      </c>
      <c r="I6329" t="s">
        <v>27</v>
      </c>
    </row>
    <row r="6330" spans="1:9" x14ac:dyDescent="0.2">
      <c r="A6330" t="str">
        <f t="shared" si="345"/>
        <v>41518Tiahura1284PoritidaeBords</v>
      </c>
      <c r="B6330" s="1">
        <v>41518</v>
      </c>
      <c r="C6330" t="s">
        <v>24</v>
      </c>
      <c r="D6330" s="19">
        <v>12</v>
      </c>
      <c r="E6330">
        <v>84</v>
      </c>
      <c r="F6330" t="s">
        <v>7</v>
      </c>
      <c r="G6330" t="s">
        <v>13</v>
      </c>
      <c r="H6330">
        <v>1</v>
      </c>
      <c r="I6330" t="s">
        <v>27</v>
      </c>
    </row>
    <row r="6331" spans="1:9" x14ac:dyDescent="0.2">
      <c r="A6331" t="str">
        <f t="shared" si="345"/>
        <v>41518Tiahura1285PocilloporidaeDessous</v>
      </c>
      <c r="B6331" s="1">
        <v>41518</v>
      </c>
      <c r="C6331" t="s">
        <v>24</v>
      </c>
      <c r="D6331" s="19">
        <v>12</v>
      </c>
      <c r="E6331">
        <v>85</v>
      </c>
      <c r="F6331" t="s">
        <v>10</v>
      </c>
      <c r="G6331" t="s">
        <v>8</v>
      </c>
      <c r="H6331">
        <v>1</v>
      </c>
      <c r="I6331" t="s">
        <v>27</v>
      </c>
    </row>
    <row r="6332" spans="1:9" x14ac:dyDescent="0.2">
      <c r="A6332" t="str">
        <f t="shared" si="345"/>
        <v>41518Tiahura1286Autres</v>
      </c>
      <c r="B6332" s="1">
        <v>41518</v>
      </c>
      <c r="C6332" t="s">
        <v>24</v>
      </c>
      <c r="D6332" s="19">
        <v>12</v>
      </c>
      <c r="E6332">
        <v>86</v>
      </c>
      <c r="F6332" t="s">
        <v>14</v>
      </c>
      <c r="H6332">
        <v>0</v>
      </c>
    </row>
    <row r="6333" spans="1:9" x14ac:dyDescent="0.2">
      <c r="A6333" t="str">
        <f t="shared" si="345"/>
        <v>41518Tiahura1287Autres</v>
      </c>
      <c r="B6333" s="1">
        <v>41518</v>
      </c>
      <c r="C6333" t="s">
        <v>24</v>
      </c>
      <c r="D6333" s="19">
        <v>12</v>
      </c>
      <c r="E6333">
        <v>87</v>
      </c>
      <c r="F6333" t="s">
        <v>14</v>
      </c>
      <c r="H6333">
        <v>0</v>
      </c>
    </row>
    <row r="6334" spans="1:9" x14ac:dyDescent="0.2">
      <c r="A6334" t="str">
        <f t="shared" si="345"/>
        <v>41518Tiahura1288PoritidaeDessous</v>
      </c>
      <c r="B6334" s="1">
        <v>41518</v>
      </c>
      <c r="C6334" t="s">
        <v>24</v>
      </c>
      <c r="D6334" s="19">
        <v>12</v>
      </c>
      <c r="E6334">
        <v>88</v>
      </c>
      <c r="F6334" t="s">
        <v>7</v>
      </c>
      <c r="G6334" t="s">
        <v>8</v>
      </c>
      <c r="H6334">
        <v>5</v>
      </c>
      <c r="I6334" t="s">
        <v>27</v>
      </c>
    </row>
    <row r="6335" spans="1:9" x14ac:dyDescent="0.2">
      <c r="A6335" t="str">
        <f t="shared" ref="A6335:A6398" si="346">B6335 &amp; C6335&amp; D6335&amp; E6335 &amp; F6335 &amp;G6335</f>
        <v>41518Tiahura1289Autres</v>
      </c>
      <c r="B6335" s="1">
        <v>41518</v>
      </c>
      <c r="C6335" t="s">
        <v>24</v>
      </c>
      <c r="D6335" s="19">
        <v>12</v>
      </c>
      <c r="E6335">
        <v>89</v>
      </c>
      <c r="F6335" t="s">
        <v>14</v>
      </c>
      <c r="H6335">
        <v>0</v>
      </c>
    </row>
    <row r="6336" spans="1:9" x14ac:dyDescent="0.2">
      <c r="A6336" t="str">
        <f t="shared" si="346"/>
        <v>41518Tiahura1290Autres</v>
      </c>
      <c r="B6336" s="1">
        <v>41518</v>
      </c>
      <c r="C6336" t="s">
        <v>24</v>
      </c>
      <c r="D6336" s="19">
        <v>12</v>
      </c>
      <c r="E6336">
        <v>90</v>
      </c>
      <c r="F6336" t="s">
        <v>14</v>
      </c>
      <c r="H6336">
        <v>0</v>
      </c>
    </row>
    <row r="6337" spans="1:9" x14ac:dyDescent="0.2">
      <c r="A6337" t="str">
        <f t="shared" si="346"/>
        <v>41518Tiahura1291Autres</v>
      </c>
      <c r="B6337" s="1">
        <v>41518</v>
      </c>
      <c r="C6337" t="s">
        <v>24</v>
      </c>
      <c r="D6337" s="19">
        <v>12</v>
      </c>
      <c r="E6337">
        <v>91</v>
      </c>
      <c r="F6337" t="s">
        <v>14</v>
      </c>
      <c r="H6337">
        <v>0</v>
      </c>
    </row>
    <row r="6338" spans="1:9" x14ac:dyDescent="0.2">
      <c r="A6338" t="str">
        <f t="shared" si="346"/>
        <v>41518Tiahura1292Autres</v>
      </c>
      <c r="B6338" s="1">
        <v>41518</v>
      </c>
      <c r="C6338" t="s">
        <v>24</v>
      </c>
      <c r="D6338" s="19">
        <v>12</v>
      </c>
      <c r="E6338">
        <v>92</v>
      </c>
      <c r="F6338" t="s">
        <v>14</v>
      </c>
      <c r="H6338">
        <v>0</v>
      </c>
    </row>
    <row r="6339" spans="1:9" x14ac:dyDescent="0.2">
      <c r="A6339" t="str">
        <f t="shared" si="346"/>
        <v>41518Tiahura1293Autres</v>
      </c>
      <c r="B6339" s="1">
        <v>41518</v>
      </c>
      <c r="C6339" t="s">
        <v>24</v>
      </c>
      <c r="D6339" s="19">
        <v>12</v>
      </c>
      <c r="E6339">
        <v>93</v>
      </c>
      <c r="F6339" t="s">
        <v>14</v>
      </c>
      <c r="H6339">
        <v>0</v>
      </c>
    </row>
    <row r="6340" spans="1:9" x14ac:dyDescent="0.2">
      <c r="A6340" t="str">
        <f t="shared" si="346"/>
        <v>41518Tiahura1294Autres</v>
      </c>
      <c r="B6340" s="1">
        <v>41518</v>
      </c>
      <c r="C6340" t="s">
        <v>24</v>
      </c>
      <c r="D6340" s="19">
        <v>12</v>
      </c>
      <c r="E6340">
        <v>94</v>
      </c>
      <c r="F6340" t="s">
        <v>14</v>
      </c>
      <c r="H6340">
        <v>0</v>
      </c>
    </row>
    <row r="6341" spans="1:9" x14ac:dyDescent="0.2">
      <c r="A6341" t="str">
        <f t="shared" si="346"/>
        <v>41518Tiahura1295PocilloporidaeDessous</v>
      </c>
      <c r="B6341" s="1">
        <v>41518</v>
      </c>
      <c r="C6341" t="s">
        <v>24</v>
      </c>
      <c r="D6341" s="19">
        <v>12</v>
      </c>
      <c r="E6341">
        <v>95</v>
      </c>
      <c r="F6341" t="s">
        <v>10</v>
      </c>
      <c r="G6341" t="s">
        <v>8</v>
      </c>
      <c r="H6341">
        <v>2</v>
      </c>
      <c r="I6341" t="s">
        <v>27</v>
      </c>
    </row>
    <row r="6342" spans="1:9" x14ac:dyDescent="0.2">
      <c r="A6342" t="str">
        <f t="shared" si="346"/>
        <v>41518Tiahura1295PoritidaeDessous</v>
      </c>
      <c r="B6342" s="1">
        <v>41518</v>
      </c>
      <c r="C6342" t="s">
        <v>24</v>
      </c>
      <c r="D6342" s="19">
        <v>12</v>
      </c>
      <c r="E6342">
        <v>95</v>
      </c>
      <c r="F6342" t="s">
        <v>7</v>
      </c>
      <c r="G6342" t="s">
        <v>8</v>
      </c>
      <c r="H6342">
        <v>1</v>
      </c>
      <c r="I6342" t="s">
        <v>27</v>
      </c>
    </row>
    <row r="6343" spans="1:9" x14ac:dyDescent="0.2">
      <c r="A6343" t="str">
        <f t="shared" si="346"/>
        <v>41518Tiahura1296PoritidaeDessous</v>
      </c>
      <c r="B6343" s="1">
        <v>41518</v>
      </c>
      <c r="C6343" t="s">
        <v>24</v>
      </c>
      <c r="D6343" s="19">
        <v>12</v>
      </c>
      <c r="E6343">
        <v>96</v>
      </c>
      <c r="F6343" t="s">
        <v>7</v>
      </c>
      <c r="G6343" t="s">
        <v>8</v>
      </c>
      <c r="H6343">
        <v>1</v>
      </c>
      <c r="I6343" t="s">
        <v>27</v>
      </c>
    </row>
    <row r="6344" spans="1:9" x14ac:dyDescent="0.2">
      <c r="A6344" t="str">
        <f t="shared" si="346"/>
        <v>41518Tiahura1297Autres</v>
      </c>
      <c r="B6344" s="1">
        <v>41518</v>
      </c>
      <c r="C6344" t="s">
        <v>24</v>
      </c>
      <c r="D6344" s="19">
        <v>12</v>
      </c>
      <c r="E6344">
        <v>97</v>
      </c>
      <c r="F6344" t="s">
        <v>14</v>
      </c>
      <c r="H6344">
        <v>0</v>
      </c>
    </row>
    <row r="6345" spans="1:9" x14ac:dyDescent="0.2">
      <c r="A6345" t="str">
        <f t="shared" si="346"/>
        <v>41518Tiahura1298Autres</v>
      </c>
      <c r="B6345" s="1">
        <v>41518</v>
      </c>
      <c r="C6345" t="s">
        <v>24</v>
      </c>
      <c r="D6345" s="19">
        <v>12</v>
      </c>
      <c r="E6345">
        <v>98</v>
      </c>
      <c r="F6345" t="s">
        <v>14</v>
      </c>
      <c r="H6345">
        <v>0</v>
      </c>
    </row>
    <row r="6346" spans="1:9" x14ac:dyDescent="0.2">
      <c r="A6346" t="str">
        <f t="shared" si="346"/>
        <v>41518Tiahura1299Autres</v>
      </c>
      <c r="B6346" s="1">
        <v>41518</v>
      </c>
      <c r="C6346" t="s">
        <v>24</v>
      </c>
      <c r="D6346" s="19">
        <v>12</v>
      </c>
      <c r="E6346">
        <v>99</v>
      </c>
      <c r="F6346" t="s">
        <v>14</v>
      </c>
      <c r="H6346">
        <v>0</v>
      </c>
    </row>
    <row r="6347" spans="1:9" x14ac:dyDescent="0.2">
      <c r="A6347" t="str">
        <f t="shared" si="346"/>
        <v>41518Tiahura12100Autres</v>
      </c>
      <c r="B6347" s="1">
        <v>41518</v>
      </c>
      <c r="C6347" t="s">
        <v>24</v>
      </c>
      <c r="D6347" s="19">
        <v>12</v>
      </c>
      <c r="E6347">
        <v>100</v>
      </c>
      <c r="F6347" t="s">
        <v>14</v>
      </c>
      <c r="H6347">
        <v>0</v>
      </c>
    </row>
    <row r="6348" spans="1:9" x14ac:dyDescent="0.2">
      <c r="A6348" t="str">
        <f t="shared" si="346"/>
        <v>41518Tiahura18101PoritidaeDessous</v>
      </c>
      <c r="B6348" s="1">
        <v>41518</v>
      </c>
      <c r="C6348" t="s">
        <v>24</v>
      </c>
      <c r="D6348" s="19">
        <v>18</v>
      </c>
      <c r="E6348">
        <v>101</v>
      </c>
      <c r="F6348" t="s">
        <v>7</v>
      </c>
      <c r="G6348" t="s">
        <v>8</v>
      </c>
      <c r="H6348">
        <v>2</v>
      </c>
      <c r="I6348" t="s">
        <v>27</v>
      </c>
    </row>
    <row r="6349" spans="1:9" x14ac:dyDescent="0.2">
      <c r="A6349" t="str">
        <f t="shared" si="346"/>
        <v>41518Tiahura18101PoritidaeDessus</v>
      </c>
      <c r="B6349" s="1">
        <v>41518</v>
      </c>
      <c r="C6349" t="s">
        <v>24</v>
      </c>
      <c r="D6349" s="19">
        <v>18</v>
      </c>
      <c r="E6349">
        <v>101</v>
      </c>
      <c r="F6349" t="s">
        <v>7</v>
      </c>
      <c r="G6349" t="s">
        <v>11</v>
      </c>
      <c r="H6349">
        <v>1</v>
      </c>
      <c r="I6349" t="s">
        <v>27</v>
      </c>
    </row>
    <row r="6350" spans="1:9" x14ac:dyDescent="0.2">
      <c r="A6350" t="str">
        <f t="shared" si="346"/>
        <v>41518Tiahura18102</v>
      </c>
      <c r="B6350" s="1">
        <v>41518</v>
      </c>
      <c r="C6350" t="s">
        <v>24</v>
      </c>
      <c r="D6350" s="19">
        <v>18</v>
      </c>
      <c r="E6350">
        <v>102</v>
      </c>
      <c r="F6350" t="s">
        <v>27</v>
      </c>
      <c r="G6350" t="s">
        <v>27</v>
      </c>
      <c r="H6350" t="s">
        <v>27</v>
      </c>
      <c r="I6350" t="s">
        <v>31</v>
      </c>
    </row>
    <row r="6351" spans="1:9" x14ac:dyDescent="0.2">
      <c r="A6351" t="str">
        <f t="shared" si="346"/>
        <v>41518Tiahura18103PoritidaeDessous</v>
      </c>
      <c r="B6351" s="1">
        <v>41518</v>
      </c>
      <c r="C6351" t="s">
        <v>24</v>
      </c>
      <c r="D6351" s="19">
        <v>18</v>
      </c>
      <c r="E6351">
        <v>103</v>
      </c>
      <c r="F6351" t="s">
        <v>7</v>
      </c>
      <c r="G6351" t="s">
        <v>8</v>
      </c>
      <c r="H6351">
        <v>1</v>
      </c>
      <c r="I6351" t="s">
        <v>27</v>
      </c>
    </row>
    <row r="6352" spans="1:9" x14ac:dyDescent="0.2">
      <c r="A6352" t="str">
        <f t="shared" si="346"/>
        <v>41518Tiahura18104PoritidaeDessous</v>
      </c>
      <c r="B6352" s="1">
        <v>41518</v>
      </c>
      <c r="C6352" t="s">
        <v>24</v>
      </c>
      <c r="D6352" s="19">
        <v>18</v>
      </c>
      <c r="E6352">
        <v>104</v>
      </c>
      <c r="F6352" t="s">
        <v>7</v>
      </c>
      <c r="G6352" t="s">
        <v>8</v>
      </c>
      <c r="H6352">
        <v>3</v>
      </c>
      <c r="I6352" t="s">
        <v>27</v>
      </c>
    </row>
    <row r="6353" spans="1:9" x14ac:dyDescent="0.2">
      <c r="A6353" t="str">
        <f t="shared" si="346"/>
        <v>41518Tiahura18105PoritidaeBords</v>
      </c>
      <c r="B6353" s="1">
        <v>41518</v>
      </c>
      <c r="C6353" t="s">
        <v>24</v>
      </c>
      <c r="D6353" s="19">
        <v>18</v>
      </c>
      <c r="E6353">
        <v>105</v>
      </c>
      <c r="F6353" t="s">
        <v>7</v>
      </c>
      <c r="G6353" t="s">
        <v>13</v>
      </c>
      <c r="H6353">
        <v>5</v>
      </c>
      <c r="I6353" t="s">
        <v>27</v>
      </c>
    </row>
    <row r="6354" spans="1:9" x14ac:dyDescent="0.2">
      <c r="A6354" t="str">
        <f t="shared" si="346"/>
        <v>41518Tiahura18105PoritidaeDessous</v>
      </c>
      <c r="B6354" s="1">
        <v>41518</v>
      </c>
      <c r="C6354" t="s">
        <v>24</v>
      </c>
      <c r="D6354" s="19">
        <v>18</v>
      </c>
      <c r="E6354">
        <v>105</v>
      </c>
      <c r="F6354" t="s">
        <v>7</v>
      </c>
      <c r="G6354" t="s">
        <v>8</v>
      </c>
      <c r="H6354">
        <v>6</v>
      </c>
      <c r="I6354" t="s">
        <v>27</v>
      </c>
    </row>
    <row r="6355" spans="1:9" x14ac:dyDescent="0.2">
      <c r="A6355" t="str">
        <f t="shared" si="346"/>
        <v>41518Tiahura18106CassésDessus</v>
      </c>
      <c r="B6355" s="1">
        <v>41518</v>
      </c>
      <c r="C6355" t="s">
        <v>24</v>
      </c>
      <c r="D6355" s="19">
        <v>18</v>
      </c>
      <c r="E6355">
        <v>106</v>
      </c>
      <c r="F6355" t="s">
        <v>12</v>
      </c>
      <c r="G6355" t="s">
        <v>11</v>
      </c>
      <c r="H6355">
        <v>1</v>
      </c>
      <c r="I6355" t="s">
        <v>27</v>
      </c>
    </row>
    <row r="6356" spans="1:9" x14ac:dyDescent="0.2">
      <c r="A6356" t="str">
        <f t="shared" si="346"/>
        <v>41518Tiahura18106PoritidaeBords</v>
      </c>
      <c r="B6356" s="1">
        <v>41518</v>
      </c>
      <c r="C6356" t="s">
        <v>24</v>
      </c>
      <c r="D6356" s="19">
        <v>18</v>
      </c>
      <c r="E6356">
        <v>106</v>
      </c>
      <c r="F6356" t="s">
        <v>7</v>
      </c>
      <c r="G6356" t="s">
        <v>13</v>
      </c>
      <c r="H6356">
        <v>1</v>
      </c>
      <c r="I6356" t="s">
        <v>27</v>
      </c>
    </row>
    <row r="6357" spans="1:9" x14ac:dyDescent="0.2">
      <c r="A6357" t="str">
        <f t="shared" si="346"/>
        <v>41518Tiahura18107Autres</v>
      </c>
      <c r="B6357" s="1">
        <v>41518</v>
      </c>
      <c r="C6357" t="s">
        <v>24</v>
      </c>
      <c r="D6357" s="19">
        <v>18</v>
      </c>
      <c r="E6357">
        <v>107</v>
      </c>
      <c r="F6357" t="s">
        <v>14</v>
      </c>
      <c r="H6357">
        <v>0</v>
      </c>
    </row>
    <row r="6358" spans="1:9" x14ac:dyDescent="0.2">
      <c r="A6358" t="str">
        <f t="shared" si="346"/>
        <v>41518Tiahura18108Autres</v>
      </c>
      <c r="B6358" s="1">
        <v>41518</v>
      </c>
      <c r="C6358" t="s">
        <v>24</v>
      </c>
      <c r="D6358" s="19">
        <v>18</v>
      </c>
      <c r="E6358">
        <v>108</v>
      </c>
      <c r="F6358" t="s">
        <v>14</v>
      </c>
      <c r="H6358">
        <v>0</v>
      </c>
    </row>
    <row r="6359" spans="1:9" x14ac:dyDescent="0.2">
      <c r="A6359" t="str">
        <f t="shared" si="346"/>
        <v>41518Tiahura18109Autres</v>
      </c>
      <c r="B6359" s="1">
        <v>41518</v>
      </c>
      <c r="C6359" t="s">
        <v>24</v>
      </c>
      <c r="D6359" s="19">
        <v>18</v>
      </c>
      <c r="E6359">
        <v>109</v>
      </c>
      <c r="F6359" t="s">
        <v>14</v>
      </c>
      <c r="H6359">
        <v>0</v>
      </c>
    </row>
    <row r="6360" spans="1:9" x14ac:dyDescent="0.2">
      <c r="A6360" t="str">
        <f t="shared" si="346"/>
        <v>41518Tiahura18110PoritidaeDessous</v>
      </c>
      <c r="B6360" s="1">
        <v>41518</v>
      </c>
      <c r="C6360" t="s">
        <v>24</v>
      </c>
      <c r="D6360" s="19">
        <v>18</v>
      </c>
      <c r="E6360">
        <v>110</v>
      </c>
      <c r="F6360" t="s">
        <v>7</v>
      </c>
      <c r="G6360" t="s">
        <v>8</v>
      </c>
      <c r="H6360">
        <v>2</v>
      </c>
      <c r="I6360" t="s">
        <v>27</v>
      </c>
    </row>
    <row r="6361" spans="1:9" x14ac:dyDescent="0.2">
      <c r="A6361" t="str">
        <f t="shared" si="346"/>
        <v>41518Tiahura18111PoritidaeDessus</v>
      </c>
      <c r="B6361" s="1">
        <v>41518</v>
      </c>
      <c r="C6361" t="s">
        <v>24</v>
      </c>
      <c r="D6361" s="19">
        <v>18</v>
      </c>
      <c r="E6361">
        <v>111</v>
      </c>
      <c r="F6361" t="s">
        <v>7</v>
      </c>
      <c r="G6361" t="s">
        <v>11</v>
      </c>
      <c r="H6361">
        <v>1</v>
      </c>
      <c r="I6361" t="s">
        <v>27</v>
      </c>
    </row>
    <row r="6362" spans="1:9" x14ac:dyDescent="0.2">
      <c r="A6362" t="str">
        <f t="shared" si="346"/>
        <v>41518Tiahura18112Autres</v>
      </c>
      <c r="B6362" s="1">
        <v>41518</v>
      </c>
      <c r="C6362" t="s">
        <v>24</v>
      </c>
      <c r="D6362" s="19">
        <v>18</v>
      </c>
      <c r="E6362">
        <v>112</v>
      </c>
      <c r="F6362" t="s">
        <v>14</v>
      </c>
      <c r="H6362">
        <v>0</v>
      </c>
    </row>
    <row r="6363" spans="1:9" x14ac:dyDescent="0.2">
      <c r="A6363" t="str">
        <f t="shared" si="346"/>
        <v>41518Tiahura18113PoritidaeDessous</v>
      </c>
      <c r="B6363" s="1">
        <v>41518</v>
      </c>
      <c r="C6363" t="s">
        <v>24</v>
      </c>
      <c r="D6363" s="19">
        <v>18</v>
      </c>
      <c r="E6363">
        <v>113</v>
      </c>
      <c r="F6363" t="s">
        <v>7</v>
      </c>
      <c r="G6363" t="s">
        <v>8</v>
      </c>
      <c r="H6363">
        <v>1</v>
      </c>
      <c r="I6363" t="s">
        <v>27</v>
      </c>
    </row>
    <row r="6364" spans="1:9" x14ac:dyDescent="0.2">
      <c r="A6364" t="str">
        <f t="shared" si="346"/>
        <v>41518Tiahura18114PoritidaeBords</v>
      </c>
      <c r="B6364" s="1">
        <v>41518</v>
      </c>
      <c r="C6364" t="s">
        <v>24</v>
      </c>
      <c r="D6364" s="19">
        <v>18</v>
      </c>
      <c r="E6364">
        <v>114</v>
      </c>
      <c r="F6364" t="s">
        <v>7</v>
      </c>
      <c r="G6364" t="s">
        <v>13</v>
      </c>
      <c r="H6364">
        <v>1</v>
      </c>
      <c r="I6364" t="s">
        <v>27</v>
      </c>
    </row>
    <row r="6365" spans="1:9" x14ac:dyDescent="0.2">
      <c r="A6365" t="str">
        <f t="shared" si="346"/>
        <v>41518Tiahura18115Autres</v>
      </c>
      <c r="B6365" s="1">
        <v>41518</v>
      </c>
      <c r="C6365" t="s">
        <v>24</v>
      </c>
      <c r="D6365" s="19">
        <v>18</v>
      </c>
      <c r="E6365">
        <v>115</v>
      </c>
      <c r="F6365" t="s">
        <v>14</v>
      </c>
      <c r="H6365">
        <v>0</v>
      </c>
    </row>
    <row r="6366" spans="1:9" x14ac:dyDescent="0.2">
      <c r="A6366" t="str">
        <f t="shared" si="346"/>
        <v>41518Tiahura18116Autres</v>
      </c>
      <c r="B6366" s="1">
        <v>41518</v>
      </c>
      <c r="C6366" t="s">
        <v>24</v>
      </c>
      <c r="D6366" s="19">
        <v>18</v>
      </c>
      <c r="E6366">
        <v>116</v>
      </c>
      <c r="F6366" t="s">
        <v>14</v>
      </c>
      <c r="H6366">
        <v>0</v>
      </c>
    </row>
    <row r="6367" spans="1:9" x14ac:dyDescent="0.2">
      <c r="A6367" t="str">
        <f t="shared" si="346"/>
        <v>41518Tiahura18117AcroporidaeDessus</v>
      </c>
      <c r="B6367" s="1">
        <v>41518</v>
      </c>
      <c r="C6367" t="s">
        <v>24</v>
      </c>
      <c r="D6367" s="19">
        <v>18</v>
      </c>
      <c r="E6367">
        <v>117</v>
      </c>
      <c r="F6367" t="s">
        <v>17</v>
      </c>
      <c r="G6367" t="s">
        <v>11</v>
      </c>
      <c r="H6367">
        <v>1</v>
      </c>
      <c r="I6367" t="s">
        <v>27</v>
      </c>
    </row>
    <row r="6368" spans="1:9" x14ac:dyDescent="0.2">
      <c r="A6368" t="str">
        <f t="shared" si="346"/>
        <v>41518Tiahura18118Autres</v>
      </c>
      <c r="B6368" s="1">
        <v>41518</v>
      </c>
      <c r="C6368" t="s">
        <v>24</v>
      </c>
      <c r="D6368" s="19">
        <v>18</v>
      </c>
      <c r="E6368">
        <v>118</v>
      </c>
      <c r="F6368" t="s">
        <v>14</v>
      </c>
      <c r="H6368">
        <v>0</v>
      </c>
    </row>
    <row r="6369" spans="1:9" x14ac:dyDescent="0.2">
      <c r="A6369" t="str">
        <f t="shared" si="346"/>
        <v>41518Tiahura18119Autres</v>
      </c>
      <c r="B6369" s="1">
        <v>41518</v>
      </c>
      <c r="C6369" t="s">
        <v>24</v>
      </c>
      <c r="D6369" s="19">
        <v>18</v>
      </c>
      <c r="E6369">
        <v>119</v>
      </c>
      <c r="F6369" t="s">
        <v>14</v>
      </c>
      <c r="H6369">
        <v>0</v>
      </c>
    </row>
    <row r="6370" spans="1:9" x14ac:dyDescent="0.2">
      <c r="A6370" t="str">
        <f t="shared" si="346"/>
        <v>41518Tiahura18120PoritidaeDessous</v>
      </c>
      <c r="B6370" s="1">
        <v>41518</v>
      </c>
      <c r="C6370" t="s">
        <v>24</v>
      </c>
      <c r="D6370" s="19">
        <v>18</v>
      </c>
      <c r="E6370">
        <v>120</v>
      </c>
      <c r="F6370" t="s">
        <v>7</v>
      </c>
      <c r="G6370" t="s">
        <v>8</v>
      </c>
      <c r="H6370">
        <v>1</v>
      </c>
      <c r="I6370" t="s">
        <v>27</v>
      </c>
    </row>
    <row r="6371" spans="1:9" x14ac:dyDescent="0.2">
      <c r="A6371" t="str">
        <f t="shared" si="346"/>
        <v>41518Haapiti6121Autres</v>
      </c>
      <c r="B6371" s="1">
        <v>41518</v>
      </c>
      <c r="C6371" t="s">
        <v>25</v>
      </c>
      <c r="D6371" s="19">
        <v>6</v>
      </c>
      <c r="E6371">
        <v>121</v>
      </c>
      <c r="F6371" t="s">
        <v>14</v>
      </c>
      <c r="H6371">
        <v>0</v>
      </c>
    </row>
    <row r="6372" spans="1:9" x14ac:dyDescent="0.2">
      <c r="A6372" t="str">
        <f t="shared" si="346"/>
        <v>41518Haapiti6122Autres</v>
      </c>
      <c r="B6372" s="1">
        <v>41518</v>
      </c>
      <c r="C6372" t="s">
        <v>25</v>
      </c>
      <c r="D6372" s="19">
        <v>6</v>
      </c>
      <c r="E6372">
        <v>122</v>
      </c>
      <c r="F6372" t="s">
        <v>14</v>
      </c>
      <c r="H6372">
        <v>0</v>
      </c>
    </row>
    <row r="6373" spans="1:9" x14ac:dyDescent="0.2">
      <c r="A6373" t="str">
        <f t="shared" si="346"/>
        <v>41518Haapiti6123Autres</v>
      </c>
      <c r="B6373" s="1">
        <v>41518</v>
      </c>
      <c r="C6373" t="s">
        <v>25</v>
      </c>
      <c r="D6373" s="19">
        <v>6</v>
      </c>
      <c r="E6373">
        <v>123</v>
      </c>
      <c r="F6373" t="s">
        <v>14</v>
      </c>
      <c r="H6373">
        <v>0</v>
      </c>
    </row>
    <row r="6374" spans="1:9" x14ac:dyDescent="0.2">
      <c r="A6374" t="str">
        <f t="shared" si="346"/>
        <v>41518Haapiti6124Autres</v>
      </c>
      <c r="B6374" s="1">
        <v>41518</v>
      </c>
      <c r="C6374" t="s">
        <v>25</v>
      </c>
      <c r="D6374" s="19">
        <v>6</v>
      </c>
      <c r="E6374">
        <v>124</v>
      </c>
      <c r="F6374" t="s">
        <v>14</v>
      </c>
      <c r="H6374">
        <v>0</v>
      </c>
    </row>
    <row r="6375" spans="1:9" x14ac:dyDescent="0.2">
      <c r="A6375" t="str">
        <f t="shared" si="346"/>
        <v>41518Haapiti6125Autres</v>
      </c>
      <c r="B6375" s="1">
        <v>41518</v>
      </c>
      <c r="C6375" t="s">
        <v>25</v>
      </c>
      <c r="D6375" s="19">
        <v>6</v>
      </c>
      <c r="E6375">
        <v>125</v>
      </c>
      <c r="F6375" t="s">
        <v>14</v>
      </c>
      <c r="H6375">
        <v>0</v>
      </c>
    </row>
    <row r="6376" spans="1:9" x14ac:dyDescent="0.2">
      <c r="A6376" t="str">
        <f t="shared" si="346"/>
        <v>41518Haapiti6126Autres</v>
      </c>
      <c r="B6376" s="1">
        <v>41518</v>
      </c>
      <c r="C6376" t="s">
        <v>25</v>
      </c>
      <c r="D6376" s="19">
        <v>6</v>
      </c>
      <c r="E6376">
        <v>126</v>
      </c>
      <c r="F6376" t="s">
        <v>14</v>
      </c>
      <c r="H6376">
        <v>0</v>
      </c>
      <c r="I6376" t="s">
        <v>31</v>
      </c>
    </row>
    <row r="6377" spans="1:9" x14ac:dyDescent="0.2">
      <c r="A6377" t="str">
        <f t="shared" si="346"/>
        <v>41518Haapiti6127Autres</v>
      </c>
      <c r="B6377" s="1">
        <v>41518</v>
      </c>
      <c r="C6377" t="s">
        <v>25</v>
      </c>
      <c r="D6377" s="19">
        <v>6</v>
      </c>
      <c r="E6377">
        <v>127</v>
      </c>
      <c r="F6377" t="s">
        <v>14</v>
      </c>
      <c r="H6377">
        <v>0</v>
      </c>
    </row>
    <row r="6378" spans="1:9" x14ac:dyDescent="0.2">
      <c r="A6378" t="str">
        <f t="shared" si="346"/>
        <v>41518Haapiti6128Autres</v>
      </c>
      <c r="B6378" s="1">
        <v>41518</v>
      </c>
      <c r="C6378" t="s">
        <v>25</v>
      </c>
      <c r="D6378" s="19">
        <v>6</v>
      </c>
      <c r="E6378">
        <v>128</v>
      </c>
      <c r="F6378" t="s">
        <v>14</v>
      </c>
      <c r="H6378">
        <v>0</v>
      </c>
    </row>
    <row r="6379" spans="1:9" x14ac:dyDescent="0.2">
      <c r="A6379" t="str">
        <f t="shared" si="346"/>
        <v>41518Haapiti6129Autres</v>
      </c>
      <c r="B6379" s="1">
        <v>41518</v>
      </c>
      <c r="C6379" t="s">
        <v>25</v>
      </c>
      <c r="D6379" s="19">
        <v>6</v>
      </c>
      <c r="E6379">
        <v>129</v>
      </c>
      <c r="F6379" t="s">
        <v>14</v>
      </c>
      <c r="H6379">
        <v>0</v>
      </c>
    </row>
    <row r="6380" spans="1:9" x14ac:dyDescent="0.2">
      <c r="A6380" t="str">
        <f t="shared" si="346"/>
        <v>41518Haapiti6130Autres</v>
      </c>
      <c r="B6380" s="1">
        <v>41518</v>
      </c>
      <c r="C6380" t="s">
        <v>25</v>
      </c>
      <c r="D6380" s="19">
        <v>6</v>
      </c>
      <c r="E6380">
        <v>130</v>
      </c>
      <c r="F6380" t="s">
        <v>14</v>
      </c>
      <c r="H6380">
        <v>0</v>
      </c>
    </row>
    <row r="6381" spans="1:9" x14ac:dyDescent="0.2">
      <c r="A6381" t="str">
        <f t="shared" si="346"/>
        <v>41518Haapiti6131Autres</v>
      </c>
      <c r="B6381" s="1">
        <v>41518</v>
      </c>
      <c r="C6381" t="s">
        <v>25</v>
      </c>
      <c r="D6381" s="19">
        <v>6</v>
      </c>
      <c r="E6381">
        <v>131</v>
      </c>
      <c r="F6381" t="s">
        <v>14</v>
      </c>
      <c r="H6381">
        <v>0</v>
      </c>
    </row>
    <row r="6382" spans="1:9" x14ac:dyDescent="0.2">
      <c r="A6382" t="str">
        <f t="shared" si="346"/>
        <v>41518Haapiti6132Autres</v>
      </c>
      <c r="B6382" s="1">
        <v>41518</v>
      </c>
      <c r="C6382" t="s">
        <v>25</v>
      </c>
      <c r="D6382" s="19">
        <v>6</v>
      </c>
      <c r="E6382">
        <v>132</v>
      </c>
      <c r="F6382" t="s">
        <v>14</v>
      </c>
      <c r="H6382">
        <v>0</v>
      </c>
    </row>
    <row r="6383" spans="1:9" x14ac:dyDescent="0.2">
      <c r="A6383" t="str">
        <f t="shared" si="346"/>
        <v>41518Haapiti6133Autres</v>
      </c>
      <c r="B6383" s="1">
        <v>41518</v>
      </c>
      <c r="C6383" t="s">
        <v>25</v>
      </c>
      <c r="D6383" s="19">
        <v>6</v>
      </c>
      <c r="E6383">
        <v>133</v>
      </c>
      <c r="F6383" t="s">
        <v>14</v>
      </c>
      <c r="H6383">
        <v>0</v>
      </c>
    </row>
    <row r="6384" spans="1:9" x14ac:dyDescent="0.2">
      <c r="A6384" t="str">
        <f t="shared" si="346"/>
        <v>41518Haapiti6134Autres</v>
      </c>
      <c r="B6384" s="1">
        <v>41518</v>
      </c>
      <c r="C6384" t="s">
        <v>25</v>
      </c>
      <c r="D6384" s="19">
        <v>6</v>
      </c>
      <c r="E6384">
        <v>134</v>
      </c>
      <c r="F6384" t="s">
        <v>14</v>
      </c>
      <c r="H6384">
        <v>0</v>
      </c>
    </row>
    <row r="6385" spans="1:9" x14ac:dyDescent="0.2">
      <c r="A6385" t="str">
        <f t="shared" si="346"/>
        <v>41518Haapiti6135Autres</v>
      </c>
      <c r="B6385" s="1">
        <v>41518</v>
      </c>
      <c r="C6385" t="s">
        <v>25</v>
      </c>
      <c r="D6385" s="19">
        <v>6</v>
      </c>
      <c r="E6385">
        <v>135</v>
      </c>
      <c r="F6385" t="s">
        <v>14</v>
      </c>
      <c r="H6385">
        <v>0</v>
      </c>
    </row>
    <row r="6386" spans="1:9" x14ac:dyDescent="0.2">
      <c r="A6386" t="str">
        <f t="shared" si="346"/>
        <v>41518Haapiti6136Autres</v>
      </c>
      <c r="B6386" s="1">
        <v>41518</v>
      </c>
      <c r="C6386" t="s">
        <v>25</v>
      </c>
      <c r="D6386" s="19">
        <v>6</v>
      </c>
      <c r="E6386">
        <v>136</v>
      </c>
      <c r="F6386" t="s">
        <v>14</v>
      </c>
      <c r="H6386">
        <v>0</v>
      </c>
    </row>
    <row r="6387" spans="1:9" x14ac:dyDescent="0.2">
      <c r="A6387" t="str">
        <f t="shared" si="346"/>
        <v>41518Haapiti6137Autres</v>
      </c>
      <c r="B6387" s="1">
        <v>41518</v>
      </c>
      <c r="C6387" t="s">
        <v>25</v>
      </c>
      <c r="D6387" s="19">
        <v>6</v>
      </c>
      <c r="E6387">
        <v>137</v>
      </c>
      <c r="F6387" t="s">
        <v>14</v>
      </c>
      <c r="H6387">
        <v>0</v>
      </c>
    </row>
    <row r="6388" spans="1:9" x14ac:dyDescent="0.2">
      <c r="A6388" t="str">
        <f t="shared" si="346"/>
        <v>41518Haapiti6138Autres</v>
      </c>
      <c r="B6388" s="1">
        <v>41518</v>
      </c>
      <c r="C6388" t="s">
        <v>25</v>
      </c>
      <c r="D6388" s="19">
        <v>6</v>
      </c>
      <c r="E6388">
        <v>138</v>
      </c>
      <c r="F6388" t="s">
        <v>14</v>
      </c>
      <c r="H6388">
        <v>0</v>
      </c>
    </row>
    <row r="6389" spans="1:9" x14ac:dyDescent="0.2">
      <c r="A6389" t="str">
        <f t="shared" si="346"/>
        <v>41518Haapiti6139Autres</v>
      </c>
      <c r="B6389" s="1">
        <v>41518</v>
      </c>
      <c r="C6389" t="s">
        <v>25</v>
      </c>
      <c r="D6389" s="19">
        <v>6</v>
      </c>
      <c r="E6389">
        <v>139</v>
      </c>
      <c r="F6389" t="s">
        <v>14</v>
      </c>
      <c r="H6389">
        <v>0</v>
      </c>
    </row>
    <row r="6390" spans="1:9" x14ac:dyDescent="0.2">
      <c r="A6390" t="str">
        <f t="shared" si="346"/>
        <v>41518Haapiti6140Autres</v>
      </c>
      <c r="B6390" s="1">
        <v>41518</v>
      </c>
      <c r="C6390" t="s">
        <v>25</v>
      </c>
      <c r="D6390" s="19">
        <v>6</v>
      </c>
      <c r="E6390">
        <v>140</v>
      </c>
      <c r="F6390" t="s">
        <v>14</v>
      </c>
      <c r="H6390">
        <v>0</v>
      </c>
    </row>
    <row r="6391" spans="1:9" x14ac:dyDescent="0.2">
      <c r="A6391" t="str">
        <f t="shared" si="346"/>
        <v>41518Haapiti12141Autres</v>
      </c>
      <c r="B6391" s="1">
        <v>41518</v>
      </c>
      <c r="C6391" t="s">
        <v>25</v>
      </c>
      <c r="D6391" s="19">
        <v>12</v>
      </c>
      <c r="E6391">
        <v>141</v>
      </c>
      <c r="F6391" t="s">
        <v>14</v>
      </c>
      <c r="H6391">
        <v>0</v>
      </c>
    </row>
    <row r="6392" spans="1:9" x14ac:dyDescent="0.2">
      <c r="A6392" t="str">
        <f t="shared" si="346"/>
        <v>41518Haapiti12142Autres</v>
      </c>
      <c r="B6392" s="1">
        <v>41518</v>
      </c>
      <c r="C6392" t="s">
        <v>25</v>
      </c>
      <c r="D6392" s="19">
        <v>12</v>
      </c>
      <c r="E6392">
        <v>142</v>
      </c>
      <c r="F6392" t="s">
        <v>14</v>
      </c>
      <c r="H6392">
        <v>0</v>
      </c>
    </row>
    <row r="6393" spans="1:9" x14ac:dyDescent="0.2">
      <c r="A6393" t="str">
        <f t="shared" si="346"/>
        <v>41518Haapiti12143PocilloporidaeBords</v>
      </c>
      <c r="B6393" s="1">
        <v>41518</v>
      </c>
      <c r="C6393" t="s">
        <v>25</v>
      </c>
      <c r="D6393" s="19">
        <v>12</v>
      </c>
      <c r="E6393">
        <v>143</v>
      </c>
      <c r="F6393" t="s">
        <v>10</v>
      </c>
      <c r="G6393" t="s">
        <v>13</v>
      </c>
      <c r="H6393">
        <v>1</v>
      </c>
      <c r="I6393" t="s">
        <v>27</v>
      </c>
    </row>
    <row r="6394" spans="1:9" x14ac:dyDescent="0.2">
      <c r="A6394" t="str">
        <f t="shared" si="346"/>
        <v>41518Haapiti12144Autres</v>
      </c>
      <c r="B6394" s="1">
        <v>41518</v>
      </c>
      <c r="C6394" t="s">
        <v>25</v>
      </c>
      <c r="D6394" s="19">
        <v>12</v>
      </c>
      <c r="E6394">
        <v>144</v>
      </c>
      <c r="F6394" t="s">
        <v>14</v>
      </c>
      <c r="H6394">
        <v>0</v>
      </c>
    </row>
    <row r="6395" spans="1:9" x14ac:dyDescent="0.2">
      <c r="A6395" t="str">
        <f t="shared" si="346"/>
        <v>41518Haapiti12145Autres</v>
      </c>
      <c r="B6395" s="1">
        <v>41518</v>
      </c>
      <c r="C6395" t="s">
        <v>25</v>
      </c>
      <c r="D6395" s="19">
        <v>12</v>
      </c>
      <c r="E6395">
        <v>145</v>
      </c>
      <c r="F6395" t="s">
        <v>14</v>
      </c>
      <c r="H6395">
        <v>0</v>
      </c>
    </row>
    <row r="6396" spans="1:9" x14ac:dyDescent="0.2">
      <c r="A6396" t="str">
        <f t="shared" si="346"/>
        <v>41518Haapiti12146Autres</v>
      </c>
      <c r="B6396" s="1">
        <v>41518</v>
      </c>
      <c r="C6396" t="s">
        <v>25</v>
      </c>
      <c r="D6396" s="19">
        <v>12</v>
      </c>
      <c r="E6396">
        <v>146</v>
      </c>
      <c r="F6396" t="s">
        <v>14</v>
      </c>
      <c r="H6396">
        <v>0</v>
      </c>
    </row>
    <row r="6397" spans="1:9" x14ac:dyDescent="0.2">
      <c r="A6397" t="str">
        <f t="shared" si="346"/>
        <v>41518Haapiti12147Autres</v>
      </c>
      <c r="B6397" s="1">
        <v>41518</v>
      </c>
      <c r="C6397" t="s">
        <v>25</v>
      </c>
      <c r="D6397" s="19">
        <v>12</v>
      </c>
      <c r="E6397">
        <v>147</v>
      </c>
      <c r="F6397" t="s">
        <v>14</v>
      </c>
      <c r="H6397">
        <v>0</v>
      </c>
    </row>
    <row r="6398" spans="1:9" x14ac:dyDescent="0.2">
      <c r="A6398" t="str">
        <f t="shared" si="346"/>
        <v>41518Haapiti12148Autres</v>
      </c>
      <c r="B6398" s="1">
        <v>41518</v>
      </c>
      <c r="C6398" t="s">
        <v>25</v>
      </c>
      <c r="D6398" s="19">
        <v>12</v>
      </c>
      <c r="E6398">
        <v>148</v>
      </c>
      <c r="F6398" t="s">
        <v>14</v>
      </c>
      <c r="H6398">
        <v>0</v>
      </c>
    </row>
    <row r="6399" spans="1:9" x14ac:dyDescent="0.2">
      <c r="A6399" t="str">
        <f t="shared" ref="A6399:A6462" si="347">B6399 &amp; C6399&amp; D6399&amp; E6399 &amp; F6399 &amp;G6399</f>
        <v>41518Haapiti12149Autres</v>
      </c>
      <c r="B6399" s="1">
        <v>41518</v>
      </c>
      <c r="C6399" t="s">
        <v>25</v>
      </c>
      <c r="D6399" s="19">
        <v>12</v>
      </c>
      <c r="E6399">
        <v>149</v>
      </c>
      <c r="F6399" t="s">
        <v>14</v>
      </c>
      <c r="H6399">
        <v>0</v>
      </c>
    </row>
    <row r="6400" spans="1:9" x14ac:dyDescent="0.2">
      <c r="A6400" t="str">
        <f t="shared" si="347"/>
        <v>41518Haapiti12150Autres</v>
      </c>
      <c r="B6400" s="1">
        <v>41518</v>
      </c>
      <c r="C6400" t="s">
        <v>25</v>
      </c>
      <c r="D6400" s="19">
        <v>12</v>
      </c>
      <c r="E6400">
        <v>150</v>
      </c>
      <c r="F6400" t="s">
        <v>14</v>
      </c>
      <c r="H6400">
        <v>0</v>
      </c>
    </row>
    <row r="6401" spans="1:9" x14ac:dyDescent="0.2">
      <c r="A6401" t="str">
        <f t="shared" si="347"/>
        <v>41518Haapiti12151Autres</v>
      </c>
      <c r="B6401" s="1">
        <v>41518</v>
      </c>
      <c r="C6401" t="s">
        <v>25</v>
      </c>
      <c r="D6401" s="19">
        <v>12</v>
      </c>
      <c r="E6401">
        <v>151</v>
      </c>
      <c r="F6401" t="s">
        <v>14</v>
      </c>
      <c r="H6401">
        <v>0</v>
      </c>
    </row>
    <row r="6402" spans="1:9" x14ac:dyDescent="0.2">
      <c r="A6402" t="str">
        <f t="shared" si="347"/>
        <v>41518Haapiti12152Autres</v>
      </c>
      <c r="B6402" s="1">
        <v>41518</v>
      </c>
      <c r="C6402" t="s">
        <v>25</v>
      </c>
      <c r="D6402" s="19">
        <v>12</v>
      </c>
      <c r="E6402">
        <v>152</v>
      </c>
      <c r="F6402" t="s">
        <v>14</v>
      </c>
      <c r="H6402">
        <v>0</v>
      </c>
    </row>
    <row r="6403" spans="1:9" x14ac:dyDescent="0.2">
      <c r="A6403" t="str">
        <f t="shared" si="347"/>
        <v>41518Haapiti12153Autres</v>
      </c>
      <c r="B6403" s="1">
        <v>41518</v>
      </c>
      <c r="C6403" t="s">
        <v>25</v>
      </c>
      <c r="D6403" s="19">
        <v>12</v>
      </c>
      <c r="E6403">
        <v>153</v>
      </c>
      <c r="F6403" t="s">
        <v>14</v>
      </c>
      <c r="H6403">
        <v>0</v>
      </c>
    </row>
    <row r="6404" spans="1:9" x14ac:dyDescent="0.2">
      <c r="A6404" t="str">
        <f t="shared" si="347"/>
        <v>41518Haapiti12154Autres</v>
      </c>
      <c r="B6404" s="1">
        <v>41518</v>
      </c>
      <c r="C6404" t="s">
        <v>25</v>
      </c>
      <c r="D6404" s="19">
        <v>12</v>
      </c>
      <c r="E6404">
        <v>154</v>
      </c>
      <c r="F6404" t="s">
        <v>14</v>
      </c>
      <c r="H6404">
        <v>0</v>
      </c>
    </row>
    <row r="6405" spans="1:9" x14ac:dyDescent="0.2">
      <c r="A6405" t="str">
        <f t="shared" si="347"/>
        <v>41518Haapiti12155Autres</v>
      </c>
      <c r="B6405" s="1">
        <v>41518</v>
      </c>
      <c r="C6405" t="s">
        <v>25</v>
      </c>
      <c r="D6405" s="19">
        <v>12</v>
      </c>
      <c r="E6405">
        <v>155</v>
      </c>
      <c r="F6405" t="s">
        <v>14</v>
      </c>
      <c r="H6405">
        <v>0</v>
      </c>
    </row>
    <row r="6406" spans="1:9" x14ac:dyDescent="0.2">
      <c r="A6406" t="str">
        <f t="shared" si="347"/>
        <v>41518Haapiti12156PocilloporidaeDessous</v>
      </c>
      <c r="B6406" s="1">
        <v>41518</v>
      </c>
      <c r="C6406" t="s">
        <v>25</v>
      </c>
      <c r="D6406" s="19">
        <v>12</v>
      </c>
      <c r="E6406">
        <v>156</v>
      </c>
      <c r="F6406" t="s">
        <v>10</v>
      </c>
      <c r="G6406" t="s">
        <v>8</v>
      </c>
      <c r="H6406">
        <v>1</v>
      </c>
      <c r="I6406" t="s">
        <v>27</v>
      </c>
    </row>
    <row r="6407" spans="1:9" x14ac:dyDescent="0.2">
      <c r="A6407" t="str">
        <f t="shared" si="347"/>
        <v>41518Haapiti12157Autres</v>
      </c>
      <c r="B6407" s="1">
        <v>41518</v>
      </c>
      <c r="C6407" t="s">
        <v>25</v>
      </c>
      <c r="D6407" s="19">
        <v>12</v>
      </c>
      <c r="E6407">
        <v>157</v>
      </c>
      <c r="F6407" t="s">
        <v>14</v>
      </c>
      <c r="H6407">
        <v>0</v>
      </c>
    </row>
    <row r="6408" spans="1:9" x14ac:dyDescent="0.2">
      <c r="A6408" t="str">
        <f t="shared" si="347"/>
        <v>41518Haapiti12158Autres</v>
      </c>
      <c r="B6408" s="1">
        <v>41518</v>
      </c>
      <c r="C6408" t="s">
        <v>25</v>
      </c>
      <c r="D6408" s="19">
        <v>12</v>
      </c>
      <c r="E6408">
        <v>158</v>
      </c>
      <c r="F6408" t="s">
        <v>14</v>
      </c>
      <c r="H6408">
        <v>0</v>
      </c>
    </row>
    <row r="6409" spans="1:9" x14ac:dyDescent="0.2">
      <c r="A6409" t="str">
        <f t="shared" si="347"/>
        <v>41518Haapiti12159Autres</v>
      </c>
      <c r="B6409" s="1">
        <v>41518</v>
      </c>
      <c r="C6409" t="s">
        <v>25</v>
      </c>
      <c r="D6409" s="19">
        <v>12</v>
      </c>
      <c r="E6409">
        <v>159</v>
      </c>
      <c r="F6409" t="s">
        <v>14</v>
      </c>
      <c r="H6409">
        <v>0</v>
      </c>
    </row>
    <row r="6410" spans="1:9" x14ac:dyDescent="0.2">
      <c r="A6410" t="str">
        <f t="shared" si="347"/>
        <v>41518Haapiti12160Autres</v>
      </c>
      <c r="B6410" s="1">
        <v>41518</v>
      </c>
      <c r="C6410" t="s">
        <v>25</v>
      </c>
      <c r="D6410" s="19">
        <v>12</v>
      </c>
      <c r="E6410">
        <v>160</v>
      </c>
      <c r="F6410" t="s">
        <v>14</v>
      </c>
      <c r="H6410">
        <v>0</v>
      </c>
    </row>
    <row r="6411" spans="1:9" x14ac:dyDescent="0.2">
      <c r="A6411" t="str">
        <f t="shared" si="347"/>
        <v>41518Haapiti18161Autres</v>
      </c>
      <c r="B6411" s="1">
        <v>41518</v>
      </c>
      <c r="C6411" t="s">
        <v>25</v>
      </c>
      <c r="D6411" s="19">
        <v>18</v>
      </c>
      <c r="E6411">
        <v>161</v>
      </c>
      <c r="F6411" t="s">
        <v>14</v>
      </c>
      <c r="H6411">
        <v>0</v>
      </c>
    </row>
    <row r="6412" spans="1:9" x14ac:dyDescent="0.2">
      <c r="A6412" t="str">
        <f t="shared" si="347"/>
        <v>41518Haapiti18162PocilloporidaeDessous</v>
      </c>
      <c r="B6412" s="1">
        <v>41518</v>
      </c>
      <c r="C6412" t="s">
        <v>25</v>
      </c>
      <c r="D6412" s="19">
        <v>18</v>
      </c>
      <c r="E6412">
        <v>162</v>
      </c>
      <c r="F6412" t="s">
        <v>10</v>
      </c>
      <c r="G6412" t="s">
        <v>8</v>
      </c>
      <c r="H6412">
        <v>2</v>
      </c>
      <c r="I6412" t="s">
        <v>27</v>
      </c>
    </row>
    <row r="6413" spans="1:9" x14ac:dyDescent="0.2">
      <c r="A6413" t="str">
        <f t="shared" si="347"/>
        <v>41518Haapiti18163Autres</v>
      </c>
      <c r="B6413" s="1">
        <v>41518</v>
      </c>
      <c r="C6413" t="s">
        <v>25</v>
      </c>
      <c r="D6413" s="19">
        <v>18</v>
      </c>
      <c r="E6413">
        <v>163</v>
      </c>
      <c r="F6413" t="s">
        <v>14</v>
      </c>
      <c r="H6413">
        <v>0</v>
      </c>
    </row>
    <row r="6414" spans="1:9" x14ac:dyDescent="0.2">
      <c r="A6414" t="str">
        <f t="shared" si="347"/>
        <v>41518Haapiti18164Autres</v>
      </c>
      <c r="B6414" s="1">
        <v>41518</v>
      </c>
      <c r="C6414" t="s">
        <v>25</v>
      </c>
      <c r="D6414" s="19">
        <v>18</v>
      </c>
      <c r="E6414">
        <v>164</v>
      </c>
      <c r="F6414" t="s">
        <v>14</v>
      </c>
      <c r="H6414">
        <v>0</v>
      </c>
    </row>
    <row r="6415" spans="1:9" x14ac:dyDescent="0.2">
      <c r="A6415" t="str">
        <f t="shared" si="347"/>
        <v>41518Haapiti18165Autres</v>
      </c>
      <c r="B6415" s="1">
        <v>41518</v>
      </c>
      <c r="C6415" t="s">
        <v>25</v>
      </c>
      <c r="D6415" s="19">
        <v>18</v>
      </c>
      <c r="E6415">
        <v>165</v>
      </c>
      <c r="F6415" t="s">
        <v>14</v>
      </c>
      <c r="H6415">
        <v>0</v>
      </c>
    </row>
    <row r="6416" spans="1:9" x14ac:dyDescent="0.2">
      <c r="A6416" t="str">
        <f t="shared" si="347"/>
        <v>41518Haapiti18166PocilloporidaeDessus</v>
      </c>
      <c r="B6416" s="1">
        <v>41518</v>
      </c>
      <c r="C6416" t="s">
        <v>25</v>
      </c>
      <c r="D6416" s="19">
        <v>18</v>
      </c>
      <c r="E6416">
        <v>166</v>
      </c>
      <c r="F6416" t="s">
        <v>10</v>
      </c>
      <c r="G6416" t="s">
        <v>11</v>
      </c>
      <c r="H6416">
        <v>1</v>
      </c>
      <c r="I6416" t="s">
        <v>27</v>
      </c>
    </row>
    <row r="6417" spans="1:9" x14ac:dyDescent="0.2">
      <c r="A6417" t="str">
        <f t="shared" si="347"/>
        <v>41518Haapiti18167Autres</v>
      </c>
      <c r="B6417" s="1">
        <v>41518</v>
      </c>
      <c r="C6417" t="s">
        <v>25</v>
      </c>
      <c r="D6417" s="19">
        <v>18</v>
      </c>
      <c r="E6417">
        <v>167</v>
      </c>
      <c r="F6417" t="s">
        <v>14</v>
      </c>
      <c r="H6417">
        <v>0</v>
      </c>
    </row>
    <row r="6418" spans="1:9" x14ac:dyDescent="0.2">
      <c r="A6418" t="str">
        <f t="shared" si="347"/>
        <v>41518Haapiti18168Autres</v>
      </c>
      <c r="B6418" s="1">
        <v>41518</v>
      </c>
      <c r="C6418" t="s">
        <v>25</v>
      </c>
      <c r="D6418" s="19">
        <v>18</v>
      </c>
      <c r="E6418">
        <v>168</v>
      </c>
      <c r="F6418" t="s">
        <v>14</v>
      </c>
      <c r="H6418">
        <v>0</v>
      </c>
    </row>
    <row r="6419" spans="1:9" x14ac:dyDescent="0.2">
      <c r="A6419" t="str">
        <f t="shared" si="347"/>
        <v>41518Haapiti18169Autres</v>
      </c>
      <c r="B6419" s="1">
        <v>41518</v>
      </c>
      <c r="C6419" t="s">
        <v>25</v>
      </c>
      <c r="D6419" s="19">
        <v>18</v>
      </c>
      <c r="E6419">
        <v>169</v>
      </c>
      <c r="F6419" t="s">
        <v>14</v>
      </c>
      <c r="H6419">
        <v>0</v>
      </c>
    </row>
    <row r="6420" spans="1:9" x14ac:dyDescent="0.2">
      <c r="A6420" t="str">
        <f t="shared" si="347"/>
        <v>41518Haapiti18170Autres</v>
      </c>
      <c r="B6420" s="1">
        <v>41518</v>
      </c>
      <c r="C6420" t="s">
        <v>25</v>
      </c>
      <c r="D6420" s="19">
        <v>18</v>
      </c>
      <c r="E6420">
        <v>170</v>
      </c>
      <c r="F6420" t="s">
        <v>14</v>
      </c>
      <c r="H6420">
        <v>0</v>
      </c>
    </row>
    <row r="6421" spans="1:9" x14ac:dyDescent="0.2">
      <c r="A6421" t="str">
        <f t="shared" si="347"/>
        <v>41518Haapiti18171Autres</v>
      </c>
      <c r="B6421" s="1">
        <v>41518</v>
      </c>
      <c r="C6421" t="s">
        <v>25</v>
      </c>
      <c r="D6421" s="19">
        <v>18</v>
      </c>
      <c r="E6421">
        <v>171</v>
      </c>
      <c r="F6421" t="s">
        <v>14</v>
      </c>
      <c r="H6421">
        <v>0</v>
      </c>
    </row>
    <row r="6422" spans="1:9" x14ac:dyDescent="0.2">
      <c r="A6422" t="str">
        <f t="shared" si="347"/>
        <v>41518Haapiti18172Autres</v>
      </c>
      <c r="B6422" s="1">
        <v>41518</v>
      </c>
      <c r="C6422" t="s">
        <v>25</v>
      </c>
      <c r="D6422" s="19">
        <v>18</v>
      </c>
      <c r="E6422">
        <v>172</v>
      </c>
      <c r="F6422" t="s">
        <v>14</v>
      </c>
      <c r="H6422">
        <v>0</v>
      </c>
    </row>
    <row r="6423" spans="1:9" x14ac:dyDescent="0.2">
      <c r="A6423" t="str">
        <f t="shared" si="347"/>
        <v>41518Haapiti18173Autres</v>
      </c>
      <c r="B6423" s="1">
        <v>41518</v>
      </c>
      <c r="C6423" t="s">
        <v>25</v>
      </c>
      <c r="D6423" s="19">
        <v>18</v>
      </c>
      <c r="E6423">
        <v>173</v>
      </c>
      <c r="F6423" t="s">
        <v>14</v>
      </c>
      <c r="H6423">
        <v>0</v>
      </c>
    </row>
    <row r="6424" spans="1:9" x14ac:dyDescent="0.2">
      <c r="A6424" t="str">
        <f t="shared" si="347"/>
        <v>41518Haapiti18174Autres</v>
      </c>
      <c r="B6424" s="1">
        <v>41518</v>
      </c>
      <c r="C6424" t="s">
        <v>25</v>
      </c>
      <c r="D6424" s="19">
        <v>18</v>
      </c>
      <c r="E6424">
        <v>174</v>
      </c>
      <c r="F6424" t="s">
        <v>14</v>
      </c>
      <c r="H6424">
        <v>0</v>
      </c>
    </row>
    <row r="6425" spans="1:9" x14ac:dyDescent="0.2">
      <c r="A6425" t="str">
        <f t="shared" si="347"/>
        <v>41518Haapiti18175Autres</v>
      </c>
      <c r="B6425" s="1">
        <v>41518</v>
      </c>
      <c r="C6425" t="s">
        <v>25</v>
      </c>
      <c r="D6425" s="19">
        <v>18</v>
      </c>
      <c r="E6425">
        <v>175</v>
      </c>
      <c r="F6425" t="s">
        <v>14</v>
      </c>
      <c r="H6425">
        <v>0</v>
      </c>
    </row>
    <row r="6426" spans="1:9" x14ac:dyDescent="0.2">
      <c r="A6426" t="str">
        <f t="shared" si="347"/>
        <v>41518Haapiti18176PocilloporidaeBords</v>
      </c>
      <c r="B6426" s="1">
        <v>41518</v>
      </c>
      <c r="C6426" t="s">
        <v>25</v>
      </c>
      <c r="D6426" s="19">
        <v>18</v>
      </c>
      <c r="E6426">
        <v>176</v>
      </c>
      <c r="F6426" t="s">
        <v>10</v>
      </c>
      <c r="G6426" t="s">
        <v>13</v>
      </c>
      <c r="H6426">
        <v>1</v>
      </c>
      <c r="I6426" t="s">
        <v>27</v>
      </c>
    </row>
    <row r="6427" spans="1:9" x14ac:dyDescent="0.2">
      <c r="A6427" t="str">
        <f t="shared" si="347"/>
        <v>41518Haapiti18177Autres</v>
      </c>
      <c r="B6427" s="1">
        <v>41518</v>
      </c>
      <c r="C6427" t="s">
        <v>25</v>
      </c>
      <c r="D6427" s="19">
        <v>18</v>
      </c>
      <c r="E6427">
        <v>177</v>
      </c>
      <c r="F6427" t="s">
        <v>14</v>
      </c>
      <c r="H6427">
        <v>0</v>
      </c>
    </row>
    <row r="6428" spans="1:9" x14ac:dyDescent="0.2">
      <c r="A6428" t="str">
        <f t="shared" si="347"/>
        <v>41518Haapiti18178Autres</v>
      </c>
      <c r="B6428" s="1">
        <v>41518</v>
      </c>
      <c r="C6428" t="s">
        <v>25</v>
      </c>
      <c r="D6428" s="19">
        <v>18</v>
      </c>
      <c r="E6428">
        <v>178</v>
      </c>
      <c r="F6428" t="s">
        <v>14</v>
      </c>
      <c r="H6428">
        <v>0</v>
      </c>
    </row>
    <row r="6429" spans="1:9" x14ac:dyDescent="0.2">
      <c r="A6429" t="str">
        <f t="shared" si="347"/>
        <v>41518Haapiti18179Autres</v>
      </c>
      <c r="B6429" s="1">
        <v>41518</v>
      </c>
      <c r="C6429" t="s">
        <v>25</v>
      </c>
      <c r="D6429" s="19">
        <v>18</v>
      </c>
      <c r="E6429">
        <v>179</v>
      </c>
      <c r="F6429" t="s">
        <v>14</v>
      </c>
      <c r="H6429">
        <v>0</v>
      </c>
    </row>
    <row r="6430" spans="1:9" x14ac:dyDescent="0.2">
      <c r="A6430" t="str">
        <f t="shared" si="347"/>
        <v>41518Haapiti18180Autres</v>
      </c>
      <c r="B6430" s="1">
        <v>41518</v>
      </c>
      <c r="C6430" t="s">
        <v>25</v>
      </c>
      <c r="D6430" s="19">
        <v>18</v>
      </c>
      <c r="E6430">
        <v>180</v>
      </c>
      <c r="F6430" t="s">
        <v>14</v>
      </c>
      <c r="H6430">
        <v>0</v>
      </c>
    </row>
    <row r="6431" spans="1:9" x14ac:dyDescent="0.2">
      <c r="A6431" t="str">
        <f t="shared" si="347"/>
        <v>41609Vaipahu61PocilloporidaeBords</v>
      </c>
      <c r="B6431" s="1">
        <v>41609</v>
      </c>
      <c r="C6431" t="s">
        <v>23</v>
      </c>
      <c r="D6431" s="19">
        <v>6</v>
      </c>
      <c r="E6431">
        <v>1</v>
      </c>
      <c r="F6431" t="s">
        <v>10</v>
      </c>
      <c r="G6431" t="s">
        <v>13</v>
      </c>
      <c r="H6431">
        <v>1</v>
      </c>
      <c r="I6431" t="s">
        <v>27</v>
      </c>
    </row>
    <row r="6432" spans="1:9" x14ac:dyDescent="0.2">
      <c r="A6432" t="str">
        <f t="shared" si="347"/>
        <v>41609Vaipahu61PocilloporidaeDessous</v>
      </c>
      <c r="B6432" s="1">
        <v>41609</v>
      </c>
      <c r="C6432" t="s">
        <v>23</v>
      </c>
      <c r="D6432" s="19">
        <v>6</v>
      </c>
      <c r="E6432">
        <v>1</v>
      </c>
      <c r="F6432" t="s">
        <v>10</v>
      </c>
      <c r="G6432" t="s">
        <v>8</v>
      </c>
      <c r="H6432">
        <v>2</v>
      </c>
      <c r="I6432" t="s">
        <v>27</v>
      </c>
    </row>
    <row r="6433" spans="1:9" x14ac:dyDescent="0.2">
      <c r="A6433" t="str">
        <f t="shared" si="347"/>
        <v>41609Vaipahu62Autres</v>
      </c>
      <c r="B6433" s="1">
        <v>41609</v>
      </c>
      <c r="C6433" t="s">
        <v>23</v>
      </c>
      <c r="D6433" s="19">
        <v>6</v>
      </c>
      <c r="E6433">
        <v>2</v>
      </c>
      <c r="F6433" t="s">
        <v>14</v>
      </c>
      <c r="H6433">
        <v>0</v>
      </c>
    </row>
    <row r="6434" spans="1:9" x14ac:dyDescent="0.2">
      <c r="A6434" t="str">
        <f t="shared" si="347"/>
        <v>41609Vaipahu63Autres</v>
      </c>
      <c r="B6434" s="1">
        <v>41609</v>
      </c>
      <c r="C6434" t="s">
        <v>23</v>
      </c>
      <c r="D6434" s="19">
        <v>6</v>
      </c>
      <c r="E6434">
        <v>3</v>
      </c>
      <c r="F6434" t="s">
        <v>14</v>
      </c>
      <c r="H6434">
        <v>0</v>
      </c>
    </row>
    <row r="6435" spans="1:9" x14ac:dyDescent="0.2">
      <c r="A6435" t="str">
        <f t="shared" si="347"/>
        <v>41609Vaipahu64PocilloporidaeDessous</v>
      </c>
      <c r="B6435" s="1">
        <v>41609</v>
      </c>
      <c r="C6435" t="s">
        <v>23</v>
      </c>
      <c r="D6435" s="19">
        <v>6</v>
      </c>
      <c r="E6435">
        <v>4</v>
      </c>
      <c r="F6435" t="s">
        <v>10</v>
      </c>
      <c r="G6435" t="s">
        <v>8</v>
      </c>
      <c r="H6435">
        <v>1</v>
      </c>
      <c r="I6435" t="s">
        <v>27</v>
      </c>
    </row>
    <row r="6436" spans="1:9" x14ac:dyDescent="0.2">
      <c r="A6436" t="str">
        <f t="shared" si="347"/>
        <v>41609Vaipahu65PocilloporidaeDessous</v>
      </c>
      <c r="B6436" s="1">
        <v>41609</v>
      </c>
      <c r="C6436" t="s">
        <v>23</v>
      </c>
      <c r="D6436" s="19">
        <v>6</v>
      </c>
      <c r="E6436">
        <v>5</v>
      </c>
      <c r="F6436" t="s">
        <v>10</v>
      </c>
      <c r="G6436" t="s">
        <v>8</v>
      </c>
      <c r="H6436">
        <v>1</v>
      </c>
      <c r="I6436" t="s">
        <v>27</v>
      </c>
    </row>
    <row r="6437" spans="1:9" x14ac:dyDescent="0.2">
      <c r="A6437" t="str">
        <f t="shared" si="347"/>
        <v>41609Vaipahu66PocilloporidaeBords</v>
      </c>
      <c r="B6437" s="1">
        <v>41609</v>
      </c>
      <c r="C6437" t="s">
        <v>23</v>
      </c>
      <c r="D6437" s="19">
        <v>6</v>
      </c>
      <c r="E6437">
        <v>6</v>
      </c>
      <c r="F6437" t="s">
        <v>10</v>
      </c>
      <c r="G6437" t="s">
        <v>13</v>
      </c>
      <c r="H6437">
        <v>2</v>
      </c>
      <c r="I6437" t="s">
        <v>27</v>
      </c>
    </row>
    <row r="6438" spans="1:9" x14ac:dyDescent="0.2">
      <c r="A6438" t="str">
        <f t="shared" si="347"/>
        <v>41609Vaipahu66PocilloporidaeDessous</v>
      </c>
      <c r="B6438" s="1">
        <v>41609</v>
      </c>
      <c r="C6438" t="s">
        <v>23</v>
      </c>
      <c r="D6438" s="19">
        <v>6</v>
      </c>
      <c r="E6438">
        <v>6</v>
      </c>
      <c r="F6438" t="s">
        <v>10</v>
      </c>
      <c r="G6438" t="s">
        <v>8</v>
      </c>
      <c r="H6438">
        <v>4</v>
      </c>
      <c r="I6438" t="s">
        <v>27</v>
      </c>
    </row>
    <row r="6439" spans="1:9" x14ac:dyDescent="0.2">
      <c r="A6439" t="str">
        <f t="shared" si="347"/>
        <v>41609Vaipahu67Autres</v>
      </c>
      <c r="B6439" s="1">
        <v>41609</v>
      </c>
      <c r="C6439" t="s">
        <v>23</v>
      </c>
      <c r="D6439" s="19">
        <v>6</v>
      </c>
      <c r="E6439">
        <v>7</v>
      </c>
      <c r="F6439" t="s">
        <v>14</v>
      </c>
      <c r="H6439">
        <v>0</v>
      </c>
    </row>
    <row r="6440" spans="1:9" x14ac:dyDescent="0.2">
      <c r="A6440" t="str">
        <f t="shared" si="347"/>
        <v>41609Vaipahu68PocilloporidaeDessous</v>
      </c>
      <c r="B6440" s="1">
        <v>41609</v>
      </c>
      <c r="C6440" t="s">
        <v>23</v>
      </c>
      <c r="D6440" s="19">
        <v>6</v>
      </c>
      <c r="E6440">
        <v>8</v>
      </c>
      <c r="F6440" t="s">
        <v>10</v>
      </c>
      <c r="G6440" t="s">
        <v>8</v>
      </c>
      <c r="H6440">
        <v>1</v>
      </c>
      <c r="I6440" t="s">
        <v>27</v>
      </c>
    </row>
    <row r="6441" spans="1:9" x14ac:dyDescent="0.2">
      <c r="A6441" t="str">
        <f t="shared" si="347"/>
        <v>41609Vaipahu69PocilloporidaeDessus</v>
      </c>
      <c r="B6441" s="1">
        <v>41609</v>
      </c>
      <c r="C6441" t="s">
        <v>23</v>
      </c>
      <c r="D6441" s="19">
        <v>6</v>
      </c>
      <c r="E6441">
        <v>9</v>
      </c>
      <c r="F6441" t="s">
        <v>10</v>
      </c>
      <c r="G6441" t="s">
        <v>11</v>
      </c>
      <c r="H6441">
        <v>1</v>
      </c>
      <c r="I6441" t="s">
        <v>27</v>
      </c>
    </row>
    <row r="6442" spans="1:9" x14ac:dyDescent="0.2">
      <c r="A6442" t="str">
        <f t="shared" si="347"/>
        <v>41609Vaipahu610PocilloporidaeDessus</v>
      </c>
      <c r="B6442" s="1">
        <v>41609</v>
      </c>
      <c r="C6442" t="s">
        <v>23</v>
      </c>
      <c r="D6442" s="19">
        <v>6</v>
      </c>
      <c r="E6442">
        <v>10</v>
      </c>
      <c r="F6442" t="s">
        <v>10</v>
      </c>
      <c r="G6442" t="s">
        <v>11</v>
      </c>
      <c r="H6442">
        <v>1</v>
      </c>
      <c r="I6442" t="s">
        <v>27</v>
      </c>
    </row>
    <row r="6443" spans="1:9" x14ac:dyDescent="0.2">
      <c r="A6443" t="str">
        <f t="shared" si="347"/>
        <v>41609Vaipahu611Autres</v>
      </c>
      <c r="B6443" s="1">
        <v>41609</v>
      </c>
      <c r="C6443" t="s">
        <v>23</v>
      </c>
      <c r="D6443" s="19">
        <v>6</v>
      </c>
      <c r="E6443">
        <v>11</v>
      </c>
      <c r="F6443" t="s">
        <v>14</v>
      </c>
      <c r="H6443">
        <v>0</v>
      </c>
    </row>
    <row r="6444" spans="1:9" x14ac:dyDescent="0.2">
      <c r="A6444" t="str">
        <f t="shared" si="347"/>
        <v>41609Vaipahu612PocilloporidaeDessus</v>
      </c>
      <c r="B6444" s="1">
        <v>41609</v>
      </c>
      <c r="C6444" t="s">
        <v>23</v>
      </c>
      <c r="D6444" s="19">
        <v>6</v>
      </c>
      <c r="E6444">
        <v>12</v>
      </c>
      <c r="F6444" t="s">
        <v>10</v>
      </c>
      <c r="G6444" t="s">
        <v>11</v>
      </c>
      <c r="H6444">
        <v>1</v>
      </c>
      <c r="I6444" t="s">
        <v>27</v>
      </c>
    </row>
    <row r="6445" spans="1:9" x14ac:dyDescent="0.2">
      <c r="A6445" t="str">
        <f t="shared" si="347"/>
        <v>41609Vaipahu613Autres</v>
      </c>
      <c r="B6445" s="1">
        <v>41609</v>
      </c>
      <c r="C6445" t="s">
        <v>23</v>
      </c>
      <c r="D6445" s="19">
        <v>6</v>
      </c>
      <c r="E6445">
        <v>13</v>
      </c>
      <c r="F6445" t="s">
        <v>14</v>
      </c>
      <c r="H6445">
        <v>0</v>
      </c>
    </row>
    <row r="6446" spans="1:9" x14ac:dyDescent="0.2">
      <c r="A6446" t="str">
        <f t="shared" si="347"/>
        <v>41609Vaipahu614Autres</v>
      </c>
      <c r="B6446" s="1">
        <v>41609</v>
      </c>
      <c r="C6446" t="s">
        <v>23</v>
      </c>
      <c r="D6446" s="19">
        <v>6</v>
      </c>
      <c r="E6446">
        <v>14</v>
      </c>
      <c r="F6446" t="s">
        <v>14</v>
      </c>
      <c r="H6446">
        <v>0</v>
      </c>
    </row>
    <row r="6447" spans="1:9" x14ac:dyDescent="0.2">
      <c r="A6447" t="str">
        <f t="shared" si="347"/>
        <v>41609Vaipahu615Autres</v>
      </c>
      <c r="B6447" s="1">
        <v>41609</v>
      </c>
      <c r="C6447" t="s">
        <v>23</v>
      </c>
      <c r="D6447" s="19">
        <v>6</v>
      </c>
      <c r="E6447">
        <v>15</v>
      </c>
      <c r="F6447" t="s">
        <v>14</v>
      </c>
      <c r="H6447">
        <v>0</v>
      </c>
    </row>
    <row r="6448" spans="1:9" x14ac:dyDescent="0.2">
      <c r="A6448" t="str">
        <f t="shared" si="347"/>
        <v>41609Vaipahu616PocilloporidaeBords</v>
      </c>
      <c r="B6448" s="1">
        <v>41609</v>
      </c>
      <c r="C6448" t="s">
        <v>23</v>
      </c>
      <c r="D6448" s="19">
        <v>6</v>
      </c>
      <c r="E6448">
        <v>16</v>
      </c>
      <c r="F6448" t="s">
        <v>10</v>
      </c>
      <c r="G6448" t="s">
        <v>13</v>
      </c>
      <c r="H6448">
        <v>1</v>
      </c>
      <c r="I6448" t="s">
        <v>27</v>
      </c>
    </row>
    <row r="6449" spans="1:9" x14ac:dyDescent="0.2">
      <c r="A6449" t="str">
        <f t="shared" si="347"/>
        <v>41609Vaipahu617Autres</v>
      </c>
      <c r="B6449" s="1">
        <v>41609</v>
      </c>
      <c r="C6449" t="s">
        <v>23</v>
      </c>
      <c r="D6449" s="19">
        <v>6</v>
      </c>
      <c r="E6449">
        <v>17</v>
      </c>
      <c r="F6449" t="s">
        <v>14</v>
      </c>
      <c r="H6449">
        <v>0</v>
      </c>
    </row>
    <row r="6450" spans="1:9" x14ac:dyDescent="0.2">
      <c r="A6450" t="str">
        <f t="shared" si="347"/>
        <v>41609Vaipahu618Autres</v>
      </c>
      <c r="B6450" s="1">
        <v>41609</v>
      </c>
      <c r="C6450" t="s">
        <v>23</v>
      </c>
      <c r="D6450" s="19">
        <v>6</v>
      </c>
      <c r="E6450">
        <v>18</v>
      </c>
      <c r="F6450" t="s">
        <v>14</v>
      </c>
      <c r="H6450">
        <v>0</v>
      </c>
    </row>
    <row r="6451" spans="1:9" x14ac:dyDescent="0.2">
      <c r="A6451" t="str">
        <f t="shared" si="347"/>
        <v>41609Vaipahu619Autres</v>
      </c>
      <c r="B6451" s="1">
        <v>41609</v>
      </c>
      <c r="C6451" t="s">
        <v>23</v>
      </c>
      <c r="D6451" s="19">
        <v>6</v>
      </c>
      <c r="E6451">
        <v>19</v>
      </c>
      <c r="F6451" t="s">
        <v>14</v>
      </c>
      <c r="H6451">
        <v>0</v>
      </c>
    </row>
    <row r="6452" spans="1:9" x14ac:dyDescent="0.2">
      <c r="A6452" t="str">
        <f t="shared" si="347"/>
        <v>41609Vaipahu620Autres</v>
      </c>
      <c r="B6452" s="1">
        <v>41609</v>
      </c>
      <c r="C6452" t="s">
        <v>23</v>
      </c>
      <c r="D6452" s="19">
        <v>6</v>
      </c>
      <c r="E6452">
        <v>20</v>
      </c>
      <c r="F6452" t="s">
        <v>14</v>
      </c>
      <c r="H6452">
        <v>0</v>
      </c>
    </row>
    <row r="6453" spans="1:9" x14ac:dyDescent="0.2">
      <c r="A6453" t="str">
        <f t="shared" si="347"/>
        <v>41609Vaipahu1221Autres</v>
      </c>
      <c r="B6453" s="1">
        <v>41609</v>
      </c>
      <c r="C6453" t="s">
        <v>23</v>
      </c>
      <c r="D6453" s="19">
        <v>12</v>
      </c>
      <c r="E6453">
        <v>21</v>
      </c>
      <c r="F6453" t="s">
        <v>14</v>
      </c>
      <c r="H6453">
        <v>0</v>
      </c>
    </row>
    <row r="6454" spans="1:9" x14ac:dyDescent="0.2">
      <c r="A6454" t="str">
        <f t="shared" si="347"/>
        <v>41609Vaipahu1222PocilloporidaeDessus</v>
      </c>
      <c r="B6454" s="1">
        <v>41609</v>
      </c>
      <c r="C6454" t="s">
        <v>23</v>
      </c>
      <c r="D6454" s="19">
        <v>12</v>
      </c>
      <c r="E6454">
        <v>22</v>
      </c>
      <c r="F6454" t="s">
        <v>10</v>
      </c>
      <c r="G6454" t="s">
        <v>11</v>
      </c>
      <c r="H6454">
        <v>1</v>
      </c>
      <c r="I6454" t="s">
        <v>27</v>
      </c>
    </row>
    <row r="6455" spans="1:9" x14ac:dyDescent="0.2">
      <c r="A6455" t="str">
        <f t="shared" si="347"/>
        <v>41609Vaipahu1223PocilloporidaeBords</v>
      </c>
      <c r="B6455" s="1">
        <v>41609</v>
      </c>
      <c r="C6455" t="s">
        <v>23</v>
      </c>
      <c r="D6455" s="19">
        <v>12</v>
      </c>
      <c r="E6455">
        <v>23</v>
      </c>
      <c r="F6455" t="s">
        <v>10</v>
      </c>
      <c r="G6455" t="s">
        <v>13</v>
      </c>
      <c r="H6455">
        <v>1</v>
      </c>
      <c r="I6455" t="s">
        <v>27</v>
      </c>
    </row>
    <row r="6456" spans="1:9" x14ac:dyDescent="0.2">
      <c r="A6456" t="str">
        <f t="shared" si="347"/>
        <v>41609Vaipahu1224PocilloporidaeDessous</v>
      </c>
      <c r="B6456" s="1">
        <v>41609</v>
      </c>
      <c r="C6456" t="s">
        <v>23</v>
      </c>
      <c r="D6456" s="19">
        <v>12</v>
      </c>
      <c r="E6456">
        <v>24</v>
      </c>
      <c r="F6456" t="s">
        <v>10</v>
      </c>
      <c r="G6456" t="s">
        <v>8</v>
      </c>
      <c r="H6456">
        <v>1</v>
      </c>
      <c r="I6456" t="s">
        <v>27</v>
      </c>
    </row>
    <row r="6457" spans="1:9" x14ac:dyDescent="0.2">
      <c r="A6457" t="str">
        <f t="shared" si="347"/>
        <v>41609Vaipahu1225PocilloporidaeDessous</v>
      </c>
      <c r="B6457" s="1">
        <v>41609</v>
      </c>
      <c r="C6457" t="s">
        <v>23</v>
      </c>
      <c r="D6457" s="19">
        <v>12</v>
      </c>
      <c r="E6457">
        <v>25</v>
      </c>
      <c r="F6457" t="s">
        <v>10</v>
      </c>
      <c r="G6457" t="s">
        <v>8</v>
      </c>
      <c r="H6457">
        <v>1</v>
      </c>
      <c r="I6457" t="s">
        <v>27</v>
      </c>
    </row>
    <row r="6458" spans="1:9" x14ac:dyDescent="0.2">
      <c r="A6458" t="str">
        <f t="shared" si="347"/>
        <v>41609Vaipahu1225PoritidaeDessous</v>
      </c>
      <c r="B6458" s="1">
        <v>41609</v>
      </c>
      <c r="C6458" t="s">
        <v>23</v>
      </c>
      <c r="D6458" s="19">
        <v>12</v>
      </c>
      <c r="E6458">
        <v>25</v>
      </c>
      <c r="F6458" t="s">
        <v>7</v>
      </c>
      <c r="G6458" t="s">
        <v>8</v>
      </c>
      <c r="H6458">
        <v>1</v>
      </c>
      <c r="I6458" t="s">
        <v>27</v>
      </c>
    </row>
    <row r="6459" spans="1:9" x14ac:dyDescent="0.2">
      <c r="A6459" t="str">
        <f t="shared" si="347"/>
        <v>41609Vaipahu1226Autres</v>
      </c>
      <c r="B6459" s="1">
        <v>41609</v>
      </c>
      <c r="C6459" t="s">
        <v>23</v>
      </c>
      <c r="D6459" s="19">
        <v>12</v>
      </c>
      <c r="E6459">
        <v>26</v>
      </c>
      <c r="F6459" t="s">
        <v>14</v>
      </c>
      <c r="H6459">
        <v>0</v>
      </c>
    </row>
    <row r="6460" spans="1:9" x14ac:dyDescent="0.2">
      <c r="A6460" t="str">
        <f t="shared" si="347"/>
        <v>41609Vaipahu1227PocilloporidaeBords</v>
      </c>
      <c r="B6460" s="1">
        <v>41609</v>
      </c>
      <c r="C6460" t="s">
        <v>23</v>
      </c>
      <c r="D6460" s="19">
        <v>12</v>
      </c>
      <c r="E6460">
        <v>27</v>
      </c>
      <c r="F6460" t="s">
        <v>10</v>
      </c>
      <c r="G6460" t="s">
        <v>13</v>
      </c>
      <c r="H6460">
        <v>1</v>
      </c>
      <c r="I6460" t="s">
        <v>27</v>
      </c>
    </row>
    <row r="6461" spans="1:9" x14ac:dyDescent="0.2">
      <c r="A6461" t="str">
        <f t="shared" si="347"/>
        <v>41609Vaipahu1228PocilloporidaeDessous</v>
      </c>
      <c r="B6461" s="1">
        <v>41609</v>
      </c>
      <c r="C6461" t="s">
        <v>23</v>
      </c>
      <c r="D6461" s="19">
        <v>12</v>
      </c>
      <c r="E6461">
        <v>28</v>
      </c>
      <c r="F6461" t="s">
        <v>10</v>
      </c>
      <c r="G6461" t="s">
        <v>8</v>
      </c>
      <c r="H6461">
        <v>1</v>
      </c>
      <c r="I6461" t="s">
        <v>27</v>
      </c>
    </row>
    <row r="6462" spans="1:9" x14ac:dyDescent="0.2">
      <c r="A6462" t="str">
        <f t="shared" si="347"/>
        <v>41609Vaipahu1229Autres</v>
      </c>
      <c r="B6462" s="1">
        <v>41609</v>
      </c>
      <c r="C6462" t="s">
        <v>23</v>
      </c>
      <c r="D6462" s="19">
        <v>12</v>
      </c>
      <c r="E6462">
        <v>29</v>
      </c>
      <c r="F6462" t="s">
        <v>14</v>
      </c>
      <c r="H6462">
        <v>0</v>
      </c>
    </row>
    <row r="6463" spans="1:9" x14ac:dyDescent="0.2">
      <c r="A6463" t="str">
        <f t="shared" ref="A6463:A6526" si="348">B6463 &amp; C6463&amp; D6463&amp; E6463 &amp; F6463 &amp;G6463</f>
        <v>41609Vaipahu1230Autres</v>
      </c>
      <c r="B6463" s="1">
        <v>41609</v>
      </c>
      <c r="C6463" t="s">
        <v>23</v>
      </c>
      <c r="D6463" s="19">
        <v>12</v>
      </c>
      <c r="E6463">
        <v>30</v>
      </c>
      <c r="F6463" t="s">
        <v>14</v>
      </c>
      <c r="H6463">
        <v>0</v>
      </c>
    </row>
    <row r="6464" spans="1:9" x14ac:dyDescent="0.2">
      <c r="A6464" t="str">
        <f t="shared" si="348"/>
        <v>41609Vaipahu1231Autres</v>
      </c>
      <c r="B6464" s="1">
        <v>41609</v>
      </c>
      <c r="C6464" t="s">
        <v>23</v>
      </c>
      <c r="D6464" s="19">
        <v>12</v>
      </c>
      <c r="E6464">
        <v>31</v>
      </c>
      <c r="F6464" t="s">
        <v>14</v>
      </c>
      <c r="H6464">
        <v>0</v>
      </c>
    </row>
    <row r="6465" spans="1:9" x14ac:dyDescent="0.2">
      <c r="A6465" t="str">
        <f t="shared" si="348"/>
        <v>41609Vaipahu1232Autres</v>
      </c>
      <c r="B6465" s="1">
        <v>41609</v>
      </c>
      <c r="C6465" t="s">
        <v>23</v>
      </c>
      <c r="D6465" s="19">
        <v>12</v>
      </c>
      <c r="E6465">
        <v>32</v>
      </c>
      <c r="F6465" t="s">
        <v>14</v>
      </c>
      <c r="H6465">
        <v>0</v>
      </c>
    </row>
    <row r="6466" spans="1:9" x14ac:dyDescent="0.2">
      <c r="A6466" t="str">
        <f t="shared" si="348"/>
        <v>41609Vaipahu1233PoritidaeDessous</v>
      </c>
      <c r="B6466" s="1">
        <v>41609</v>
      </c>
      <c r="C6466" t="s">
        <v>23</v>
      </c>
      <c r="D6466" s="19">
        <v>12</v>
      </c>
      <c r="E6466">
        <v>33</v>
      </c>
      <c r="F6466" t="s">
        <v>7</v>
      </c>
      <c r="G6466" t="s">
        <v>8</v>
      </c>
      <c r="H6466">
        <v>1</v>
      </c>
      <c r="I6466" t="s">
        <v>27</v>
      </c>
    </row>
    <row r="6467" spans="1:9" x14ac:dyDescent="0.2">
      <c r="A6467" t="str">
        <f t="shared" si="348"/>
        <v>41609Vaipahu1234Autres</v>
      </c>
      <c r="B6467" s="1">
        <v>41609</v>
      </c>
      <c r="C6467" t="s">
        <v>23</v>
      </c>
      <c r="D6467" s="19">
        <v>12</v>
      </c>
      <c r="E6467">
        <v>34</v>
      </c>
      <c r="F6467" t="s">
        <v>14</v>
      </c>
      <c r="H6467">
        <v>0</v>
      </c>
    </row>
    <row r="6468" spans="1:9" x14ac:dyDescent="0.2">
      <c r="A6468" t="str">
        <f t="shared" si="348"/>
        <v>41609Vaipahu1235Autres</v>
      </c>
      <c r="B6468" s="1">
        <v>41609</v>
      </c>
      <c r="C6468" t="s">
        <v>23</v>
      </c>
      <c r="D6468" s="19">
        <v>12</v>
      </c>
      <c r="E6468">
        <v>35</v>
      </c>
      <c r="F6468" t="s">
        <v>14</v>
      </c>
      <c r="H6468">
        <v>0</v>
      </c>
    </row>
    <row r="6469" spans="1:9" x14ac:dyDescent="0.2">
      <c r="A6469" t="str">
        <f t="shared" si="348"/>
        <v>41609Vaipahu1236PocilloporidaeDessous</v>
      </c>
      <c r="B6469" s="1">
        <v>41609</v>
      </c>
      <c r="C6469" t="s">
        <v>23</v>
      </c>
      <c r="D6469" s="19">
        <v>12</v>
      </c>
      <c r="E6469">
        <v>36</v>
      </c>
      <c r="F6469" t="s">
        <v>10</v>
      </c>
      <c r="G6469" t="s">
        <v>8</v>
      </c>
      <c r="H6469">
        <v>2</v>
      </c>
      <c r="I6469" t="s">
        <v>27</v>
      </c>
    </row>
    <row r="6470" spans="1:9" x14ac:dyDescent="0.2">
      <c r="A6470" t="str">
        <f t="shared" si="348"/>
        <v>41609Vaipahu1237PocilloporidaeDessous</v>
      </c>
      <c r="B6470" s="1">
        <v>41609</v>
      </c>
      <c r="C6470" t="s">
        <v>23</v>
      </c>
      <c r="D6470" s="19">
        <v>12</v>
      </c>
      <c r="E6470">
        <v>37</v>
      </c>
      <c r="F6470" t="s">
        <v>10</v>
      </c>
      <c r="G6470" t="s">
        <v>8</v>
      </c>
      <c r="H6470">
        <v>1</v>
      </c>
      <c r="I6470" t="s">
        <v>27</v>
      </c>
    </row>
    <row r="6471" spans="1:9" x14ac:dyDescent="0.2">
      <c r="A6471" t="str">
        <f t="shared" si="348"/>
        <v>41609Vaipahu1238Autres</v>
      </c>
      <c r="B6471" s="1">
        <v>41609</v>
      </c>
      <c r="C6471" t="s">
        <v>23</v>
      </c>
      <c r="D6471" s="19">
        <v>12</v>
      </c>
      <c r="E6471">
        <v>38</v>
      </c>
      <c r="F6471" t="s">
        <v>14</v>
      </c>
      <c r="H6471">
        <v>0</v>
      </c>
    </row>
    <row r="6472" spans="1:9" x14ac:dyDescent="0.2">
      <c r="A6472" t="str">
        <f t="shared" si="348"/>
        <v>41609Vaipahu1239Autres</v>
      </c>
      <c r="B6472" s="1">
        <v>41609</v>
      </c>
      <c r="C6472" t="s">
        <v>23</v>
      </c>
      <c r="D6472" s="19">
        <v>12</v>
      </c>
      <c r="E6472">
        <v>39</v>
      </c>
      <c r="F6472" t="s">
        <v>14</v>
      </c>
      <c r="H6472">
        <v>0</v>
      </c>
    </row>
    <row r="6473" spans="1:9" x14ac:dyDescent="0.2">
      <c r="A6473" t="str">
        <f t="shared" si="348"/>
        <v>41609Vaipahu1240PocilloporidaeDessous</v>
      </c>
      <c r="B6473" s="1">
        <v>41609</v>
      </c>
      <c r="C6473" t="s">
        <v>23</v>
      </c>
      <c r="D6473" s="19">
        <v>12</v>
      </c>
      <c r="E6473">
        <v>40</v>
      </c>
      <c r="F6473" t="s">
        <v>10</v>
      </c>
      <c r="G6473" t="s">
        <v>8</v>
      </c>
      <c r="H6473">
        <v>1</v>
      </c>
      <c r="I6473" t="s">
        <v>27</v>
      </c>
    </row>
    <row r="6474" spans="1:9" x14ac:dyDescent="0.2">
      <c r="A6474" t="str">
        <f t="shared" si="348"/>
        <v>41609Vaipahu1841Autres</v>
      </c>
      <c r="B6474" s="1">
        <v>41609</v>
      </c>
      <c r="C6474" t="s">
        <v>23</v>
      </c>
      <c r="D6474" s="19">
        <v>18</v>
      </c>
      <c r="E6474">
        <v>41</v>
      </c>
      <c r="F6474" t="s">
        <v>14</v>
      </c>
      <c r="H6474">
        <v>0</v>
      </c>
    </row>
    <row r="6475" spans="1:9" x14ac:dyDescent="0.2">
      <c r="A6475" t="str">
        <f t="shared" si="348"/>
        <v>41609Vaipahu1842PocilloporidaeDessous</v>
      </c>
      <c r="B6475" s="1">
        <v>41609</v>
      </c>
      <c r="C6475" t="s">
        <v>23</v>
      </c>
      <c r="D6475" s="19">
        <v>18</v>
      </c>
      <c r="E6475">
        <v>42</v>
      </c>
      <c r="F6475" t="s">
        <v>10</v>
      </c>
      <c r="G6475" t="s">
        <v>8</v>
      </c>
      <c r="H6475">
        <v>2</v>
      </c>
      <c r="I6475" t="s">
        <v>27</v>
      </c>
    </row>
    <row r="6476" spans="1:9" x14ac:dyDescent="0.2">
      <c r="A6476" t="str">
        <f t="shared" si="348"/>
        <v>41609Vaipahu1843PocilloporidaeDessous</v>
      </c>
      <c r="B6476" s="1">
        <v>41609</v>
      </c>
      <c r="C6476" t="s">
        <v>23</v>
      </c>
      <c r="D6476" s="19">
        <v>18</v>
      </c>
      <c r="E6476">
        <v>43</v>
      </c>
      <c r="F6476" t="s">
        <v>10</v>
      </c>
      <c r="G6476" t="s">
        <v>8</v>
      </c>
      <c r="H6476">
        <v>3</v>
      </c>
      <c r="I6476" t="s">
        <v>27</v>
      </c>
    </row>
    <row r="6477" spans="1:9" x14ac:dyDescent="0.2">
      <c r="A6477" t="str">
        <f t="shared" si="348"/>
        <v>41609Vaipahu1844PocilloporidaeDessus</v>
      </c>
      <c r="B6477" s="1">
        <v>41609</v>
      </c>
      <c r="C6477" t="s">
        <v>23</v>
      </c>
      <c r="D6477" s="19">
        <v>18</v>
      </c>
      <c r="E6477">
        <v>44</v>
      </c>
      <c r="F6477" t="s">
        <v>10</v>
      </c>
      <c r="G6477" t="s">
        <v>11</v>
      </c>
      <c r="H6477">
        <v>1</v>
      </c>
      <c r="I6477" t="s">
        <v>27</v>
      </c>
    </row>
    <row r="6478" spans="1:9" x14ac:dyDescent="0.2">
      <c r="A6478" t="str">
        <f t="shared" si="348"/>
        <v>41609Vaipahu1845PocilloporidaeDessous</v>
      </c>
      <c r="B6478" s="1">
        <v>41609</v>
      </c>
      <c r="C6478" t="s">
        <v>23</v>
      </c>
      <c r="D6478" s="19">
        <v>18</v>
      </c>
      <c r="E6478">
        <v>45</v>
      </c>
      <c r="F6478" t="s">
        <v>10</v>
      </c>
      <c r="G6478" t="s">
        <v>8</v>
      </c>
      <c r="H6478">
        <v>1</v>
      </c>
      <c r="I6478" t="s">
        <v>27</v>
      </c>
    </row>
    <row r="6479" spans="1:9" x14ac:dyDescent="0.2">
      <c r="A6479" t="str">
        <f t="shared" si="348"/>
        <v>41609Vaipahu1846Autres</v>
      </c>
      <c r="B6479" s="1">
        <v>41609</v>
      </c>
      <c r="C6479" t="s">
        <v>23</v>
      </c>
      <c r="D6479" s="19">
        <v>18</v>
      </c>
      <c r="E6479">
        <v>46</v>
      </c>
      <c r="F6479" t="s">
        <v>14</v>
      </c>
      <c r="H6479">
        <v>0</v>
      </c>
    </row>
    <row r="6480" spans="1:9" x14ac:dyDescent="0.2">
      <c r="A6480" t="str">
        <f t="shared" si="348"/>
        <v>41609Vaipahu1847PocilloporidaeDessous</v>
      </c>
      <c r="B6480" s="1">
        <v>41609</v>
      </c>
      <c r="C6480" t="s">
        <v>23</v>
      </c>
      <c r="D6480" s="19">
        <v>18</v>
      </c>
      <c r="E6480">
        <v>47</v>
      </c>
      <c r="F6480" t="s">
        <v>10</v>
      </c>
      <c r="G6480" t="s">
        <v>8</v>
      </c>
      <c r="H6480">
        <v>1</v>
      </c>
      <c r="I6480" t="s">
        <v>27</v>
      </c>
    </row>
    <row r="6481" spans="1:9" x14ac:dyDescent="0.2">
      <c r="A6481" t="str">
        <f t="shared" si="348"/>
        <v>41609Vaipahu1848PocilloporidaeDessous</v>
      </c>
      <c r="B6481" s="1">
        <v>41609</v>
      </c>
      <c r="C6481" t="s">
        <v>23</v>
      </c>
      <c r="D6481" s="19">
        <v>18</v>
      </c>
      <c r="E6481">
        <v>48</v>
      </c>
      <c r="F6481" t="s">
        <v>10</v>
      </c>
      <c r="G6481" t="s">
        <v>8</v>
      </c>
      <c r="H6481">
        <v>1</v>
      </c>
      <c r="I6481" t="s">
        <v>27</v>
      </c>
    </row>
    <row r="6482" spans="1:9" x14ac:dyDescent="0.2">
      <c r="A6482" t="str">
        <f t="shared" si="348"/>
        <v>41609Vaipahu1849Autres</v>
      </c>
      <c r="B6482" s="1">
        <v>41609</v>
      </c>
      <c r="C6482" t="s">
        <v>23</v>
      </c>
      <c r="D6482" s="19">
        <v>18</v>
      </c>
      <c r="E6482">
        <v>49</v>
      </c>
      <c r="F6482" t="s">
        <v>14</v>
      </c>
      <c r="H6482">
        <v>0</v>
      </c>
    </row>
    <row r="6483" spans="1:9" x14ac:dyDescent="0.2">
      <c r="A6483" t="str">
        <f t="shared" si="348"/>
        <v>41609Vaipahu1850PocilloporidaeDessus</v>
      </c>
      <c r="B6483" s="1">
        <v>41609</v>
      </c>
      <c r="C6483" t="s">
        <v>23</v>
      </c>
      <c r="D6483" s="19">
        <v>18</v>
      </c>
      <c r="E6483">
        <v>50</v>
      </c>
      <c r="F6483" t="s">
        <v>10</v>
      </c>
      <c r="G6483" t="s">
        <v>11</v>
      </c>
      <c r="H6483">
        <v>1</v>
      </c>
      <c r="I6483" t="s">
        <v>27</v>
      </c>
    </row>
    <row r="6484" spans="1:9" x14ac:dyDescent="0.2">
      <c r="A6484" t="str">
        <f t="shared" si="348"/>
        <v>41609Vaipahu1851Autres</v>
      </c>
      <c r="B6484" s="1">
        <v>41609</v>
      </c>
      <c r="C6484" t="s">
        <v>23</v>
      </c>
      <c r="D6484" s="19">
        <v>18</v>
      </c>
      <c r="E6484">
        <v>51</v>
      </c>
      <c r="F6484" t="s">
        <v>14</v>
      </c>
      <c r="H6484">
        <v>0</v>
      </c>
    </row>
    <row r="6485" spans="1:9" x14ac:dyDescent="0.2">
      <c r="A6485" t="str">
        <f t="shared" si="348"/>
        <v>41609Vaipahu1852Autres</v>
      </c>
      <c r="B6485" s="1">
        <v>41609</v>
      </c>
      <c r="C6485" t="s">
        <v>23</v>
      </c>
      <c r="D6485" s="19">
        <v>18</v>
      </c>
      <c r="E6485">
        <v>52</v>
      </c>
      <c r="F6485" t="s">
        <v>14</v>
      </c>
      <c r="H6485">
        <v>0</v>
      </c>
    </row>
    <row r="6486" spans="1:9" x14ac:dyDescent="0.2">
      <c r="A6486" t="str">
        <f t="shared" si="348"/>
        <v>41609Vaipahu1853PocilloporidaeDessous</v>
      </c>
      <c r="B6486" s="1">
        <v>41609</v>
      </c>
      <c r="C6486" t="s">
        <v>23</v>
      </c>
      <c r="D6486" s="19">
        <v>18</v>
      </c>
      <c r="E6486">
        <v>53</v>
      </c>
      <c r="F6486" t="s">
        <v>10</v>
      </c>
      <c r="G6486" t="s">
        <v>8</v>
      </c>
      <c r="H6486">
        <v>1</v>
      </c>
      <c r="I6486" t="s">
        <v>27</v>
      </c>
    </row>
    <row r="6487" spans="1:9" x14ac:dyDescent="0.2">
      <c r="A6487" t="str">
        <f t="shared" si="348"/>
        <v>41609Vaipahu1854Autres</v>
      </c>
      <c r="B6487" s="1">
        <v>41609</v>
      </c>
      <c r="C6487" t="s">
        <v>23</v>
      </c>
      <c r="D6487" s="19">
        <v>18</v>
      </c>
      <c r="E6487">
        <v>54</v>
      </c>
      <c r="F6487" t="s">
        <v>14</v>
      </c>
      <c r="H6487">
        <v>0</v>
      </c>
    </row>
    <row r="6488" spans="1:9" x14ac:dyDescent="0.2">
      <c r="A6488" t="str">
        <f t="shared" si="348"/>
        <v>41609Vaipahu1855PocilloporidaeDessous</v>
      </c>
      <c r="B6488" s="1">
        <v>41609</v>
      </c>
      <c r="C6488" t="s">
        <v>23</v>
      </c>
      <c r="D6488" s="19">
        <v>18</v>
      </c>
      <c r="E6488">
        <v>55</v>
      </c>
      <c r="F6488" t="s">
        <v>10</v>
      </c>
      <c r="G6488" t="s">
        <v>8</v>
      </c>
      <c r="H6488">
        <v>3</v>
      </c>
      <c r="I6488" t="s">
        <v>27</v>
      </c>
    </row>
    <row r="6489" spans="1:9" x14ac:dyDescent="0.2">
      <c r="A6489" t="str">
        <f t="shared" si="348"/>
        <v>41609Vaipahu1856Autres</v>
      </c>
      <c r="B6489" s="1">
        <v>41609</v>
      </c>
      <c r="C6489" t="s">
        <v>23</v>
      </c>
      <c r="D6489" s="19">
        <v>18</v>
      </c>
      <c r="E6489">
        <v>56</v>
      </c>
      <c r="F6489" t="s">
        <v>14</v>
      </c>
      <c r="H6489">
        <v>0</v>
      </c>
    </row>
    <row r="6490" spans="1:9" x14ac:dyDescent="0.2">
      <c r="A6490" t="str">
        <f t="shared" si="348"/>
        <v>41609Vaipahu1857AcroporidaeBords</v>
      </c>
      <c r="B6490" s="1">
        <v>41609</v>
      </c>
      <c r="C6490" t="s">
        <v>23</v>
      </c>
      <c r="D6490" s="19">
        <v>18</v>
      </c>
      <c r="E6490">
        <v>57</v>
      </c>
      <c r="F6490" t="s">
        <v>17</v>
      </c>
      <c r="G6490" t="s">
        <v>13</v>
      </c>
      <c r="H6490">
        <v>1</v>
      </c>
      <c r="I6490" t="s">
        <v>27</v>
      </c>
    </row>
    <row r="6491" spans="1:9" x14ac:dyDescent="0.2">
      <c r="A6491" t="str">
        <f t="shared" si="348"/>
        <v>41609Vaipahu1858Autres</v>
      </c>
      <c r="B6491" s="1">
        <v>41609</v>
      </c>
      <c r="C6491" t="s">
        <v>23</v>
      </c>
      <c r="D6491" s="19">
        <v>18</v>
      </c>
      <c r="E6491">
        <v>58</v>
      </c>
      <c r="F6491" t="s">
        <v>14</v>
      </c>
      <c r="H6491">
        <v>0</v>
      </c>
    </row>
    <row r="6492" spans="1:9" x14ac:dyDescent="0.2">
      <c r="A6492" t="str">
        <f t="shared" si="348"/>
        <v>41609Vaipahu1859Autres</v>
      </c>
      <c r="B6492" s="1">
        <v>41609</v>
      </c>
      <c r="C6492" t="s">
        <v>23</v>
      </c>
      <c r="D6492" s="19">
        <v>18</v>
      </c>
      <c r="E6492">
        <v>59</v>
      </c>
      <c r="F6492" t="s">
        <v>14</v>
      </c>
      <c r="H6492">
        <v>0</v>
      </c>
    </row>
    <row r="6493" spans="1:9" x14ac:dyDescent="0.2">
      <c r="A6493" t="str">
        <f t="shared" si="348"/>
        <v>41609Vaipahu1860PocilloporidaeDessus</v>
      </c>
      <c r="B6493" s="1">
        <v>41609</v>
      </c>
      <c r="C6493" t="s">
        <v>23</v>
      </c>
      <c r="D6493" s="19">
        <v>18</v>
      </c>
      <c r="E6493">
        <v>60</v>
      </c>
      <c r="F6493" t="s">
        <v>10</v>
      </c>
      <c r="G6493" t="s">
        <v>11</v>
      </c>
      <c r="H6493">
        <v>1</v>
      </c>
      <c r="I6493" t="s">
        <v>27</v>
      </c>
    </row>
    <row r="6494" spans="1:9" x14ac:dyDescent="0.2">
      <c r="A6494" t="str">
        <f t="shared" si="348"/>
        <v>41609Tiahura661Autres</v>
      </c>
      <c r="B6494" s="1">
        <v>41609</v>
      </c>
      <c r="C6494" t="s">
        <v>24</v>
      </c>
      <c r="D6494" s="19">
        <v>6</v>
      </c>
      <c r="E6494">
        <v>61</v>
      </c>
      <c r="F6494" t="s">
        <v>14</v>
      </c>
      <c r="H6494">
        <v>0</v>
      </c>
    </row>
    <row r="6495" spans="1:9" x14ac:dyDescent="0.2">
      <c r="A6495" t="str">
        <f t="shared" si="348"/>
        <v>41609Tiahura662Autres</v>
      </c>
      <c r="B6495" s="1">
        <v>41609</v>
      </c>
      <c r="C6495" t="s">
        <v>24</v>
      </c>
      <c r="D6495" s="19">
        <v>6</v>
      </c>
      <c r="E6495">
        <v>62</v>
      </c>
      <c r="F6495" t="s">
        <v>14</v>
      </c>
      <c r="H6495">
        <v>0</v>
      </c>
    </row>
    <row r="6496" spans="1:9" x14ac:dyDescent="0.2">
      <c r="A6496" t="str">
        <f t="shared" si="348"/>
        <v>41609Tiahura663PocilloporidaeDessous</v>
      </c>
      <c r="B6496" s="1">
        <v>41609</v>
      </c>
      <c r="C6496" t="s">
        <v>24</v>
      </c>
      <c r="D6496" s="19">
        <v>6</v>
      </c>
      <c r="E6496">
        <v>63</v>
      </c>
      <c r="F6496" t="s">
        <v>10</v>
      </c>
      <c r="G6496" t="s">
        <v>8</v>
      </c>
      <c r="H6496">
        <v>1</v>
      </c>
      <c r="I6496" t="s">
        <v>27</v>
      </c>
    </row>
    <row r="6497" spans="1:9" x14ac:dyDescent="0.2">
      <c r="A6497" t="str">
        <f t="shared" si="348"/>
        <v>41609Tiahura664Autres</v>
      </c>
      <c r="B6497" s="1">
        <v>41609</v>
      </c>
      <c r="C6497" t="s">
        <v>24</v>
      </c>
      <c r="D6497" s="19">
        <v>6</v>
      </c>
      <c r="E6497">
        <v>64</v>
      </c>
      <c r="F6497" t="s">
        <v>14</v>
      </c>
      <c r="H6497">
        <v>0</v>
      </c>
    </row>
    <row r="6498" spans="1:9" x14ac:dyDescent="0.2">
      <c r="A6498" t="str">
        <f t="shared" si="348"/>
        <v>41609Tiahura665Autres</v>
      </c>
      <c r="B6498" s="1">
        <v>41609</v>
      </c>
      <c r="C6498" t="s">
        <v>24</v>
      </c>
      <c r="D6498" s="19">
        <v>6</v>
      </c>
      <c r="E6498">
        <v>65</v>
      </c>
      <c r="F6498" t="s">
        <v>14</v>
      </c>
      <c r="H6498">
        <v>0</v>
      </c>
    </row>
    <row r="6499" spans="1:9" x14ac:dyDescent="0.2">
      <c r="A6499" t="str">
        <f t="shared" si="348"/>
        <v>41609Tiahura666Autres</v>
      </c>
      <c r="B6499" s="1">
        <v>41609</v>
      </c>
      <c r="C6499" t="s">
        <v>24</v>
      </c>
      <c r="D6499" s="19">
        <v>6</v>
      </c>
      <c r="E6499">
        <v>66</v>
      </c>
      <c r="F6499" t="s">
        <v>14</v>
      </c>
      <c r="H6499">
        <v>0</v>
      </c>
    </row>
    <row r="6500" spans="1:9" x14ac:dyDescent="0.2">
      <c r="A6500" t="str">
        <f t="shared" si="348"/>
        <v>41609Tiahura667PocilloporidaeBords</v>
      </c>
      <c r="B6500" s="1">
        <v>41609</v>
      </c>
      <c r="C6500" t="s">
        <v>24</v>
      </c>
      <c r="D6500" s="19">
        <v>6</v>
      </c>
      <c r="E6500">
        <v>67</v>
      </c>
      <c r="F6500" t="s">
        <v>10</v>
      </c>
      <c r="G6500" t="s">
        <v>13</v>
      </c>
      <c r="H6500">
        <v>1</v>
      </c>
      <c r="I6500" t="s">
        <v>27</v>
      </c>
    </row>
    <row r="6501" spans="1:9" x14ac:dyDescent="0.2">
      <c r="A6501" t="str">
        <f t="shared" si="348"/>
        <v>41609Tiahura668Autres</v>
      </c>
      <c r="B6501" s="1">
        <v>41609</v>
      </c>
      <c r="C6501" t="s">
        <v>24</v>
      </c>
      <c r="D6501" s="19">
        <v>6</v>
      </c>
      <c r="E6501">
        <v>68</v>
      </c>
      <c r="F6501" t="s">
        <v>14</v>
      </c>
      <c r="H6501">
        <v>0</v>
      </c>
    </row>
    <row r="6502" spans="1:9" x14ac:dyDescent="0.2">
      <c r="A6502" t="str">
        <f t="shared" si="348"/>
        <v>41609Tiahura669Autres</v>
      </c>
      <c r="B6502" s="1">
        <v>41609</v>
      </c>
      <c r="C6502" t="s">
        <v>24</v>
      </c>
      <c r="D6502" s="19">
        <v>6</v>
      </c>
      <c r="E6502">
        <v>69</v>
      </c>
      <c r="F6502" t="s">
        <v>14</v>
      </c>
      <c r="H6502">
        <v>0</v>
      </c>
    </row>
    <row r="6503" spans="1:9" x14ac:dyDescent="0.2">
      <c r="A6503" t="str">
        <f t="shared" si="348"/>
        <v>41609Tiahura670Autres</v>
      </c>
      <c r="B6503" s="1">
        <v>41609</v>
      </c>
      <c r="C6503" t="s">
        <v>24</v>
      </c>
      <c r="D6503" s="19">
        <v>6</v>
      </c>
      <c r="E6503">
        <v>70</v>
      </c>
      <c r="F6503" t="s">
        <v>14</v>
      </c>
      <c r="H6503">
        <v>0</v>
      </c>
    </row>
    <row r="6504" spans="1:9" x14ac:dyDescent="0.2">
      <c r="A6504" t="str">
        <f t="shared" si="348"/>
        <v>41609Tiahura671Autres</v>
      </c>
      <c r="B6504" s="1">
        <v>41609</v>
      </c>
      <c r="C6504" t="s">
        <v>24</v>
      </c>
      <c r="D6504" s="19">
        <v>6</v>
      </c>
      <c r="E6504">
        <v>71</v>
      </c>
      <c r="F6504" t="s">
        <v>14</v>
      </c>
      <c r="H6504">
        <v>0</v>
      </c>
    </row>
    <row r="6505" spans="1:9" x14ac:dyDescent="0.2">
      <c r="A6505" t="str">
        <f t="shared" si="348"/>
        <v>41609Tiahura672Autres</v>
      </c>
      <c r="B6505" s="1">
        <v>41609</v>
      </c>
      <c r="C6505" t="s">
        <v>24</v>
      </c>
      <c r="D6505" s="19">
        <v>6</v>
      </c>
      <c r="E6505">
        <v>72</v>
      </c>
      <c r="F6505" t="s">
        <v>14</v>
      </c>
      <c r="H6505">
        <v>0</v>
      </c>
    </row>
    <row r="6506" spans="1:9" x14ac:dyDescent="0.2">
      <c r="A6506" t="str">
        <f t="shared" si="348"/>
        <v>41609Tiahura673PocilloporidaeDessous</v>
      </c>
      <c r="B6506" s="1">
        <v>41609</v>
      </c>
      <c r="C6506" t="s">
        <v>24</v>
      </c>
      <c r="D6506" s="19">
        <v>6</v>
      </c>
      <c r="E6506">
        <v>73</v>
      </c>
      <c r="F6506" t="s">
        <v>10</v>
      </c>
      <c r="G6506" t="s">
        <v>8</v>
      </c>
      <c r="H6506">
        <v>1</v>
      </c>
      <c r="I6506" t="s">
        <v>27</v>
      </c>
    </row>
    <row r="6507" spans="1:9" x14ac:dyDescent="0.2">
      <c r="A6507" t="str">
        <f t="shared" si="348"/>
        <v>41609Tiahura674Autres</v>
      </c>
      <c r="B6507" s="1">
        <v>41609</v>
      </c>
      <c r="C6507" t="s">
        <v>24</v>
      </c>
      <c r="D6507" s="19">
        <v>6</v>
      </c>
      <c r="E6507">
        <v>74</v>
      </c>
      <c r="F6507" t="s">
        <v>14</v>
      </c>
      <c r="H6507">
        <v>0</v>
      </c>
    </row>
    <row r="6508" spans="1:9" x14ac:dyDescent="0.2">
      <c r="A6508" t="str">
        <f t="shared" si="348"/>
        <v>41609Tiahura675Autres</v>
      </c>
      <c r="B6508" s="1">
        <v>41609</v>
      </c>
      <c r="C6508" t="s">
        <v>24</v>
      </c>
      <c r="D6508" s="19">
        <v>6</v>
      </c>
      <c r="E6508">
        <v>75</v>
      </c>
      <c r="F6508" t="s">
        <v>14</v>
      </c>
      <c r="H6508">
        <v>0</v>
      </c>
    </row>
    <row r="6509" spans="1:9" x14ac:dyDescent="0.2">
      <c r="A6509" t="str">
        <f t="shared" si="348"/>
        <v>41609Tiahura676Autres</v>
      </c>
      <c r="B6509" s="1">
        <v>41609</v>
      </c>
      <c r="C6509" t="s">
        <v>24</v>
      </c>
      <c r="D6509" s="19">
        <v>6</v>
      </c>
      <c r="E6509">
        <v>76</v>
      </c>
      <c r="F6509" t="s">
        <v>14</v>
      </c>
      <c r="H6509">
        <v>0</v>
      </c>
    </row>
    <row r="6510" spans="1:9" x14ac:dyDescent="0.2">
      <c r="A6510" t="str">
        <f t="shared" si="348"/>
        <v>41609Tiahura677Autres</v>
      </c>
      <c r="B6510" s="1">
        <v>41609</v>
      </c>
      <c r="C6510" t="s">
        <v>24</v>
      </c>
      <c r="D6510" s="19">
        <v>6</v>
      </c>
      <c r="E6510">
        <v>77</v>
      </c>
      <c r="F6510" t="s">
        <v>14</v>
      </c>
      <c r="H6510">
        <v>0</v>
      </c>
    </row>
    <row r="6511" spans="1:9" x14ac:dyDescent="0.2">
      <c r="A6511" t="str">
        <f t="shared" si="348"/>
        <v>41609Tiahura678Autres</v>
      </c>
      <c r="B6511" s="1">
        <v>41609</v>
      </c>
      <c r="C6511" t="s">
        <v>24</v>
      </c>
      <c r="D6511" s="19">
        <v>6</v>
      </c>
      <c r="E6511">
        <v>78</v>
      </c>
      <c r="F6511" t="s">
        <v>14</v>
      </c>
      <c r="H6511">
        <v>0</v>
      </c>
    </row>
    <row r="6512" spans="1:9" x14ac:dyDescent="0.2">
      <c r="A6512" t="str">
        <f t="shared" si="348"/>
        <v>41609Tiahura679Autres</v>
      </c>
      <c r="B6512" s="1">
        <v>41609</v>
      </c>
      <c r="C6512" t="s">
        <v>24</v>
      </c>
      <c r="D6512" s="19">
        <v>6</v>
      </c>
      <c r="E6512">
        <v>79</v>
      </c>
      <c r="F6512" t="s">
        <v>14</v>
      </c>
      <c r="H6512">
        <v>0</v>
      </c>
    </row>
    <row r="6513" spans="1:9" x14ac:dyDescent="0.2">
      <c r="A6513" t="str">
        <f t="shared" si="348"/>
        <v>41609Tiahura679PocilloporidaeDessous</v>
      </c>
      <c r="B6513" s="1">
        <v>41609</v>
      </c>
      <c r="C6513" t="s">
        <v>24</v>
      </c>
      <c r="D6513" s="19">
        <v>6</v>
      </c>
      <c r="E6513">
        <v>79</v>
      </c>
      <c r="F6513" t="s">
        <v>10</v>
      </c>
      <c r="G6513" t="s">
        <v>8</v>
      </c>
      <c r="H6513">
        <v>1</v>
      </c>
      <c r="I6513" t="s">
        <v>27</v>
      </c>
    </row>
    <row r="6514" spans="1:9" x14ac:dyDescent="0.2">
      <c r="A6514" t="str">
        <f t="shared" si="348"/>
        <v>41609Tiahura680Autres</v>
      </c>
      <c r="B6514" s="1">
        <v>41609</v>
      </c>
      <c r="C6514" t="s">
        <v>24</v>
      </c>
      <c r="D6514" s="19">
        <v>6</v>
      </c>
      <c r="E6514">
        <v>80</v>
      </c>
      <c r="F6514" t="s">
        <v>14</v>
      </c>
      <c r="H6514">
        <v>0</v>
      </c>
    </row>
    <row r="6515" spans="1:9" x14ac:dyDescent="0.2">
      <c r="A6515" t="str">
        <f t="shared" si="348"/>
        <v>41609Tiahura1281Autres</v>
      </c>
      <c r="B6515" s="1">
        <v>41609</v>
      </c>
      <c r="C6515" t="s">
        <v>24</v>
      </c>
      <c r="D6515" s="19">
        <v>12</v>
      </c>
      <c r="E6515">
        <v>81</v>
      </c>
      <c r="F6515" t="s">
        <v>14</v>
      </c>
      <c r="H6515">
        <v>0</v>
      </c>
    </row>
    <row r="6516" spans="1:9" x14ac:dyDescent="0.2">
      <c r="A6516" t="str">
        <f t="shared" si="348"/>
        <v>41609Tiahura1282PoritidaeDessous</v>
      </c>
      <c r="B6516" s="1">
        <v>41609</v>
      </c>
      <c r="C6516" t="s">
        <v>24</v>
      </c>
      <c r="D6516" s="19">
        <v>12</v>
      </c>
      <c r="E6516">
        <v>82</v>
      </c>
      <c r="F6516" t="s">
        <v>7</v>
      </c>
      <c r="G6516" t="s">
        <v>8</v>
      </c>
      <c r="H6516">
        <v>1</v>
      </c>
      <c r="I6516" t="s">
        <v>27</v>
      </c>
    </row>
    <row r="6517" spans="1:9" x14ac:dyDescent="0.2">
      <c r="A6517" t="str">
        <f t="shared" si="348"/>
        <v>41609Tiahura1283AutresDessous</v>
      </c>
      <c r="B6517" s="1">
        <v>41609</v>
      </c>
      <c r="C6517" t="s">
        <v>24</v>
      </c>
      <c r="D6517" s="19">
        <v>12</v>
      </c>
      <c r="E6517">
        <v>83</v>
      </c>
      <c r="F6517" t="s">
        <v>14</v>
      </c>
      <c r="G6517" t="s">
        <v>8</v>
      </c>
      <c r="H6517">
        <v>1</v>
      </c>
      <c r="I6517" t="s">
        <v>27</v>
      </c>
    </row>
    <row r="6518" spans="1:9" x14ac:dyDescent="0.2">
      <c r="A6518" t="str">
        <f t="shared" si="348"/>
        <v>41609Tiahura1284PoritidaeBords</v>
      </c>
      <c r="B6518" s="1">
        <v>41609</v>
      </c>
      <c r="C6518" t="s">
        <v>24</v>
      </c>
      <c r="D6518" s="19">
        <v>12</v>
      </c>
      <c r="E6518">
        <v>84</v>
      </c>
      <c r="F6518" t="s">
        <v>7</v>
      </c>
      <c r="G6518" t="s">
        <v>13</v>
      </c>
      <c r="H6518">
        <v>1</v>
      </c>
      <c r="I6518" t="s">
        <v>27</v>
      </c>
    </row>
    <row r="6519" spans="1:9" x14ac:dyDescent="0.2">
      <c r="A6519" t="str">
        <f t="shared" si="348"/>
        <v>41609Tiahura1285Autres</v>
      </c>
      <c r="B6519" s="1">
        <v>41609</v>
      </c>
      <c r="C6519" t="s">
        <v>24</v>
      </c>
      <c r="D6519" s="19">
        <v>12</v>
      </c>
      <c r="E6519">
        <v>85</v>
      </c>
      <c r="F6519" t="s">
        <v>14</v>
      </c>
      <c r="H6519">
        <v>0</v>
      </c>
    </row>
    <row r="6520" spans="1:9" x14ac:dyDescent="0.2">
      <c r="A6520" t="str">
        <f t="shared" si="348"/>
        <v>41609Tiahura1286PocilloporidaeBords</v>
      </c>
      <c r="B6520" s="1">
        <v>41609</v>
      </c>
      <c r="C6520" t="s">
        <v>24</v>
      </c>
      <c r="D6520" s="19">
        <v>12</v>
      </c>
      <c r="E6520">
        <v>86</v>
      </c>
      <c r="F6520" t="s">
        <v>10</v>
      </c>
      <c r="G6520" t="s">
        <v>13</v>
      </c>
      <c r="H6520">
        <v>1</v>
      </c>
      <c r="I6520" t="s">
        <v>27</v>
      </c>
    </row>
    <row r="6521" spans="1:9" x14ac:dyDescent="0.2">
      <c r="A6521" t="str">
        <f t="shared" si="348"/>
        <v>41609Tiahura1287Autres</v>
      </c>
      <c r="B6521" s="1">
        <v>41609</v>
      </c>
      <c r="C6521" t="s">
        <v>24</v>
      </c>
      <c r="D6521" s="19">
        <v>12</v>
      </c>
      <c r="E6521">
        <v>87</v>
      </c>
      <c r="F6521" t="s">
        <v>14</v>
      </c>
      <c r="H6521">
        <v>0</v>
      </c>
    </row>
    <row r="6522" spans="1:9" x14ac:dyDescent="0.2">
      <c r="A6522" t="str">
        <f t="shared" si="348"/>
        <v>41609Tiahura1288PoritidaeDessous</v>
      </c>
      <c r="B6522" s="1">
        <v>41609</v>
      </c>
      <c r="C6522" t="s">
        <v>24</v>
      </c>
      <c r="D6522" s="19">
        <v>12</v>
      </c>
      <c r="E6522">
        <v>88</v>
      </c>
      <c r="F6522" t="s">
        <v>7</v>
      </c>
      <c r="G6522" t="s">
        <v>8</v>
      </c>
      <c r="H6522">
        <v>4</v>
      </c>
      <c r="I6522" t="s">
        <v>27</v>
      </c>
    </row>
    <row r="6523" spans="1:9" x14ac:dyDescent="0.2">
      <c r="A6523" t="str">
        <f t="shared" si="348"/>
        <v>41609Tiahura1289PoritidaeDessous</v>
      </c>
      <c r="B6523" s="1">
        <v>41609</v>
      </c>
      <c r="C6523" t="s">
        <v>24</v>
      </c>
      <c r="D6523" s="19">
        <v>12</v>
      </c>
      <c r="E6523">
        <v>89</v>
      </c>
      <c r="F6523" t="s">
        <v>7</v>
      </c>
      <c r="G6523" t="s">
        <v>8</v>
      </c>
      <c r="H6523">
        <v>1</v>
      </c>
      <c r="I6523" t="s">
        <v>27</v>
      </c>
    </row>
    <row r="6524" spans="1:9" x14ac:dyDescent="0.2">
      <c r="A6524" t="str">
        <f t="shared" si="348"/>
        <v>41609Tiahura1290Autres</v>
      </c>
      <c r="B6524" s="1">
        <v>41609</v>
      </c>
      <c r="C6524" t="s">
        <v>24</v>
      </c>
      <c r="D6524" s="19">
        <v>12</v>
      </c>
      <c r="E6524">
        <v>90</v>
      </c>
      <c r="F6524" t="s">
        <v>14</v>
      </c>
      <c r="H6524">
        <v>0</v>
      </c>
    </row>
    <row r="6525" spans="1:9" x14ac:dyDescent="0.2">
      <c r="A6525" t="str">
        <f t="shared" si="348"/>
        <v>41609Tiahura1291PocilloporidaeDessous</v>
      </c>
      <c r="B6525" s="1">
        <v>41609</v>
      </c>
      <c r="C6525" t="s">
        <v>24</v>
      </c>
      <c r="D6525" s="19">
        <v>12</v>
      </c>
      <c r="E6525">
        <v>91</v>
      </c>
      <c r="F6525" t="s">
        <v>10</v>
      </c>
      <c r="G6525" t="s">
        <v>8</v>
      </c>
      <c r="H6525">
        <v>1</v>
      </c>
      <c r="I6525" t="s">
        <v>27</v>
      </c>
    </row>
    <row r="6526" spans="1:9" x14ac:dyDescent="0.2">
      <c r="A6526" t="str">
        <f t="shared" si="348"/>
        <v>41609Tiahura1292PocilloporidaeDessous</v>
      </c>
      <c r="B6526" s="1">
        <v>41609</v>
      </c>
      <c r="C6526" t="s">
        <v>24</v>
      </c>
      <c r="D6526" s="19">
        <v>12</v>
      </c>
      <c r="E6526">
        <v>92</v>
      </c>
      <c r="F6526" t="s">
        <v>10</v>
      </c>
      <c r="G6526" t="s">
        <v>8</v>
      </c>
      <c r="H6526">
        <v>1</v>
      </c>
      <c r="I6526" t="s">
        <v>27</v>
      </c>
    </row>
    <row r="6527" spans="1:9" x14ac:dyDescent="0.2">
      <c r="A6527" t="str">
        <f t="shared" ref="A6527:A6590" si="349">B6527 &amp; C6527&amp; D6527&amp; E6527 &amp; F6527 &amp;G6527</f>
        <v>41609Tiahura1293Autres</v>
      </c>
      <c r="B6527" s="1">
        <v>41609</v>
      </c>
      <c r="C6527" t="s">
        <v>24</v>
      </c>
      <c r="D6527" s="19">
        <v>12</v>
      </c>
      <c r="E6527">
        <v>93</v>
      </c>
      <c r="F6527" t="s">
        <v>14</v>
      </c>
      <c r="H6527">
        <v>0</v>
      </c>
    </row>
    <row r="6528" spans="1:9" x14ac:dyDescent="0.2">
      <c r="A6528" t="str">
        <f t="shared" si="349"/>
        <v>41609Tiahura1294Autres</v>
      </c>
      <c r="B6528" s="1">
        <v>41609</v>
      </c>
      <c r="C6528" t="s">
        <v>24</v>
      </c>
      <c r="D6528" s="19">
        <v>12</v>
      </c>
      <c r="E6528">
        <v>94</v>
      </c>
      <c r="F6528" t="s">
        <v>14</v>
      </c>
      <c r="H6528">
        <v>0</v>
      </c>
    </row>
    <row r="6529" spans="1:9" x14ac:dyDescent="0.2">
      <c r="A6529" t="str">
        <f t="shared" si="349"/>
        <v>41609Tiahura1295Autres</v>
      </c>
      <c r="B6529" s="1">
        <v>41609</v>
      </c>
      <c r="C6529" t="s">
        <v>24</v>
      </c>
      <c r="D6529" s="19">
        <v>12</v>
      </c>
      <c r="E6529">
        <v>95</v>
      </c>
      <c r="F6529" t="s">
        <v>14</v>
      </c>
      <c r="H6529">
        <v>0</v>
      </c>
    </row>
    <row r="6530" spans="1:9" x14ac:dyDescent="0.2">
      <c r="A6530" t="str">
        <f t="shared" si="349"/>
        <v>41609Tiahura1296Autres</v>
      </c>
      <c r="B6530" s="1">
        <v>41609</v>
      </c>
      <c r="C6530" t="s">
        <v>24</v>
      </c>
      <c r="D6530" s="19">
        <v>12</v>
      </c>
      <c r="E6530">
        <v>96</v>
      </c>
      <c r="F6530" t="s">
        <v>14</v>
      </c>
      <c r="H6530">
        <v>0</v>
      </c>
    </row>
    <row r="6531" spans="1:9" x14ac:dyDescent="0.2">
      <c r="A6531" t="str">
        <f t="shared" si="349"/>
        <v>41609Tiahura1297PocilloporidaeDessous</v>
      </c>
      <c r="B6531" s="1">
        <v>41609</v>
      </c>
      <c r="C6531" t="s">
        <v>24</v>
      </c>
      <c r="D6531" s="19">
        <v>12</v>
      </c>
      <c r="E6531">
        <v>97</v>
      </c>
      <c r="F6531" t="s">
        <v>10</v>
      </c>
      <c r="G6531" t="s">
        <v>8</v>
      </c>
      <c r="H6531">
        <v>1</v>
      </c>
      <c r="I6531" t="s">
        <v>27</v>
      </c>
    </row>
    <row r="6532" spans="1:9" x14ac:dyDescent="0.2">
      <c r="A6532" t="str">
        <f t="shared" si="349"/>
        <v>41609Tiahura1298PocilloporidaeDessous</v>
      </c>
      <c r="B6532" s="1">
        <v>41609</v>
      </c>
      <c r="C6532" t="s">
        <v>24</v>
      </c>
      <c r="D6532" s="19">
        <v>12</v>
      </c>
      <c r="E6532">
        <v>98</v>
      </c>
      <c r="F6532" t="s">
        <v>10</v>
      </c>
      <c r="G6532" t="s">
        <v>8</v>
      </c>
      <c r="H6532">
        <v>2</v>
      </c>
      <c r="I6532" t="s">
        <v>27</v>
      </c>
    </row>
    <row r="6533" spans="1:9" x14ac:dyDescent="0.2">
      <c r="A6533" t="str">
        <f t="shared" si="349"/>
        <v>41609Tiahura1299Autres</v>
      </c>
      <c r="B6533" s="1">
        <v>41609</v>
      </c>
      <c r="C6533" t="s">
        <v>24</v>
      </c>
      <c r="D6533" s="19">
        <v>12</v>
      </c>
      <c r="E6533">
        <v>99</v>
      </c>
      <c r="F6533" t="s">
        <v>14</v>
      </c>
      <c r="H6533">
        <v>0</v>
      </c>
    </row>
    <row r="6534" spans="1:9" x14ac:dyDescent="0.2">
      <c r="A6534" t="str">
        <f t="shared" si="349"/>
        <v>41609Tiahura12100PocilloporidaeBords</v>
      </c>
      <c r="B6534" s="1">
        <v>41609</v>
      </c>
      <c r="C6534" t="s">
        <v>24</v>
      </c>
      <c r="D6534" s="19">
        <v>12</v>
      </c>
      <c r="E6534">
        <v>100</v>
      </c>
      <c r="F6534" t="s">
        <v>10</v>
      </c>
      <c r="G6534" t="s">
        <v>13</v>
      </c>
      <c r="H6534">
        <v>1</v>
      </c>
      <c r="I6534" t="s">
        <v>27</v>
      </c>
    </row>
    <row r="6535" spans="1:9" x14ac:dyDescent="0.2">
      <c r="A6535" t="str">
        <f t="shared" si="349"/>
        <v>41609Tiahura12100PoritidaeDessous</v>
      </c>
      <c r="B6535" s="1">
        <v>41609</v>
      </c>
      <c r="C6535" t="s">
        <v>24</v>
      </c>
      <c r="D6535" s="19">
        <v>12</v>
      </c>
      <c r="E6535">
        <v>100</v>
      </c>
      <c r="F6535" t="s">
        <v>7</v>
      </c>
      <c r="G6535" t="s">
        <v>8</v>
      </c>
      <c r="H6535">
        <v>1</v>
      </c>
      <c r="I6535" t="s">
        <v>27</v>
      </c>
    </row>
    <row r="6536" spans="1:9" x14ac:dyDescent="0.2">
      <c r="A6536" t="str">
        <f t="shared" si="349"/>
        <v>41609Tiahura18101PocilloporidaeDessus</v>
      </c>
      <c r="B6536" s="1">
        <v>41609</v>
      </c>
      <c r="C6536" t="s">
        <v>24</v>
      </c>
      <c r="D6536" s="19">
        <v>18</v>
      </c>
      <c r="E6536">
        <v>101</v>
      </c>
      <c r="F6536" t="s">
        <v>10</v>
      </c>
      <c r="G6536" t="s">
        <v>11</v>
      </c>
      <c r="H6536">
        <v>1</v>
      </c>
      <c r="I6536" t="s">
        <v>27</v>
      </c>
    </row>
    <row r="6537" spans="1:9" x14ac:dyDescent="0.2">
      <c r="A6537" t="str">
        <f t="shared" si="349"/>
        <v>41609Tiahura18102Autres</v>
      </c>
      <c r="B6537" s="1">
        <v>41609</v>
      </c>
      <c r="C6537" t="s">
        <v>24</v>
      </c>
      <c r="D6537" s="19">
        <v>18</v>
      </c>
      <c r="E6537">
        <v>102</v>
      </c>
      <c r="F6537" t="s">
        <v>14</v>
      </c>
      <c r="H6537">
        <v>0</v>
      </c>
    </row>
    <row r="6538" spans="1:9" x14ac:dyDescent="0.2">
      <c r="A6538" t="str">
        <f t="shared" si="349"/>
        <v>41609Tiahura18103PoritidaeDessous</v>
      </c>
      <c r="B6538" s="1">
        <v>41609</v>
      </c>
      <c r="C6538" t="s">
        <v>24</v>
      </c>
      <c r="D6538" s="19">
        <v>18</v>
      </c>
      <c r="E6538">
        <v>103</v>
      </c>
      <c r="F6538" t="s">
        <v>7</v>
      </c>
      <c r="G6538" t="s">
        <v>8</v>
      </c>
      <c r="H6538">
        <v>1</v>
      </c>
      <c r="I6538" t="s">
        <v>27</v>
      </c>
    </row>
    <row r="6539" spans="1:9" x14ac:dyDescent="0.2">
      <c r="A6539" t="str">
        <f t="shared" si="349"/>
        <v>41609Tiahura18104Autres</v>
      </c>
      <c r="B6539" s="1">
        <v>41609</v>
      </c>
      <c r="C6539" t="s">
        <v>24</v>
      </c>
      <c r="D6539" s="19">
        <v>18</v>
      </c>
      <c r="E6539">
        <v>104</v>
      </c>
      <c r="F6539" t="s">
        <v>14</v>
      </c>
      <c r="H6539">
        <v>0</v>
      </c>
    </row>
    <row r="6540" spans="1:9" x14ac:dyDescent="0.2">
      <c r="A6540" t="str">
        <f t="shared" si="349"/>
        <v>41609Tiahura18105Autres</v>
      </c>
      <c r="B6540" s="1">
        <v>41609</v>
      </c>
      <c r="C6540" t="s">
        <v>24</v>
      </c>
      <c r="D6540" s="19">
        <v>18</v>
      </c>
      <c r="E6540">
        <v>105</v>
      </c>
      <c r="F6540" t="s">
        <v>14</v>
      </c>
      <c r="H6540">
        <v>0</v>
      </c>
    </row>
    <row r="6541" spans="1:9" x14ac:dyDescent="0.2">
      <c r="A6541" t="str">
        <f t="shared" si="349"/>
        <v>41609Tiahura18106PoritidaeBords</v>
      </c>
      <c r="B6541" s="1">
        <v>41609</v>
      </c>
      <c r="C6541" t="s">
        <v>24</v>
      </c>
      <c r="D6541" s="19">
        <v>18</v>
      </c>
      <c r="E6541">
        <v>106</v>
      </c>
      <c r="F6541" t="s">
        <v>7</v>
      </c>
      <c r="G6541" t="s">
        <v>13</v>
      </c>
      <c r="H6541">
        <v>2</v>
      </c>
      <c r="I6541" t="s">
        <v>27</v>
      </c>
    </row>
    <row r="6542" spans="1:9" x14ac:dyDescent="0.2">
      <c r="A6542" t="str">
        <f t="shared" si="349"/>
        <v>41609Tiahura18107Autres</v>
      </c>
      <c r="B6542" s="1">
        <v>41609</v>
      </c>
      <c r="C6542" t="s">
        <v>24</v>
      </c>
      <c r="D6542" s="19">
        <v>18</v>
      </c>
      <c r="E6542">
        <v>107</v>
      </c>
      <c r="F6542" t="s">
        <v>14</v>
      </c>
      <c r="H6542">
        <v>0</v>
      </c>
    </row>
    <row r="6543" spans="1:9" x14ac:dyDescent="0.2">
      <c r="A6543" t="str">
        <f t="shared" si="349"/>
        <v>41609Tiahura18108Autres</v>
      </c>
      <c r="B6543" s="1">
        <v>41609</v>
      </c>
      <c r="C6543" t="s">
        <v>24</v>
      </c>
      <c r="D6543" s="19">
        <v>18</v>
      </c>
      <c r="E6543">
        <v>108</v>
      </c>
      <c r="F6543" t="s">
        <v>14</v>
      </c>
      <c r="H6543">
        <v>0</v>
      </c>
    </row>
    <row r="6544" spans="1:9" x14ac:dyDescent="0.2">
      <c r="A6544" t="str">
        <f t="shared" si="349"/>
        <v>41609Tiahura18109Autres</v>
      </c>
      <c r="B6544" s="1">
        <v>41609</v>
      </c>
      <c r="C6544" t="s">
        <v>24</v>
      </c>
      <c r="D6544" s="19">
        <v>18</v>
      </c>
      <c r="E6544">
        <v>109</v>
      </c>
      <c r="F6544" t="s">
        <v>14</v>
      </c>
      <c r="H6544">
        <v>0</v>
      </c>
    </row>
    <row r="6545" spans="1:9" x14ac:dyDescent="0.2">
      <c r="A6545" t="str">
        <f t="shared" si="349"/>
        <v>41609Tiahura18110Autres</v>
      </c>
      <c r="B6545" s="1">
        <v>41609</v>
      </c>
      <c r="C6545" t="s">
        <v>24</v>
      </c>
      <c r="D6545" s="19">
        <v>18</v>
      </c>
      <c r="E6545">
        <v>110</v>
      </c>
      <c r="F6545" t="s">
        <v>14</v>
      </c>
      <c r="H6545">
        <v>0</v>
      </c>
    </row>
    <row r="6546" spans="1:9" x14ac:dyDescent="0.2">
      <c r="A6546" t="str">
        <f t="shared" si="349"/>
        <v>41609Tiahura18111PocilloporidaeDessus</v>
      </c>
      <c r="B6546" s="1">
        <v>41609</v>
      </c>
      <c r="C6546" t="s">
        <v>24</v>
      </c>
      <c r="D6546" s="19">
        <v>18</v>
      </c>
      <c r="E6546">
        <v>111</v>
      </c>
      <c r="F6546" t="s">
        <v>10</v>
      </c>
      <c r="G6546" t="s">
        <v>11</v>
      </c>
      <c r="H6546">
        <v>1</v>
      </c>
      <c r="I6546" t="s">
        <v>27</v>
      </c>
    </row>
    <row r="6547" spans="1:9" x14ac:dyDescent="0.2">
      <c r="A6547" t="str">
        <f t="shared" si="349"/>
        <v>41609Tiahura18111PoritidaeBords</v>
      </c>
      <c r="B6547" s="1">
        <v>41609</v>
      </c>
      <c r="C6547" t="s">
        <v>24</v>
      </c>
      <c r="D6547" s="19">
        <v>18</v>
      </c>
      <c r="E6547">
        <v>111</v>
      </c>
      <c r="F6547" t="s">
        <v>7</v>
      </c>
      <c r="G6547" t="s">
        <v>13</v>
      </c>
      <c r="H6547">
        <v>1</v>
      </c>
      <c r="I6547" t="s">
        <v>27</v>
      </c>
    </row>
    <row r="6548" spans="1:9" x14ac:dyDescent="0.2">
      <c r="A6548" t="str">
        <f t="shared" si="349"/>
        <v>41609Tiahura18112Autres</v>
      </c>
      <c r="B6548" s="1">
        <v>41609</v>
      </c>
      <c r="C6548" t="s">
        <v>24</v>
      </c>
      <c r="D6548" s="19">
        <v>18</v>
      </c>
      <c r="E6548">
        <v>112</v>
      </c>
      <c r="F6548" t="s">
        <v>14</v>
      </c>
      <c r="H6548">
        <v>0</v>
      </c>
    </row>
    <row r="6549" spans="1:9" x14ac:dyDescent="0.2">
      <c r="A6549" t="str">
        <f t="shared" si="349"/>
        <v>41609Tiahura18113PocilloporidaeDessous</v>
      </c>
      <c r="B6549" s="1">
        <v>41609</v>
      </c>
      <c r="C6549" t="s">
        <v>24</v>
      </c>
      <c r="D6549" s="19">
        <v>18</v>
      </c>
      <c r="E6549">
        <v>113</v>
      </c>
      <c r="F6549" t="s">
        <v>10</v>
      </c>
      <c r="G6549" t="s">
        <v>8</v>
      </c>
      <c r="H6549">
        <v>1</v>
      </c>
      <c r="I6549" t="s">
        <v>27</v>
      </c>
    </row>
    <row r="6550" spans="1:9" x14ac:dyDescent="0.2">
      <c r="A6550" t="str">
        <f t="shared" si="349"/>
        <v>41609Tiahura18114PocilloporidaeBords</v>
      </c>
      <c r="B6550" s="1">
        <v>41609</v>
      </c>
      <c r="C6550" t="s">
        <v>24</v>
      </c>
      <c r="D6550" s="19">
        <v>18</v>
      </c>
      <c r="E6550">
        <v>114</v>
      </c>
      <c r="F6550" t="s">
        <v>10</v>
      </c>
      <c r="G6550" t="s">
        <v>13</v>
      </c>
      <c r="H6550">
        <v>2</v>
      </c>
      <c r="I6550" t="s">
        <v>27</v>
      </c>
    </row>
    <row r="6551" spans="1:9" x14ac:dyDescent="0.2">
      <c r="A6551" t="str">
        <f t="shared" si="349"/>
        <v>41609Tiahura18114PoritidaeBords</v>
      </c>
      <c r="B6551" s="1">
        <v>41609</v>
      </c>
      <c r="C6551" t="s">
        <v>24</v>
      </c>
      <c r="D6551" s="19">
        <v>18</v>
      </c>
      <c r="E6551">
        <v>114</v>
      </c>
      <c r="F6551" t="s">
        <v>7</v>
      </c>
      <c r="G6551" t="s">
        <v>13</v>
      </c>
      <c r="H6551">
        <v>2</v>
      </c>
      <c r="I6551" t="s">
        <v>27</v>
      </c>
    </row>
    <row r="6552" spans="1:9" x14ac:dyDescent="0.2">
      <c r="A6552" t="str">
        <f t="shared" si="349"/>
        <v>41609Tiahura18115PocilloporidaeBords</v>
      </c>
      <c r="B6552" s="1">
        <v>41609</v>
      </c>
      <c r="C6552" t="s">
        <v>24</v>
      </c>
      <c r="D6552" s="19">
        <v>18</v>
      </c>
      <c r="E6552">
        <v>115</v>
      </c>
      <c r="F6552" t="s">
        <v>10</v>
      </c>
      <c r="G6552" t="s">
        <v>13</v>
      </c>
      <c r="H6552">
        <v>1</v>
      </c>
      <c r="I6552" t="s">
        <v>27</v>
      </c>
    </row>
    <row r="6553" spans="1:9" x14ac:dyDescent="0.2">
      <c r="A6553" t="str">
        <f t="shared" si="349"/>
        <v>41609Tiahura18115PoritidaeBords</v>
      </c>
      <c r="B6553" s="1">
        <v>41609</v>
      </c>
      <c r="C6553" t="s">
        <v>24</v>
      </c>
      <c r="D6553" s="19">
        <v>18</v>
      </c>
      <c r="E6553">
        <v>115</v>
      </c>
      <c r="F6553" t="s">
        <v>7</v>
      </c>
      <c r="G6553" t="s">
        <v>13</v>
      </c>
      <c r="H6553">
        <v>1</v>
      </c>
      <c r="I6553" t="s">
        <v>27</v>
      </c>
    </row>
    <row r="6554" spans="1:9" x14ac:dyDescent="0.2">
      <c r="A6554" t="str">
        <f t="shared" si="349"/>
        <v>41609Tiahura18116PoritidaeDessus</v>
      </c>
      <c r="B6554" s="1">
        <v>41609</v>
      </c>
      <c r="C6554" t="s">
        <v>24</v>
      </c>
      <c r="D6554" s="19">
        <v>18</v>
      </c>
      <c r="E6554">
        <v>116</v>
      </c>
      <c r="F6554" t="s">
        <v>7</v>
      </c>
      <c r="G6554" t="s">
        <v>11</v>
      </c>
      <c r="H6554">
        <v>1</v>
      </c>
      <c r="I6554" t="s">
        <v>27</v>
      </c>
    </row>
    <row r="6555" spans="1:9" x14ac:dyDescent="0.2">
      <c r="A6555" t="str">
        <f t="shared" si="349"/>
        <v>41609Tiahura18117Autres</v>
      </c>
      <c r="B6555" s="1">
        <v>41609</v>
      </c>
      <c r="C6555" t="s">
        <v>24</v>
      </c>
      <c r="D6555" s="19">
        <v>18</v>
      </c>
      <c r="E6555">
        <v>117</v>
      </c>
      <c r="F6555" t="s">
        <v>14</v>
      </c>
      <c r="H6555">
        <v>0</v>
      </c>
    </row>
    <row r="6556" spans="1:9" x14ac:dyDescent="0.2">
      <c r="A6556" t="str">
        <f t="shared" si="349"/>
        <v>41609Tiahura18118Autres</v>
      </c>
      <c r="B6556" s="1">
        <v>41609</v>
      </c>
      <c r="C6556" t="s">
        <v>24</v>
      </c>
      <c r="D6556" s="19">
        <v>18</v>
      </c>
      <c r="E6556">
        <v>118</v>
      </c>
      <c r="F6556" t="s">
        <v>14</v>
      </c>
      <c r="H6556">
        <v>0</v>
      </c>
    </row>
    <row r="6557" spans="1:9" x14ac:dyDescent="0.2">
      <c r="A6557" t="str">
        <f t="shared" si="349"/>
        <v>41609Tiahura18119Autres</v>
      </c>
      <c r="B6557" s="1">
        <v>41609</v>
      </c>
      <c r="C6557" t="s">
        <v>24</v>
      </c>
      <c r="D6557" s="19">
        <v>18</v>
      </c>
      <c r="E6557">
        <v>119</v>
      </c>
      <c r="F6557" t="s">
        <v>14</v>
      </c>
      <c r="H6557">
        <v>0</v>
      </c>
    </row>
    <row r="6558" spans="1:9" x14ac:dyDescent="0.2">
      <c r="A6558" t="str">
        <f t="shared" si="349"/>
        <v>41609Tiahura18120Autres</v>
      </c>
      <c r="B6558" s="1">
        <v>41609</v>
      </c>
      <c r="C6558" t="s">
        <v>24</v>
      </c>
      <c r="D6558" s="19">
        <v>18</v>
      </c>
      <c r="E6558">
        <v>120</v>
      </c>
      <c r="F6558" t="s">
        <v>14</v>
      </c>
      <c r="H6558">
        <v>0</v>
      </c>
    </row>
    <row r="6559" spans="1:9" x14ac:dyDescent="0.2">
      <c r="A6559" t="str">
        <f t="shared" si="349"/>
        <v>41609Haapiti6121Autres</v>
      </c>
      <c r="B6559" s="1">
        <v>41609</v>
      </c>
      <c r="C6559" t="s">
        <v>25</v>
      </c>
      <c r="D6559" s="19">
        <v>6</v>
      </c>
      <c r="E6559">
        <v>121</v>
      </c>
      <c r="F6559" t="s">
        <v>14</v>
      </c>
      <c r="H6559">
        <v>0</v>
      </c>
    </row>
    <row r="6560" spans="1:9" x14ac:dyDescent="0.2">
      <c r="A6560" t="str">
        <f t="shared" si="349"/>
        <v>41609Haapiti6122Autres</v>
      </c>
      <c r="B6560" s="1">
        <v>41609</v>
      </c>
      <c r="C6560" t="s">
        <v>25</v>
      </c>
      <c r="D6560" s="19">
        <v>6</v>
      </c>
      <c r="E6560">
        <v>122</v>
      </c>
      <c r="F6560" t="s">
        <v>14</v>
      </c>
      <c r="H6560">
        <v>0</v>
      </c>
    </row>
    <row r="6561" spans="1:9" x14ac:dyDescent="0.2">
      <c r="A6561" t="str">
        <f t="shared" si="349"/>
        <v>41609Haapiti6123Autres</v>
      </c>
      <c r="B6561" s="1">
        <v>41609</v>
      </c>
      <c r="C6561" t="s">
        <v>25</v>
      </c>
      <c r="D6561" s="19">
        <v>6</v>
      </c>
      <c r="E6561">
        <v>123</v>
      </c>
      <c r="F6561" t="s">
        <v>14</v>
      </c>
      <c r="H6561">
        <v>0</v>
      </c>
    </row>
    <row r="6562" spans="1:9" x14ac:dyDescent="0.2">
      <c r="A6562" t="str">
        <f t="shared" si="349"/>
        <v>41609Haapiti6124Autres</v>
      </c>
      <c r="B6562" s="1">
        <v>41609</v>
      </c>
      <c r="C6562" t="s">
        <v>25</v>
      </c>
      <c r="D6562" s="19">
        <v>6</v>
      </c>
      <c r="E6562">
        <v>124</v>
      </c>
      <c r="F6562" t="s">
        <v>14</v>
      </c>
      <c r="H6562">
        <v>0</v>
      </c>
    </row>
    <row r="6563" spans="1:9" x14ac:dyDescent="0.2">
      <c r="A6563" t="str">
        <f t="shared" si="349"/>
        <v>41609Haapiti6125Autres</v>
      </c>
      <c r="B6563" s="1">
        <v>41609</v>
      </c>
      <c r="C6563" t="s">
        <v>25</v>
      </c>
      <c r="D6563" s="19">
        <v>6</v>
      </c>
      <c r="E6563">
        <v>125</v>
      </c>
      <c r="F6563" t="s">
        <v>14</v>
      </c>
      <c r="H6563">
        <v>0</v>
      </c>
    </row>
    <row r="6564" spans="1:9" x14ac:dyDescent="0.2">
      <c r="A6564" t="str">
        <f t="shared" si="349"/>
        <v>41609Haapiti6126</v>
      </c>
      <c r="B6564" s="1">
        <v>41609</v>
      </c>
      <c r="C6564" t="s">
        <v>25</v>
      </c>
      <c r="D6564" s="19">
        <v>6</v>
      </c>
      <c r="E6564">
        <v>126</v>
      </c>
      <c r="F6564" t="s">
        <v>27</v>
      </c>
      <c r="G6564" t="s">
        <v>27</v>
      </c>
      <c r="H6564" t="s">
        <v>27</v>
      </c>
      <c r="I6564" t="s">
        <v>31</v>
      </c>
    </row>
    <row r="6565" spans="1:9" x14ac:dyDescent="0.2">
      <c r="A6565" t="str">
        <f t="shared" si="349"/>
        <v>41609Haapiti6127Autres</v>
      </c>
      <c r="B6565" s="1">
        <v>41609</v>
      </c>
      <c r="C6565" t="s">
        <v>25</v>
      </c>
      <c r="D6565" s="19">
        <v>6</v>
      </c>
      <c r="E6565">
        <v>127</v>
      </c>
      <c r="F6565" t="s">
        <v>14</v>
      </c>
      <c r="H6565">
        <v>0</v>
      </c>
    </row>
    <row r="6566" spans="1:9" x14ac:dyDescent="0.2">
      <c r="A6566" t="str">
        <f t="shared" si="349"/>
        <v>41609Haapiti6128Autres</v>
      </c>
      <c r="B6566" s="1">
        <v>41609</v>
      </c>
      <c r="C6566" t="s">
        <v>25</v>
      </c>
      <c r="D6566" s="19">
        <v>6</v>
      </c>
      <c r="E6566">
        <v>128</v>
      </c>
      <c r="F6566" t="s">
        <v>14</v>
      </c>
      <c r="H6566">
        <v>0</v>
      </c>
    </row>
    <row r="6567" spans="1:9" x14ac:dyDescent="0.2">
      <c r="A6567" t="str">
        <f t="shared" si="349"/>
        <v>41609Haapiti6129PocilloporidaeDessous</v>
      </c>
      <c r="B6567" s="1">
        <v>41609</v>
      </c>
      <c r="C6567" t="s">
        <v>25</v>
      </c>
      <c r="D6567" s="19">
        <v>6</v>
      </c>
      <c r="E6567">
        <v>129</v>
      </c>
      <c r="F6567" t="s">
        <v>10</v>
      </c>
      <c r="G6567" t="s">
        <v>8</v>
      </c>
      <c r="H6567">
        <v>1</v>
      </c>
      <c r="I6567" t="s">
        <v>27</v>
      </c>
    </row>
    <row r="6568" spans="1:9" x14ac:dyDescent="0.2">
      <c r="A6568" t="str">
        <f t="shared" si="349"/>
        <v>41609Haapiti6130Autres</v>
      </c>
      <c r="B6568" s="1">
        <v>41609</v>
      </c>
      <c r="C6568" t="s">
        <v>25</v>
      </c>
      <c r="D6568" s="19">
        <v>6</v>
      </c>
      <c r="E6568">
        <v>130</v>
      </c>
      <c r="F6568" t="s">
        <v>14</v>
      </c>
      <c r="H6568">
        <v>0</v>
      </c>
    </row>
    <row r="6569" spans="1:9" x14ac:dyDescent="0.2">
      <c r="A6569" t="str">
        <f t="shared" si="349"/>
        <v>41609Haapiti6131AcroporidaeDessus</v>
      </c>
      <c r="B6569" s="1">
        <v>41609</v>
      </c>
      <c r="C6569" t="s">
        <v>25</v>
      </c>
      <c r="D6569" s="19">
        <v>6</v>
      </c>
      <c r="E6569">
        <v>131</v>
      </c>
      <c r="F6569" t="s">
        <v>17</v>
      </c>
      <c r="G6569" t="s">
        <v>11</v>
      </c>
      <c r="H6569">
        <v>1</v>
      </c>
      <c r="I6569" t="s">
        <v>27</v>
      </c>
    </row>
    <row r="6570" spans="1:9" x14ac:dyDescent="0.2">
      <c r="A6570" t="str">
        <f t="shared" si="349"/>
        <v>41609Haapiti6132Autres</v>
      </c>
      <c r="B6570" s="1">
        <v>41609</v>
      </c>
      <c r="C6570" t="s">
        <v>25</v>
      </c>
      <c r="D6570" s="19">
        <v>6</v>
      </c>
      <c r="E6570">
        <v>132</v>
      </c>
      <c r="F6570" t="s">
        <v>14</v>
      </c>
      <c r="H6570">
        <v>0</v>
      </c>
    </row>
    <row r="6571" spans="1:9" x14ac:dyDescent="0.2">
      <c r="A6571" t="str">
        <f t="shared" si="349"/>
        <v>41609Haapiti6133Autres</v>
      </c>
      <c r="B6571" s="1">
        <v>41609</v>
      </c>
      <c r="C6571" t="s">
        <v>25</v>
      </c>
      <c r="D6571" s="19">
        <v>6</v>
      </c>
      <c r="E6571">
        <v>133</v>
      </c>
      <c r="F6571" t="s">
        <v>14</v>
      </c>
      <c r="H6571">
        <v>0</v>
      </c>
    </row>
    <row r="6572" spans="1:9" x14ac:dyDescent="0.2">
      <c r="A6572" t="str">
        <f t="shared" si="349"/>
        <v>41609Haapiti6134Autres</v>
      </c>
      <c r="B6572" s="1">
        <v>41609</v>
      </c>
      <c r="C6572" t="s">
        <v>25</v>
      </c>
      <c r="D6572" s="19">
        <v>6</v>
      </c>
      <c r="E6572">
        <v>134</v>
      </c>
      <c r="F6572" t="s">
        <v>14</v>
      </c>
      <c r="H6572">
        <v>0</v>
      </c>
    </row>
    <row r="6573" spans="1:9" x14ac:dyDescent="0.2">
      <c r="A6573" t="str">
        <f t="shared" si="349"/>
        <v>41609Haapiti6135Autres</v>
      </c>
      <c r="B6573" s="1">
        <v>41609</v>
      </c>
      <c r="C6573" t="s">
        <v>25</v>
      </c>
      <c r="D6573" s="19">
        <v>6</v>
      </c>
      <c r="E6573">
        <v>135</v>
      </c>
      <c r="F6573" t="s">
        <v>14</v>
      </c>
      <c r="H6573">
        <v>0</v>
      </c>
    </row>
    <row r="6574" spans="1:9" x14ac:dyDescent="0.2">
      <c r="A6574" t="str">
        <f t="shared" si="349"/>
        <v>41609Haapiti6136Autres</v>
      </c>
      <c r="B6574" s="1">
        <v>41609</v>
      </c>
      <c r="C6574" t="s">
        <v>25</v>
      </c>
      <c r="D6574" s="19">
        <v>6</v>
      </c>
      <c r="E6574">
        <v>136</v>
      </c>
      <c r="F6574" t="s">
        <v>14</v>
      </c>
      <c r="H6574">
        <v>0</v>
      </c>
    </row>
    <row r="6575" spans="1:9" x14ac:dyDescent="0.2">
      <c r="A6575" t="str">
        <f t="shared" si="349"/>
        <v>41609Haapiti6137Autres</v>
      </c>
      <c r="B6575" s="1">
        <v>41609</v>
      </c>
      <c r="C6575" t="s">
        <v>25</v>
      </c>
      <c r="D6575" s="19">
        <v>6</v>
      </c>
      <c r="E6575">
        <v>137</v>
      </c>
      <c r="F6575" t="s">
        <v>14</v>
      </c>
      <c r="H6575">
        <v>0</v>
      </c>
    </row>
    <row r="6576" spans="1:9" x14ac:dyDescent="0.2">
      <c r="A6576" t="str">
        <f t="shared" si="349"/>
        <v>41609Haapiti6138Autres</v>
      </c>
      <c r="B6576" s="1">
        <v>41609</v>
      </c>
      <c r="C6576" t="s">
        <v>25</v>
      </c>
      <c r="D6576" s="19">
        <v>6</v>
      </c>
      <c r="E6576">
        <v>138</v>
      </c>
      <c r="F6576" t="s">
        <v>14</v>
      </c>
      <c r="H6576">
        <v>0</v>
      </c>
    </row>
    <row r="6577" spans="1:9" x14ac:dyDescent="0.2">
      <c r="A6577" t="str">
        <f t="shared" si="349"/>
        <v>41609Haapiti6139Autres</v>
      </c>
      <c r="B6577" s="1">
        <v>41609</v>
      </c>
      <c r="C6577" t="s">
        <v>25</v>
      </c>
      <c r="D6577" s="19">
        <v>6</v>
      </c>
      <c r="E6577">
        <v>139</v>
      </c>
      <c r="F6577" t="s">
        <v>14</v>
      </c>
      <c r="H6577">
        <v>0</v>
      </c>
    </row>
    <row r="6578" spans="1:9" x14ac:dyDescent="0.2">
      <c r="A6578" t="str">
        <f t="shared" si="349"/>
        <v>41609Haapiti6140Autres</v>
      </c>
      <c r="B6578" s="1">
        <v>41609</v>
      </c>
      <c r="C6578" t="s">
        <v>25</v>
      </c>
      <c r="D6578" s="19">
        <v>6</v>
      </c>
      <c r="E6578">
        <v>140</v>
      </c>
      <c r="F6578" t="s">
        <v>14</v>
      </c>
      <c r="H6578">
        <v>0</v>
      </c>
    </row>
    <row r="6579" spans="1:9" x14ac:dyDescent="0.2">
      <c r="A6579" t="str">
        <f t="shared" si="349"/>
        <v>41609Haapiti12141Autres</v>
      </c>
      <c r="B6579" s="1">
        <v>41609</v>
      </c>
      <c r="C6579" t="s">
        <v>25</v>
      </c>
      <c r="D6579" s="19">
        <v>12</v>
      </c>
      <c r="E6579">
        <v>141</v>
      </c>
      <c r="F6579" t="s">
        <v>14</v>
      </c>
      <c r="H6579">
        <v>0</v>
      </c>
    </row>
    <row r="6580" spans="1:9" x14ac:dyDescent="0.2">
      <c r="A6580" t="str">
        <f t="shared" si="349"/>
        <v>41609Haapiti12142Autres</v>
      </c>
      <c r="B6580" s="1">
        <v>41609</v>
      </c>
      <c r="C6580" t="s">
        <v>25</v>
      </c>
      <c r="D6580" s="19">
        <v>12</v>
      </c>
      <c r="E6580">
        <v>142</v>
      </c>
      <c r="F6580" t="s">
        <v>14</v>
      </c>
      <c r="H6580">
        <v>0</v>
      </c>
    </row>
    <row r="6581" spans="1:9" x14ac:dyDescent="0.2">
      <c r="A6581" t="str">
        <f t="shared" si="349"/>
        <v>41609Haapiti12143PocilloporidaeBords</v>
      </c>
      <c r="B6581" s="1">
        <v>41609</v>
      </c>
      <c r="C6581" t="s">
        <v>25</v>
      </c>
      <c r="D6581" s="19">
        <v>12</v>
      </c>
      <c r="E6581">
        <v>143</v>
      </c>
      <c r="F6581" t="s">
        <v>10</v>
      </c>
      <c r="G6581" t="s">
        <v>13</v>
      </c>
      <c r="H6581">
        <v>1</v>
      </c>
      <c r="I6581" t="s">
        <v>27</v>
      </c>
    </row>
    <row r="6582" spans="1:9" x14ac:dyDescent="0.2">
      <c r="A6582" t="str">
        <f t="shared" si="349"/>
        <v>41609Haapiti12144Autres</v>
      </c>
      <c r="B6582" s="1">
        <v>41609</v>
      </c>
      <c r="C6582" t="s">
        <v>25</v>
      </c>
      <c r="D6582" s="19">
        <v>12</v>
      </c>
      <c r="E6582">
        <v>144</v>
      </c>
      <c r="F6582" t="s">
        <v>14</v>
      </c>
      <c r="H6582">
        <v>0</v>
      </c>
    </row>
    <row r="6583" spans="1:9" x14ac:dyDescent="0.2">
      <c r="A6583" t="str">
        <f t="shared" si="349"/>
        <v>41609Haapiti12145Autres</v>
      </c>
      <c r="B6583" s="1">
        <v>41609</v>
      </c>
      <c r="C6583" t="s">
        <v>25</v>
      </c>
      <c r="D6583" s="19">
        <v>12</v>
      </c>
      <c r="E6583">
        <v>145</v>
      </c>
      <c r="F6583" t="s">
        <v>14</v>
      </c>
      <c r="H6583">
        <v>0</v>
      </c>
    </row>
    <row r="6584" spans="1:9" x14ac:dyDescent="0.2">
      <c r="A6584" t="str">
        <f t="shared" si="349"/>
        <v>41609Haapiti12146Autres</v>
      </c>
      <c r="B6584" s="1">
        <v>41609</v>
      </c>
      <c r="C6584" t="s">
        <v>25</v>
      </c>
      <c r="D6584" s="19">
        <v>12</v>
      </c>
      <c r="E6584">
        <v>146</v>
      </c>
      <c r="F6584" t="s">
        <v>14</v>
      </c>
      <c r="H6584">
        <v>0</v>
      </c>
    </row>
    <row r="6585" spans="1:9" x14ac:dyDescent="0.2">
      <c r="A6585" t="str">
        <f t="shared" si="349"/>
        <v>41609Haapiti12147Autres</v>
      </c>
      <c r="B6585" s="1">
        <v>41609</v>
      </c>
      <c r="C6585" t="s">
        <v>25</v>
      </c>
      <c r="D6585" s="19">
        <v>12</v>
      </c>
      <c r="E6585">
        <v>147</v>
      </c>
      <c r="F6585" t="s">
        <v>14</v>
      </c>
      <c r="H6585">
        <v>0</v>
      </c>
    </row>
    <row r="6586" spans="1:9" x14ac:dyDescent="0.2">
      <c r="A6586" t="str">
        <f t="shared" si="349"/>
        <v>41609Haapiti12148Autres</v>
      </c>
      <c r="B6586" s="1">
        <v>41609</v>
      </c>
      <c r="C6586" t="s">
        <v>25</v>
      </c>
      <c r="D6586" s="19">
        <v>12</v>
      </c>
      <c r="E6586">
        <v>148</v>
      </c>
      <c r="F6586" t="s">
        <v>14</v>
      </c>
      <c r="H6586">
        <v>0</v>
      </c>
    </row>
    <row r="6587" spans="1:9" x14ac:dyDescent="0.2">
      <c r="A6587" t="str">
        <f t="shared" si="349"/>
        <v>41609Haapiti12149Autres</v>
      </c>
      <c r="B6587" s="1">
        <v>41609</v>
      </c>
      <c r="C6587" t="s">
        <v>25</v>
      </c>
      <c r="D6587" s="19">
        <v>12</v>
      </c>
      <c r="E6587">
        <v>149</v>
      </c>
      <c r="F6587" t="s">
        <v>14</v>
      </c>
      <c r="H6587">
        <v>0</v>
      </c>
    </row>
    <row r="6588" spans="1:9" x14ac:dyDescent="0.2">
      <c r="A6588" t="str">
        <f t="shared" si="349"/>
        <v>41609Haapiti12150Autres</v>
      </c>
      <c r="B6588" s="1">
        <v>41609</v>
      </c>
      <c r="C6588" t="s">
        <v>25</v>
      </c>
      <c r="D6588" s="19">
        <v>12</v>
      </c>
      <c r="E6588">
        <v>150</v>
      </c>
      <c r="F6588" t="s">
        <v>14</v>
      </c>
      <c r="H6588">
        <v>0</v>
      </c>
    </row>
    <row r="6589" spans="1:9" x14ac:dyDescent="0.2">
      <c r="A6589" t="str">
        <f t="shared" si="349"/>
        <v>41609Haapiti12151Autres</v>
      </c>
      <c r="B6589" s="1">
        <v>41609</v>
      </c>
      <c r="C6589" t="s">
        <v>25</v>
      </c>
      <c r="D6589" s="19">
        <v>12</v>
      </c>
      <c r="E6589">
        <v>151</v>
      </c>
      <c r="F6589" t="s">
        <v>14</v>
      </c>
      <c r="H6589">
        <v>0</v>
      </c>
    </row>
    <row r="6590" spans="1:9" x14ac:dyDescent="0.2">
      <c r="A6590" t="str">
        <f t="shared" si="349"/>
        <v>41609Haapiti12152Autres</v>
      </c>
      <c r="B6590" s="1">
        <v>41609</v>
      </c>
      <c r="C6590" t="s">
        <v>25</v>
      </c>
      <c r="D6590" s="19">
        <v>12</v>
      </c>
      <c r="E6590">
        <v>152</v>
      </c>
      <c r="F6590" t="s">
        <v>14</v>
      </c>
      <c r="H6590">
        <v>0</v>
      </c>
    </row>
    <row r="6591" spans="1:9" x14ac:dyDescent="0.2">
      <c r="A6591" t="str">
        <f t="shared" ref="A6591:A6654" si="350">B6591 &amp; C6591&amp; D6591&amp; E6591 &amp; F6591 &amp;G6591</f>
        <v>41609Haapiti12153Autres</v>
      </c>
      <c r="B6591" s="1">
        <v>41609</v>
      </c>
      <c r="C6591" t="s">
        <v>25</v>
      </c>
      <c r="D6591" s="19">
        <v>12</v>
      </c>
      <c r="E6591">
        <v>153</v>
      </c>
      <c r="F6591" t="s">
        <v>14</v>
      </c>
      <c r="H6591">
        <v>0</v>
      </c>
    </row>
    <row r="6592" spans="1:9" x14ac:dyDescent="0.2">
      <c r="A6592" t="str">
        <f t="shared" si="350"/>
        <v>41609Haapiti12154Autres</v>
      </c>
      <c r="B6592" s="1">
        <v>41609</v>
      </c>
      <c r="C6592" t="s">
        <v>25</v>
      </c>
      <c r="D6592" s="19">
        <v>12</v>
      </c>
      <c r="E6592">
        <v>154</v>
      </c>
      <c r="F6592" t="s">
        <v>14</v>
      </c>
      <c r="H6592">
        <v>0</v>
      </c>
    </row>
    <row r="6593" spans="1:9" x14ac:dyDescent="0.2">
      <c r="A6593" t="str">
        <f t="shared" si="350"/>
        <v>41609Haapiti12155Autres</v>
      </c>
      <c r="B6593" s="1">
        <v>41609</v>
      </c>
      <c r="C6593" t="s">
        <v>25</v>
      </c>
      <c r="D6593" s="19">
        <v>12</v>
      </c>
      <c r="E6593">
        <v>155</v>
      </c>
      <c r="F6593" t="s">
        <v>14</v>
      </c>
      <c r="H6593">
        <v>0</v>
      </c>
    </row>
    <row r="6594" spans="1:9" x14ac:dyDescent="0.2">
      <c r="A6594" t="str">
        <f t="shared" si="350"/>
        <v>41609Haapiti12156Autres</v>
      </c>
      <c r="B6594" s="1">
        <v>41609</v>
      </c>
      <c r="C6594" t="s">
        <v>25</v>
      </c>
      <c r="D6594" s="19">
        <v>12</v>
      </c>
      <c r="E6594">
        <v>156</v>
      </c>
      <c r="F6594" t="s">
        <v>14</v>
      </c>
      <c r="H6594">
        <v>0</v>
      </c>
    </row>
    <row r="6595" spans="1:9" x14ac:dyDescent="0.2">
      <c r="A6595" t="str">
        <f t="shared" si="350"/>
        <v>41609Haapiti12157Autres</v>
      </c>
      <c r="B6595" s="1">
        <v>41609</v>
      </c>
      <c r="C6595" t="s">
        <v>25</v>
      </c>
      <c r="D6595" s="19">
        <v>12</v>
      </c>
      <c r="E6595">
        <v>157</v>
      </c>
      <c r="F6595" t="s">
        <v>14</v>
      </c>
      <c r="H6595">
        <v>0</v>
      </c>
    </row>
    <row r="6596" spans="1:9" x14ac:dyDescent="0.2">
      <c r="A6596" t="str">
        <f t="shared" si="350"/>
        <v>41609Haapiti12158Autres</v>
      </c>
      <c r="B6596" s="1">
        <v>41609</v>
      </c>
      <c r="C6596" t="s">
        <v>25</v>
      </c>
      <c r="D6596" s="19">
        <v>12</v>
      </c>
      <c r="E6596">
        <v>158</v>
      </c>
      <c r="F6596" t="s">
        <v>14</v>
      </c>
      <c r="H6596">
        <v>0</v>
      </c>
    </row>
    <row r="6597" spans="1:9" x14ac:dyDescent="0.2">
      <c r="A6597" t="str">
        <f t="shared" si="350"/>
        <v>41609Haapiti12159Autres</v>
      </c>
      <c r="B6597" s="1">
        <v>41609</v>
      </c>
      <c r="C6597" t="s">
        <v>25</v>
      </c>
      <c r="D6597" s="19">
        <v>12</v>
      </c>
      <c r="E6597">
        <v>159</v>
      </c>
      <c r="F6597" t="s">
        <v>14</v>
      </c>
      <c r="H6597">
        <v>0</v>
      </c>
    </row>
    <row r="6598" spans="1:9" x14ac:dyDescent="0.2">
      <c r="A6598" t="str">
        <f t="shared" si="350"/>
        <v>41609Haapiti12160Autres</v>
      </c>
      <c r="B6598" s="1">
        <v>41609</v>
      </c>
      <c r="C6598" t="s">
        <v>25</v>
      </c>
      <c r="D6598" s="19">
        <v>12</v>
      </c>
      <c r="E6598">
        <v>160</v>
      </c>
      <c r="F6598" t="s">
        <v>14</v>
      </c>
      <c r="H6598">
        <v>0</v>
      </c>
    </row>
    <row r="6599" spans="1:9" x14ac:dyDescent="0.2">
      <c r="A6599" t="str">
        <f t="shared" si="350"/>
        <v>41609Haapiti18161Autres</v>
      </c>
      <c r="B6599" s="1">
        <v>41609</v>
      </c>
      <c r="C6599" t="s">
        <v>25</v>
      </c>
      <c r="D6599" s="19">
        <v>18</v>
      </c>
      <c r="E6599">
        <v>161</v>
      </c>
      <c r="F6599" t="s">
        <v>14</v>
      </c>
      <c r="H6599">
        <v>0</v>
      </c>
    </row>
    <row r="6600" spans="1:9" x14ac:dyDescent="0.2">
      <c r="A6600" t="str">
        <f t="shared" si="350"/>
        <v>41609Haapiti18162PocilloporidaeBords</v>
      </c>
      <c r="B6600" s="1">
        <v>41609</v>
      </c>
      <c r="C6600" t="s">
        <v>25</v>
      </c>
      <c r="D6600" s="19">
        <v>18</v>
      </c>
      <c r="E6600">
        <v>162</v>
      </c>
      <c r="F6600" t="s">
        <v>10</v>
      </c>
      <c r="G6600" t="s">
        <v>13</v>
      </c>
      <c r="H6600">
        <v>1</v>
      </c>
      <c r="I6600" t="s">
        <v>27</v>
      </c>
    </row>
    <row r="6601" spans="1:9" x14ac:dyDescent="0.2">
      <c r="A6601" t="str">
        <f t="shared" si="350"/>
        <v>41609Haapiti18163Autres</v>
      </c>
      <c r="B6601" s="1">
        <v>41609</v>
      </c>
      <c r="C6601" t="s">
        <v>25</v>
      </c>
      <c r="D6601" s="19">
        <v>18</v>
      </c>
      <c r="E6601">
        <v>163</v>
      </c>
      <c r="F6601" t="s">
        <v>14</v>
      </c>
      <c r="H6601">
        <v>0</v>
      </c>
    </row>
    <row r="6602" spans="1:9" x14ac:dyDescent="0.2">
      <c r="A6602" t="str">
        <f t="shared" si="350"/>
        <v>41609Haapiti18164Autres</v>
      </c>
      <c r="B6602" s="1">
        <v>41609</v>
      </c>
      <c r="C6602" t="s">
        <v>25</v>
      </c>
      <c r="D6602" s="19">
        <v>18</v>
      </c>
      <c r="E6602">
        <v>164</v>
      </c>
      <c r="F6602" t="s">
        <v>14</v>
      </c>
      <c r="H6602">
        <v>0</v>
      </c>
    </row>
    <row r="6603" spans="1:9" x14ac:dyDescent="0.2">
      <c r="A6603" t="str">
        <f t="shared" si="350"/>
        <v>41609Haapiti18165PocilloporidaeDessous</v>
      </c>
      <c r="B6603" s="1">
        <v>41609</v>
      </c>
      <c r="C6603" t="s">
        <v>25</v>
      </c>
      <c r="D6603" s="19">
        <v>18</v>
      </c>
      <c r="E6603">
        <v>165</v>
      </c>
      <c r="F6603" t="s">
        <v>10</v>
      </c>
      <c r="G6603" t="s">
        <v>8</v>
      </c>
      <c r="H6603">
        <v>1</v>
      </c>
      <c r="I6603" t="s">
        <v>27</v>
      </c>
    </row>
    <row r="6604" spans="1:9" x14ac:dyDescent="0.2">
      <c r="A6604" t="str">
        <f t="shared" si="350"/>
        <v>41609Haapiti18166Autres</v>
      </c>
      <c r="B6604" s="1">
        <v>41609</v>
      </c>
      <c r="C6604" t="s">
        <v>25</v>
      </c>
      <c r="D6604" s="19">
        <v>18</v>
      </c>
      <c r="E6604">
        <v>166</v>
      </c>
      <c r="F6604" t="s">
        <v>14</v>
      </c>
      <c r="H6604">
        <v>0</v>
      </c>
    </row>
    <row r="6605" spans="1:9" x14ac:dyDescent="0.2">
      <c r="A6605" t="str">
        <f t="shared" si="350"/>
        <v>41609Haapiti18167Autres</v>
      </c>
      <c r="B6605" s="1">
        <v>41609</v>
      </c>
      <c r="C6605" t="s">
        <v>25</v>
      </c>
      <c r="D6605" s="19">
        <v>18</v>
      </c>
      <c r="E6605">
        <v>167</v>
      </c>
      <c r="F6605" t="s">
        <v>14</v>
      </c>
      <c r="H6605">
        <v>0</v>
      </c>
    </row>
    <row r="6606" spans="1:9" x14ac:dyDescent="0.2">
      <c r="A6606" t="str">
        <f t="shared" si="350"/>
        <v>41609Haapiti18168Autres</v>
      </c>
      <c r="B6606" s="1">
        <v>41609</v>
      </c>
      <c r="C6606" t="s">
        <v>25</v>
      </c>
      <c r="D6606" s="19">
        <v>18</v>
      </c>
      <c r="E6606">
        <v>168</v>
      </c>
      <c r="F6606" t="s">
        <v>14</v>
      </c>
      <c r="H6606">
        <v>0</v>
      </c>
    </row>
    <row r="6607" spans="1:9" x14ac:dyDescent="0.2">
      <c r="A6607" t="str">
        <f t="shared" si="350"/>
        <v>41609Haapiti18169Autres</v>
      </c>
      <c r="B6607" s="1">
        <v>41609</v>
      </c>
      <c r="C6607" t="s">
        <v>25</v>
      </c>
      <c r="D6607" s="19">
        <v>18</v>
      </c>
      <c r="E6607">
        <v>169</v>
      </c>
      <c r="F6607" t="s">
        <v>14</v>
      </c>
      <c r="H6607">
        <v>0</v>
      </c>
    </row>
    <row r="6608" spans="1:9" x14ac:dyDescent="0.2">
      <c r="A6608" t="str">
        <f t="shared" si="350"/>
        <v>41609Haapiti18170Autres</v>
      </c>
      <c r="B6608" s="1">
        <v>41609</v>
      </c>
      <c r="C6608" t="s">
        <v>25</v>
      </c>
      <c r="D6608" s="19">
        <v>18</v>
      </c>
      <c r="E6608">
        <v>170</v>
      </c>
      <c r="F6608" t="s">
        <v>14</v>
      </c>
      <c r="H6608">
        <v>0</v>
      </c>
    </row>
    <row r="6609" spans="1:9" x14ac:dyDescent="0.2">
      <c r="A6609" t="str">
        <f t="shared" si="350"/>
        <v>41609Haapiti18171Autres</v>
      </c>
      <c r="B6609" s="1">
        <v>41609</v>
      </c>
      <c r="C6609" t="s">
        <v>25</v>
      </c>
      <c r="D6609" s="19">
        <v>18</v>
      </c>
      <c r="E6609">
        <v>171</v>
      </c>
      <c r="F6609" t="s">
        <v>14</v>
      </c>
      <c r="H6609">
        <v>0</v>
      </c>
    </row>
    <row r="6610" spans="1:9" x14ac:dyDescent="0.2">
      <c r="A6610" t="str">
        <f t="shared" si="350"/>
        <v>41609Haapiti18172Autres</v>
      </c>
      <c r="B6610" s="1">
        <v>41609</v>
      </c>
      <c r="C6610" t="s">
        <v>25</v>
      </c>
      <c r="D6610" s="19">
        <v>18</v>
      </c>
      <c r="E6610">
        <v>172</v>
      </c>
      <c r="F6610" t="s">
        <v>14</v>
      </c>
      <c r="H6610">
        <v>0</v>
      </c>
    </row>
    <row r="6611" spans="1:9" x14ac:dyDescent="0.2">
      <c r="A6611" t="str">
        <f t="shared" si="350"/>
        <v>41609Haapiti18173Autres</v>
      </c>
      <c r="B6611" s="1">
        <v>41609</v>
      </c>
      <c r="C6611" t="s">
        <v>25</v>
      </c>
      <c r="D6611" s="19">
        <v>18</v>
      </c>
      <c r="E6611">
        <v>173</v>
      </c>
      <c r="F6611" t="s">
        <v>14</v>
      </c>
      <c r="H6611">
        <v>0</v>
      </c>
    </row>
    <row r="6612" spans="1:9" x14ac:dyDescent="0.2">
      <c r="A6612" t="str">
        <f t="shared" si="350"/>
        <v>41609Haapiti18174Autres</v>
      </c>
      <c r="B6612" s="1">
        <v>41609</v>
      </c>
      <c r="C6612" t="s">
        <v>25</v>
      </c>
      <c r="D6612" s="19">
        <v>18</v>
      </c>
      <c r="E6612">
        <v>174</v>
      </c>
      <c r="F6612" t="s">
        <v>14</v>
      </c>
      <c r="H6612">
        <v>0</v>
      </c>
    </row>
    <row r="6613" spans="1:9" x14ac:dyDescent="0.2">
      <c r="A6613" t="str">
        <f t="shared" si="350"/>
        <v>41609Haapiti18175Autres</v>
      </c>
      <c r="B6613" s="1">
        <v>41609</v>
      </c>
      <c r="C6613" t="s">
        <v>25</v>
      </c>
      <c r="D6613" s="19">
        <v>18</v>
      </c>
      <c r="E6613">
        <v>175</v>
      </c>
      <c r="F6613" t="s">
        <v>14</v>
      </c>
      <c r="H6613">
        <v>0</v>
      </c>
    </row>
    <row r="6614" spans="1:9" x14ac:dyDescent="0.2">
      <c r="A6614" t="str">
        <f t="shared" si="350"/>
        <v>41609Haapiti18176Autres</v>
      </c>
      <c r="B6614" s="1">
        <v>41609</v>
      </c>
      <c r="C6614" t="s">
        <v>25</v>
      </c>
      <c r="D6614" s="19">
        <v>18</v>
      </c>
      <c r="E6614">
        <v>176</v>
      </c>
      <c r="F6614" t="s">
        <v>14</v>
      </c>
      <c r="H6614">
        <v>0</v>
      </c>
    </row>
    <row r="6615" spans="1:9" x14ac:dyDescent="0.2">
      <c r="A6615" t="str">
        <f t="shared" si="350"/>
        <v>41609Haapiti18177Autres</v>
      </c>
      <c r="B6615" s="1">
        <v>41609</v>
      </c>
      <c r="C6615" t="s">
        <v>25</v>
      </c>
      <c r="D6615" s="19">
        <v>18</v>
      </c>
      <c r="E6615">
        <v>177</v>
      </c>
      <c r="F6615" t="s">
        <v>14</v>
      </c>
      <c r="H6615">
        <v>0</v>
      </c>
    </row>
    <row r="6616" spans="1:9" x14ac:dyDescent="0.2">
      <c r="A6616" t="str">
        <f t="shared" si="350"/>
        <v>41609Haapiti18178Autres</v>
      </c>
      <c r="B6616" s="1">
        <v>41609</v>
      </c>
      <c r="C6616" t="s">
        <v>25</v>
      </c>
      <c r="D6616" s="19">
        <v>18</v>
      </c>
      <c r="E6616">
        <v>178</v>
      </c>
      <c r="F6616" t="s">
        <v>14</v>
      </c>
      <c r="H6616">
        <v>0</v>
      </c>
    </row>
    <row r="6617" spans="1:9" x14ac:dyDescent="0.2">
      <c r="A6617" t="str">
        <f t="shared" si="350"/>
        <v>41609Haapiti18179Autres</v>
      </c>
      <c r="B6617" s="1">
        <v>41609</v>
      </c>
      <c r="C6617" t="s">
        <v>25</v>
      </c>
      <c r="D6617" s="19">
        <v>18</v>
      </c>
      <c r="E6617">
        <v>179</v>
      </c>
      <c r="F6617" t="s">
        <v>14</v>
      </c>
      <c r="H6617">
        <v>0</v>
      </c>
    </row>
    <row r="6618" spans="1:9" x14ac:dyDescent="0.2">
      <c r="A6618" t="str">
        <f t="shared" si="350"/>
        <v>41609Haapiti18180Autres</v>
      </c>
      <c r="B6618" s="1">
        <v>41609</v>
      </c>
      <c r="C6618" t="s">
        <v>25</v>
      </c>
      <c r="D6618" s="19">
        <v>18</v>
      </c>
      <c r="E6618">
        <v>180</v>
      </c>
      <c r="F6618" t="s">
        <v>14</v>
      </c>
      <c r="H6618">
        <v>0</v>
      </c>
    </row>
    <row r="6619" spans="1:9" x14ac:dyDescent="0.2">
      <c r="A6619" t="str">
        <f t="shared" si="350"/>
        <v>41883Vaipahu61PoritidaeDessous</v>
      </c>
      <c r="B6619" s="1">
        <v>41883</v>
      </c>
      <c r="C6619" t="s">
        <v>23</v>
      </c>
      <c r="D6619" s="19">
        <v>6</v>
      </c>
      <c r="E6619">
        <v>1</v>
      </c>
      <c r="F6619" t="s">
        <v>7</v>
      </c>
      <c r="G6619" t="s">
        <v>8</v>
      </c>
      <c r="H6619">
        <v>1</v>
      </c>
      <c r="I6619" t="s">
        <v>27</v>
      </c>
    </row>
    <row r="6620" spans="1:9" x14ac:dyDescent="0.2">
      <c r="A6620" t="str">
        <f t="shared" si="350"/>
        <v>41883Vaipahu62PoritidaeDessous</v>
      </c>
      <c r="B6620" s="1">
        <v>41883</v>
      </c>
      <c r="C6620" t="s">
        <v>23</v>
      </c>
      <c r="D6620" s="19">
        <v>6</v>
      </c>
      <c r="E6620">
        <v>2</v>
      </c>
      <c r="F6620" t="s">
        <v>7</v>
      </c>
      <c r="G6620" t="s">
        <v>8</v>
      </c>
      <c r="H6620">
        <v>2</v>
      </c>
      <c r="I6620" t="s">
        <v>27</v>
      </c>
    </row>
    <row r="6621" spans="1:9" x14ac:dyDescent="0.2">
      <c r="A6621" t="str">
        <f t="shared" si="350"/>
        <v>41883Vaipahu63Autres</v>
      </c>
      <c r="B6621" s="1">
        <v>41883</v>
      </c>
      <c r="C6621" t="s">
        <v>23</v>
      </c>
      <c r="D6621" s="19">
        <v>6</v>
      </c>
      <c r="E6621">
        <v>3</v>
      </c>
      <c r="F6621" t="s">
        <v>14</v>
      </c>
      <c r="H6621">
        <v>0</v>
      </c>
    </row>
    <row r="6622" spans="1:9" x14ac:dyDescent="0.2">
      <c r="A6622" t="str">
        <f t="shared" si="350"/>
        <v>41883Vaipahu64Autres</v>
      </c>
      <c r="B6622" s="1">
        <v>41883</v>
      </c>
      <c r="C6622" t="s">
        <v>23</v>
      </c>
      <c r="D6622" s="19">
        <v>6</v>
      </c>
      <c r="E6622">
        <v>4</v>
      </c>
      <c r="F6622" t="s">
        <v>14</v>
      </c>
      <c r="H6622">
        <v>0</v>
      </c>
    </row>
    <row r="6623" spans="1:9" x14ac:dyDescent="0.2">
      <c r="A6623" t="str">
        <f t="shared" si="350"/>
        <v>41883Vaipahu65Autres</v>
      </c>
      <c r="B6623" s="1">
        <v>41883</v>
      </c>
      <c r="C6623" t="s">
        <v>23</v>
      </c>
      <c r="D6623" s="19">
        <v>6</v>
      </c>
      <c r="E6623">
        <v>5</v>
      </c>
      <c r="F6623" t="s">
        <v>14</v>
      </c>
      <c r="H6623">
        <v>0</v>
      </c>
    </row>
    <row r="6624" spans="1:9" x14ac:dyDescent="0.2">
      <c r="A6624" t="str">
        <f t="shared" si="350"/>
        <v>41883Vaipahu66Autres</v>
      </c>
      <c r="B6624" s="1">
        <v>41883</v>
      </c>
      <c r="C6624" t="s">
        <v>23</v>
      </c>
      <c r="D6624" s="19">
        <v>6</v>
      </c>
      <c r="E6624">
        <v>6</v>
      </c>
      <c r="F6624" t="s">
        <v>14</v>
      </c>
      <c r="H6624">
        <v>0</v>
      </c>
    </row>
    <row r="6625" spans="1:8" x14ac:dyDescent="0.2">
      <c r="A6625" t="str">
        <f t="shared" si="350"/>
        <v>41883Vaipahu67Autres</v>
      </c>
      <c r="B6625" s="1">
        <v>41883</v>
      </c>
      <c r="C6625" t="s">
        <v>23</v>
      </c>
      <c r="D6625" s="19">
        <v>6</v>
      </c>
      <c r="E6625">
        <v>7</v>
      </c>
      <c r="F6625" t="s">
        <v>14</v>
      </c>
      <c r="H6625">
        <v>0</v>
      </c>
    </row>
    <row r="6626" spans="1:8" x14ac:dyDescent="0.2">
      <c r="A6626" t="str">
        <f t="shared" si="350"/>
        <v>41883Vaipahu68Autres</v>
      </c>
      <c r="B6626" s="1">
        <v>41883</v>
      </c>
      <c r="C6626" t="s">
        <v>23</v>
      </c>
      <c r="D6626" s="19">
        <v>6</v>
      </c>
      <c r="E6626">
        <v>8</v>
      </c>
      <c r="F6626" t="s">
        <v>14</v>
      </c>
      <c r="H6626">
        <v>0</v>
      </c>
    </row>
    <row r="6627" spans="1:8" x14ac:dyDescent="0.2">
      <c r="A6627" t="str">
        <f t="shared" si="350"/>
        <v>41883Vaipahu69Autres</v>
      </c>
      <c r="B6627" s="1">
        <v>41883</v>
      </c>
      <c r="C6627" t="s">
        <v>23</v>
      </c>
      <c r="D6627" s="19">
        <v>6</v>
      </c>
      <c r="E6627">
        <v>9</v>
      </c>
      <c r="F6627" t="s">
        <v>14</v>
      </c>
      <c r="H6627">
        <v>0</v>
      </c>
    </row>
    <row r="6628" spans="1:8" x14ac:dyDescent="0.2">
      <c r="A6628" t="str">
        <f t="shared" si="350"/>
        <v>41883Vaipahu610Autres</v>
      </c>
      <c r="B6628" s="1">
        <v>41883</v>
      </c>
      <c r="C6628" t="s">
        <v>23</v>
      </c>
      <c r="D6628" s="19">
        <v>6</v>
      </c>
      <c r="E6628">
        <v>10</v>
      </c>
      <c r="F6628" t="s">
        <v>14</v>
      </c>
      <c r="H6628">
        <v>0</v>
      </c>
    </row>
    <row r="6629" spans="1:8" x14ac:dyDescent="0.2">
      <c r="A6629" t="str">
        <f t="shared" si="350"/>
        <v>41883Vaipahu611Autres</v>
      </c>
      <c r="B6629" s="1">
        <v>41883</v>
      </c>
      <c r="C6629" t="s">
        <v>23</v>
      </c>
      <c r="D6629" s="19">
        <v>6</v>
      </c>
      <c r="E6629">
        <v>11</v>
      </c>
      <c r="F6629" t="s">
        <v>14</v>
      </c>
      <c r="H6629">
        <v>0</v>
      </c>
    </row>
    <row r="6630" spans="1:8" x14ac:dyDescent="0.2">
      <c r="A6630" t="str">
        <f t="shared" si="350"/>
        <v>41883Vaipahu612Autres</v>
      </c>
      <c r="B6630" s="1">
        <v>41883</v>
      </c>
      <c r="C6630" t="s">
        <v>23</v>
      </c>
      <c r="D6630" s="19">
        <v>6</v>
      </c>
      <c r="E6630">
        <v>12</v>
      </c>
      <c r="F6630" t="s">
        <v>14</v>
      </c>
      <c r="H6630">
        <v>0</v>
      </c>
    </row>
    <row r="6631" spans="1:8" x14ac:dyDescent="0.2">
      <c r="A6631" t="str">
        <f t="shared" si="350"/>
        <v>41883Vaipahu613Autres</v>
      </c>
      <c r="B6631" s="1">
        <v>41883</v>
      </c>
      <c r="C6631" t="s">
        <v>23</v>
      </c>
      <c r="D6631" s="19">
        <v>6</v>
      </c>
      <c r="E6631">
        <v>13</v>
      </c>
      <c r="F6631" t="s">
        <v>14</v>
      </c>
      <c r="H6631">
        <v>0</v>
      </c>
    </row>
    <row r="6632" spans="1:8" x14ac:dyDescent="0.2">
      <c r="A6632" t="str">
        <f t="shared" si="350"/>
        <v>41883Vaipahu614Autres</v>
      </c>
      <c r="B6632" s="1">
        <v>41883</v>
      </c>
      <c r="C6632" t="s">
        <v>23</v>
      </c>
      <c r="D6632" s="19">
        <v>6</v>
      </c>
      <c r="E6632">
        <v>14</v>
      </c>
      <c r="F6632" t="s">
        <v>14</v>
      </c>
      <c r="H6632">
        <v>0</v>
      </c>
    </row>
    <row r="6633" spans="1:8" x14ac:dyDescent="0.2">
      <c r="A6633" t="str">
        <f t="shared" si="350"/>
        <v>41883Vaipahu615Autres</v>
      </c>
      <c r="B6633" s="1">
        <v>41883</v>
      </c>
      <c r="C6633" t="s">
        <v>23</v>
      </c>
      <c r="D6633" s="19">
        <v>6</v>
      </c>
      <c r="E6633">
        <v>15</v>
      </c>
      <c r="F6633" t="s">
        <v>14</v>
      </c>
      <c r="H6633">
        <v>0</v>
      </c>
    </row>
    <row r="6634" spans="1:8" x14ac:dyDescent="0.2">
      <c r="A6634" t="str">
        <f t="shared" si="350"/>
        <v>41883Vaipahu616Autres</v>
      </c>
      <c r="B6634" s="1">
        <v>41883</v>
      </c>
      <c r="C6634" t="s">
        <v>23</v>
      </c>
      <c r="D6634" s="19">
        <v>6</v>
      </c>
      <c r="E6634">
        <v>16</v>
      </c>
      <c r="F6634" t="s">
        <v>14</v>
      </c>
      <c r="H6634">
        <v>0</v>
      </c>
    </row>
    <row r="6635" spans="1:8" x14ac:dyDescent="0.2">
      <c r="A6635" t="str">
        <f t="shared" si="350"/>
        <v>41883Vaipahu617Autres</v>
      </c>
      <c r="B6635" s="1">
        <v>41883</v>
      </c>
      <c r="C6635" t="s">
        <v>23</v>
      </c>
      <c r="D6635" s="19">
        <v>6</v>
      </c>
      <c r="E6635">
        <v>17</v>
      </c>
      <c r="F6635" t="s">
        <v>14</v>
      </c>
      <c r="H6635">
        <v>0</v>
      </c>
    </row>
    <row r="6636" spans="1:8" x14ac:dyDescent="0.2">
      <c r="A6636" t="str">
        <f t="shared" si="350"/>
        <v>41883Vaipahu618Autres</v>
      </c>
      <c r="B6636" s="1">
        <v>41883</v>
      </c>
      <c r="C6636" t="s">
        <v>23</v>
      </c>
      <c r="D6636" s="19">
        <v>6</v>
      </c>
      <c r="E6636">
        <v>18</v>
      </c>
      <c r="F6636" t="s">
        <v>14</v>
      </c>
      <c r="H6636">
        <v>0</v>
      </c>
    </row>
    <row r="6637" spans="1:8" x14ac:dyDescent="0.2">
      <c r="A6637" t="str">
        <f t="shared" si="350"/>
        <v>41883Vaipahu619Autres</v>
      </c>
      <c r="B6637" s="1">
        <v>41883</v>
      </c>
      <c r="C6637" t="s">
        <v>23</v>
      </c>
      <c r="D6637" s="19">
        <v>6</v>
      </c>
      <c r="E6637">
        <v>19</v>
      </c>
      <c r="F6637" t="s">
        <v>14</v>
      </c>
      <c r="H6637">
        <v>0</v>
      </c>
    </row>
    <row r="6638" spans="1:8" x14ac:dyDescent="0.2">
      <c r="A6638" t="str">
        <f t="shared" si="350"/>
        <v>41883Vaipahu620Autres</v>
      </c>
      <c r="B6638" s="1">
        <v>41883</v>
      </c>
      <c r="C6638" t="s">
        <v>23</v>
      </c>
      <c r="D6638" s="19">
        <v>6</v>
      </c>
      <c r="E6638">
        <v>20</v>
      </c>
      <c r="F6638" t="s">
        <v>14</v>
      </c>
      <c r="H6638">
        <v>0</v>
      </c>
    </row>
    <row r="6639" spans="1:8" x14ac:dyDescent="0.2">
      <c r="A6639" t="str">
        <f t="shared" si="350"/>
        <v>41883Vaipahu1221Autres</v>
      </c>
      <c r="B6639" s="1">
        <v>41883</v>
      </c>
      <c r="C6639" t="s">
        <v>23</v>
      </c>
      <c r="D6639" s="19">
        <v>12</v>
      </c>
      <c r="E6639">
        <v>21</v>
      </c>
      <c r="F6639" t="s">
        <v>14</v>
      </c>
      <c r="H6639">
        <v>0</v>
      </c>
    </row>
    <row r="6640" spans="1:8" x14ac:dyDescent="0.2">
      <c r="A6640" t="str">
        <f t="shared" si="350"/>
        <v>41883Vaipahu1222Autres</v>
      </c>
      <c r="B6640" s="1">
        <v>41883</v>
      </c>
      <c r="C6640" t="s">
        <v>23</v>
      </c>
      <c r="D6640" s="19">
        <v>12</v>
      </c>
      <c r="E6640">
        <v>22</v>
      </c>
      <c r="F6640" t="s">
        <v>14</v>
      </c>
      <c r="H6640">
        <v>0</v>
      </c>
    </row>
    <row r="6641" spans="1:9" x14ac:dyDescent="0.2">
      <c r="A6641" t="str">
        <f t="shared" si="350"/>
        <v>41883Vaipahu1223Autres</v>
      </c>
      <c r="B6641" s="1">
        <v>41883</v>
      </c>
      <c r="C6641" t="s">
        <v>23</v>
      </c>
      <c r="D6641" s="19">
        <v>12</v>
      </c>
      <c r="E6641">
        <v>23</v>
      </c>
      <c r="F6641" t="s">
        <v>14</v>
      </c>
      <c r="H6641">
        <v>0</v>
      </c>
    </row>
    <row r="6642" spans="1:9" x14ac:dyDescent="0.2">
      <c r="A6642" t="str">
        <f t="shared" si="350"/>
        <v>41883Vaipahu1224PoritidaeDessous</v>
      </c>
      <c r="B6642" s="1">
        <v>41883</v>
      </c>
      <c r="C6642" t="s">
        <v>23</v>
      </c>
      <c r="D6642" s="19">
        <v>12</v>
      </c>
      <c r="E6642">
        <v>24</v>
      </c>
      <c r="F6642" t="s">
        <v>7</v>
      </c>
      <c r="G6642" t="s">
        <v>8</v>
      </c>
      <c r="H6642">
        <v>2</v>
      </c>
      <c r="I6642" t="s">
        <v>27</v>
      </c>
    </row>
    <row r="6643" spans="1:9" x14ac:dyDescent="0.2">
      <c r="A6643" t="str">
        <f t="shared" si="350"/>
        <v>41883Vaipahu1225PoritidaeDessous</v>
      </c>
      <c r="B6643" s="1">
        <v>41883</v>
      </c>
      <c r="C6643" t="s">
        <v>23</v>
      </c>
      <c r="D6643" s="19">
        <v>12</v>
      </c>
      <c r="E6643">
        <v>25</v>
      </c>
      <c r="F6643" t="s">
        <v>7</v>
      </c>
      <c r="G6643" t="s">
        <v>8</v>
      </c>
      <c r="H6643">
        <v>1</v>
      </c>
      <c r="I6643" t="s">
        <v>27</v>
      </c>
    </row>
    <row r="6644" spans="1:9" x14ac:dyDescent="0.2">
      <c r="A6644" t="str">
        <f t="shared" si="350"/>
        <v>41883Vaipahu1226PoritidaeDessous</v>
      </c>
      <c r="B6644" s="1">
        <v>41883</v>
      </c>
      <c r="C6644" t="s">
        <v>23</v>
      </c>
      <c r="D6644" s="19">
        <v>12</v>
      </c>
      <c r="E6644">
        <v>26</v>
      </c>
      <c r="F6644" t="s">
        <v>7</v>
      </c>
      <c r="G6644" t="s">
        <v>8</v>
      </c>
      <c r="H6644">
        <v>1</v>
      </c>
      <c r="I6644" t="s">
        <v>27</v>
      </c>
    </row>
    <row r="6645" spans="1:9" x14ac:dyDescent="0.2">
      <c r="A6645" t="str">
        <f t="shared" si="350"/>
        <v>41883Vaipahu1227PoritidaeDessous</v>
      </c>
      <c r="B6645" s="1">
        <v>41883</v>
      </c>
      <c r="C6645" t="s">
        <v>23</v>
      </c>
      <c r="D6645" s="19">
        <v>12</v>
      </c>
      <c r="E6645">
        <v>27</v>
      </c>
      <c r="F6645" t="s">
        <v>7</v>
      </c>
      <c r="G6645" t="s">
        <v>8</v>
      </c>
      <c r="H6645">
        <v>1</v>
      </c>
      <c r="I6645" t="s">
        <v>27</v>
      </c>
    </row>
    <row r="6646" spans="1:9" x14ac:dyDescent="0.2">
      <c r="A6646" t="str">
        <f t="shared" si="350"/>
        <v>41883Vaipahu1228Autres</v>
      </c>
      <c r="B6646" s="1">
        <v>41883</v>
      </c>
      <c r="C6646" t="s">
        <v>23</v>
      </c>
      <c r="D6646" s="19">
        <v>12</v>
      </c>
      <c r="E6646">
        <v>28</v>
      </c>
      <c r="F6646" t="s">
        <v>14</v>
      </c>
      <c r="H6646">
        <v>0</v>
      </c>
    </row>
    <row r="6647" spans="1:9" x14ac:dyDescent="0.2">
      <c r="A6647" t="str">
        <f t="shared" si="350"/>
        <v>41883Vaipahu1229Autres</v>
      </c>
      <c r="B6647" s="1">
        <v>41883</v>
      </c>
      <c r="C6647" t="s">
        <v>23</v>
      </c>
      <c r="D6647" s="19">
        <v>12</v>
      </c>
      <c r="E6647">
        <v>29</v>
      </c>
      <c r="F6647" t="s">
        <v>14</v>
      </c>
      <c r="H6647">
        <v>0</v>
      </c>
    </row>
    <row r="6648" spans="1:9" x14ac:dyDescent="0.2">
      <c r="A6648" t="str">
        <f t="shared" si="350"/>
        <v>41883Vaipahu1230PoritidaeDessous</v>
      </c>
      <c r="B6648" s="1">
        <v>41883</v>
      </c>
      <c r="C6648" t="s">
        <v>23</v>
      </c>
      <c r="D6648" s="19">
        <v>12</v>
      </c>
      <c r="E6648">
        <v>30</v>
      </c>
      <c r="F6648" t="s">
        <v>7</v>
      </c>
      <c r="G6648" t="s">
        <v>8</v>
      </c>
      <c r="H6648">
        <v>1</v>
      </c>
      <c r="I6648" t="s">
        <v>27</v>
      </c>
    </row>
    <row r="6649" spans="1:9" x14ac:dyDescent="0.2">
      <c r="A6649" t="str">
        <f t="shared" si="350"/>
        <v>41883Vaipahu1231Autres</v>
      </c>
      <c r="B6649" s="1">
        <v>41883</v>
      </c>
      <c r="C6649" t="s">
        <v>23</v>
      </c>
      <c r="D6649" s="19">
        <v>12</v>
      </c>
      <c r="E6649">
        <v>31</v>
      </c>
      <c r="F6649" t="s">
        <v>14</v>
      </c>
      <c r="H6649">
        <v>0</v>
      </c>
    </row>
    <row r="6650" spans="1:9" x14ac:dyDescent="0.2">
      <c r="A6650" t="str">
        <f t="shared" si="350"/>
        <v>41883Vaipahu1232Autres</v>
      </c>
      <c r="B6650" s="1">
        <v>41883</v>
      </c>
      <c r="C6650" t="s">
        <v>23</v>
      </c>
      <c r="D6650" s="19">
        <v>12</v>
      </c>
      <c r="E6650">
        <v>32</v>
      </c>
      <c r="F6650" t="s">
        <v>14</v>
      </c>
      <c r="H6650">
        <v>0</v>
      </c>
    </row>
    <row r="6651" spans="1:9" x14ac:dyDescent="0.2">
      <c r="A6651" t="str">
        <f t="shared" si="350"/>
        <v>41883Vaipahu1233Autres</v>
      </c>
      <c r="B6651" s="1">
        <v>41883</v>
      </c>
      <c r="C6651" t="s">
        <v>23</v>
      </c>
      <c r="D6651" s="19">
        <v>12</v>
      </c>
      <c r="E6651">
        <v>33</v>
      </c>
      <c r="F6651" t="s">
        <v>14</v>
      </c>
      <c r="H6651">
        <v>0</v>
      </c>
    </row>
    <row r="6652" spans="1:9" x14ac:dyDescent="0.2">
      <c r="A6652" t="str">
        <f t="shared" si="350"/>
        <v>41883Vaipahu1234</v>
      </c>
      <c r="B6652" s="1">
        <v>41883</v>
      </c>
      <c r="C6652" t="s">
        <v>23</v>
      </c>
      <c r="D6652" s="19">
        <v>12</v>
      </c>
      <c r="E6652">
        <v>34</v>
      </c>
      <c r="F6652" t="s">
        <v>27</v>
      </c>
      <c r="G6652" t="s">
        <v>27</v>
      </c>
      <c r="H6652" t="s">
        <v>27</v>
      </c>
      <c r="I6652" t="s">
        <v>35</v>
      </c>
    </row>
    <row r="6653" spans="1:9" x14ac:dyDescent="0.2">
      <c r="A6653" t="str">
        <f t="shared" si="350"/>
        <v>41883Vaipahu1235Autres</v>
      </c>
      <c r="B6653" s="1">
        <v>41883</v>
      </c>
      <c r="C6653" t="s">
        <v>23</v>
      </c>
      <c r="D6653" s="19">
        <v>12</v>
      </c>
      <c r="E6653">
        <v>35</v>
      </c>
      <c r="F6653" t="s">
        <v>14</v>
      </c>
      <c r="H6653">
        <v>0</v>
      </c>
    </row>
    <row r="6654" spans="1:9" x14ac:dyDescent="0.2">
      <c r="A6654" t="str">
        <f t="shared" si="350"/>
        <v>41883Vaipahu1236Autres</v>
      </c>
      <c r="B6654" s="1">
        <v>41883</v>
      </c>
      <c r="C6654" t="s">
        <v>23</v>
      </c>
      <c r="D6654" s="19">
        <v>12</v>
      </c>
      <c r="E6654">
        <v>36</v>
      </c>
      <c r="F6654" t="s">
        <v>14</v>
      </c>
      <c r="H6654">
        <v>0</v>
      </c>
    </row>
    <row r="6655" spans="1:9" x14ac:dyDescent="0.2">
      <c r="A6655" t="str">
        <f t="shared" ref="A6655:A6718" si="351">B6655 &amp; C6655&amp; D6655&amp; E6655 &amp; F6655 &amp;G6655</f>
        <v>41883Vaipahu1237Autres</v>
      </c>
      <c r="B6655" s="1">
        <v>41883</v>
      </c>
      <c r="C6655" t="s">
        <v>23</v>
      </c>
      <c r="D6655" s="19">
        <v>12</v>
      </c>
      <c r="E6655">
        <v>37</v>
      </c>
      <c r="F6655" t="s">
        <v>14</v>
      </c>
      <c r="H6655">
        <v>0</v>
      </c>
    </row>
    <row r="6656" spans="1:9" x14ac:dyDescent="0.2">
      <c r="A6656" t="str">
        <f t="shared" si="351"/>
        <v>41883Vaipahu1238Autres</v>
      </c>
      <c r="B6656" s="1">
        <v>41883</v>
      </c>
      <c r="C6656" t="s">
        <v>23</v>
      </c>
      <c r="D6656" s="19">
        <v>12</v>
      </c>
      <c r="E6656">
        <v>38</v>
      </c>
      <c r="F6656" t="s">
        <v>14</v>
      </c>
      <c r="H6656">
        <v>0</v>
      </c>
    </row>
    <row r="6657" spans="1:9" x14ac:dyDescent="0.2">
      <c r="A6657" t="str">
        <f t="shared" si="351"/>
        <v>41883Vaipahu1239Autres</v>
      </c>
      <c r="B6657" s="1">
        <v>41883</v>
      </c>
      <c r="C6657" t="s">
        <v>23</v>
      </c>
      <c r="D6657" s="19">
        <v>12</v>
      </c>
      <c r="E6657">
        <v>39</v>
      </c>
      <c r="F6657" t="s">
        <v>14</v>
      </c>
      <c r="H6657">
        <v>0</v>
      </c>
    </row>
    <row r="6658" spans="1:9" x14ac:dyDescent="0.2">
      <c r="A6658" t="str">
        <f t="shared" si="351"/>
        <v>41883Vaipahu1240Autres</v>
      </c>
      <c r="B6658" s="1">
        <v>41883</v>
      </c>
      <c r="C6658" t="s">
        <v>23</v>
      </c>
      <c r="D6658" s="19">
        <v>12</v>
      </c>
      <c r="E6658">
        <v>40</v>
      </c>
      <c r="F6658" t="s">
        <v>14</v>
      </c>
      <c r="H6658">
        <v>0</v>
      </c>
    </row>
    <row r="6659" spans="1:9" x14ac:dyDescent="0.2">
      <c r="A6659" t="str">
        <f t="shared" si="351"/>
        <v>41883Vaipahu1841Autres</v>
      </c>
      <c r="B6659" s="1">
        <v>41883</v>
      </c>
      <c r="C6659" t="s">
        <v>23</v>
      </c>
      <c r="D6659" s="19">
        <v>18</v>
      </c>
      <c r="E6659">
        <v>41</v>
      </c>
      <c r="F6659" t="s">
        <v>14</v>
      </c>
      <c r="H6659">
        <v>0</v>
      </c>
    </row>
    <row r="6660" spans="1:9" x14ac:dyDescent="0.2">
      <c r="A6660" t="str">
        <f t="shared" si="351"/>
        <v>41883Vaipahu1842Autres</v>
      </c>
      <c r="B6660" s="1">
        <v>41883</v>
      </c>
      <c r="C6660" t="s">
        <v>23</v>
      </c>
      <c r="D6660" s="19">
        <v>18</v>
      </c>
      <c r="E6660">
        <v>42</v>
      </c>
      <c r="F6660" t="s">
        <v>14</v>
      </c>
      <c r="H6660">
        <v>0</v>
      </c>
    </row>
    <row r="6661" spans="1:9" x14ac:dyDescent="0.2">
      <c r="A6661" t="str">
        <f t="shared" si="351"/>
        <v>41883Vaipahu1843Autres</v>
      </c>
      <c r="B6661" s="1">
        <v>41883</v>
      </c>
      <c r="C6661" t="s">
        <v>23</v>
      </c>
      <c r="D6661" s="19">
        <v>18</v>
      </c>
      <c r="E6661">
        <v>43</v>
      </c>
      <c r="F6661" t="s">
        <v>14</v>
      </c>
      <c r="H6661">
        <v>0</v>
      </c>
    </row>
    <row r="6662" spans="1:9" x14ac:dyDescent="0.2">
      <c r="A6662" t="str">
        <f t="shared" si="351"/>
        <v>41883Vaipahu1844Autres</v>
      </c>
      <c r="B6662" s="1">
        <v>41883</v>
      </c>
      <c r="C6662" t="s">
        <v>23</v>
      </c>
      <c r="D6662" s="19">
        <v>18</v>
      </c>
      <c r="E6662">
        <v>44</v>
      </c>
      <c r="F6662" t="s">
        <v>14</v>
      </c>
      <c r="H6662">
        <v>0</v>
      </c>
    </row>
    <row r="6663" spans="1:9" x14ac:dyDescent="0.2">
      <c r="A6663" t="str">
        <f t="shared" si="351"/>
        <v>41883Vaipahu1845Autres</v>
      </c>
      <c r="B6663" s="1">
        <v>41883</v>
      </c>
      <c r="C6663" t="s">
        <v>23</v>
      </c>
      <c r="D6663" s="19">
        <v>18</v>
      </c>
      <c r="E6663">
        <v>45</v>
      </c>
      <c r="F6663" t="s">
        <v>14</v>
      </c>
      <c r="H6663">
        <v>0</v>
      </c>
    </row>
    <row r="6664" spans="1:9" x14ac:dyDescent="0.2">
      <c r="A6664" t="str">
        <f t="shared" si="351"/>
        <v>41883Vaipahu1846Autres</v>
      </c>
      <c r="B6664" s="1">
        <v>41883</v>
      </c>
      <c r="C6664" t="s">
        <v>23</v>
      </c>
      <c r="D6664" s="19">
        <v>18</v>
      </c>
      <c r="E6664">
        <v>46</v>
      </c>
      <c r="F6664" t="s">
        <v>14</v>
      </c>
      <c r="H6664">
        <v>0</v>
      </c>
    </row>
    <row r="6665" spans="1:9" x14ac:dyDescent="0.2">
      <c r="A6665" t="str">
        <f t="shared" si="351"/>
        <v>41883Vaipahu1847PoritidaeDessous</v>
      </c>
      <c r="B6665" s="1">
        <v>41883</v>
      </c>
      <c r="C6665" t="s">
        <v>23</v>
      </c>
      <c r="D6665" s="19">
        <v>18</v>
      </c>
      <c r="E6665">
        <v>47</v>
      </c>
      <c r="F6665" t="s">
        <v>7</v>
      </c>
      <c r="G6665" t="s">
        <v>8</v>
      </c>
      <c r="H6665">
        <v>1</v>
      </c>
      <c r="I6665" t="s">
        <v>27</v>
      </c>
    </row>
    <row r="6666" spans="1:9" x14ac:dyDescent="0.2">
      <c r="A6666" t="str">
        <f t="shared" si="351"/>
        <v>41883Vaipahu1848PocilloporidaeDessous</v>
      </c>
      <c r="B6666" s="1">
        <v>41883</v>
      </c>
      <c r="C6666" t="s">
        <v>23</v>
      </c>
      <c r="D6666" s="19">
        <v>18</v>
      </c>
      <c r="E6666">
        <v>48</v>
      </c>
      <c r="F6666" t="s">
        <v>10</v>
      </c>
      <c r="G6666" t="s">
        <v>8</v>
      </c>
      <c r="H6666">
        <v>1</v>
      </c>
      <c r="I6666" t="s">
        <v>27</v>
      </c>
    </row>
    <row r="6667" spans="1:9" x14ac:dyDescent="0.2">
      <c r="A6667" t="str">
        <f t="shared" si="351"/>
        <v>41883Vaipahu1849Autres</v>
      </c>
      <c r="B6667" s="1">
        <v>41883</v>
      </c>
      <c r="C6667" t="s">
        <v>23</v>
      </c>
      <c r="D6667" s="19">
        <v>18</v>
      </c>
      <c r="E6667">
        <v>49</v>
      </c>
      <c r="F6667" t="s">
        <v>14</v>
      </c>
      <c r="H6667">
        <v>0</v>
      </c>
    </row>
    <row r="6668" spans="1:9" x14ac:dyDescent="0.2">
      <c r="A6668" t="str">
        <f t="shared" si="351"/>
        <v>41883Vaipahu1850Autres</v>
      </c>
      <c r="B6668" s="1">
        <v>41883</v>
      </c>
      <c r="C6668" t="s">
        <v>23</v>
      </c>
      <c r="D6668" s="19">
        <v>18</v>
      </c>
      <c r="E6668">
        <v>50</v>
      </c>
      <c r="F6668" t="s">
        <v>14</v>
      </c>
      <c r="H6668">
        <v>0</v>
      </c>
    </row>
    <row r="6669" spans="1:9" x14ac:dyDescent="0.2">
      <c r="A6669" t="str">
        <f t="shared" si="351"/>
        <v>41883Vaipahu1851Autres</v>
      </c>
      <c r="B6669" s="1">
        <v>41883</v>
      </c>
      <c r="C6669" t="s">
        <v>23</v>
      </c>
      <c r="D6669" s="19">
        <v>18</v>
      </c>
      <c r="E6669">
        <v>51</v>
      </c>
      <c r="F6669" t="s">
        <v>14</v>
      </c>
      <c r="H6669">
        <v>0</v>
      </c>
    </row>
    <row r="6670" spans="1:9" x14ac:dyDescent="0.2">
      <c r="A6670" t="str">
        <f t="shared" si="351"/>
        <v>41883Vaipahu1852Autres</v>
      </c>
      <c r="B6670" s="1">
        <v>41883</v>
      </c>
      <c r="C6670" t="s">
        <v>23</v>
      </c>
      <c r="D6670" s="19">
        <v>18</v>
      </c>
      <c r="E6670">
        <v>52</v>
      </c>
      <c r="F6670" t="s">
        <v>14</v>
      </c>
      <c r="H6670">
        <v>0</v>
      </c>
    </row>
    <row r="6671" spans="1:9" x14ac:dyDescent="0.2">
      <c r="A6671" t="str">
        <f t="shared" si="351"/>
        <v>41883Vaipahu1853Autres</v>
      </c>
      <c r="B6671" s="1">
        <v>41883</v>
      </c>
      <c r="C6671" t="s">
        <v>23</v>
      </c>
      <c r="D6671" s="19">
        <v>18</v>
      </c>
      <c r="E6671">
        <v>53</v>
      </c>
      <c r="F6671" t="s">
        <v>14</v>
      </c>
      <c r="H6671">
        <v>0</v>
      </c>
    </row>
    <row r="6672" spans="1:9" x14ac:dyDescent="0.2">
      <c r="A6672" t="str">
        <f t="shared" si="351"/>
        <v>41883Vaipahu1854Autres</v>
      </c>
      <c r="B6672" s="1">
        <v>41883</v>
      </c>
      <c r="C6672" t="s">
        <v>23</v>
      </c>
      <c r="D6672" s="19">
        <v>18</v>
      </c>
      <c r="E6672">
        <v>54</v>
      </c>
      <c r="F6672" t="s">
        <v>14</v>
      </c>
      <c r="H6672">
        <v>0</v>
      </c>
    </row>
    <row r="6673" spans="1:8" x14ac:dyDescent="0.2">
      <c r="A6673" t="str">
        <f t="shared" si="351"/>
        <v>41883Vaipahu1855Autres</v>
      </c>
      <c r="B6673" s="1">
        <v>41883</v>
      </c>
      <c r="C6673" t="s">
        <v>23</v>
      </c>
      <c r="D6673" s="19">
        <v>18</v>
      </c>
      <c r="E6673">
        <v>55</v>
      </c>
      <c r="F6673" t="s">
        <v>14</v>
      </c>
      <c r="H6673">
        <v>0</v>
      </c>
    </row>
    <row r="6674" spans="1:8" x14ac:dyDescent="0.2">
      <c r="A6674" t="str">
        <f t="shared" si="351"/>
        <v>41883Vaipahu1856Autres</v>
      </c>
      <c r="B6674" s="1">
        <v>41883</v>
      </c>
      <c r="C6674" t="s">
        <v>23</v>
      </c>
      <c r="D6674" s="19">
        <v>18</v>
      </c>
      <c r="E6674">
        <v>56</v>
      </c>
      <c r="F6674" t="s">
        <v>14</v>
      </c>
      <c r="H6674">
        <v>0</v>
      </c>
    </row>
    <row r="6675" spans="1:8" x14ac:dyDescent="0.2">
      <c r="A6675" t="str">
        <f t="shared" si="351"/>
        <v>41883Vaipahu1857Autres</v>
      </c>
      <c r="B6675" s="1">
        <v>41883</v>
      </c>
      <c r="C6675" t="s">
        <v>23</v>
      </c>
      <c r="D6675" s="19">
        <v>18</v>
      </c>
      <c r="E6675">
        <v>57</v>
      </c>
      <c r="F6675" t="s">
        <v>14</v>
      </c>
      <c r="H6675">
        <v>0</v>
      </c>
    </row>
    <row r="6676" spans="1:8" x14ac:dyDescent="0.2">
      <c r="A6676" t="str">
        <f t="shared" si="351"/>
        <v>41883Vaipahu1858Autres</v>
      </c>
      <c r="B6676" s="1">
        <v>41883</v>
      </c>
      <c r="C6676" t="s">
        <v>23</v>
      </c>
      <c r="D6676" s="19">
        <v>18</v>
      </c>
      <c r="E6676">
        <v>58</v>
      </c>
      <c r="F6676" t="s">
        <v>14</v>
      </c>
      <c r="H6676">
        <v>0</v>
      </c>
    </row>
    <row r="6677" spans="1:8" x14ac:dyDescent="0.2">
      <c r="A6677" t="str">
        <f t="shared" si="351"/>
        <v>41883Vaipahu1859Autres</v>
      </c>
      <c r="B6677" s="1">
        <v>41883</v>
      </c>
      <c r="C6677" t="s">
        <v>23</v>
      </c>
      <c r="D6677" s="19">
        <v>18</v>
      </c>
      <c r="E6677">
        <v>59</v>
      </c>
      <c r="F6677" t="s">
        <v>14</v>
      </c>
      <c r="H6677">
        <v>0</v>
      </c>
    </row>
    <row r="6678" spans="1:8" x14ac:dyDescent="0.2">
      <c r="A6678" t="str">
        <f t="shared" si="351"/>
        <v>41883Vaipahu1860Autres</v>
      </c>
      <c r="B6678" s="1">
        <v>41883</v>
      </c>
      <c r="C6678" t="s">
        <v>23</v>
      </c>
      <c r="D6678" s="19">
        <v>18</v>
      </c>
      <c r="E6678">
        <v>60</v>
      </c>
      <c r="F6678" t="s">
        <v>14</v>
      </c>
      <c r="H6678">
        <v>0</v>
      </c>
    </row>
    <row r="6679" spans="1:8" x14ac:dyDescent="0.2">
      <c r="A6679" t="str">
        <f t="shared" si="351"/>
        <v>41883Tiahura661Autres</v>
      </c>
      <c r="B6679" s="1">
        <v>41883</v>
      </c>
      <c r="C6679" t="s">
        <v>24</v>
      </c>
      <c r="D6679" s="19">
        <v>6</v>
      </c>
      <c r="E6679">
        <v>61</v>
      </c>
      <c r="F6679" t="s">
        <v>14</v>
      </c>
      <c r="H6679">
        <v>0</v>
      </c>
    </row>
    <row r="6680" spans="1:8" x14ac:dyDescent="0.2">
      <c r="A6680" t="str">
        <f t="shared" si="351"/>
        <v>41883Tiahura662Autres</v>
      </c>
      <c r="B6680" s="1">
        <v>41883</v>
      </c>
      <c r="C6680" t="s">
        <v>24</v>
      </c>
      <c r="D6680" s="19">
        <v>6</v>
      </c>
      <c r="E6680">
        <v>62</v>
      </c>
      <c r="F6680" t="s">
        <v>14</v>
      </c>
      <c r="H6680">
        <v>0</v>
      </c>
    </row>
    <row r="6681" spans="1:8" x14ac:dyDescent="0.2">
      <c r="A6681" t="str">
        <f t="shared" si="351"/>
        <v>41883Tiahura663Autres</v>
      </c>
      <c r="B6681" s="1">
        <v>41883</v>
      </c>
      <c r="C6681" t="s">
        <v>24</v>
      </c>
      <c r="D6681" s="19">
        <v>6</v>
      </c>
      <c r="E6681">
        <v>63</v>
      </c>
      <c r="F6681" t="s">
        <v>14</v>
      </c>
      <c r="H6681">
        <v>0</v>
      </c>
    </row>
    <row r="6682" spans="1:8" x14ac:dyDescent="0.2">
      <c r="A6682" t="str">
        <f t="shared" si="351"/>
        <v>41883Tiahura664Autres</v>
      </c>
      <c r="B6682" s="1">
        <v>41883</v>
      </c>
      <c r="C6682" t="s">
        <v>24</v>
      </c>
      <c r="D6682" s="19">
        <v>6</v>
      </c>
      <c r="E6682">
        <v>64</v>
      </c>
      <c r="F6682" t="s">
        <v>14</v>
      </c>
      <c r="H6682">
        <v>0</v>
      </c>
    </row>
    <row r="6683" spans="1:8" x14ac:dyDescent="0.2">
      <c r="A6683" t="str">
        <f t="shared" si="351"/>
        <v>41883Tiahura665Autres</v>
      </c>
      <c r="B6683" s="1">
        <v>41883</v>
      </c>
      <c r="C6683" t="s">
        <v>24</v>
      </c>
      <c r="D6683" s="19">
        <v>6</v>
      </c>
      <c r="E6683">
        <v>65</v>
      </c>
      <c r="F6683" t="s">
        <v>14</v>
      </c>
      <c r="H6683">
        <v>0</v>
      </c>
    </row>
    <row r="6684" spans="1:8" x14ac:dyDescent="0.2">
      <c r="A6684" t="str">
        <f t="shared" si="351"/>
        <v>41883Tiahura666Autres</v>
      </c>
      <c r="B6684" s="1">
        <v>41883</v>
      </c>
      <c r="C6684" t="s">
        <v>24</v>
      </c>
      <c r="D6684" s="19">
        <v>6</v>
      </c>
      <c r="E6684">
        <v>66</v>
      </c>
      <c r="F6684" t="s">
        <v>14</v>
      </c>
      <c r="H6684">
        <v>0</v>
      </c>
    </row>
    <row r="6685" spans="1:8" x14ac:dyDescent="0.2">
      <c r="A6685" t="str">
        <f t="shared" si="351"/>
        <v>41883Tiahura667Autres</v>
      </c>
      <c r="B6685" s="1">
        <v>41883</v>
      </c>
      <c r="C6685" t="s">
        <v>24</v>
      </c>
      <c r="D6685" s="19">
        <v>6</v>
      </c>
      <c r="E6685">
        <v>67</v>
      </c>
      <c r="F6685" t="s">
        <v>14</v>
      </c>
      <c r="H6685">
        <v>0</v>
      </c>
    </row>
    <row r="6686" spans="1:8" x14ac:dyDescent="0.2">
      <c r="A6686" t="str">
        <f t="shared" si="351"/>
        <v>41883Tiahura668Autres</v>
      </c>
      <c r="B6686" s="1">
        <v>41883</v>
      </c>
      <c r="C6686" t="s">
        <v>24</v>
      </c>
      <c r="D6686" s="19">
        <v>6</v>
      </c>
      <c r="E6686">
        <v>68</v>
      </c>
      <c r="F6686" t="s">
        <v>14</v>
      </c>
      <c r="H6686">
        <v>0</v>
      </c>
    </row>
    <row r="6687" spans="1:8" x14ac:dyDescent="0.2">
      <c r="A6687" t="str">
        <f t="shared" si="351"/>
        <v>41883Tiahura669Autres</v>
      </c>
      <c r="B6687" s="1">
        <v>41883</v>
      </c>
      <c r="C6687" t="s">
        <v>24</v>
      </c>
      <c r="D6687" s="19">
        <v>6</v>
      </c>
      <c r="E6687">
        <v>69</v>
      </c>
      <c r="F6687" t="s">
        <v>14</v>
      </c>
      <c r="H6687">
        <v>0</v>
      </c>
    </row>
    <row r="6688" spans="1:8" x14ac:dyDescent="0.2">
      <c r="A6688" t="str">
        <f t="shared" si="351"/>
        <v>41883Tiahura670Autres</v>
      </c>
      <c r="B6688" s="1">
        <v>41883</v>
      </c>
      <c r="C6688" t="s">
        <v>24</v>
      </c>
      <c r="D6688" s="19">
        <v>6</v>
      </c>
      <c r="E6688">
        <v>70</v>
      </c>
      <c r="F6688" t="s">
        <v>14</v>
      </c>
      <c r="H6688">
        <v>0</v>
      </c>
    </row>
    <row r="6689" spans="1:9" x14ac:dyDescent="0.2">
      <c r="A6689" t="str">
        <f t="shared" si="351"/>
        <v>41883Tiahura671Autres</v>
      </c>
      <c r="B6689" s="1">
        <v>41883</v>
      </c>
      <c r="C6689" t="s">
        <v>24</v>
      </c>
      <c r="D6689" s="19">
        <v>6</v>
      </c>
      <c r="E6689">
        <v>71</v>
      </c>
      <c r="F6689" t="s">
        <v>14</v>
      </c>
      <c r="H6689">
        <v>0</v>
      </c>
    </row>
    <row r="6690" spans="1:9" x14ac:dyDescent="0.2">
      <c r="A6690" t="str">
        <f t="shared" si="351"/>
        <v>41883Tiahura672Autres</v>
      </c>
      <c r="B6690" s="1">
        <v>41883</v>
      </c>
      <c r="C6690" t="s">
        <v>24</v>
      </c>
      <c r="D6690" s="19">
        <v>6</v>
      </c>
      <c r="E6690">
        <v>72</v>
      </c>
      <c r="F6690" t="s">
        <v>14</v>
      </c>
      <c r="H6690">
        <v>0</v>
      </c>
    </row>
    <row r="6691" spans="1:9" x14ac:dyDescent="0.2">
      <c r="A6691" t="str">
        <f t="shared" si="351"/>
        <v>41883Tiahura673Autres</v>
      </c>
      <c r="B6691" s="1">
        <v>41883</v>
      </c>
      <c r="C6691" t="s">
        <v>24</v>
      </c>
      <c r="D6691" s="19">
        <v>6</v>
      </c>
      <c r="E6691">
        <v>73</v>
      </c>
      <c r="F6691" t="s">
        <v>14</v>
      </c>
      <c r="H6691">
        <v>0</v>
      </c>
    </row>
    <row r="6692" spans="1:9" x14ac:dyDescent="0.2">
      <c r="A6692" t="str">
        <f t="shared" si="351"/>
        <v>41883Tiahura674Autres</v>
      </c>
      <c r="B6692" s="1">
        <v>41883</v>
      </c>
      <c r="C6692" t="s">
        <v>24</v>
      </c>
      <c r="D6692" s="19">
        <v>6</v>
      </c>
      <c r="E6692">
        <v>74</v>
      </c>
      <c r="F6692" t="s">
        <v>14</v>
      </c>
      <c r="H6692">
        <v>0</v>
      </c>
    </row>
    <row r="6693" spans="1:9" x14ac:dyDescent="0.2">
      <c r="A6693" t="str">
        <f t="shared" si="351"/>
        <v>41883Tiahura675Autres</v>
      </c>
      <c r="B6693" s="1">
        <v>41883</v>
      </c>
      <c r="C6693" t="s">
        <v>24</v>
      </c>
      <c r="D6693" s="19">
        <v>6</v>
      </c>
      <c r="E6693">
        <v>75</v>
      </c>
      <c r="F6693" t="s">
        <v>14</v>
      </c>
      <c r="H6693">
        <v>0</v>
      </c>
    </row>
    <row r="6694" spans="1:9" x14ac:dyDescent="0.2">
      <c r="A6694" t="str">
        <f t="shared" si="351"/>
        <v>41883Tiahura676PocilloporidaeDessous</v>
      </c>
      <c r="B6694" s="1">
        <v>41883</v>
      </c>
      <c r="C6694" t="s">
        <v>24</v>
      </c>
      <c r="D6694" s="19">
        <v>6</v>
      </c>
      <c r="E6694">
        <v>76</v>
      </c>
      <c r="F6694" t="s">
        <v>10</v>
      </c>
      <c r="G6694" t="s">
        <v>8</v>
      </c>
      <c r="H6694">
        <v>1</v>
      </c>
      <c r="I6694" t="s">
        <v>27</v>
      </c>
    </row>
    <row r="6695" spans="1:9" x14ac:dyDescent="0.2">
      <c r="A6695" t="str">
        <f t="shared" si="351"/>
        <v>41883Tiahura677Autres</v>
      </c>
      <c r="B6695" s="1">
        <v>41883</v>
      </c>
      <c r="C6695" t="s">
        <v>24</v>
      </c>
      <c r="D6695" s="19">
        <v>6</v>
      </c>
      <c r="E6695">
        <v>77</v>
      </c>
      <c r="F6695" t="s">
        <v>14</v>
      </c>
      <c r="H6695">
        <v>0</v>
      </c>
    </row>
    <row r="6696" spans="1:9" x14ac:dyDescent="0.2">
      <c r="A6696" t="str">
        <f t="shared" si="351"/>
        <v>41883Tiahura678Autres</v>
      </c>
      <c r="B6696" s="1">
        <v>41883</v>
      </c>
      <c r="C6696" t="s">
        <v>24</v>
      </c>
      <c r="D6696" s="19">
        <v>6</v>
      </c>
      <c r="E6696">
        <v>78</v>
      </c>
      <c r="F6696" t="s">
        <v>14</v>
      </c>
      <c r="H6696">
        <v>0</v>
      </c>
    </row>
    <row r="6697" spans="1:9" x14ac:dyDescent="0.2">
      <c r="A6697" t="str">
        <f t="shared" si="351"/>
        <v>41883Tiahura679Autres</v>
      </c>
      <c r="B6697" s="1">
        <v>41883</v>
      </c>
      <c r="C6697" t="s">
        <v>24</v>
      </c>
      <c r="D6697" s="19">
        <v>6</v>
      </c>
      <c r="E6697">
        <v>79</v>
      </c>
      <c r="F6697" t="s">
        <v>14</v>
      </c>
      <c r="H6697">
        <v>0</v>
      </c>
    </row>
    <row r="6698" spans="1:9" x14ac:dyDescent="0.2">
      <c r="A6698" t="str">
        <f t="shared" si="351"/>
        <v>41883Tiahura680Autres</v>
      </c>
      <c r="B6698" s="1">
        <v>41883</v>
      </c>
      <c r="C6698" t="s">
        <v>24</v>
      </c>
      <c r="D6698" s="19">
        <v>6</v>
      </c>
      <c r="E6698">
        <v>80</v>
      </c>
      <c r="F6698" t="s">
        <v>14</v>
      </c>
      <c r="H6698">
        <v>0</v>
      </c>
    </row>
    <row r="6699" spans="1:9" x14ac:dyDescent="0.2">
      <c r="A6699" t="str">
        <f t="shared" si="351"/>
        <v>41883Tiahura1281Autres</v>
      </c>
      <c r="B6699" s="1">
        <v>41883</v>
      </c>
      <c r="C6699" t="s">
        <v>24</v>
      </c>
      <c r="D6699" s="19">
        <v>12</v>
      </c>
      <c r="E6699">
        <v>81</v>
      </c>
      <c r="F6699" t="s">
        <v>14</v>
      </c>
      <c r="H6699">
        <v>0</v>
      </c>
    </row>
    <row r="6700" spans="1:9" x14ac:dyDescent="0.2">
      <c r="A6700" t="str">
        <f t="shared" si="351"/>
        <v>41883Tiahura1282Autres</v>
      </c>
      <c r="B6700" s="1">
        <v>41883</v>
      </c>
      <c r="C6700" t="s">
        <v>24</v>
      </c>
      <c r="D6700" s="19">
        <v>12</v>
      </c>
      <c r="E6700">
        <v>82</v>
      </c>
      <c r="F6700" t="s">
        <v>14</v>
      </c>
      <c r="H6700">
        <v>0</v>
      </c>
    </row>
    <row r="6701" spans="1:9" x14ac:dyDescent="0.2">
      <c r="A6701" t="str">
        <f t="shared" si="351"/>
        <v>41883Tiahura1283Autres</v>
      </c>
      <c r="B6701" s="1">
        <v>41883</v>
      </c>
      <c r="C6701" t="s">
        <v>24</v>
      </c>
      <c r="D6701" s="19">
        <v>12</v>
      </c>
      <c r="E6701">
        <v>83</v>
      </c>
      <c r="F6701" t="s">
        <v>14</v>
      </c>
      <c r="H6701">
        <v>0</v>
      </c>
    </row>
    <row r="6702" spans="1:9" x14ac:dyDescent="0.2">
      <c r="A6702" t="str">
        <f t="shared" si="351"/>
        <v>41883Tiahura1284Autres</v>
      </c>
      <c r="B6702" s="1">
        <v>41883</v>
      </c>
      <c r="C6702" t="s">
        <v>24</v>
      </c>
      <c r="D6702" s="19">
        <v>12</v>
      </c>
      <c r="E6702">
        <v>84</v>
      </c>
      <c r="F6702" t="s">
        <v>14</v>
      </c>
      <c r="H6702">
        <v>0</v>
      </c>
    </row>
    <row r="6703" spans="1:9" x14ac:dyDescent="0.2">
      <c r="A6703" t="str">
        <f t="shared" si="351"/>
        <v>41883Tiahura1285Autres</v>
      </c>
      <c r="B6703" s="1">
        <v>41883</v>
      </c>
      <c r="C6703" t="s">
        <v>24</v>
      </c>
      <c r="D6703" s="19">
        <v>12</v>
      </c>
      <c r="E6703">
        <v>85</v>
      </c>
      <c r="F6703" t="s">
        <v>14</v>
      </c>
      <c r="H6703">
        <v>0</v>
      </c>
    </row>
    <row r="6704" spans="1:9" x14ac:dyDescent="0.2">
      <c r="A6704" t="str">
        <f t="shared" si="351"/>
        <v>41883Tiahura1286Autres</v>
      </c>
      <c r="B6704" s="1">
        <v>41883</v>
      </c>
      <c r="C6704" t="s">
        <v>24</v>
      </c>
      <c r="D6704" s="19">
        <v>12</v>
      </c>
      <c r="E6704">
        <v>86</v>
      </c>
      <c r="F6704" t="s">
        <v>14</v>
      </c>
      <c r="H6704">
        <v>0</v>
      </c>
    </row>
    <row r="6705" spans="1:9" x14ac:dyDescent="0.2">
      <c r="A6705" t="str">
        <f t="shared" si="351"/>
        <v>41883Tiahura1287Autres</v>
      </c>
      <c r="B6705" s="1">
        <v>41883</v>
      </c>
      <c r="C6705" t="s">
        <v>24</v>
      </c>
      <c r="D6705" s="19">
        <v>12</v>
      </c>
      <c r="E6705">
        <v>87</v>
      </c>
      <c r="F6705" t="s">
        <v>14</v>
      </c>
      <c r="H6705">
        <v>0</v>
      </c>
    </row>
    <row r="6706" spans="1:9" x14ac:dyDescent="0.2">
      <c r="A6706" t="str">
        <f t="shared" si="351"/>
        <v>41883Tiahura1288PoritidaeDessous</v>
      </c>
      <c r="B6706" s="1">
        <v>41883</v>
      </c>
      <c r="C6706" t="s">
        <v>24</v>
      </c>
      <c r="D6706" s="19">
        <v>12</v>
      </c>
      <c r="E6706">
        <v>88</v>
      </c>
      <c r="F6706" t="s">
        <v>7</v>
      </c>
      <c r="G6706" t="s">
        <v>8</v>
      </c>
      <c r="H6706">
        <v>2</v>
      </c>
      <c r="I6706" t="s">
        <v>27</v>
      </c>
    </row>
    <row r="6707" spans="1:9" x14ac:dyDescent="0.2">
      <c r="A6707" t="str">
        <f t="shared" si="351"/>
        <v>41883Tiahura1289CassésDessus</v>
      </c>
      <c r="B6707" s="1">
        <v>41883</v>
      </c>
      <c r="C6707" t="s">
        <v>24</v>
      </c>
      <c r="D6707" s="19">
        <v>12</v>
      </c>
      <c r="E6707">
        <v>89</v>
      </c>
      <c r="F6707" t="s">
        <v>12</v>
      </c>
      <c r="G6707" t="s">
        <v>11</v>
      </c>
      <c r="H6707">
        <v>1</v>
      </c>
      <c r="I6707" t="s">
        <v>27</v>
      </c>
    </row>
    <row r="6708" spans="1:9" x14ac:dyDescent="0.2">
      <c r="A6708" t="str">
        <f t="shared" si="351"/>
        <v>41883Tiahura1290Autres</v>
      </c>
      <c r="B6708" s="1">
        <v>41883</v>
      </c>
      <c r="C6708" t="s">
        <v>24</v>
      </c>
      <c r="D6708" s="19">
        <v>12</v>
      </c>
      <c r="E6708">
        <v>90</v>
      </c>
      <c r="F6708" t="s">
        <v>14</v>
      </c>
      <c r="H6708">
        <v>0</v>
      </c>
    </row>
    <row r="6709" spans="1:9" x14ac:dyDescent="0.2">
      <c r="A6709" t="str">
        <f t="shared" si="351"/>
        <v>41883Tiahura1291Autres</v>
      </c>
      <c r="B6709" s="1">
        <v>41883</v>
      </c>
      <c r="C6709" t="s">
        <v>24</v>
      </c>
      <c r="D6709" s="19">
        <v>12</v>
      </c>
      <c r="E6709">
        <v>91</v>
      </c>
      <c r="F6709" t="s">
        <v>14</v>
      </c>
      <c r="H6709">
        <v>0</v>
      </c>
    </row>
    <row r="6710" spans="1:9" x14ac:dyDescent="0.2">
      <c r="A6710" t="str">
        <f t="shared" si="351"/>
        <v>41883Tiahura1292Autres</v>
      </c>
      <c r="B6710" s="1">
        <v>41883</v>
      </c>
      <c r="C6710" t="s">
        <v>24</v>
      </c>
      <c r="D6710" s="19">
        <v>12</v>
      </c>
      <c r="E6710">
        <v>92</v>
      </c>
      <c r="F6710" t="s">
        <v>14</v>
      </c>
      <c r="H6710">
        <v>0</v>
      </c>
    </row>
    <row r="6711" spans="1:9" x14ac:dyDescent="0.2">
      <c r="A6711" t="str">
        <f t="shared" si="351"/>
        <v>41883Tiahura1293Autres</v>
      </c>
      <c r="B6711" s="1">
        <v>41883</v>
      </c>
      <c r="C6711" t="s">
        <v>24</v>
      </c>
      <c r="D6711" s="19">
        <v>12</v>
      </c>
      <c r="E6711">
        <v>93</v>
      </c>
      <c r="F6711" t="s">
        <v>14</v>
      </c>
      <c r="H6711">
        <v>0</v>
      </c>
    </row>
    <row r="6712" spans="1:9" x14ac:dyDescent="0.2">
      <c r="A6712" t="str">
        <f t="shared" si="351"/>
        <v>41883Tiahura1294Autres</v>
      </c>
      <c r="B6712" s="1">
        <v>41883</v>
      </c>
      <c r="C6712" t="s">
        <v>24</v>
      </c>
      <c r="D6712" s="19">
        <v>12</v>
      </c>
      <c r="E6712">
        <v>94</v>
      </c>
      <c r="F6712" t="s">
        <v>14</v>
      </c>
      <c r="H6712">
        <v>0</v>
      </c>
    </row>
    <row r="6713" spans="1:9" x14ac:dyDescent="0.2">
      <c r="A6713" t="str">
        <f t="shared" si="351"/>
        <v>41883Tiahura1295Autres</v>
      </c>
      <c r="B6713" s="1">
        <v>41883</v>
      </c>
      <c r="C6713" t="s">
        <v>24</v>
      </c>
      <c r="D6713" s="19">
        <v>12</v>
      </c>
      <c r="E6713">
        <v>95</v>
      </c>
      <c r="F6713" t="s">
        <v>14</v>
      </c>
      <c r="H6713">
        <v>0</v>
      </c>
    </row>
    <row r="6714" spans="1:9" x14ac:dyDescent="0.2">
      <c r="A6714" t="str">
        <f t="shared" si="351"/>
        <v>41883Tiahura1296Autres</v>
      </c>
      <c r="B6714" s="1">
        <v>41883</v>
      </c>
      <c r="C6714" t="s">
        <v>24</v>
      </c>
      <c r="D6714" s="19">
        <v>12</v>
      </c>
      <c r="E6714">
        <v>96</v>
      </c>
      <c r="F6714" t="s">
        <v>14</v>
      </c>
      <c r="H6714">
        <v>0</v>
      </c>
    </row>
    <row r="6715" spans="1:9" x14ac:dyDescent="0.2">
      <c r="A6715" t="str">
        <f t="shared" si="351"/>
        <v>41883Tiahura1297Autres</v>
      </c>
      <c r="B6715" s="1">
        <v>41883</v>
      </c>
      <c r="C6715" t="s">
        <v>24</v>
      </c>
      <c r="D6715" s="19">
        <v>12</v>
      </c>
      <c r="E6715">
        <v>97</v>
      </c>
      <c r="F6715" t="s">
        <v>14</v>
      </c>
      <c r="H6715">
        <v>0</v>
      </c>
    </row>
    <row r="6716" spans="1:9" x14ac:dyDescent="0.2">
      <c r="A6716" t="str">
        <f t="shared" si="351"/>
        <v>41883Tiahura1298Autres</v>
      </c>
      <c r="B6716" s="1">
        <v>41883</v>
      </c>
      <c r="C6716" t="s">
        <v>24</v>
      </c>
      <c r="D6716" s="19">
        <v>12</v>
      </c>
      <c r="E6716">
        <v>98</v>
      </c>
      <c r="F6716" t="s">
        <v>14</v>
      </c>
      <c r="H6716">
        <v>0</v>
      </c>
    </row>
    <row r="6717" spans="1:9" x14ac:dyDescent="0.2">
      <c r="A6717" t="str">
        <f t="shared" si="351"/>
        <v>41883Tiahura1299Autres</v>
      </c>
      <c r="B6717" s="1">
        <v>41883</v>
      </c>
      <c r="C6717" t="s">
        <v>24</v>
      </c>
      <c r="D6717" s="19">
        <v>12</v>
      </c>
      <c r="E6717">
        <v>99</v>
      </c>
      <c r="F6717" t="s">
        <v>14</v>
      </c>
      <c r="H6717">
        <v>0</v>
      </c>
    </row>
    <row r="6718" spans="1:9" x14ac:dyDescent="0.2">
      <c r="A6718" t="str">
        <f t="shared" si="351"/>
        <v>41883Tiahura12100Autres</v>
      </c>
      <c r="B6718" s="1">
        <v>41883</v>
      </c>
      <c r="C6718" t="s">
        <v>24</v>
      </c>
      <c r="D6718" s="19">
        <v>12</v>
      </c>
      <c r="E6718">
        <v>100</v>
      </c>
      <c r="F6718" t="s">
        <v>14</v>
      </c>
      <c r="H6718">
        <v>0</v>
      </c>
    </row>
    <row r="6719" spans="1:9" x14ac:dyDescent="0.2">
      <c r="A6719" t="str">
        <f t="shared" ref="A6719:A6782" si="352">B6719 &amp; C6719&amp; D6719&amp; E6719 &amp; F6719 &amp;G6719</f>
        <v>41883Tiahura18101PoritidaeDessous</v>
      </c>
      <c r="B6719" s="1">
        <v>41883</v>
      </c>
      <c r="C6719" t="s">
        <v>24</v>
      </c>
      <c r="D6719" s="19">
        <v>18</v>
      </c>
      <c r="E6719">
        <v>101</v>
      </c>
      <c r="F6719" t="s">
        <v>7</v>
      </c>
      <c r="G6719" t="s">
        <v>8</v>
      </c>
      <c r="H6719">
        <v>1</v>
      </c>
      <c r="I6719" t="s">
        <v>27</v>
      </c>
    </row>
    <row r="6720" spans="1:9" x14ac:dyDescent="0.2">
      <c r="A6720" t="str">
        <f t="shared" si="352"/>
        <v>41883Tiahura18102PoritidaeDessous</v>
      </c>
      <c r="B6720" s="1">
        <v>41883</v>
      </c>
      <c r="C6720" t="s">
        <v>24</v>
      </c>
      <c r="D6720" s="19">
        <v>18</v>
      </c>
      <c r="E6720">
        <v>102</v>
      </c>
      <c r="F6720" t="s">
        <v>7</v>
      </c>
      <c r="G6720" t="s">
        <v>8</v>
      </c>
      <c r="H6720">
        <v>1</v>
      </c>
      <c r="I6720" t="s">
        <v>27</v>
      </c>
    </row>
    <row r="6721" spans="1:9" x14ac:dyDescent="0.2">
      <c r="A6721" t="str">
        <f t="shared" si="352"/>
        <v>41883Tiahura18103PoritidaeDessous</v>
      </c>
      <c r="B6721" s="1">
        <v>41883</v>
      </c>
      <c r="C6721" t="s">
        <v>24</v>
      </c>
      <c r="D6721" s="19">
        <v>18</v>
      </c>
      <c r="E6721">
        <v>103</v>
      </c>
      <c r="F6721" t="s">
        <v>7</v>
      </c>
      <c r="G6721" t="s">
        <v>8</v>
      </c>
      <c r="H6721">
        <v>1</v>
      </c>
      <c r="I6721" t="s">
        <v>27</v>
      </c>
    </row>
    <row r="6722" spans="1:9" x14ac:dyDescent="0.2">
      <c r="A6722" t="str">
        <f t="shared" si="352"/>
        <v>41883Tiahura18104PoritidaeDessous</v>
      </c>
      <c r="B6722" s="1">
        <v>41883</v>
      </c>
      <c r="C6722" t="s">
        <v>24</v>
      </c>
      <c r="D6722" s="19">
        <v>18</v>
      </c>
      <c r="E6722">
        <v>104</v>
      </c>
      <c r="F6722" t="s">
        <v>7</v>
      </c>
      <c r="G6722" t="s">
        <v>8</v>
      </c>
      <c r="H6722">
        <v>2</v>
      </c>
      <c r="I6722" t="s">
        <v>27</v>
      </c>
    </row>
    <row r="6723" spans="1:9" x14ac:dyDescent="0.2">
      <c r="A6723" t="str">
        <f t="shared" si="352"/>
        <v>41883Tiahura18105PoritidaeBords</v>
      </c>
      <c r="B6723" s="1">
        <v>41883</v>
      </c>
      <c r="C6723" t="s">
        <v>24</v>
      </c>
      <c r="D6723" s="19">
        <v>18</v>
      </c>
      <c r="E6723">
        <v>105</v>
      </c>
      <c r="F6723" t="s">
        <v>7</v>
      </c>
      <c r="G6723" t="s">
        <v>13</v>
      </c>
      <c r="H6723">
        <v>2</v>
      </c>
      <c r="I6723" t="s">
        <v>27</v>
      </c>
    </row>
    <row r="6724" spans="1:9" x14ac:dyDescent="0.2">
      <c r="A6724" t="str">
        <f t="shared" si="352"/>
        <v>41883Tiahura18105PoritidaeDessous</v>
      </c>
      <c r="B6724" s="1">
        <v>41883</v>
      </c>
      <c r="C6724" t="s">
        <v>24</v>
      </c>
      <c r="D6724" s="19">
        <v>18</v>
      </c>
      <c r="E6724">
        <v>105</v>
      </c>
      <c r="F6724" t="s">
        <v>7</v>
      </c>
      <c r="G6724" t="s">
        <v>8</v>
      </c>
      <c r="H6724">
        <v>2</v>
      </c>
      <c r="I6724" t="s">
        <v>27</v>
      </c>
    </row>
    <row r="6725" spans="1:9" x14ac:dyDescent="0.2">
      <c r="A6725" t="str">
        <f t="shared" si="352"/>
        <v>41883Tiahura18106PoritidaeDessous</v>
      </c>
      <c r="B6725" s="1">
        <v>41883</v>
      </c>
      <c r="C6725" t="s">
        <v>24</v>
      </c>
      <c r="D6725" s="19">
        <v>18</v>
      </c>
      <c r="E6725">
        <v>106</v>
      </c>
      <c r="F6725" t="s">
        <v>7</v>
      </c>
      <c r="G6725" t="s">
        <v>8</v>
      </c>
      <c r="H6725">
        <v>2</v>
      </c>
      <c r="I6725" t="s">
        <v>27</v>
      </c>
    </row>
    <row r="6726" spans="1:9" x14ac:dyDescent="0.2">
      <c r="A6726" t="str">
        <f t="shared" si="352"/>
        <v>41883Tiahura18107Autres</v>
      </c>
      <c r="B6726" s="1">
        <v>41883</v>
      </c>
      <c r="C6726" t="s">
        <v>24</v>
      </c>
      <c r="D6726" s="19">
        <v>18</v>
      </c>
      <c r="E6726">
        <v>107</v>
      </c>
      <c r="F6726" t="s">
        <v>14</v>
      </c>
      <c r="H6726">
        <v>0</v>
      </c>
    </row>
    <row r="6727" spans="1:9" x14ac:dyDescent="0.2">
      <c r="A6727" t="str">
        <f t="shared" si="352"/>
        <v>41883Tiahura18108Autres</v>
      </c>
      <c r="B6727" s="1">
        <v>41883</v>
      </c>
      <c r="C6727" t="s">
        <v>24</v>
      </c>
      <c r="D6727" s="19">
        <v>18</v>
      </c>
      <c r="E6727">
        <v>108</v>
      </c>
      <c r="F6727" t="s">
        <v>14</v>
      </c>
      <c r="H6727">
        <v>0</v>
      </c>
    </row>
    <row r="6728" spans="1:9" x14ac:dyDescent="0.2">
      <c r="A6728" t="str">
        <f t="shared" si="352"/>
        <v>41883Tiahura18109Autres</v>
      </c>
      <c r="B6728" s="1">
        <v>41883</v>
      </c>
      <c r="C6728" t="s">
        <v>24</v>
      </c>
      <c r="D6728" s="19">
        <v>18</v>
      </c>
      <c r="E6728">
        <v>109</v>
      </c>
      <c r="F6728" t="s">
        <v>14</v>
      </c>
      <c r="H6728">
        <v>0</v>
      </c>
    </row>
    <row r="6729" spans="1:9" x14ac:dyDescent="0.2">
      <c r="A6729" t="str">
        <f t="shared" si="352"/>
        <v>41883Tiahura18110Autres</v>
      </c>
      <c r="B6729" s="1">
        <v>41883</v>
      </c>
      <c r="C6729" t="s">
        <v>24</v>
      </c>
      <c r="D6729" s="19">
        <v>18</v>
      </c>
      <c r="E6729">
        <v>110</v>
      </c>
      <c r="F6729" t="s">
        <v>14</v>
      </c>
      <c r="H6729">
        <v>0</v>
      </c>
    </row>
    <row r="6730" spans="1:9" x14ac:dyDescent="0.2">
      <c r="A6730" t="str">
        <f t="shared" si="352"/>
        <v>41883Tiahura18111Autres</v>
      </c>
      <c r="B6730" s="1">
        <v>41883</v>
      </c>
      <c r="C6730" t="s">
        <v>24</v>
      </c>
      <c r="D6730" s="19">
        <v>18</v>
      </c>
      <c r="E6730">
        <v>111</v>
      </c>
      <c r="F6730" t="s">
        <v>14</v>
      </c>
      <c r="H6730">
        <v>0</v>
      </c>
    </row>
    <row r="6731" spans="1:9" x14ac:dyDescent="0.2">
      <c r="A6731" t="str">
        <f t="shared" si="352"/>
        <v>41883Tiahura18112Autres</v>
      </c>
      <c r="B6731" s="1">
        <v>41883</v>
      </c>
      <c r="C6731" t="s">
        <v>24</v>
      </c>
      <c r="D6731" s="19">
        <v>18</v>
      </c>
      <c r="E6731">
        <v>112</v>
      </c>
      <c r="F6731" t="s">
        <v>14</v>
      </c>
      <c r="H6731">
        <v>0</v>
      </c>
    </row>
    <row r="6732" spans="1:9" x14ac:dyDescent="0.2">
      <c r="A6732" t="str">
        <f t="shared" si="352"/>
        <v>41883Tiahura18113Autres</v>
      </c>
      <c r="B6732" s="1">
        <v>41883</v>
      </c>
      <c r="C6732" t="s">
        <v>24</v>
      </c>
      <c r="D6732" s="19">
        <v>18</v>
      </c>
      <c r="E6732">
        <v>113</v>
      </c>
      <c r="F6732" t="s">
        <v>14</v>
      </c>
      <c r="H6732">
        <v>0</v>
      </c>
    </row>
    <row r="6733" spans="1:9" x14ac:dyDescent="0.2">
      <c r="A6733" t="str">
        <f t="shared" si="352"/>
        <v>41883Tiahura18114PoritidaeBords</v>
      </c>
      <c r="B6733" s="1">
        <v>41883</v>
      </c>
      <c r="C6733" t="s">
        <v>24</v>
      </c>
      <c r="D6733" s="19">
        <v>18</v>
      </c>
      <c r="E6733">
        <v>114</v>
      </c>
      <c r="F6733" t="s">
        <v>7</v>
      </c>
      <c r="G6733" t="s">
        <v>13</v>
      </c>
      <c r="H6733">
        <v>1</v>
      </c>
      <c r="I6733" t="s">
        <v>27</v>
      </c>
    </row>
    <row r="6734" spans="1:9" x14ac:dyDescent="0.2">
      <c r="A6734" t="str">
        <f t="shared" si="352"/>
        <v>41883Tiahura18115Autres</v>
      </c>
      <c r="B6734" s="1">
        <v>41883</v>
      </c>
      <c r="C6734" t="s">
        <v>24</v>
      </c>
      <c r="D6734" s="19">
        <v>18</v>
      </c>
      <c r="E6734">
        <v>115</v>
      </c>
      <c r="F6734" t="s">
        <v>14</v>
      </c>
      <c r="H6734">
        <v>0</v>
      </c>
    </row>
    <row r="6735" spans="1:9" x14ac:dyDescent="0.2">
      <c r="A6735" t="str">
        <f t="shared" si="352"/>
        <v>41883Tiahura18116PoritidaeDessous</v>
      </c>
      <c r="B6735" s="1">
        <v>41883</v>
      </c>
      <c r="C6735" t="s">
        <v>24</v>
      </c>
      <c r="D6735" s="19">
        <v>18</v>
      </c>
      <c r="E6735">
        <v>116</v>
      </c>
      <c r="F6735" t="s">
        <v>7</v>
      </c>
      <c r="G6735" t="s">
        <v>8</v>
      </c>
      <c r="H6735">
        <v>1</v>
      </c>
      <c r="I6735" t="s">
        <v>27</v>
      </c>
    </row>
    <row r="6736" spans="1:9" x14ac:dyDescent="0.2">
      <c r="A6736" t="str">
        <f t="shared" si="352"/>
        <v>41883Tiahura18117Autres</v>
      </c>
      <c r="B6736" s="1">
        <v>41883</v>
      </c>
      <c r="C6736" t="s">
        <v>24</v>
      </c>
      <c r="D6736" s="19">
        <v>18</v>
      </c>
      <c r="E6736">
        <v>117</v>
      </c>
      <c r="F6736" t="s">
        <v>14</v>
      </c>
      <c r="H6736">
        <v>0</v>
      </c>
    </row>
    <row r="6737" spans="1:8" x14ac:dyDescent="0.2">
      <c r="A6737" t="str">
        <f t="shared" si="352"/>
        <v>41883Tiahura18118Autres</v>
      </c>
      <c r="B6737" s="1">
        <v>41883</v>
      </c>
      <c r="C6737" t="s">
        <v>24</v>
      </c>
      <c r="D6737" s="19">
        <v>18</v>
      </c>
      <c r="E6737">
        <v>118</v>
      </c>
      <c r="F6737" t="s">
        <v>14</v>
      </c>
      <c r="H6737">
        <v>0</v>
      </c>
    </row>
    <row r="6738" spans="1:8" x14ac:dyDescent="0.2">
      <c r="A6738" t="str">
        <f t="shared" si="352"/>
        <v>41883Tiahura18119Autres</v>
      </c>
      <c r="B6738" s="1">
        <v>41883</v>
      </c>
      <c r="C6738" t="s">
        <v>24</v>
      </c>
      <c r="D6738" s="19">
        <v>18</v>
      </c>
      <c r="E6738">
        <v>119</v>
      </c>
      <c r="F6738" t="s">
        <v>14</v>
      </c>
      <c r="H6738">
        <v>0</v>
      </c>
    </row>
    <row r="6739" spans="1:8" x14ac:dyDescent="0.2">
      <c r="A6739" t="str">
        <f t="shared" si="352"/>
        <v>41883Tiahura18120Autres</v>
      </c>
      <c r="B6739" s="1">
        <v>41883</v>
      </c>
      <c r="C6739" t="s">
        <v>24</v>
      </c>
      <c r="D6739" s="19">
        <v>18</v>
      </c>
      <c r="E6739">
        <v>120</v>
      </c>
      <c r="F6739" t="s">
        <v>14</v>
      </c>
      <c r="H6739">
        <v>0</v>
      </c>
    </row>
    <row r="6740" spans="1:8" x14ac:dyDescent="0.2">
      <c r="A6740" t="str">
        <f t="shared" si="352"/>
        <v>41883Haapiti6121Autres</v>
      </c>
      <c r="B6740" s="1">
        <v>41883</v>
      </c>
      <c r="C6740" t="s">
        <v>25</v>
      </c>
      <c r="D6740" s="19">
        <v>6</v>
      </c>
      <c r="E6740">
        <v>121</v>
      </c>
      <c r="F6740" t="s">
        <v>14</v>
      </c>
      <c r="H6740">
        <v>0</v>
      </c>
    </row>
    <row r="6741" spans="1:8" x14ac:dyDescent="0.2">
      <c r="A6741" t="str">
        <f t="shared" si="352"/>
        <v>41883Haapiti6122Autres</v>
      </c>
      <c r="B6741" s="1">
        <v>41883</v>
      </c>
      <c r="C6741" t="s">
        <v>25</v>
      </c>
      <c r="D6741" s="19">
        <v>6</v>
      </c>
      <c r="E6741">
        <v>122</v>
      </c>
      <c r="F6741" t="s">
        <v>14</v>
      </c>
      <c r="H6741">
        <v>0</v>
      </c>
    </row>
    <row r="6742" spans="1:8" x14ac:dyDescent="0.2">
      <c r="A6742" t="str">
        <f t="shared" si="352"/>
        <v>41883Haapiti6123Autres</v>
      </c>
      <c r="B6742" s="1">
        <v>41883</v>
      </c>
      <c r="C6742" t="s">
        <v>25</v>
      </c>
      <c r="D6742" s="19">
        <v>6</v>
      </c>
      <c r="E6742">
        <v>123</v>
      </c>
      <c r="F6742" t="s">
        <v>14</v>
      </c>
      <c r="H6742">
        <v>0</v>
      </c>
    </row>
    <row r="6743" spans="1:8" x14ac:dyDescent="0.2">
      <c r="A6743" t="str">
        <f t="shared" si="352"/>
        <v>41883Haapiti6124Autres</v>
      </c>
      <c r="B6743" s="1">
        <v>41883</v>
      </c>
      <c r="C6743" t="s">
        <v>25</v>
      </c>
      <c r="D6743" s="19">
        <v>6</v>
      </c>
      <c r="E6743">
        <v>124</v>
      </c>
      <c r="F6743" t="s">
        <v>14</v>
      </c>
      <c r="H6743">
        <v>0</v>
      </c>
    </row>
    <row r="6744" spans="1:8" x14ac:dyDescent="0.2">
      <c r="A6744" t="str">
        <f t="shared" si="352"/>
        <v>41883Haapiti6125Autres</v>
      </c>
      <c r="B6744" s="1">
        <v>41883</v>
      </c>
      <c r="C6744" t="s">
        <v>25</v>
      </c>
      <c r="D6744" s="19">
        <v>6</v>
      </c>
      <c r="E6744">
        <v>125</v>
      </c>
      <c r="F6744" t="s">
        <v>14</v>
      </c>
      <c r="H6744">
        <v>0</v>
      </c>
    </row>
    <row r="6745" spans="1:8" x14ac:dyDescent="0.2">
      <c r="A6745" t="str">
        <f t="shared" si="352"/>
        <v>41883Haapiti6126Autres</v>
      </c>
      <c r="B6745" s="1">
        <v>41883</v>
      </c>
      <c r="C6745" t="s">
        <v>25</v>
      </c>
      <c r="D6745" s="19">
        <v>6</v>
      </c>
      <c r="E6745">
        <v>126</v>
      </c>
      <c r="F6745" t="s">
        <v>14</v>
      </c>
      <c r="H6745">
        <v>0</v>
      </c>
    </row>
    <row r="6746" spans="1:8" x14ac:dyDescent="0.2">
      <c r="A6746" t="str">
        <f t="shared" si="352"/>
        <v>41883Haapiti6127Autres</v>
      </c>
      <c r="B6746" s="1">
        <v>41883</v>
      </c>
      <c r="C6746" t="s">
        <v>25</v>
      </c>
      <c r="D6746" s="19">
        <v>6</v>
      </c>
      <c r="E6746">
        <v>127</v>
      </c>
      <c r="F6746" t="s">
        <v>14</v>
      </c>
      <c r="H6746">
        <v>0</v>
      </c>
    </row>
    <row r="6747" spans="1:8" x14ac:dyDescent="0.2">
      <c r="A6747" t="str">
        <f t="shared" si="352"/>
        <v>41883Haapiti6128Autres</v>
      </c>
      <c r="B6747" s="1">
        <v>41883</v>
      </c>
      <c r="C6747" t="s">
        <v>25</v>
      </c>
      <c r="D6747" s="19">
        <v>6</v>
      </c>
      <c r="E6747">
        <v>128</v>
      </c>
      <c r="F6747" t="s">
        <v>14</v>
      </c>
      <c r="H6747">
        <v>0</v>
      </c>
    </row>
    <row r="6748" spans="1:8" x14ac:dyDescent="0.2">
      <c r="A6748" t="str">
        <f t="shared" si="352"/>
        <v>41883Haapiti6129Autres</v>
      </c>
      <c r="B6748" s="1">
        <v>41883</v>
      </c>
      <c r="C6748" t="s">
        <v>25</v>
      </c>
      <c r="D6748" s="19">
        <v>6</v>
      </c>
      <c r="E6748">
        <v>129</v>
      </c>
      <c r="F6748" t="s">
        <v>14</v>
      </c>
      <c r="H6748">
        <v>0</v>
      </c>
    </row>
    <row r="6749" spans="1:8" x14ac:dyDescent="0.2">
      <c r="A6749" t="str">
        <f t="shared" si="352"/>
        <v>41883Haapiti6130Autres</v>
      </c>
      <c r="B6749" s="1">
        <v>41883</v>
      </c>
      <c r="C6749" t="s">
        <v>25</v>
      </c>
      <c r="D6749" s="19">
        <v>6</v>
      </c>
      <c r="E6749">
        <v>130</v>
      </c>
      <c r="F6749" t="s">
        <v>14</v>
      </c>
      <c r="H6749">
        <v>0</v>
      </c>
    </row>
    <row r="6750" spans="1:8" x14ac:dyDescent="0.2">
      <c r="A6750" t="str">
        <f t="shared" si="352"/>
        <v>41883Haapiti6131Autres</v>
      </c>
      <c r="B6750" s="1">
        <v>41883</v>
      </c>
      <c r="C6750" t="s">
        <v>25</v>
      </c>
      <c r="D6750" s="19">
        <v>6</v>
      </c>
      <c r="E6750">
        <v>131</v>
      </c>
      <c r="F6750" t="s">
        <v>14</v>
      </c>
      <c r="H6750">
        <v>0</v>
      </c>
    </row>
    <row r="6751" spans="1:8" x14ac:dyDescent="0.2">
      <c r="A6751" t="str">
        <f t="shared" si="352"/>
        <v>41883Haapiti6132Autres</v>
      </c>
      <c r="B6751" s="1">
        <v>41883</v>
      </c>
      <c r="C6751" t="s">
        <v>25</v>
      </c>
      <c r="D6751" s="19">
        <v>6</v>
      </c>
      <c r="E6751">
        <v>132</v>
      </c>
      <c r="F6751" t="s">
        <v>14</v>
      </c>
      <c r="H6751">
        <v>0</v>
      </c>
    </row>
    <row r="6752" spans="1:8" x14ac:dyDescent="0.2">
      <c r="A6752" t="str">
        <f t="shared" si="352"/>
        <v>41883Haapiti6133Autres</v>
      </c>
      <c r="B6752" s="1">
        <v>41883</v>
      </c>
      <c r="C6752" t="s">
        <v>25</v>
      </c>
      <c r="D6752" s="19">
        <v>6</v>
      </c>
      <c r="E6752">
        <v>133</v>
      </c>
      <c r="F6752" t="s">
        <v>14</v>
      </c>
      <c r="H6752">
        <v>0</v>
      </c>
    </row>
    <row r="6753" spans="1:8" x14ac:dyDescent="0.2">
      <c r="A6753" t="str">
        <f t="shared" si="352"/>
        <v>41883Haapiti6134Autres</v>
      </c>
      <c r="B6753" s="1">
        <v>41883</v>
      </c>
      <c r="C6753" t="s">
        <v>25</v>
      </c>
      <c r="D6753" s="19">
        <v>6</v>
      </c>
      <c r="E6753">
        <v>134</v>
      </c>
      <c r="F6753" t="s">
        <v>14</v>
      </c>
      <c r="H6753">
        <v>0</v>
      </c>
    </row>
    <row r="6754" spans="1:8" x14ac:dyDescent="0.2">
      <c r="A6754" t="str">
        <f t="shared" si="352"/>
        <v>41883Haapiti6135Autres</v>
      </c>
      <c r="B6754" s="1">
        <v>41883</v>
      </c>
      <c r="C6754" t="s">
        <v>25</v>
      </c>
      <c r="D6754" s="19">
        <v>6</v>
      </c>
      <c r="E6754">
        <v>135</v>
      </c>
      <c r="F6754" t="s">
        <v>14</v>
      </c>
      <c r="H6754">
        <v>0</v>
      </c>
    </row>
    <row r="6755" spans="1:8" x14ac:dyDescent="0.2">
      <c r="A6755" t="str">
        <f t="shared" si="352"/>
        <v>41883Haapiti6136Autres</v>
      </c>
      <c r="B6755" s="1">
        <v>41883</v>
      </c>
      <c r="C6755" t="s">
        <v>25</v>
      </c>
      <c r="D6755" s="19">
        <v>6</v>
      </c>
      <c r="E6755">
        <v>136</v>
      </c>
      <c r="F6755" t="s">
        <v>14</v>
      </c>
      <c r="H6755">
        <v>0</v>
      </c>
    </row>
    <row r="6756" spans="1:8" x14ac:dyDescent="0.2">
      <c r="A6756" t="str">
        <f t="shared" si="352"/>
        <v>41883Haapiti6137Autres</v>
      </c>
      <c r="B6756" s="1">
        <v>41883</v>
      </c>
      <c r="C6756" t="s">
        <v>25</v>
      </c>
      <c r="D6756" s="19">
        <v>6</v>
      </c>
      <c r="E6756">
        <v>137</v>
      </c>
      <c r="F6756" t="s">
        <v>14</v>
      </c>
      <c r="H6756">
        <v>0</v>
      </c>
    </row>
    <row r="6757" spans="1:8" x14ac:dyDescent="0.2">
      <c r="A6757" t="str">
        <f t="shared" si="352"/>
        <v>41883Haapiti6138Autres</v>
      </c>
      <c r="B6757" s="1">
        <v>41883</v>
      </c>
      <c r="C6757" t="s">
        <v>25</v>
      </c>
      <c r="D6757" s="19">
        <v>6</v>
      </c>
      <c r="E6757">
        <v>138</v>
      </c>
      <c r="F6757" t="s">
        <v>14</v>
      </c>
      <c r="H6757">
        <v>0</v>
      </c>
    </row>
    <row r="6758" spans="1:8" x14ac:dyDescent="0.2">
      <c r="A6758" t="str">
        <f t="shared" si="352"/>
        <v>41883Haapiti6139Autres</v>
      </c>
      <c r="B6758" s="1">
        <v>41883</v>
      </c>
      <c r="C6758" t="s">
        <v>25</v>
      </c>
      <c r="D6758" s="19">
        <v>6</v>
      </c>
      <c r="E6758">
        <v>139</v>
      </c>
      <c r="F6758" t="s">
        <v>14</v>
      </c>
      <c r="H6758">
        <v>0</v>
      </c>
    </row>
    <row r="6759" spans="1:8" x14ac:dyDescent="0.2">
      <c r="A6759" t="str">
        <f t="shared" si="352"/>
        <v>41883Haapiti6140Autres</v>
      </c>
      <c r="B6759" s="1">
        <v>41883</v>
      </c>
      <c r="C6759" t="s">
        <v>25</v>
      </c>
      <c r="D6759" s="19">
        <v>6</v>
      </c>
      <c r="E6759">
        <v>140</v>
      </c>
      <c r="F6759" t="s">
        <v>14</v>
      </c>
      <c r="H6759">
        <v>0</v>
      </c>
    </row>
    <row r="6760" spans="1:8" x14ac:dyDescent="0.2">
      <c r="A6760" t="str">
        <f t="shared" si="352"/>
        <v>41883Haapiti12141Autres</v>
      </c>
      <c r="B6760" s="1">
        <v>41883</v>
      </c>
      <c r="C6760" t="s">
        <v>25</v>
      </c>
      <c r="D6760" s="19">
        <v>12</v>
      </c>
      <c r="E6760">
        <v>141</v>
      </c>
      <c r="F6760" t="s">
        <v>14</v>
      </c>
      <c r="H6760">
        <v>0</v>
      </c>
    </row>
    <row r="6761" spans="1:8" x14ac:dyDescent="0.2">
      <c r="A6761" t="str">
        <f t="shared" si="352"/>
        <v>41883Haapiti12142Autres</v>
      </c>
      <c r="B6761" s="1">
        <v>41883</v>
      </c>
      <c r="C6761" t="s">
        <v>25</v>
      </c>
      <c r="D6761" s="19">
        <v>12</v>
      </c>
      <c r="E6761">
        <v>142</v>
      </c>
      <c r="F6761" t="s">
        <v>14</v>
      </c>
      <c r="H6761">
        <v>0</v>
      </c>
    </row>
    <row r="6762" spans="1:8" x14ac:dyDescent="0.2">
      <c r="A6762" t="str">
        <f t="shared" si="352"/>
        <v>41883Haapiti12143Autres</v>
      </c>
      <c r="B6762" s="1">
        <v>41883</v>
      </c>
      <c r="C6762" t="s">
        <v>25</v>
      </c>
      <c r="D6762" s="19">
        <v>12</v>
      </c>
      <c r="E6762">
        <v>143</v>
      </c>
      <c r="F6762" t="s">
        <v>14</v>
      </c>
      <c r="H6762">
        <v>0</v>
      </c>
    </row>
    <row r="6763" spans="1:8" x14ac:dyDescent="0.2">
      <c r="A6763" t="str">
        <f t="shared" si="352"/>
        <v>41883Haapiti12144Autres</v>
      </c>
      <c r="B6763" s="1">
        <v>41883</v>
      </c>
      <c r="C6763" t="s">
        <v>25</v>
      </c>
      <c r="D6763" s="19">
        <v>12</v>
      </c>
      <c r="E6763">
        <v>144</v>
      </c>
      <c r="F6763" t="s">
        <v>14</v>
      </c>
      <c r="H6763">
        <v>0</v>
      </c>
    </row>
    <row r="6764" spans="1:8" x14ac:dyDescent="0.2">
      <c r="A6764" t="str">
        <f t="shared" si="352"/>
        <v>41883Haapiti12145Autres</v>
      </c>
      <c r="B6764" s="1">
        <v>41883</v>
      </c>
      <c r="C6764" t="s">
        <v>25</v>
      </c>
      <c r="D6764" s="19">
        <v>12</v>
      </c>
      <c r="E6764">
        <v>145</v>
      </c>
      <c r="F6764" t="s">
        <v>14</v>
      </c>
      <c r="H6764">
        <v>0</v>
      </c>
    </row>
    <row r="6765" spans="1:8" x14ac:dyDescent="0.2">
      <c r="A6765" t="str">
        <f t="shared" si="352"/>
        <v>41883Haapiti12146Autres</v>
      </c>
      <c r="B6765" s="1">
        <v>41883</v>
      </c>
      <c r="C6765" t="s">
        <v>25</v>
      </c>
      <c r="D6765" s="19">
        <v>12</v>
      </c>
      <c r="E6765">
        <v>146</v>
      </c>
      <c r="F6765" t="s">
        <v>14</v>
      </c>
      <c r="H6765">
        <v>0</v>
      </c>
    </row>
    <row r="6766" spans="1:8" x14ac:dyDescent="0.2">
      <c r="A6766" t="str">
        <f t="shared" si="352"/>
        <v>41883Haapiti12147Autres</v>
      </c>
      <c r="B6766" s="1">
        <v>41883</v>
      </c>
      <c r="C6766" t="s">
        <v>25</v>
      </c>
      <c r="D6766" s="19">
        <v>12</v>
      </c>
      <c r="E6766">
        <v>147</v>
      </c>
      <c r="F6766" t="s">
        <v>14</v>
      </c>
      <c r="H6766">
        <v>0</v>
      </c>
    </row>
    <row r="6767" spans="1:8" x14ac:dyDescent="0.2">
      <c r="A6767" t="str">
        <f t="shared" si="352"/>
        <v>41883Haapiti12148Autres</v>
      </c>
      <c r="B6767" s="1">
        <v>41883</v>
      </c>
      <c r="C6767" t="s">
        <v>25</v>
      </c>
      <c r="D6767" s="19">
        <v>12</v>
      </c>
      <c r="E6767">
        <v>148</v>
      </c>
      <c r="F6767" t="s">
        <v>14</v>
      </c>
      <c r="H6767">
        <v>0</v>
      </c>
    </row>
    <row r="6768" spans="1:8" x14ac:dyDescent="0.2">
      <c r="A6768" t="str">
        <f t="shared" si="352"/>
        <v>41883Haapiti12149Autres</v>
      </c>
      <c r="B6768" s="1">
        <v>41883</v>
      </c>
      <c r="C6768" t="s">
        <v>25</v>
      </c>
      <c r="D6768" s="19">
        <v>12</v>
      </c>
      <c r="E6768">
        <v>149</v>
      </c>
      <c r="F6768" t="s">
        <v>14</v>
      </c>
      <c r="H6768">
        <v>0</v>
      </c>
    </row>
    <row r="6769" spans="1:8" x14ac:dyDescent="0.2">
      <c r="A6769" t="str">
        <f t="shared" si="352"/>
        <v>41883Haapiti12150Autres</v>
      </c>
      <c r="B6769" s="1">
        <v>41883</v>
      </c>
      <c r="C6769" t="s">
        <v>25</v>
      </c>
      <c r="D6769" s="19">
        <v>12</v>
      </c>
      <c r="E6769">
        <v>150</v>
      </c>
      <c r="F6769" t="s">
        <v>14</v>
      </c>
      <c r="H6769">
        <v>0</v>
      </c>
    </row>
    <row r="6770" spans="1:8" x14ac:dyDescent="0.2">
      <c r="A6770" t="str">
        <f t="shared" si="352"/>
        <v>41883Haapiti12151Autres</v>
      </c>
      <c r="B6770" s="1">
        <v>41883</v>
      </c>
      <c r="C6770" t="s">
        <v>25</v>
      </c>
      <c r="D6770" s="19">
        <v>12</v>
      </c>
      <c r="E6770">
        <v>151</v>
      </c>
      <c r="F6770" t="s">
        <v>14</v>
      </c>
      <c r="H6770">
        <v>0</v>
      </c>
    </row>
    <row r="6771" spans="1:8" x14ac:dyDescent="0.2">
      <c r="A6771" t="str">
        <f t="shared" si="352"/>
        <v>41883Haapiti12152Autres</v>
      </c>
      <c r="B6771" s="1">
        <v>41883</v>
      </c>
      <c r="C6771" t="s">
        <v>25</v>
      </c>
      <c r="D6771" s="19">
        <v>12</v>
      </c>
      <c r="E6771">
        <v>152</v>
      </c>
      <c r="F6771" t="s">
        <v>14</v>
      </c>
      <c r="H6771">
        <v>0</v>
      </c>
    </row>
    <row r="6772" spans="1:8" x14ac:dyDescent="0.2">
      <c r="A6772" t="str">
        <f t="shared" si="352"/>
        <v>41883Haapiti12153Autres</v>
      </c>
      <c r="B6772" s="1">
        <v>41883</v>
      </c>
      <c r="C6772" t="s">
        <v>25</v>
      </c>
      <c r="D6772" s="19">
        <v>12</v>
      </c>
      <c r="E6772">
        <v>153</v>
      </c>
      <c r="F6772" t="s">
        <v>14</v>
      </c>
      <c r="H6772">
        <v>0</v>
      </c>
    </row>
    <row r="6773" spans="1:8" x14ac:dyDescent="0.2">
      <c r="A6773" t="str">
        <f t="shared" si="352"/>
        <v>41883Haapiti12154Autres</v>
      </c>
      <c r="B6773" s="1">
        <v>41883</v>
      </c>
      <c r="C6773" t="s">
        <v>25</v>
      </c>
      <c r="D6773" s="19">
        <v>12</v>
      </c>
      <c r="E6773">
        <v>154</v>
      </c>
      <c r="F6773" t="s">
        <v>14</v>
      </c>
      <c r="H6773">
        <v>0</v>
      </c>
    </row>
    <row r="6774" spans="1:8" x14ac:dyDescent="0.2">
      <c r="A6774" t="str">
        <f t="shared" si="352"/>
        <v>41883Haapiti12155Autres</v>
      </c>
      <c r="B6774" s="1">
        <v>41883</v>
      </c>
      <c r="C6774" t="s">
        <v>25</v>
      </c>
      <c r="D6774" s="19">
        <v>12</v>
      </c>
      <c r="E6774">
        <v>155</v>
      </c>
      <c r="F6774" t="s">
        <v>14</v>
      </c>
      <c r="H6774">
        <v>0</v>
      </c>
    </row>
    <row r="6775" spans="1:8" x14ac:dyDescent="0.2">
      <c r="A6775" t="str">
        <f t="shared" si="352"/>
        <v>41883Haapiti12156Autres</v>
      </c>
      <c r="B6775" s="1">
        <v>41883</v>
      </c>
      <c r="C6775" t="s">
        <v>25</v>
      </c>
      <c r="D6775" s="19">
        <v>12</v>
      </c>
      <c r="E6775">
        <v>156</v>
      </c>
      <c r="F6775" t="s">
        <v>14</v>
      </c>
      <c r="H6775">
        <v>0</v>
      </c>
    </row>
    <row r="6776" spans="1:8" x14ac:dyDescent="0.2">
      <c r="A6776" t="str">
        <f t="shared" si="352"/>
        <v>41883Haapiti12157Autres</v>
      </c>
      <c r="B6776" s="1">
        <v>41883</v>
      </c>
      <c r="C6776" t="s">
        <v>25</v>
      </c>
      <c r="D6776" s="19">
        <v>12</v>
      </c>
      <c r="E6776">
        <v>157</v>
      </c>
      <c r="F6776" t="s">
        <v>14</v>
      </c>
      <c r="H6776">
        <v>0</v>
      </c>
    </row>
    <row r="6777" spans="1:8" x14ac:dyDescent="0.2">
      <c r="A6777" t="str">
        <f t="shared" si="352"/>
        <v>41883Haapiti12158Autres</v>
      </c>
      <c r="B6777" s="1">
        <v>41883</v>
      </c>
      <c r="C6777" t="s">
        <v>25</v>
      </c>
      <c r="D6777" s="19">
        <v>12</v>
      </c>
      <c r="E6777">
        <v>158</v>
      </c>
      <c r="F6777" t="s">
        <v>14</v>
      </c>
      <c r="H6777">
        <v>0</v>
      </c>
    </row>
    <row r="6778" spans="1:8" x14ac:dyDescent="0.2">
      <c r="A6778" t="str">
        <f t="shared" si="352"/>
        <v>41883Haapiti12159Autres</v>
      </c>
      <c r="B6778" s="1">
        <v>41883</v>
      </c>
      <c r="C6778" t="s">
        <v>25</v>
      </c>
      <c r="D6778" s="19">
        <v>12</v>
      </c>
      <c r="E6778">
        <v>159</v>
      </c>
      <c r="F6778" t="s">
        <v>14</v>
      </c>
      <c r="H6778">
        <v>0</v>
      </c>
    </row>
    <row r="6779" spans="1:8" x14ac:dyDescent="0.2">
      <c r="A6779" t="str">
        <f t="shared" si="352"/>
        <v>41883Haapiti12160Autres</v>
      </c>
      <c r="B6779" s="1">
        <v>41883</v>
      </c>
      <c r="C6779" t="s">
        <v>25</v>
      </c>
      <c r="D6779" s="19">
        <v>12</v>
      </c>
      <c r="E6779">
        <v>160</v>
      </c>
      <c r="F6779" t="s">
        <v>14</v>
      </c>
      <c r="H6779">
        <v>0</v>
      </c>
    </row>
    <row r="6780" spans="1:8" x14ac:dyDescent="0.2">
      <c r="A6780" t="str">
        <f t="shared" si="352"/>
        <v>41883Haapiti18161Autres</v>
      </c>
      <c r="B6780" s="1">
        <v>41883</v>
      </c>
      <c r="C6780" t="s">
        <v>25</v>
      </c>
      <c r="D6780" s="19">
        <v>18</v>
      </c>
      <c r="E6780">
        <v>161</v>
      </c>
      <c r="F6780" t="s">
        <v>14</v>
      </c>
      <c r="H6780">
        <v>0</v>
      </c>
    </row>
    <row r="6781" spans="1:8" x14ac:dyDescent="0.2">
      <c r="A6781" t="str">
        <f t="shared" si="352"/>
        <v>41883Haapiti18162Autres</v>
      </c>
      <c r="B6781" s="1">
        <v>41883</v>
      </c>
      <c r="C6781" t="s">
        <v>25</v>
      </c>
      <c r="D6781" s="19">
        <v>18</v>
      </c>
      <c r="E6781">
        <v>162</v>
      </c>
      <c r="F6781" t="s">
        <v>14</v>
      </c>
      <c r="H6781">
        <v>0</v>
      </c>
    </row>
    <row r="6782" spans="1:8" x14ac:dyDescent="0.2">
      <c r="A6782" t="str">
        <f t="shared" si="352"/>
        <v>41883Haapiti18163Autres</v>
      </c>
      <c r="B6782" s="1">
        <v>41883</v>
      </c>
      <c r="C6782" t="s">
        <v>25</v>
      </c>
      <c r="D6782" s="19">
        <v>18</v>
      </c>
      <c r="E6782">
        <v>163</v>
      </c>
      <c r="F6782" t="s">
        <v>14</v>
      </c>
      <c r="H6782">
        <v>0</v>
      </c>
    </row>
    <row r="6783" spans="1:8" x14ac:dyDescent="0.2">
      <c r="A6783" t="str">
        <f t="shared" ref="A6783:A6846" si="353">B6783 &amp; C6783&amp; D6783&amp; E6783 &amp; F6783 &amp;G6783</f>
        <v>41883Haapiti18164Autres</v>
      </c>
      <c r="B6783" s="1">
        <v>41883</v>
      </c>
      <c r="C6783" t="s">
        <v>25</v>
      </c>
      <c r="D6783" s="19">
        <v>18</v>
      </c>
      <c r="E6783">
        <v>164</v>
      </c>
      <c r="F6783" t="s">
        <v>14</v>
      </c>
      <c r="H6783">
        <v>0</v>
      </c>
    </row>
    <row r="6784" spans="1:8" x14ac:dyDescent="0.2">
      <c r="A6784" t="str">
        <f t="shared" si="353"/>
        <v>41883Haapiti18165Autres</v>
      </c>
      <c r="B6784" s="1">
        <v>41883</v>
      </c>
      <c r="C6784" t="s">
        <v>25</v>
      </c>
      <c r="D6784" s="19">
        <v>18</v>
      </c>
      <c r="E6784">
        <v>165</v>
      </c>
      <c r="F6784" t="s">
        <v>14</v>
      </c>
      <c r="H6784">
        <v>0</v>
      </c>
    </row>
    <row r="6785" spans="1:9" x14ac:dyDescent="0.2">
      <c r="A6785" t="str">
        <f t="shared" si="353"/>
        <v>41883Haapiti18166Autres</v>
      </c>
      <c r="B6785" s="1">
        <v>41883</v>
      </c>
      <c r="C6785" t="s">
        <v>25</v>
      </c>
      <c r="D6785" s="19">
        <v>18</v>
      </c>
      <c r="E6785">
        <v>166</v>
      </c>
      <c r="F6785" t="s">
        <v>14</v>
      </c>
      <c r="H6785">
        <v>0</v>
      </c>
    </row>
    <row r="6786" spans="1:9" x14ac:dyDescent="0.2">
      <c r="A6786" t="str">
        <f t="shared" si="353"/>
        <v>41883Haapiti18167Autres</v>
      </c>
      <c r="B6786" s="1">
        <v>41883</v>
      </c>
      <c r="C6786" t="s">
        <v>25</v>
      </c>
      <c r="D6786" s="19">
        <v>18</v>
      </c>
      <c r="E6786">
        <v>167</v>
      </c>
      <c r="F6786" t="s">
        <v>14</v>
      </c>
      <c r="H6786">
        <v>0</v>
      </c>
    </row>
    <row r="6787" spans="1:9" x14ac:dyDescent="0.2">
      <c r="A6787" t="str">
        <f t="shared" si="353"/>
        <v>41883Haapiti18168Autres</v>
      </c>
      <c r="B6787" s="1">
        <v>41883</v>
      </c>
      <c r="C6787" t="s">
        <v>25</v>
      </c>
      <c r="D6787" s="19">
        <v>18</v>
      </c>
      <c r="E6787">
        <v>168</v>
      </c>
      <c r="F6787" t="s">
        <v>14</v>
      </c>
      <c r="H6787">
        <v>0</v>
      </c>
    </row>
    <row r="6788" spans="1:9" x14ac:dyDescent="0.2">
      <c r="A6788" t="str">
        <f t="shared" si="353"/>
        <v>41883Haapiti18169Autres</v>
      </c>
      <c r="B6788" s="1">
        <v>41883</v>
      </c>
      <c r="C6788" t="s">
        <v>25</v>
      </c>
      <c r="D6788" s="19">
        <v>18</v>
      </c>
      <c r="E6788">
        <v>169</v>
      </c>
      <c r="F6788" t="s">
        <v>14</v>
      </c>
      <c r="H6788">
        <v>0</v>
      </c>
    </row>
    <row r="6789" spans="1:9" x14ac:dyDescent="0.2">
      <c r="A6789" t="str">
        <f t="shared" si="353"/>
        <v>41883Haapiti18170Autres</v>
      </c>
      <c r="B6789" s="1">
        <v>41883</v>
      </c>
      <c r="C6789" t="s">
        <v>25</v>
      </c>
      <c r="D6789" s="19">
        <v>18</v>
      </c>
      <c r="E6789">
        <v>170</v>
      </c>
      <c r="F6789" t="s">
        <v>14</v>
      </c>
      <c r="H6789">
        <v>0</v>
      </c>
    </row>
    <row r="6790" spans="1:9" x14ac:dyDescent="0.2">
      <c r="A6790" t="str">
        <f t="shared" si="353"/>
        <v>41883Haapiti18171Autres</v>
      </c>
      <c r="B6790" s="1">
        <v>41883</v>
      </c>
      <c r="C6790" t="s">
        <v>25</v>
      </c>
      <c r="D6790" s="19">
        <v>18</v>
      </c>
      <c r="E6790">
        <v>171</v>
      </c>
      <c r="F6790" t="s">
        <v>14</v>
      </c>
      <c r="H6790">
        <v>0</v>
      </c>
    </row>
    <row r="6791" spans="1:9" x14ac:dyDescent="0.2">
      <c r="A6791" t="str">
        <f t="shared" si="353"/>
        <v>41883Haapiti18172Autres</v>
      </c>
      <c r="B6791" s="1">
        <v>41883</v>
      </c>
      <c r="C6791" t="s">
        <v>25</v>
      </c>
      <c r="D6791" s="19">
        <v>18</v>
      </c>
      <c r="E6791">
        <v>172</v>
      </c>
      <c r="F6791" t="s">
        <v>14</v>
      </c>
      <c r="H6791">
        <v>0</v>
      </c>
    </row>
    <row r="6792" spans="1:9" x14ac:dyDescent="0.2">
      <c r="A6792" t="str">
        <f t="shared" si="353"/>
        <v>41883Haapiti18173Autres</v>
      </c>
      <c r="B6792" s="1">
        <v>41883</v>
      </c>
      <c r="C6792" t="s">
        <v>25</v>
      </c>
      <c r="D6792" s="19">
        <v>18</v>
      </c>
      <c r="E6792">
        <v>173</v>
      </c>
      <c r="F6792" t="s">
        <v>14</v>
      </c>
      <c r="H6792">
        <v>0</v>
      </c>
    </row>
    <row r="6793" spans="1:9" x14ac:dyDescent="0.2">
      <c r="A6793" t="str">
        <f t="shared" si="353"/>
        <v>41883Haapiti18174Autres</v>
      </c>
      <c r="B6793" s="1">
        <v>41883</v>
      </c>
      <c r="C6793" t="s">
        <v>25</v>
      </c>
      <c r="D6793" s="19">
        <v>18</v>
      </c>
      <c r="E6793">
        <v>174</v>
      </c>
      <c r="F6793" t="s">
        <v>14</v>
      </c>
      <c r="H6793">
        <v>0</v>
      </c>
    </row>
    <row r="6794" spans="1:9" x14ac:dyDescent="0.2">
      <c r="A6794" t="str">
        <f t="shared" si="353"/>
        <v>41883Haapiti18175Autres</v>
      </c>
      <c r="B6794" s="1">
        <v>41883</v>
      </c>
      <c r="C6794" t="s">
        <v>25</v>
      </c>
      <c r="D6794" s="19">
        <v>18</v>
      </c>
      <c r="E6794">
        <v>175</v>
      </c>
      <c r="F6794" t="s">
        <v>14</v>
      </c>
      <c r="H6794">
        <v>0</v>
      </c>
    </row>
    <row r="6795" spans="1:9" x14ac:dyDescent="0.2">
      <c r="A6795" t="str">
        <f t="shared" si="353"/>
        <v>41883Haapiti18176</v>
      </c>
      <c r="B6795" s="1">
        <v>41883</v>
      </c>
      <c r="C6795" t="s">
        <v>25</v>
      </c>
      <c r="D6795" s="19">
        <v>18</v>
      </c>
      <c r="E6795">
        <v>176</v>
      </c>
      <c r="F6795" t="s">
        <v>27</v>
      </c>
      <c r="G6795" t="s">
        <v>27</v>
      </c>
      <c r="H6795" t="s">
        <v>27</v>
      </c>
      <c r="I6795" t="s">
        <v>31</v>
      </c>
    </row>
    <row r="6796" spans="1:9" x14ac:dyDescent="0.2">
      <c r="A6796" t="str">
        <f t="shared" si="353"/>
        <v>41883Haapiti18177Autres</v>
      </c>
      <c r="B6796" s="1">
        <v>41883</v>
      </c>
      <c r="C6796" t="s">
        <v>25</v>
      </c>
      <c r="D6796" s="19">
        <v>18</v>
      </c>
      <c r="E6796">
        <v>177</v>
      </c>
      <c r="F6796" t="s">
        <v>14</v>
      </c>
      <c r="H6796">
        <v>0</v>
      </c>
    </row>
    <row r="6797" spans="1:9" x14ac:dyDescent="0.2">
      <c r="A6797" t="str">
        <f t="shared" si="353"/>
        <v>41883Haapiti18178Autres</v>
      </c>
      <c r="B6797" s="1">
        <v>41883</v>
      </c>
      <c r="C6797" t="s">
        <v>25</v>
      </c>
      <c r="D6797" s="19">
        <v>18</v>
      </c>
      <c r="E6797">
        <v>178</v>
      </c>
      <c r="F6797" t="s">
        <v>14</v>
      </c>
      <c r="H6797">
        <v>0</v>
      </c>
    </row>
    <row r="6798" spans="1:9" x14ac:dyDescent="0.2">
      <c r="A6798" t="str">
        <f t="shared" si="353"/>
        <v>41883Haapiti18179Autres</v>
      </c>
      <c r="B6798" s="1">
        <v>41883</v>
      </c>
      <c r="C6798" t="s">
        <v>25</v>
      </c>
      <c r="D6798" s="19">
        <v>18</v>
      </c>
      <c r="E6798">
        <v>179</v>
      </c>
      <c r="F6798" t="s">
        <v>14</v>
      </c>
      <c r="H6798">
        <v>0</v>
      </c>
    </row>
    <row r="6799" spans="1:9" x14ac:dyDescent="0.2">
      <c r="A6799" t="str">
        <f t="shared" si="353"/>
        <v>41883Haapiti18180Autres</v>
      </c>
      <c r="B6799" s="1">
        <v>41883</v>
      </c>
      <c r="C6799" t="s">
        <v>25</v>
      </c>
      <c r="D6799" s="19">
        <v>18</v>
      </c>
      <c r="E6799">
        <v>180</v>
      </c>
      <c r="F6799" t="s">
        <v>14</v>
      </c>
      <c r="H6799">
        <v>0</v>
      </c>
    </row>
    <row r="6800" spans="1:9" x14ac:dyDescent="0.2">
      <c r="A6800" t="str">
        <f t="shared" si="353"/>
        <v>41974Vaipahu61Autres</v>
      </c>
      <c r="B6800" s="1">
        <v>41974</v>
      </c>
      <c r="C6800" t="s">
        <v>23</v>
      </c>
      <c r="D6800" s="19">
        <v>6</v>
      </c>
      <c r="E6800">
        <v>1</v>
      </c>
      <c r="F6800" t="s">
        <v>14</v>
      </c>
      <c r="H6800">
        <v>0</v>
      </c>
    </row>
    <row r="6801" spans="1:9" x14ac:dyDescent="0.2">
      <c r="A6801" t="str">
        <f t="shared" si="353"/>
        <v>41974Vaipahu62PocilloporidaeDessous</v>
      </c>
      <c r="B6801" s="1">
        <v>41974</v>
      </c>
      <c r="C6801" t="s">
        <v>23</v>
      </c>
      <c r="D6801" s="19">
        <v>6</v>
      </c>
      <c r="E6801">
        <v>2</v>
      </c>
      <c r="F6801" t="s">
        <v>10</v>
      </c>
      <c r="G6801" t="s">
        <v>8</v>
      </c>
      <c r="H6801">
        <v>1</v>
      </c>
      <c r="I6801" t="s">
        <v>27</v>
      </c>
    </row>
    <row r="6802" spans="1:9" x14ac:dyDescent="0.2">
      <c r="A6802" t="str">
        <f t="shared" si="353"/>
        <v>41974Vaipahu63Autres</v>
      </c>
      <c r="B6802" s="1">
        <v>41974</v>
      </c>
      <c r="C6802" t="s">
        <v>23</v>
      </c>
      <c r="D6802" s="19">
        <v>6</v>
      </c>
      <c r="E6802">
        <v>3</v>
      </c>
      <c r="F6802" t="s">
        <v>14</v>
      </c>
      <c r="H6802">
        <v>0</v>
      </c>
    </row>
    <row r="6803" spans="1:9" x14ac:dyDescent="0.2">
      <c r="A6803" t="str">
        <f t="shared" si="353"/>
        <v>41974Vaipahu64Autres</v>
      </c>
      <c r="B6803" s="1">
        <v>41974</v>
      </c>
      <c r="C6803" t="s">
        <v>23</v>
      </c>
      <c r="D6803" s="19">
        <v>6</v>
      </c>
      <c r="E6803">
        <v>4</v>
      </c>
      <c r="F6803" t="s">
        <v>14</v>
      </c>
      <c r="H6803">
        <v>0</v>
      </c>
    </row>
    <row r="6804" spans="1:9" x14ac:dyDescent="0.2">
      <c r="A6804" t="str">
        <f t="shared" si="353"/>
        <v>41974Vaipahu65Autres</v>
      </c>
      <c r="B6804" s="1">
        <v>41974</v>
      </c>
      <c r="C6804" t="s">
        <v>23</v>
      </c>
      <c r="D6804" s="19">
        <v>6</v>
      </c>
      <c r="E6804">
        <v>5</v>
      </c>
      <c r="F6804" t="s">
        <v>14</v>
      </c>
      <c r="H6804">
        <v>0</v>
      </c>
    </row>
    <row r="6805" spans="1:9" x14ac:dyDescent="0.2">
      <c r="A6805" t="str">
        <f t="shared" si="353"/>
        <v>41974Vaipahu66Autres</v>
      </c>
      <c r="B6805" s="1">
        <v>41974</v>
      </c>
      <c r="C6805" t="s">
        <v>23</v>
      </c>
      <c r="D6805" s="19">
        <v>6</v>
      </c>
      <c r="E6805">
        <v>6</v>
      </c>
      <c r="F6805" t="s">
        <v>14</v>
      </c>
      <c r="H6805">
        <v>0</v>
      </c>
    </row>
    <row r="6806" spans="1:9" x14ac:dyDescent="0.2">
      <c r="A6806" t="str">
        <f t="shared" si="353"/>
        <v>41974Vaipahu67PocilloporidaeDessous</v>
      </c>
      <c r="B6806" s="1">
        <v>41974</v>
      </c>
      <c r="C6806" t="s">
        <v>23</v>
      </c>
      <c r="D6806" s="19">
        <v>6</v>
      </c>
      <c r="E6806">
        <v>7</v>
      </c>
      <c r="F6806" t="s">
        <v>10</v>
      </c>
      <c r="G6806" t="s">
        <v>8</v>
      </c>
      <c r="H6806">
        <v>1</v>
      </c>
      <c r="I6806" t="s">
        <v>27</v>
      </c>
    </row>
    <row r="6807" spans="1:9" x14ac:dyDescent="0.2">
      <c r="A6807" t="str">
        <f t="shared" si="353"/>
        <v>41974Vaipahu68Autres</v>
      </c>
      <c r="B6807" s="1">
        <v>41974</v>
      </c>
      <c r="C6807" t="s">
        <v>23</v>
      </c>
      <c r="D6807" s="19">
        <v>6</v>
      </c>
      <c r="E6807">
        <v>8</v>
      </c>
      <c r="F6807" t="s">
        <v>14</v>
      </c>
      <c r="H6807">
        <v>0</v>
      </c>
    </row>
    <row r="6808" spans="1:9" x14ac:dyDescent="0.2">
      <c r="A6808" t="str">
        <f t="shared" si="353"/>
        <v>41974Vaipahu69PocilloporidaeDessous</v>
      </c>
      <c r="B6808" s="1">
        <v>41974</v>
      </c>
      <c r="C6808" t="s">
        <v>23</v>
      </c>
      <c r="D6808" s="19">
        <v>6</v>
      </c>
      <c r="E6808">
        <v>9</v>
      </c>
      <c r="F6808" t="s">
        <v>10</v>
      </c>
      <c r="G6808" t="s">
        <v>8</v>
      </c>
      <c r="H6808">
        <v>1</v>
      </c>
      <c r="I6808" t="s">
        <v>27</v>
      </c>
    </row>
    <row r="6809" spans="1:9" x14ac:dyDescent="0.2">
      <c r="A6809" t="str">
        <f t="shared" si="353"/>
        <v>41974Vaipahu610Autres</v>
      </c>
      <c r="B6809" s="1">
        <v>41974</v>
      </c>
      <c r="C6809" t="s">
        <v>23</v>
      </c>
      <c r="D6809" s="19">
        <v>6</v>
      </c>
      <c r="E6809">
        <v>10</v>
      </c>
      <c r="F6809" t="s">
        <v>14</v>
      </c>
      <c r="H6809">
        <v>0</v>
      </c>
    </row>
    <row r="6810" spans="1:9" x14ac:dyDescent="0.2">
      <c r="A6810" t="str">
        <f t="shared" si="353"/>
        <v>41974Vaipahu611PocilloporidaeBords</v>
      </c>
      <c r="B6810" s="1">
        <v>41974</v>
      </c>
      <c r="C6810" t="s">
        <v>23</v>
      </c>
      <c r="D6810" s="19">
        <v>6</v>
      </c>
      <c r="E6810">
        <v>11</v>
      </c>
      <c r="F6810" t="s">
        <v>10</v>
      </c>
      <c r="G6810" t="s">
        <v>13</v>
      </c>
      <c r="H6810">
        <v>1</v>
      </c>
      <c r="I6810" t="s">
        <v>27</v>
      </c>
    </row>
    <row r="6811" spans="1:9" x14ac:dyDescent="0.2">
      <c r="A6811" t="str">
        <f t="shared" si="353"/>
        <v>41974Vaipahu612Autres</v>
      </c>
      <c r="B6811" s="1">
        <v>41974</v>
      </c>
      <c r="C6811" t="s">
        <v>23</v>
      </c>
      <c r="D6811" s="19">
        <v>6</v>
      </c>
      <c r="E6811">
        <v>12</v>
      </c>
      <c r="F6811" t="s">
        <v>14</v>
      </c>
      <c r="H6811">
        <v>0</v>
      </c>
    </row>
    <row r="6812" spans="1:9" x14ac:dyDescent="0.2">
      <c r="A6812" t="str">
        <f t="shared" si="353"/>
        <v>41974Vaipahu613</v>
      </c>
      <c r="B6812" s="1">
        <v>41974</v>
      </c>
      <c r="C6812" t="s">
        <v>23</v>
      </c>
      <c r="D6812" s="19">
        <v>6</v>
      </c>
      <c r="E6812">
        <v>13</v>
      </c>
      <c r="I6812" t="s">
        <v>31</v>
      </c>
    </row>
    <row r="6813" spans="1:9" x14ac:dyDescent="0.2">
      <c r="A6813" t="str">
        <f t="shared" si="353"/>
        <v>41974Vaipahu614Autres</v>
      </c>
      <c r="B6813" s="1">
        <v>41974</v>
      </c>
      <c r="C6813" t="s">
        <v>23</v>
      </c>
      <c r="D6813" s="19">
        <v>6</v>
      </c>
      <c r="E6813">
        <v>14</v>
      </c>
      <c r="F6813" t="s">
        <v>14</v>
      </c>
      <c r="H6813">
        <v>0</v>
      </c>
    </row>
    <row r="6814" spans="1:9" x14ac:dyDescent="0.2">
      <c r="A6814" t="str">
        <f t="shared" si="353"/>
        <v>41974Vaipahu615PocilloporidaeBords</v>
      </c>
      <c r="B6814" s="1">
        <v>41974</v>
      </c>
      <c r="C6814" t="s">
        <v>23</v>
      </c>
      <c r="D6814" s="19">
        <v>6</v>
      </c>
      <c r="E6814">
        <v>15</v>
      </c>
      <c r="F6814" t="s">
        <v>10</v>
      </c>
      <c r="G6814" t="s">
        <v>13</v>
      </c>
      <c r="H6814">
        <v>2</v>
      </c>
      <c r="I6814" t="s">
        <v>27</v>
      </c>
    </row>
    <row r="6815" spans="1:9" x14ac:dyDescent="0.2">
      <c r="A6815" t="str">
        <f t="shared" si="353"/>
        <v>41974Vaipahu616Autres</v>
      </c>
      <c r="B6815" s="1">
        <v>41974</v>
      </c>
      <c r="C6815" t="s">
        <v>23</v>
      </c>
      <c r="D6815" s="19">
        <v>6</v>
      </c>
      <c r="E6815">
        <v>16</v>
      </c>
      <c r="F6815" t="s">
        <v>14</v>
      </c>
      <c r="H6815">
        <v>0</v>
      </c>
    </row>
    <row r="6816" spans="1:9" x14ac:dyDescent="0.2">
      <c r="A6816" t="str">
        <f t="shared" si="353"/>
        <v>41974Vaipahu617Autres</v>
      </c>
      <c r="B6816" s="1">
        <v>41974</v>
      </c>
      <c r="C6816" t="s">
        <v>23</v>
      </c>
      <c r="D6816" s="19">
        <v>6</v>
      </c>
      <c r="E6816">
        <v>17</v>
      </c>
      <c r="F6816" t="s">
        <v>14</v>
      </c>
      <c r="H6816">
        <v>0</v>
      </c>
    </row>
    <row r="6817" spans="1:9" x14ac:dyDescent="0.2">
      <c r="A6817" t="str">
        <f t="shared" si="353"/>
        <v>41974Vaipahu618PocilloporidaeDessous</v>
      </c>
      <c r="B6817" s="1">
        <v>41974</v>
      </c>
      <c r="C6817" t="s">
        <v>23</v>
      </c>
      <c r="D6817" s="19">
        <v>6</v>
      </c>
      <c r="E6817">
        <v>18</v>
      </c>
      <c r="F6817" t="s">
        <v>10</v>
      </c>
      <c r="G6817" t="s">
        <v>8</v>
      </c>
      <c r="H6817">
        <v>1</v>
      </c>
      <c r="I6817" t="s">
        <v>27</v>
      </c>
    </row>
    <row r="6818" spans="1:9" x14ac:dyDescent="0.2">
      <c r="A6818" t="str">
        <f t="shared" si="353"/>
        <v>41974Vaipahu619Autres</v>
      </c>
      <c r="B6818" s="1">
        <v>41974</v>
      </c>
      <c r="C6818" t="s">
        <v>23</v>
      </c>
      <c r="D6818" s="19">
        <v>6</v>
      </c>
      <c r="E6818">
        <v>19</v>
      </c>
      <c r="F6818" t="s">
        <v>14</v>
      </c>
      <c r="H6818">
        <v>0</v>
      </c>
    </row>
    <row r="6819" spans="1:9" x14ac:dyDescent="0.2">
      <c r="A6819" t="str">
        <f t="shared" si="353"/>
        <v>41974Vaipahu620Autres</v>
      </c>
      <c r="B6819" s="1">
        <v>41974</v>
      </c>
      <c r="C6819" t="s">
        <v>23</v>
      </c>
      <c r="D6819" s="19">
        <v>6</v>
      </c>
      <c r="E6819">
        <v>20</v>
      </c>
      <c r="F6819" t="s">
        <v>14</v>
      </c>
      <c r="H6819">
        <v>0</v>
      </c>
    </row>
    <row r="6820" spans="1:9" x14ac:dyDescent="0.2">
      <c r="A6820" t="str">
        <f t="shared" si="353"/>
        <v>41974Vaipahu1221Autres</v>
      </c>
      <c r="B6820" s="1">
        <v>41974</v>
      </c>
      <c r="C6820" t="s">
        <v>23</v>
      </c>
      <c r="D6820" s="19">
        <v>12</v>
      </c>
      <c r="E6820">
        <v>21</v>
      </c>
      <c r="F6820" t="s">
        <v>14</v>
      </c>
      <c r="H6820">
        <v>0</v>
      </c>
    </row>
    <row r="6821" spans="1:9" x14ac:dyDescent="0.2">
      <c r="A6821" t="str">
        <f t="shared" si="353"/>
        <v>41974Vaipahu1222PocilloporidaeBords</v>
      </c>
      <c r="B6821" s="1">
        <v>41974</v>
      </c>
      <c r="C6821" t="s">
        <v>23</v>
      </c>
      <c r="D6821" s="19">
        <v>12</v>
      </c>
      <c r="E6821">
        <v>22</v>
      </c>
      <c r="F6821" t="s">
        <v>10</v>
      </c>
      <c r="G6821" t="s">
        <v>13</v>
      </c>
      <c r="H6821">
        <v>1</v>
      </c>
      <c r="I6821" t="s">
        <v>27</v>
      </c>
    </row>
    <row r="6822" spans="1:9" x14ac:dyDescent="0.2">
      <c r="A6822" t="str">
        <f t="shared" si="353"/>
        <v>41974Vaipahu1222PocilloporidaeDessous</v>
      </c>
      <c r="B6822" s="1">
        <v>41974</v>
      </c>
      <c r="C6822" t="s">
        <v>23</v>
      </c>
      <c r="D6822" s="19">
        <v>12</v>
      </c>
      <c r="E6822">
        <v>22</v>
      </c>
      <c r="F6822" t="s">
        <v>10</v>
      </c>
      <c r="G6822" t="s">
        <v>8</v>
      </c>
      <c r="H6822">
        <v>1</v>
      </c>
      <c r="I6822" t="s">
        <v>27</v>
      </c>
    </row>
    <row r="6823" spans="1:9" x14ac:dyDescent="0.2">
      <c r="A6823" t="str">
        <f t="shared" si="353"/>
        <v>41974Vaipahu1223Autres</v>
      </c>
      <c r="B6823" s="1">
        <v>41974</v>
      </c>
      <c r="C6823" t="s">
        <v>23</v>
      </c>
      <c r="D6823" s="19">
        <v>12</v>
      </c>
      <c r="E6823">
        <v>23</v>
      </c>
      <c r="F6823" t="s">
        <v>14</v>
      </c>
      <c r="H6823">
        <v>0</v>
      </c>
    </row>
    <row r="6824" spans="1:9" x14ac:dyDescent="0.2">
      <c r="A6824" t="str">
        <f t="shared" si="353"/>
        <v>41974Vaipahu1224CassésDessus</v>
      </c>
      <c r="B6824" s="1">
        <v>41974</v>
      </c>
      <c r="C6824" t="s">
        <v>23</v>
      </c>
      <c r="D6824" s="19">
        <v>12</v>
      </c>
      <c r="E6824">
        <v>24</v>
      </c>
      <c r="F6824" t="s">
        <v>12</v>
      </c>
      <c r="G6824" t="s">
        <v>11</v>
      </c>
      <c r="H6824">
        <v>1</v>
      </c>
      <c r="I6824" t="s">
        <v>27</v>
      </c>
    </row>
    <row r="6825" spans="1:9" x14ac:dyDescent="0.2">
      <c r="A6825" t="str">
        <f t="shared" si="353"/>
        <v>41974Vaipahu1225PocilloporidaeBords</v>
      </c>
      <c r="B6825" s="1">
        <v>41974</v>
      </c>
      <c r="C6825" t="s">
        <v>23</v>
      </c>
      <c r="D6825" s="19">
        <v>12</v>
      </c>
      <c r="E6825">
        <v>25</v>
      </c>
      <c r="F6825" t="s">
        <v>10</v>
      </c>
      <c r="G6825" t="s">
        <v>13</v>
      </c>
      <c r="H6825">
        <v>1</v>
      </c>
      <c r="I6825" t="s">
        <v>27</v>
      </c>
    </row>
    <row r="6826" spans="1:9" x14ac:dyDescent="0.2">
      <c r="A6826" t="str">
        <f t="shared" si="353"/>
        <v>41974Vaipahu1226PocilloporidaeDessous</v>
      </c>
      <c r="B6826" s="1">
        <v>41974</v>
      </c>
      <c r="C6826" t="s">
        <v>23</v>
      </c>
      <c r="D6826" s="19">
        <v>12</v>
      </c>
      <c r="E6826">
        <v>26</v>
      </c>
      <c r="F6826" t="s">
        <v>10</v>
      </c>
      <c r="G6826" t="s">
        <v>8</v>
      </c>
      <c r="H6826">
        <v>2</v>
      </c>
      <c r="I6826" t="s">
        <v>27</v>
      </c>
    </row>
    <row r="6827" spans="1:9" x14ac:dyDescent="0.2">
      <c r="A6827" t="str">
        <f t="shared" si="353"/>
        <v>41974Vaipahu1227Autres</v>
      </c>
      <c r="B6827" s="1">
        <v>41974</v>
      </c>
      <c r="C6827" t="s">
        <v>23</v>
      </c>
      <c r="D6827" s="19">
        <v>12</v>
      </c>
      <c r="E6827">
        <v>27</v>
      </c>
      <c r="F6827" t="s">
        <v>14</v>
      </c>
      <c r="H6827">
        <v>0</v>
      </c>
    </row>
    <row r="6828" spans="1:9" x14ac:dyDescent="0.2">
      <c r="A6828" t="str">
        <f t="shared" si="353"/>
        <v>41974Vaipahu1228AcroporidaeDessous</v>
      </c>
      <c r="B6828" s="1">
        <v>41974</v>
      </c>
      <c r="C6828" t="s">
        <v>23</v>
      </c>
      <c r="D6828" s="19">
        <v>12</v>
      </c>
      <c r="E6828">
        <v>28</v>
      </c>
      <c r="F6828" t="s">
        <v>17</v>
      </c>
      <c r="G6828" t="s">
        <v>8</v>
      </c>
      <c r="H6828">
        <v>1</v>
      </c>
      <c r="I6828" t="s">
        <v>27</v>
      </c>
    </row>
    <row r="6829" spans="1:9" x14ac:dyDescent="0.2">
      <c r="A6829" t="str">
        <f t="shared" si="353"/>
        <v>41974Vaipahu1228PoritidaeDessous</v>
      </c>
      <c r="B6829" s="1">
        <v>41974</v>
      </c>
      <c r="C6829" t="s">
        <v>23</v>
      </c>
      <c r="D6829" s="19">
        <v>12</v>
      </c>
      <c r="E6829">
        <v>28</v>
      </c>
      <c r="F6829" t="s">
        <v>7</v>
      </c>
      <c r="G6829" t="s">
        <v>8</v>
      </c>
      <c r="H6829">
        <v>1</v>
      </c>
      <c r="I6829" t="s">
        <v>27</v>
      </c>
    </row>
    <row r="6830" spans="1:9" x14ac:dyDescent="0.2">
      <c r="A6830" t="str">
        <f t="shared" si="353"/>
        <v>41974Vaipahu1229PocilloporidaeDessous</v>
      </c>
      <c r="B6830" s="1">
        <v>41974</v>
      </c>
      <c r="C6830" t="s">
        <v>23</v>
      </c>
      <c r="D6830" s="19">
        <v>12</v>
      </c>
      <c r="E6830">
        <v>29</v>
      </c>
      <c r="F6830" t="s">
        <v>10</v>
      </c>
      <c r="G6830" t="s">
        <v>8</v>
      </c>
      <c r="H6830">
        <v>1</v>
      </c>
      <c r="I6830" t="s">
        <v>27</v>
      </c>
    </row>
    <row r="6831" spans="1:9" x14ac:dyDescent="0.2">
      <c r="A6831" t="str">
        <f t="shared" si="353"/>
        <v>41974Vaipahu1230AcroporidaeDessous</v>
      </c>
      <c r="B6831" s="1">
        <v>41974</v>
      </c>
      <c r="C6831" t="s">
        <v>23</v>
      </c>
      <c r="D6831" s="19">
        <v>12</v>
      </c>
      <c r="E6831">
        <v>30</v>
      </c>
      <c r="F6831" t="s">
        <v>17</v>
      </c>
      <c r="G6831" t="s">
        <v>8</v>
      </c>
      <c r="H6831">
        <v>1</v>
      </c>
      <c r="I6831" t="s">
        <v>27</v>
      </c>
    </row>
    <row r="6832" spans="1:9" x14ac:dyDescent="0.2">
      <c r="A6832" t="str">
        <f t="shared" si="353"/>
        <v>41974Vaipahu1230PoritidaeDessous</v>
      </c>
      <c r="B6832" s="1">
        <v>41974</v>
      </c>
      <c r="C6832" t="s">
        <v>23</v>
      </c>
      <c r="D6832" s="19">
        <v>12</v>
      </c>
      <c r="E6832">
        <v>30</v>
      </c>
      <c r="F6832" t="s">
        <v>7</v>
      </c>
      <c r="G6832" t="s">
        <v>8</v>
      </c>
      <c r="H6832">
        <v>1</v>
      </c>
      <c r="I6832" t="s">
        <v>27</v>
      </c>
    </row>
    <row r="6833" spans="1:9" x14ac:dyDescent="0.2">
      <c r="A6833" t="str">
        <f t="shared" si="353"/>
        <v>41974Vaipahu1231CassésBords</v>
      </c>
      <c r="B6833" s="1">
        <v>41974</v>
      </c>
      <c r="C6833" t="s">
        <v>23</v>
      </c>
      <c r="D6833" s="19">
        <v>12</v>
      </c>
      <c r="E6833">
        <v>31</v>
      </c>
      <c r="F6833" t="s">
        <v>12</v>
      </c>
      <c r="G6833" t="s">
        <v>13</v>
      </c>
      <c r="H6833">
        <v>1</v>
      </c>
      <c r="I6833" t="s">
        <v>27</v>
      </c>
    </row>
    <row r="6834" spans="1:9" x14ac:dyDescent="0.2">
      <c r="A6834" t="str">
        <f t="shared" si="353"/>
        <v>41974Vaipahu1232Autres</v>
      </c>
      <c r="B6834" s="1">
        <v>41974</v>
      </c>
      <c r="C6834" t="s">
        <v>23</v>
      </c>
      <c r="D6834" s="19">
        <v>12</v>
      </c>
      <c r="E6834">
        <v>32</v>
      </c>
      <c r="F6834" t="s">
        <v>14</v>
      </c>
      <c r="H6834">
        <v>0</v>
      </c>
    </row>
    <row r="6835" spans="1:9" x14ac:dyDescent="0.2">
      <c r="A6835" t="str">
        <f t="shared" si="353"/>
        <v>41974Vaipahu1233Autres</v>
      </c>
      <c r="B6835" s="1">
        <v>41974</v>
      </c>
      <c r="C6835" t="s">
        <v>23</v>
      </c>
      <c r="D6835" s="19">
        <v>12</v>
      </c>
      <c r="E6835">
        <v>33</v>
      </c>
      <c r="F6835" t="s">
        <v>14</v>
      </c>
      <c r="H6835">
        <v>0</v>
      </c>
    </row>
    <row r="6836" spans="1:9" x14ac:dyDescent="0.2">
      <c r="A6836" t="str">
        <f t="shared" si="353"/>
        <v>41974Vaipahu1234</v>
      </c>
      <c r="B6836" s="1">
        <v>41974</v>
      </c>
      <c r="C6836" t="s">
        <v>23</v>
      </c>
      <c r="D6836" s="19">
        <v>12</v>
      </c>
      <c r="E6836">
        <v>34</v>
      </c>
      <c r="F6836" t="s">
        <v>27</v>
      </c>
      <c r="G6836" t="s">
        <v>27</v>
      </c>
      <c r="H6836" t="s">
        <v>27</v>
      </c>
      <c r="I6836" t="s">
        <v>31</v>
      </c>
    </row>
    <row r="6837" spans="1:9" x14ac:dyDescent="0.2">
      <c r="A6837" t="str">
        <f t="shared" si="353"/>
        <v>41974Vaipahu1235AcroporidaeDessous</v>
      </c>
      <c r="B6837" s="1">
        <v>41974</v>
      </c>
      <c r="C6837" t="s">
        <v>23</v>
      </c>
      <c r="D6837" s="19">
        <v>12</v>
      </c>
      <c r="E6837">
        <v>35</v>
      </c>
      <c r="F6837" t="s">
        <v>17</v>
      </c>
      <c r="G6837" t="s">
        <v>8</v>
      </c>
      <c r="H6837">
        <v>1</v>
      </c>
      <c r="I6837" t="s">
        <v>27</v>
      </c>
    </row>
    <row r="6838" spans="1:9" x14ac:dyDescent="0.2">
      <c r="A6838" t="str">
        <f t="shared" si="353"/>
        <v>41974Vaipahu1235CassésDessous</v>
      </c>
      <c r="B6838" s="1">
        <v>41974</v>
      </c>
      <c r="C6838" t="s">
        <v>23</v>
      </c>
      <c r="D6838" s="19">
        <v>12</v>
      </c>
      <c r="E6838">
        <v>35</v>
      </c>
      <c r="F6838" t="s">
        <v>12</v>
      </c>
      <c r="G6838" t="s">
        <v>8</v>
      </c>
      <c r="H6838">
        <v>1</v>
      </c>
      <c r="I6838" t="s">
        <v>27</v>
      </c>
    </row>
    <row r="6839" spans="1:9" x14ac:dyDescent="0.2">
      <c r="A6839" t="str">
        <f t="shared" si="353"/>
        <v>41974Vaipahu1235PocilloporidaeDessous</v>
      </c>
      <c r="B6839" s="1">
        <v>41974</v>
      </c>
      <c r="C6839" t="s">
        <v>23</v>
      </c>
      <c r="D6839" s="19">
        <v>12</v>
      </c>
      <c r="E6839">
        <v>35</v>
      </c>
      <c r="F6839" t="s">
        <v>10</v>
      </c>
      <c r="G6839" t="s">
        <v>8</v>
      </c>
      <c r="H6839">
        <v>1</v>
      </c>
      <c r="I6839" t="s">
        <v>27</v>
      </c>
    </row>
    <row r="6840" spans="1:9" x14ac:dyDescent="0.2">
      <c r="A6840" t="str">
        <f t="shared" si="353"/>
        <v>41974Vaipahu1236PocilloporidaeDessous</v>
      </c>
      <c r="B6840" s="1">
        <v>41974</v>
      </c>
      <c r="C6840" t="s">
        <v>23</v>
      </c>
      <c r="D6840" s="19">
        <v>12</v>
      </c>
      <c r="E6840">
        <v>36</v>
      </c>
      <c r="F6840" t="s">
        <v>10</v>
      </c>
      <c r="G6840" t="s">
        <v>8</v>
      </c>
      <c r="H6840">
        <v>1</v>
      </c>
      <c r="I6840" t="s">
        <v>27</v>
      </c>
    </row>
    <row r="6841" spans="1:9" x14ac:dyDescent="0.2">
      <c r="A6841" t="str">
        <f t="shared" si="353"/>
        <v>41974Vaipahu1237PoritidaeDessous</v>
      </c>
      <c r="B6841" s="1">
        <v>41974</v>
      </c>
      <c r="C6841" t="s">
        <v>23</v>
      </c>
      <c r="D6841" s="19">
        <v>12</v>
      </c>
      <c r="E6841">
        <v>37</v>
      </c>
      <c r="F6841" t="s">
        <v>7</v>
      </c>
      <c r="G6841" t="s">
        <v>8</v>
      </c>
      <c r="H6841">
        <v>1</v>
      </c>
      <c r="I6841" t="s">
        <v>27</v>
      </c>
    </row>
    <row r="6842" spans="1:9" x14ac:dyDescent="0.2">
      <c r="A6842" t="str">
        <f t="shared" si="353"/>
        <v>41974Vaipahu1238Autres</v>
      </c>
      <c r="B6842" s="1">
        <v>41974</v>
      </c>
      <c r="C6842" t="s">
        <v>23</v>
      </c>
      <c r="D6842" s="19">
        <v>12</v>
      </c>
      <c r="E6842">
        <v>38</v>
      </c>
      <c r="F6842" t="s">
        <v>14</v>
      </c>
      <c r="H6842">
        <v>0</v>
      </c>
    </row>
    <row r="6843" spans="1:9" x14ac:dyDescent="0.2">
      <c r="A6843" t="str">
        <f t="shared" si="353"/>
        <v>41974Vaipahu1239</v>
      </c>
      <c r="B6843" s="1">
        <v>41974</v>
      </c>
      <c r="C6843" t="s">
        <v>23</v>
      </c>
      <c r="D6843" s="19">
        <v>12</v>
      </c>
      <c r="E6843">
        <v>39</v>
      </c>
      <c r="F6843" t="s">
        <v>27</v>
      </c>
      <c r="G6843" t="s">
        <v>27</v>
      </c>
      <c r="H6843" t="s">
        <v>27</v>
      </c>
      <c r="I6843" t="s">
        <v>31</v>
      </c>
    </row>
    <row r="6844" spans="1:9" x14ac:dyDescent="0.2">
      <c r="A6844" t="str">
        <f t="shared" si="353"/>
        <v>41974Vaipahu1240Autres</v>
      </c>
      <c r="B6844" s="1">
        <v>41974</v>
      </c>
      <c r="C6844" t="s">
        <v>23</v>
      </c>
      <c r="D6844" s="19">
        <v>12</v>
      </c>
      <c r="E6844">
        <v>40</v>
      </c>
      <c r="F6844" t="s">
        <v>14</v>
      </c>
      <c r="H6844">
        <v>0</v>
      </c>
    </row>
    <row r="6845" spans="1:9" x14ac:dyDescent="0.2">
      <c r="A6845" t="str">
        <f t="shared" si="353"/>
        <v>41974Vaipahu1841</v>
      </c>
      <c r="B6845" s="1">
        <v>41974</v>
      </c>
      <c r="C6845" t="s">
        <v>23</v>
      </c>
      <c r="D6845" s="19">
        <v>18</v>
      </c>
      <c r="E6845">
        <v>41</v>
      </c>
      <c r="F6845" t="s">
        <v>27</v>
      </c>
      <c r="G6845" t="s">
        <v>27</v>
      </c>
      <c r="H6845" t="s">
        <v>27</v>
      </c>
      <c r="I6845" t="s">
        <v>31</v>
      </c>
    </row>
    <row r="6846" spans="1:9" x14ac:dyDescent="0.2">
      <c r="A6846" t="str">
        <f t="shared" si="353"/>
        <v>41974Vaipahu1842Autres</v>
      </c>
      <c r="B6846" s="1">
        <v>41974</v>
      </c>
      <c r="C6846" t="s">
        <v>23</v>
      </c>
      <c r="D6846" s="19">
        <v>18</v>
      </c>
      <c r="E6846">
        <v>42</v>
      </c>
      <c r="F6846" t="s">
        <v>14</v>
      </c>
      <c r="H6846">
        <v>0</v>
      </c>
    </row>
    <row r="6847" spans="1:9" x14ac:dyDescent="0.2">
      <c r="A6847" t="str">
        <f t="shared" ref="A6847:A6910" si="354">B6847 &amp; C6847&amp; D6847&amp; E6847 &amp; F6847 &amp;G6847</f>
        <v>41974Vaipahu1843PocilloporidaeDessus</v>
      </c>
      <c r="B6847" s="1">
        <v>41974</v>
      </c>
      <c r="C6847" t="s">
        <v>23</v>
      </c>
      <c r="D6847" s="19">
        <v>18</v>
      </c>
      <c r="E6847">
        <v>43</v>
      </c>
      <c r="F6847" t="s">
        <v>10</v>
      </c>
      <c r="G6847" t="s">
        <v>11</v>
      </c>
      <c r="H6847">
        <v>1</v>
      </c>
      <c r="I6847" t="s">
        <v>27</v>
      </c>
    </row>
    <row r="6848" spans="1:9" x14ac:dyDescent="0.2">
      <c r="A6848" t="str">
        <f t="shared" si="354"/>
        <v>41974Vaipahu1844Autres</v>
      </c>
      <c r="B6848" s="1">
        <v>41974</v>
      </c>
      <c r="C6848" t="s">
        <v>23</v>
      </c>
      <c r="D6848" s="19">
        <v>18</v>
      </c>
      <c r="E6848">
        <v>44</v>
      </c>
      <c r="F6848" t="s">
        <v>14</v>
      </c>
      <c r="H6848">
        <v>0</v>
      </c>
    </row>
    <row r="6849" spans="1:9" x14ac:dyDescent="0.2">
      <c r="A6849" t="str">
        <f t="shared" si="354"/>
        <v>41974Vaipahu1845PocilloporidaeDessous</v>
      </c>
      <c r="B6849" s="1">
        <v>41974</v>
      </c>
      <c r="C6849" t="s">
        <v>23</v>
      </c>
      <c r="D6849" s="19">
        <v>18</v>
      </c>
      <c r="E6849">
        <v>45</v>
      </c>
      <c r="F6849" t="s">
        <v>10</v>
      </c>
      <c r="G6849" t="s">
        <v>8</v>
      </c>
      <c r="H6849">
        <v>1</v>
      </c>
      <c r="I6849" t="s">
        <v>27</v>
      </c>
    </row>
    <row r="6850" spans="1:9" x14ac:dyDescent="0.2">
      <c r="A6850" t="str">
        <f t="shared" si="354"/>
        <v>41974Vaipahu1846PocilloporidaeDessous</v>
      </c>
      <c r="B6850" s="1">
        <v>41974</v>
      </c>
      <c r="C6850" t="s">
        <v>23</v>
      </c>
      <c r="D6850" s="19">
        <v>18</v>
      </c>
      <c r="E6850">
        <v>46</v>
      </c>
      <c r="F6850" t="s">
        <v>10</v>
      </c>
      <c r="G6850" t="s">
        <v>8</v>
      </c>
      <c r="H6850">
        <v>1</v>
      </c>
      <c r="I6850" t="s">
        <v>27</v>
      </c>
    </row>
    <row r="6851" spans="1:9" x14ac:dyDescent="0.2">
      <c r="A6851" t="str">
        <f t="shared" si="354"/>
        <v>41974Vaipahu1847Autres</v>
      </c>
      <c r="B6851" s="1">
        <v>41974</v>
      </c>
      <c r="C6851" t="s">
        <v>23</v>
      </c>
      <c r="D6851" s="19">
        <v>18</v>
      </c>
      <c r="E6851">
        <v>47</v>
      </c>
      <c r="F6851" t="s">
        <v>14</v>
      </c>
      <c r="H6851">
        <v>0</v>
      </c>
    </row>
    <row r="6852" spans="1:9" x14ac:dyDescent="0.2">
      <c r="A6852" t="str">
        <f t="shared" si="354"/>
        <v>41974Vaipahu1848PocilloporidaeDessous</v>
      </c>
      <c r="B6852" s="1">
        <v>41974</v>
      </c>
      <c r="C6852" t="s">
        <v>23</v>
      </c>
      <c r="D6852" s="19">
        <v>18</v>
      </c>
      <c r="E6852">
        <v>48</v>
      </c>
      <c r="F6852" t="s">
        <v>10</v>
      </c>
      <c r="G6852" t="s">
        <v>8</v>
      </c>
      <c r="H6852">
        <v>1</v>
      </c>
      <c r="I6852" t="s">
        <v>27</v>
      </c>
    </row>
    <row r="6853" spans="1:9" x14ac:dyDescent="0.2">
      <c r="A6853" t="str">
        <f t="shared" si="354"/>
        <v>41974Vaipahu1848PoritidaeDessous</v>
      </c>
      <c r="B6853" s="1">
        <v>41974</v>
      </c>
      <c r="C6853" t="s">
        <v>23</v>
      </c>
      <c r="D6853" s="19">
        <v>18</v>
      </c>
      <c r="E6853">
        <v>48</v>
      </c>
      <c r="F6853" t="s">
        <v>7</v>
      </c>
      <c r="G6853" t="s">
        <v>8</v>
      </c>
      <c r="H6853">
        <v>1</v>
      </c>
      <c r="I6853" t="s">
        <v>27</v>
      </c>
    </row>
    <row r="6854" spans="1:9" x14ac:dyDescent="0.2">
      <c r="A6854" t="str">
        <f t="shared" si="354"/>
        <v>41974Vaipahu1849Autres</v>
      </c>
      <c r="B6854" s="1">
        <v>41974</v>
      </c>
      <c r="C6854" t="s">
        <v>23</v>
      </c>
      <c r="D6854" s="19">
        <v>18</v>
      </c>
      <c r="E6854">
        <v>49</v>
      </c>
      <c r="F6854" t="s">
        <v>14</v>
      </c>
      <c r="H6854">
        <v>0</v>
      </c>
    </row>
    <row r="6855" spans="1:9" x14ac:dyDescent="0.2">
      <c r="A6855" t="str">
        <f t="shared" si="354"/>
        <v>41974Vaipahu1850Autres</v>
      </c>
      <c r="B6855" s="1">
        <v>41974</v>
      </c>
      <c r="C6855" t="s">
        <v>23</v>
      </c>
      <c r="D6855" s="19">
        <v>18</v>
      </c>
      <c r="E6855">
        <v>50</v>
      </c>
      <c r="F6855" t="s">
        <v>14</v>
      </c>
      <c r="H6855">
        <v>0</v>
      </c>
    </row>
    <row r="6856" spans="1:9" x14ac:dyDescent="0.2">
      <c r="A6856" t="str">
        <f t="shared" si="354"/>
        <v>41974Vaipahu1851Autres</v>
      </c>
      <c r="B6856" s="1">
        <v>41974</v>
      </c>
      <c r="C6856" t="s">
        <v>23</v>
      </c>
      <c r="D6856" s="19">
        <v>18</v>
      </c>
      <c r="E6856">
        <v>51</v>
      </c>
      <c r="F6856" t="s">
        <v>14</v>
      </c>
      <c r="H6856">
        <v>0</v>
      </c>
    </row>
    <row r="6857" spans="1:9" x14ac:dyDescent="0.2">
      <c r="A6857" t="str">
        <f t="shared" si="354"/>
        <v>41974Vaipahu1852Autres</v>
      </c>
      <c r="B6857" s="1">
        <v>41974</v>
      </c>
      <c r="C6857" t="s">
        <v>23</v>
      </c>
      <c r="D6857" s="19">
        <v>18</v>
      </c>
      <c r="E6857">
        <v>52</v>
      </c>
      <c r="F6857" t="s">
        <v>14</v>
      </c>
      <c r="H6857">
        <v>0</v>
      </c>
    </row>
    <row r="6858" spans="1:9" x14ac:dyDescent="0.2">
      <c r="A6858" t="str">
        <f t="shared" si="354"/>
        <v>41974Vaipahu1853Autres</v>
      </c>
      <c r="B6858" s="1">
        <v>41974</v>
      </c>
      <c r="C6858" t="s">
        <v>23</v>
      </c>
      <c r="D6858" s="19">
        <v>18</v>
      </c>
      <c r="E6858">
        <v>53</v>
      </c>
      <c r="F6858" t="s">
        <v>14</v>
      </c>
      <c r="H6858">
        <v>0</v>
      </c>
    </row>
    <row r="6859" spans="1:9" x14ac:dyDescent="0.2">
      <c r="A6859" t="str">
        <f t="shared" si="354"/>
        <v>41974Vaipahu1854Autres</v>
      </c>
      <c r="B6859" s="1">
        <v>41974</v>
      </c>
      <c r="C6859" t="s">
        <v>23</v>
      </c>
      <c r="D6859" s="19">
        <v>18</v>
      </c>
      <c r="E6859">
        <v>54</v>
      </c>
      <c r="F6859" t="s">
        <v>14</v>
      </c>
      <c r="H6859">
        <v>0</v>
      </c>
    </row>
    <row r="6860" spans="1:9" x14ac:dyDescent="0.2">
      <c r="A6860" t="str">
        <f t="shared" si="354"/>
        <v>41974Vaipahu1855AcroporidaeDessous</v>
      </c>
      <c r="B6860" s="1">
        <v>41974</v>
      </c>
      <c r="C6860" t="s">
        <v>23</v>
      </c>
      <c r="D6860" s="19">
        <v>18</v>
      </c>
      <c r="E6860">
        <v>55</v>
      </c>
      <c r="F6860" t="s">
        <v>17</v>
      </c>
      <c r="G6860" t="s">
        <v>8</v>
      </c>
      <c r="H6860">
        <v>1</v>
      </c>
      <c r="I6860" t="s">
        <v>27</v>
      </c>
    </row>
    <row r="6861" spans="1:9" x14ac:dyDescent="0.2">
      <c r="A6861" t="str">
        <f t="shared" si="354"/>
        <v>41974Vaipahu1855PocilloporidaeDessous</v>
      </c>
      <c r="B6861" s="1">
        <v>41974</v>
      </c>
      <c r="C6861" t="s">
        <v>23</v>
      </c>
      <c r="D6861" s="19">
        <v>18</v>
      </c>
      <c r="E6861">
        <v>55</v>
      </c>
      <c r="F6861" t="s">
        <v>10</v>
      </c>
      <c r="G6861" t="s">
        <v>8</v>
      </c>
      <c r="H6861">
        <v>1</v>
      </c>
      <c r="I6861" t="s">
        <v>27</v>
      </c>
    </row>
    <row r="6862" spans="1:9" x14ac:dyDescent="0.2">
      <c r="A6862" t="str">
        <f t="shared" si="354"/>
        <v>41974Vaipahu1856Autres</v>
      </c>
      <c r="B6862" s="1">
        <v>41974</v>
      </c>
      <c r="C6862" t="s">
        <v>23</v>
      </c>
      <c r="D6862" s="19">
        <v>18</v>
      </c>
      <c r="E6862">
        <v>56</v>
      </c>
      <c r="F6862" t="s">
        <v>14</v>
      </c>
      <c r="H6862">
        <v>0</v>
      </c>
    </row>
    <row r="6863" spans="1:9" x14ac:dyDescent="0.2">
      <c r="A6863" t="str">
        <f t="shared" si="354"/>
        <v>41974Vaipahu1857Autres</v>
      </c>
      <c r="B6863" s="1">
        <v>41974</v>
      </c>
      <c r="C6863" t="s">
        <v>23</v>
      </c>
      <c r="D6863" s="19">
        <v>18</v>
      </c>
      <c r="E6863">
        <v>57</v>
      </c>
      <c r="F6863" t="s">
        <v>14</v>
      </c>
      <c r="H6863">
        <v>0</v>
      </c>
    </row>
    <row r="6864" spans="1:9" x14ac:dyDescent="0.2">
      <c r="A6864" t="str">
        <f t="shared" si="354"/>
        <v>41974Vaipahu1858Autres</v>
      </c>
      <c r="B6864" s="1">
        <v>41974</v>
      </c>
      <c r="C6864" t="s">
        <v>23</v>
      </c>
      <c r="D6864" s="19">
        <v>18</v>
      </c>
      <c r="E6864">
        <v>58</v>
      </c>
      <c r="F6864" t="s">
        <v>14</v>
      </c>
      <c r="H6864">
        <v>0</v>
      </c>
    </row>
    <row r="6865" spans="1:9" x14ac:dyDescent="0.2">
      <c r="A6865" t="str">
        <f t="shared" si="354"/>
        <v>41974Vaipahu1859Autres</v>
      </c>
      <c r="B6865" s="1">
        <v>41974</v>
      </c>
      <c r="C6865" t="s">
        <v>23</v>
      </c>
      <c r="D6865" s="19">
        <v>18</v>
      </c>
      <c r="E6865">
        <v>59</v>
      </c>
      <c r="F6865" t="s">
        <v>14</v>
      </c>
      <c r="H6865">
        <v>0</v>
      </c>
    </row>
    <row r="6866" spans="1:9" x14ac:dyDescent="0.2">
      <c r="A6866" t="str">
        <f t="shared" si="354"/>
        <v>41974Vaipahu1860Autres</v>
      </c>
      <c r="B6866" s="1">
        <v>41974</v>
      </c>
      <c r="C6866" t="s">
        <v>23</v>
      </c>
      <c r="D6866" s="19">
        <v>18</v>
      </c>
      <c r="E6866">
        <v>60</v>
      </c>
      <c r="F6866" t="s">
        <v>14</v>
      </c>
      <c r="H6866">
        <v>0</v>
      </c>
    </row>
    <row r="6867" spans="1:9" x14ac:dyDescent="0.2">
      <c r="A6867" t="str">
        <f t="shared" si="354"/>
        <v>41974Tiahura661</v>
      </c>
      <c r="B6867" s="1">
        <v>41974</v>
      </c>
      <c r="C6867" t="s">
        <v>24</v>
      </c>
      <c r="D6867" s="19">
        <v>6</v>
      </c>
      <c r="E6867">
        <v>61</v>
      </c>
      <c r="F6867" t="s">
        <v>27</v>
      </c>
      <c r="G6867" t="s">
        <v>27</v>
      </c>
      <c r="H6867" t="s">
        <v>27</v>
      </c>
      <c r="I6867" t="s">
        <v>31</v>
      </c>
    </row>
    <row r="6868" spans="1:9" x14ac:dyDescent="0.2">
      <c r="A6868" t="str">
        <f t="shared" si="354"/>
        <v>41974Tiahura662Autres</v>
      </c>
      <c r="B6868" s="1">
        <v>41974</v>
      </c>
      <c r="C6868" t="s">
        <v>24</v>
      </c>
      <c r="D6868" s="19">
        <v>6</v>
      </c>
      <c r="E6868">
        <v>62</v>
      </c>
      <c r="F6868" t="s">
        <v>14</v>
      </c>
      <c r="H6868">
        <v>0</v>
      </c>
    </row>
    <row r="6869" spans="1:9" x14ac:dyDescent="0.2">
      <c r="A6869" t="str">
        <f t="shared" si="354"/>
        <v>41974Tiahura663Autres</v>
      </c>
      <c r="B6869" s="1">
        <v>41974</v>
      </c>
      <c r="C6869" t="s">
        <v>24</v>
      </c>
      <c r="D6869" s="19">
        <v>6</v>
      </c>
      <c r="E6869">
        <v>63</v>
      </c>
      <c r="F6869" t="s">
        <v>14</v>
      </c>
      <c r="H6869">
        <v>0</v>
      </c>
    </row>
    <row r="6870" spans="1:9" x14ac:dyDescent="0.2">
      <c r="A6870" t="str">
        <f t="shared" si="354"/>
        <v>41974Tiahura664Autres</v>
      </c>
      <c r="B6870" s="1">
        <v>41974</v>
      </c>
      <c r="C6870" t="s">
        <v>24</v>
      </c>
      <c r="D6870" s="19">
        <v>6</v>
      </c>
      <c r="E6870">
        <v>64</v>
      </c>
      <c r="F6870" t="s">
        <v>14</v>
      </c>
      <c r="H6870">
        <v>0</v>
      </c>
    </row>
    <row r="6871" spans="1:9" x14ac:dyDescent="0.2">
      <c r="A6871" t="str">
        <f t="shared" si="354"/>
        <v>41974Tiahura665PocilloporidaeDessous</v>
      </c>
      <c r="B6871" s="1">
        <v>41974</v>
      </c>
      <c r="C6871" t="s">
        <v>24</v>
      </c>
      <c r="D6871" s="19">
        <v>6</v>
      </c>
      <c r="E6871">
        <v>65</v>
      </c>
      <c r="F6871" t="s">
        <v>10</v>
      </c>
      <c r="G6871" t="s">
        <v>8</v>
      </c>
      <c r="H6871">
        <v>3</v>
      </c>
      <c r="I6871" t="s">
        <v>27</v>
      </c>
    </row>
    <row r="6872" spans="1:9" x14ac:dyDescent="0.2">
      <c r="A6872" t="str">
        <f t="shared" si="354"/>
        <v>41974Tiahura666Autres</v>
      </c>
      <c r="B6872" s="1">
        <v>41974</v>
      </c>
      <c r="C6872" t="s">
        <v>24</v>
      </c>
      <c r="D6872" s="19">
        <v>6</v>
      </c>
      <c r="E6872">
        <v>66</v>
      </c>
      <c r="F6872" t="s">
        <v>14</v>
      </c>
      <c r="H6872">
        <v>0</v>
      </c>
    </row>
    <row r="6873" spans="1:9" x14ac:dyDescent="0.2">
      <c r="A6873" t="str">
        <f t="shared" si="354"/>
        <v>41974Tiahura667Autres</v>
      </c>
      <c r="B6873" s="1">
        <v>41974</v>
      </c>
      <c r="C6873" t="s">
        <v>24</v>
      </c>
      <c r="D6873" s="19">
        <v>6</v>
      </c>
      <c r="E6873">
        <v>67</v>
      </c>
      <c r="F6873" t="s">
        <v>14</v>
      </c>
      <c r="H6873">
        <v>0</v>
      </c>
    </row>
    <row r="6874" spans="1:9" x14ac:dyDescent="0.2">
      <c r="A6874" t="str">
        <f t="shared" si="354"/>
        <v>41974Tiahura668PocilloporidaeDessous</v>
      </c>
      <c r="B6874" s="1">
        <v>41974</v>
      </c>
      <c r="C6874" t="s">
        <v>24</v>
      </c>
      <c r="D6874" s="19">
        <v>6</v>
      </c>
      <c r="E6874">
        <v>68</v>
      </c>
      <c r="F6874" t="s">
        <v>10</v>
      </c>
      <c r="G6874" t="s">
        <v>8</v>
      </c>
      <c r="H6874">
        <v>1</v>
      </c>
      <c r="I6874" t="s">
        <v>27</v>
      </c>
    </row>
    <row r="6875" spans="1:9" x14ac:dyDescent="0.2">
      <c r="A6875" t="str">
        <f t="shared" si="354"/>
        <v>41974Tiahura669Autres</v>
      </c>
      <c r="B6875" s="1">
        <v>41974</v>
      </c>
      <c r="C6875" t="s">
        <v>24</v>
      </c>
      <c r="D6875" s="19">
        <v>6</v>
      </c>
      <c r="E6875">
        <v>69</v>
      </c>
      <c r="F6875" t="s">
        <v>14</v>
      </c>
      <c r="H6875">
        <v>0</v>
      </c>
    </row>
    <row r="6876" spans="1:9" x14ac:dyDescent="0.2">
      <c r="A6876" t="str">
        <f t="shared" si="354"/>
        <v>41974Tiahura670Autres</v>
      </c>
      <c r="B6876" s="1">
        <v>41974</v>
      </c>
      <c r="C6876" t="s">
        <v>24</v>
      </c>
      <c r="D6876" s="19">
        <v>6</v>
      </c>
      <c r="E6876">
        <v>70</v>
      </c>
      <c r="F6876" t="s">
        <v>14</v>
      </c>
      <c r="H6876">
        <v>0</v>
      </c>
    </row>
    <row r="6877" spans="1:9" x14ac:dyDescent="0.2">
      <c r="A6877" t="str">
        <f t="shared" si="354"/>
        <v>41974Tiahura671Autres</v>
      </c>
      <c r="B6877" s="1">
        <v>41974</v>
      </c>
      <c r="C6877" t="s">
        <v>24</v>
      </c>
      <c r="D6877" s="19">
        <v>6</v>
      </c>
      <c r="E6877">
        <v>71</v>
      </c>
      <c r="F6877" t="s">
        <v>14</v>
      </c>
      <c r="H6877">
        <v>0</v>
      </c>
    </row>
    <row r="6878" spans="1:9" x14ac:dyDescent="0.2">
      <c r="A6878" t="str">
        <f t="shared" si="354"/>
        <v>41974Tiahura672CassésBords</v>
      </c>
      <c r="B6878" s="1">
        <v>41974</v>
      </c>
      <c r="C6878" t="s">
        <v>24</v>
      </c>
      <c r="D6878" s="19">
        <v>6</v>
      </c>
      <c r="E6878">
        <v>72</v>
      </c>
      <c r="F6878" t="s">
        <v>12</v>
      </c>
      <c r="G6878" t="s">
        <v>13</v>
      </c>
      <c r="H6878">
        <v>1</v>
      </c>
      <c r="I6878" t="s">
        <v>27</v>
      </c>
    </row>
    <row r="6879" spans="1:9" x14ac:dyDescent="0.2">
      <c r="A6879" t="str">
        <f t="shared" si="354"/>
        <v>41974Tiahura672PocilloporidaeBords</v>
      </c>
      <c r="B6879" s="1">
        <v>41974</v>
      </c>
      <c r="C6879" t="s">
        <v>24</v>
      </c>
      <c r="D6879" s="19">
        <v>6</v>
      </c>
      <c r="E6879">
        <v>72</v>
      </c>
      <c r="F6879" t="s">
        <v>10</v>
      </c>
      <c r="G6879" t="s">
        <v>13</v>
      </c>
      <c r="H6879">
        <v>1</v>
      </c>
      <c r="I6879" t="s">
        <v>27</v>
      </c>
    </row>
    <row r="6880" spans="1:9" x14ac:dyDescent="0.2">
      <c r="A6880" t="str">
        <f t="shared" si="354"/>
        <v>41974Tiahura672PocilloporidaeDessous</v>
      </c>
      <c r="B6880" s="1">
        <v>41974</v>
      </c>
      <c r="C6880" t="s">
        <v>24</v>
      </c>
      <c r="D6880" s="19">
        <v>6</v>
      </c>
      <c r="E6880">
        <v>72</v>
      </c>
      <c r="F6880" t="s">
        <v>10</v>
      </c>
      <c r="G6880" t="s">
        <v>8</v>
      </c>
      <c r="H6880">
        <v>2</v>
      </c>
      <c r="I6880" t="s">
        <v>27</v>
      </c>
    </row>
    <row r="6881" spans="1:9" x14ac:dyDescent="0.2">
      <c r="A6881" t="str">
        <f t="shared" si="354"/>
        <v>41974Tiahura673CassésDessous</v>
      </c>
      <c r="B6881" s="1">
        <v>41974</v>
      </c>
      <c r="C6881" t="s">
        <v>24</v>
      </c>
      <c r="D6881" s="19">
        <v>6</v>
      </c>
      <c r="E6881">
        <v>73</v>
      </c>
      <c r="F6881" t="s">
        <v>12</v>
      </c>
      <c r="G6881" t="s">
        <v>8</v>
      </c>
      <c r="H6881">
        <v>2</v>
      </c>
      <c r="I6881" t="s">
        <v>27</v>
      </c>
    </row>
    <row r="6882" spans="1:9" x14ac:dyDescent="0.2">
      <c r="A6882" t="str">
        <f t="shared" si="354"/>
        <v>41974Tiahura673PocilloporidaeDessous</v>
      </c>
      <c r="B6882" s="1">
        <v>41974</v>
      </c>
      <c r="C6882" t="s">
        <v>24</v>
      </c>
      <c r="D6882" s="19">
        <v>6</v>
      </c>
      <c r="E6882">
        <v>73</v>
      </c>
      <c r="F6882" t="s">
        <v>10</v>
      </c>
      <c r="G6882" t="s">
        <v>8</v>
      </c>
      <c r="H6882">
        <v>1</v>
      </c>
      <c r="I6882" t="s">
        <v>27</v>
      </c>
    </row>
    <row r="6883" spans="1:9" x14ac:dyDescent="0.2">
      <c r="A6883" t="str">
        <f t="shared" si="354"/>
        <v>41974Tiahura674PocilloporidaeDessous</v>
      </c>
      <c r="B6883" s="1">
        <v>41974</v>
      </c>
      <c r="C6883" t="s">
        <v>24</v>
      </c>
      <c r="D6883" s="19">
        <v>6</v>
      </c>
      <c r="E6883">
        <v>74</v>
      </c>
      <c r="F6883" t="s">
        <v>10</v>
      </c>
      <c r="G6883" t="s">
        <v>8</v>
      </c>
      <c r="H6883">
        <v>1</v>
      </c>
      <c r="I6883" t="s">
        <v>27</v>
      </c>
    </row>
    <row r="6884" spans="1:9" x14ac:dyDescent="0.2">
      <c r="A6884" t="str">
        <f t="shared" si="354"/>
        <v>41974Tiahura675Autres</v>
      </c>
      <c r="B6884" s="1">
        <v>41974</v>
      </c>
      <c r="C6884" t="s">
        <v>24</v>
      </c>
      <c r="D6884" s="19">
        <v>6</v>
      </c>
      <c r="E6884">
        <v>75</v>
      </c>
      <c r="F6884" t="s">
        <v>14</v>
      </c>
      <c r="H6884">
        <v>0</v>
      </c>
    </row>
    <row r="6885" spans="1:9" x14ac:dyDescent="0.2">
      <c r="A6885" t="str">
        <f t="shared" si="354"/>
        <v>41974Tiahura676Autres</v>
      </c>
      <c r="B6885" s="1">
        <v>41974</v>
      </c>
      <c r="C6885" t="s">
        <v>24</v>
      </c>
      <c r="D6885" s="19">
        <v>6</v>
      </c>
      <c r="E6885">
        <v>76</v>
      </c>
      <c r="F6885" t="s">
        <v>14</v>
      </c>
      <c r="H6885">
        <v>0</v>
      </c>
    </row>
    <row r="6886" spans="1:9" x14ac:dyDescent="0.2">
      <c r="A6886" t="str">
        <f t="shared" si="354"/>
        <v>41974Tiahura677Autres</v>
      </c>
      <c r="B6886" s="1">
        <v>41974</v>
      </c>
      <c r="C6886" t="s">
        <v>24</v>
      </c>
      <c r="D6886" s="19">
        <v>6</v>
      </c>
      <c r="E6886">
        <v>77</v>
      </c>
      <c r="F6886" t="s">
        <v>14</v>
      </c>
      <c r="H6886">
        <v>0</v>
      </c>
    </row>
    <row r="6887" spans="1:9" x14ac:dyDescent="0.2">
      <c r="A6887" t="str">
        <f t="shared" si="354"/>
        <v>41974Tiahura678PocilloporidaeDessous</v>
      </c>
      <c r="B6887" s="1">
        <v>41974</v>
      </c>
      <c r="C6887" t="s">
        <v>24</v>
      </c>
      <c r="D6887" s="19">
        <v>6</v>
      </c>
      <c r="E6887">
        <v>78</v>
      </c>
      <c r="F6887" t="s">
        <v>10</v>
      </c>
      <c r="G6887" t="s">
        <v>8</v>
      </c>
      <c r="H6887">
        <v>1</v>
      </c>
      <c r="I6887" t="s">
        <v>27</v>
      </c>
    </row>
    <row r="6888" spans="1:9" x14ac:dyDescent="0.2">
      <c r="A6888" t="str">
        <f t="shared" si="354"/>
        <v>41974Tiahura679Autres</v>
      </c>
      <c r="B6888" s="1">
        <v>41974</v>
      </c>
      <c r="C6888" t="s">
        <v>24</v>
      </c>
      <c r="D6888" s="19">
        <v>6</v>
      </c>
      <c r="E6888">
        <v>79</v>
      </c>
      <c r="F6888" t="s">
        <v>14</v>
      </c>
      <c r="H6888">
        <v>0</v>
      </c>
    </row>
    <row r="6889" spans="1:9" x14ac:dyDescent="0.2">
      <c r="A6889" t="str">
        <f t="shared" si="354"/>
        <v>41974Tiahura680Autres</v>
      </c>
      <c r="B6889" s="1">
        <v>41974</v>
      </c>
      <c r="C6889" t="s">
        <v>24</v>
      </c>
      <c r="D6889" s="19">
        <v>6</v>
      </c>
      <c r="E6889">
        <v>80</v>
      </c>
      <c r="F6889" t="s">
        <v>14</v>
      </c>
      <c r="H6889">
        <v>0</v>
      </c>
    </row>
    <row r="6890" spans="1:9" x14ac:dyDescent="0.2">
      <c r="A6890" t="str">
        <f t="shared" si="354"/>
        <v>41974Tiahura1281PocilloporidaeDessous</v>
      </c>
      <c r="B6890" s="1">
        <v>41974</v>
      </c>
      <c r="C6890" t="s">
        <v>24</v>
      </c>
      <c r="D6890" s="19">
        <v>12</v>
      </c>
      <c r="E6890">
        <v>81</v>
      </c>
      <c r="F6890" t="s">
        <v>10</v>
      </c>
      <c r="G6890" t="s">
        <v>8</v>
      </c>
      <c r="H6890">
        <v>1</v>
      </c>
      <c r="I6890" t="s">
        <v>27</v>
      </c>
    </row>
    <row r="6891" spans="1:9" x14ac:dyDescent="0.2">
      <c r="A6891" t="str">
        <f t="shared" si="354"/>
        <v>41974Tiahura1282CassésDessus</v>
      </c>
      <c r="B6891" s="1">
        <v>41974</v>
      </c>
      <c r="C6891" t="s">
        <v>24</v>
      </c>
      <c r="D6891" s="19">
        <v>12</v>
      </c>
      <c r="E6891">
        <v>82</v>
      </c>
      <c r="F6891" t="s">
        <v>12</v>
      </c>
      <c r="G6891" t="s">
        <v>11</v>
      </c>
      <c r="H6891">
        <v>1</v>
      </c>
      <c r="I6891" t="s">
        <v>27</v>
      </c>
    </row>
    <row r="6892" spans="1:9" x14ac:dyDescent="0.2">
      <c r="A6892" t="str">
        <f t="shared" si="354"/>
        <v>41974Tiahura1283Autres</v>
      </c>
      <c r="B6892" s="1">
        <v>41974</v>
      </c>
      <c r="C6892" t="s">
        <v>24</v>
      </c>
      <c r="D6892" s="19">
        <v>12</v>
      </c>
      <c r="E6892">
        <v>83</v>
      </c>
      <c r="F6892" t="s">
        <v>14</v>
      </c>
      <c r="H6892">
        <v>0</v>
      </c>
    </row>
    <row r="6893" spans="1:9" x14ac:dyDescent="0.2">
      <c r="A6893" t="str">
        <f t="shared" si="354"/>
        <v>41974Tiahura1284PocilloporidaeDessous</v>
      </c>
      <c r="B6893" s="1">
        <v>41974</v>
      </c>
      <c r="C6893" t="s">
        <v>24</v>
      </c>
      <c r="D6893" s="19">
        <v>12</v>
      </c>
      <c r="E6893">
        <v>84</v>
      </c>
      <c r="F6893" t="s">
        <v>10</v>
      </c>
      <c r="G6893" t="s">
        <v>8</v>
      </c>
      <c r="H6893">
        <v>1</v>
      </c>
      <c r="I6893" t="s">
        <v>27</v>
      </c>
    </row>
    <row r="6894" spans="1:9" x14ac:dyDescent="0.2">
      <c r="A6894" t="str">
        <f t="shared" si="354"/>
        <v>41974Tiahura1285CassésDessous</v>
      </c>
      <c r="B6894" s="1">
        <v>41974</v>
      </c>
      <c r="C6894" t="s">
        <v>24</v>
      </c>
      <c r="D6894" s="19">
        <v>12</v>
      </c>
      <c r="E6894">
        <v>85</v>
      </c>
      <c r="F6894" t="s">
        <v>12</v>
      </c>
      <c r="G6894" t="s">
        <v>8</v>
      </c>
      <c r="H6894">
        <v>1</v>
      </c>
      <c r="I6894" t="s">
        <v>27</v>
      </c>
    </row>
    <row r="6895" spans="1:9" x14ac:dyDescent="0.2">
      <c r="A6895" t="str">
        <f t="shared" si="354"/>
        <v>41974Tiahura1285PoritidaeDessous</v>
      </c>
      <c r="B6895" s="1">
        <v>41974</v>
      </c>
      <c r="C6895" t="s">
        <v>24</v>
      </c>
      <c r="D6895" s="19">
        <v>12</v>
      </c>
      <c r="E6895">
        <v>85</v>
      </c>
      <c r="F6895" t="s">
        <v>7</v>
      </c>
      <c r="G6895" t="s">
        <v>8</v>
      </c>
      <c r="H6895">
        <v>2</v>
      </c>
      <c r="I6895" t="s">
        <v>27</v>
      </c>
    </row>
    <row r="6896" spans="1:9" x14ac:dyDescent="0.2">
      <c r="A6896" t="str">
        <f t="shared" si="354"/>
        <v>41974Tiahura1286PocilloporidaeDessous</v>
      </c>
      <c r="B6896" s="1">
        <v>41974</v>
      </c>
      <c r="C6896" t="s">
        <v>24</v>
      </c>
      <c r="D6896" s="19">
        <v>12</v>
      </c>
      <c r="E6896">
        <v>86</v>
      </c>
      <c r="F6896" t="s">
        <v>10</v>
      </c>
      <c r="G6896" t="s">
        <v>8</v>
      </c>
      <c r="H6896">
        <v>1</v>
      </c>
      <c r="I6896" t="s">
        <v>27</v>
      </c>
    </row>
    <row r="6897" spans="1:9" x14ac:dyDescent="0.2">
      <c r="A6897" t="str">
        <f t="shared" si="354"/>
        <v>41974Tiahura1287Autres</v>
      </c>
      <c r="B6897" s="1">
        <v>41974</v>
      </c>
      <c r="C6897" t="s">
        <v>24</v>
      </c>
      <c r="D6897" s="19">
        <v>12</v>
      </c>
      <c r="E6897">
        <v>87</v>
      </c>
      <c r="F6897" t="s">
        <v>14</v>
      </c>
      <c r="H6897">
        <v>0</v>
      </c>
    </row>
    <row r="6898" spans="1:9" x14ac:dyDescent="0.2">
      <c r="A6898" t="str">
        <f t="shared" si="354"/>
        <v>41974Tiahura1288AcroporidaeDessous</v>
      </c>
      <c r="B6898" s="1">
        <v>41974</v>
      </c>
      <c r="C6898" t="s">
        <v>24</v>
      </c>
      <c r="D6898" s="19">
        <v>12</v>
      </c>
      <c r="E6898">
        <v>88</v>
      </c>
      <c r="F6898" t="s">
        <v>17</v>
      </c>
      <c r="G6898" t="s">
        <v>8</v>
      </c>
      <c r="H6898">
        <v>1</v>
      </c>
      <c r="I6898" t="s">
        <v>27</v>
      </c>
    </row>
    <row r="6899" spans="1:9" x14ac:dyDescent="0.2">
      <c r="A6899" t="str">
        <f t="shared" si="354"/>
        <v>41974Tiahura1288PocilloporidaeDessous</v>
      </c>
      <c r="B6899" s="1">
        <v>41974</v>
      </c>
      <c r="C6899" t="s">
        <v>24</v>
      </c>
      <c r="D6899" s="19">
        <v>12</v>
      </c>
      <c r="E6899">
        <v>88</v>
      </c>
      <c r="F6899" t="s">
        <v>10</v>
      </c>
      <c r="G6899" t="s">
        <v>8</v>
      </c>
      <c r="H6899">
        <v>1</v>
      </c>
      <c r="I6899" t="s">
        <v>27</v>
      </c>
    </row>
    <row r="6900" spans="1:9" x14ac:dyDescent="0.2">
      <c r="A6900" t="str">
        <f t="shared" si="354"/>
        <v>41974Tiahura1288PoritidaeDessous</v>
      </c>
      <c r="B6900" s="1">
        <v>41974</v>
      </c>
      <c r="C6900" t="s">
        <v>24</v>
      </c>
      <c r="D6900" s="19">
        <v>12</v>
      </c>
      <c r="E6900">
        <v>88</v>
      </c>
      <c r="F6900" t="s">
        <v>7</v>
      </c>
      <c r="G6900" t="s">
        <v>8</v>
      </c>
      <c r="H6900">
        <v>2</v>
      </c>
      <c r="I6900" t="s">
        <v>27</v>
      </c>
    </row>
    <row r="6901" spans="1:9" x14ac:dyDescent="0.2">
      <c r="A6901" t="str">
        <f t="shared" si="354"/>
        <v>41974Tiahura1289PoritidaeDessous</v>
      </c>
      <c r="B6901" s="1">
        <v>41974</v>
      </c>
      <c r="C6901" t="s">
        <v>24</v>
      </c>
      <c r="D6901" s="19">
        <v>12</v>
      </c>
      <c r="E6901">
        <v>89</v>
      </c>
      <c r="F6901" t="s">
        <v>7</v>
      </c>
      <c r="G6901" t="s">
        <v>8</v>
      </c>
      <c r="H6901">
        <v>2</v>
      </c>
      <c r="I6901" t="s">
        <v>27</v>
      </c>
    </row>
    <row r="6902" spans="1:9" x14ac:dyDescent="0.2">
      <c r="A6902" t="str">
        <f t="shared" si="354"/>
        <v>41974Tiahura1289PoritidaeDessus</v>
      </c>
      <c r="B6902" s="1">
        <v>41974</v>
      </c>
      <c r="C6902" t="s">
        <v>24</v>
      </c>
      <c r="D6902" s="19">
        <v>12</v>
      </c>
      <c r="E6902">
        <v>89</v>
      </c>
      <c r="F6902" t="s">
        <v>7</v>
      </c>
      <c r="G6902" t="s">
        <v>11</v>
      </c>
      <c r="H6902">
        <v>1</v>
      </c>
      <c r="I6902" t="s">
        <v>27</v>
      </c>
    </row>
    <row r="6903" spans="1:9" x14ac:dyDescent="0.2">
      <c r="A6903" t="str">
        <f t="shared" si="354"/>
        <v>41974Tiahura1290AcroporidaeBords</v>
      </c>
      <c r="B6903" s="1">
        <v>41974</v>
      </c>
      <c r="C6903" t="s">
        <v>24</v>
      </c>
      <c r="D6903" s="19">
        <v>12</v>
      </c>
      <c r="E6903">
        <v>90</v>
      </c>
      <c r="F6903" t="s">
        <v>17</v>
      </c>
      <c r="G6903" t="s">
        <v>13</v>
      </c>
      <c r="H6903">
        <v>1</v>
      </c>
      <c r="I6903" t="s">
        <v>27</v>
      </c>
    </row>
    <row r="6904" spans="1:9" x14ac:dyDescent="0.2">
      <c r="A6904" t="str">
        <f t="shared" si="354"/>
        <v>41974Tiahura1290PoritidaeDessous</v>
      </c>
      <c r="B6904" s="1">
        <v>41974</v>
      </c>
      <c r="C6904" t="s">
        <v>24</v>
      </c>
      <c r="D6904" s="19">
        <v>12</v>
      </c>
      <c r="E6904">
        <v>90</v>
      </c>
      <c r="F6904" t="s">
        <v>7</v>
      </c>
      <c r="G6904" t="s">
        <v>8</v>
      </c>
      <c r="H6904">
        <v>1</v>
      </c>
      <c r="I6904" t="s">
        <v>27</v>
      </c>
    </row>
    <row r="6905" spans="1:9" x14ac:dyDescent="0.2">
      <c r="A6905" t="str">
        <f t="shared" si="354"/>
        <v>41974Tiahura1291Autres</v>
      </c>
      <c r="B6905" s="1">
        <v>41974</v>
      </c>
      <c r="C6905" t="s">
        <v>24</v>
      </c>
      <c r="D6905" s="19">
        <v>12</v>
      </c>
      <c r="E6905">
        <v>91</v>
      </c>
      <c r="F6905" t="s">
        <v>14</v>
      </c>
      <c r="H6905">
        <v>0</v>
      </c>
    </row>
    <row r="6906" spans="1:9" x14ac:dyDescent="0.2">
      <c r="A6906" t="str">
        <f t="shared" si="354"/>
        <v>41974Tiahura1292Autres</v>
      </c>
      <c r="B6906" s="1">
        <v>41974</v>
      </c>
      <c r="C6906" t="s">
        <v>24</v>
      </c>
      <c r="D6906" s="19">
        <v>12</v>
      </c>
      <c r="E6906">
        <v>92</v>
      </c>
      <c r="F6906" t="s">
        <v>14</v>
      </c>
      <c r="H6906">
        <v>0</v>
      </c>
    </row>
    <row r="6907" spans="1:9" x14ac:dyDescent="0.2">
      <c r="A6907" t="str">
        <f t="shared" si="354"/>
        <v>41974Tiahura1293Autres</v>
      </c>
      <c r="B6907" s="1">
        <v>41974</v>
      </c>
      <c r="C6907" t="s">
        <v>24</v>
      </c>
      <c r="D6907" s="19">
        <v>12</v>
      </c>
      <c r="E6907">
        <v>93</v>
      </c>
      <c r="F6907" t="s">
        <v>14</v>
      </c>
      <c r="H6907">
        <v>0</v>
      </c>
    </row>
    <row r="6908" spans="1:9" x14ac:dyDescent="0.2">
      <c r="A6908" t="str">
        <f t="shared" si="354"/>
        <v>41974Tiahura1294</v>
      </c>
      <c r="B6908" s="1">
        <v>41974</v>
      </c>
      <c r="C6908" t="s">
        <v>24</v>
      </c>
      <c r="D6908" s="19">
        <v>12</v>
      </c>
      <c r="E6908">
        <v>94</v>
      </c>
      <c r="F6908" t="s">
        <v>27</v>
      </c>
      <c r="G6908" t="s">
        <v>27</v>
      </c>
      <c r="H6908" t="s">
        <v>27</v>
      </c>
      <c r="I6908" t="s">
        <v>31</v>
      </c>
    </row>
    <row r="6909" spans="1:9" x14ac:dyDescent="0.2">
      <c r="A6909" t="str">
        <f t="shared" si="354"/>
        <v>41974Tiahura1295PoritidaeDessous</v>
      </c>
      <c r="B6909" s="1">
        <v>41974</v>
      </c>
      <c r="C6909" t="s">
        <v>24</v>
      </c>
      <c r="D6909" s="19">
        <v>12</v>
      </c>
      <c r="E6909">
        <v>95</v>
      </c>
      <c r="F6909" t="s">
        <v>7</v>
      </c>
      <c r="G6909" t="s">
        <v>8</v>
      </c>
      <c r="H6909">
        <v>2</v>
      </c>
      <c r="I6909" t="s">
        <v>27</v>
      </c>
    </row>
    <row r="6910" spans="1:9" x14ac:dyDescent="0.2">
      <c r="A6910" t="str">
        <f t="shared" si="354"/>
        <v>41974Tiahura1296PocilloporidaeDessous</v>
      </c>
      <c r="B6910" s="1">
        <v>41974</v>
      </c>
      <c r="C6910" t="s">
        <v>24</v>
      </c>
      <c r="D6910" s="19">
        <v>12</v>
      </c>
      <c r="E6910">
        <v>96</v>
      </c>
      <c r="F6910" t="s">
        <v>10</v>
      </c>
      <c r="G6910" t="s">
        <v>8</v>
      </c>
      <c r="H6910">
        <v>1</v>
      </c>
      <c r="I6910" t="s">
        <v>27</v>
      </c>
    </row>
    <row r="6911" spans="1:9" x14ac:dyDescent="0.2">
      <c r="A6911" t="str">
        <f t="shared" ref="A6911:A6974" si="355">B6911 &amp; C6911&amp; D6911&amp; E6911 &amp; F6911 &amp;G6911</f>
        <v>41974Tiahura1296PoritidaeDessous</v>
      </c>
      <c r="B6911" s="1">
        <v>41974</v>
      </c>
      <c r="C6911" t="s">
        <v>24</v>
      </c>
      <c r="D6911" s="19">
        <v>12</v>
      </c>
      <c r="E6911">
        <v>96</v>
      </c>
      <c r="F6911" t="s">
        <v>7</v>
      </c>
      <c r="G6911" t="s">
        <v>8</v>
      </c>
      <c r="H6911">
        <v>2</v>
      </c>
      <c r="I6911" t="s">
        <v>27</v>
      </c>
    </row>
    <row r="6912" spans="1:9" x14ac:dyDescent="0.2">
      <c r="A6912" t="str">
        <f t="shared" si="355"/>
        <v>41974Tiahura1297PoritidaeBords</v>
      </c>
      <c r="B6912" s="1">
        <v>41974</v>
      </c>
      <c r="C6912" t="s">
        <v>24</v>
      </c>
      <c r="D6912" s="19">
        <v>12</v>
      </c>
      <c r="E6912">
        <v>97</v>
      </c>
      <c r="F6912" t="s">
        <v>7</v>
      </c>
      <c r="G6912" t="s">
        <v>13</v>
      </c>
      <c r="H6912">
        <v>1</v>
      </c>
      <c r="I6912" t="s">
        <v>27</v>
      </c>
    </row>
    <row r="6913" spans="1:9" x14ac:dyDescent="0.2">
      <c r="A6913" t="str">
        <f t="shared" si="355"/>
        <v>41974Tiahura1298PocilloporidaeDessous</v>
      </c>
      <c r="B6913" s="1">
        <v>41974</v>
      </c>
      <c r="C6913" t="s">
        <v>24</v>
      </c>
      <c r="D6913" s="19">
        <v>12</v>
      </c>
      <c r="E6913">
        <v>98</v>
      </c>
      <c r="F6913" t="s">
        <v>10</v>
      </c>
      <c r="G6913" t="s">
        <v>8</v>
      </c>
      <c r="H6913">
        <v>1</v>
      </c>
      <c r="I6913" t="s">
        <v>27</v>
      </c>
    </row>
    <row r="6914" spans="1:9" x14ac:dyDescent="0.2">
      <c r="A6914" t="str">
        <f t="shared" si="355"/>
        <v>41974Tiahura1299PocilloporidaeDessous</v>
      </c>
      <c r="B6914" s="1">
        <v>41974</v>
      </c>
      <c r="C6914" t="s">
        <v>24</v>
      </c>
      <c r="D6914" s="19">
        <v>12</v>
      </c>
      <c r="E6914">
        <v>99</v>
      </c>
      <c r="F6914" t="s">
        <v>10</v>
      </c>
      <c r="G6914" t="s">
        <v>8</v>
      </c>
      <c r="H6914">
        <v>1</v>
      </c>
      <c r="I6914" t="s">
        <v>27</v>
      </c>
    </row>
    <row r="6915" spans="1:9" x14ac:dyDescent="0.2">
      <c r="A6915" t="str">
        <f t="shared" si="355"/>
        <v>41974Tiahura1299PoritidaeDessous</v>
      </c>
      <c r="B6915" s="1">
        <v>41974</v>
      </c>
      <c r="C6915" t="s">
        <v>24</v>
      </c>
      <c r="D6915" s="19">
        <v>12</v>
      </c>
      <c r="E6915">
        <v>99</v>
      </c>
      <c r="F6915" t="s">
        <v>7</v>
      </c>
      <c r="G6915" t="s">
        <v>8</v>
      </c>
      <c r="H6915">
        <v>1</v>
      </c>
      <c r="I6915" t="s">
        <v>27</v>
      </c>
    </row>
    <row r="6916" spans="1:9" x14ac:dyDescent="0.2">
      <c r="A6916" t="str">
        <f t="shared" si="355"/>
        <v>41974Tiahura12100Autres</v>
      </c>
      <c r="B6916" s="1">
        <v>41974</v>
      </c>
      <c r="C6916" t="s">
        <v>24</v>
      </c>
      <c r="D6916" s="19">
        <v>12</v>
      </c>
      <c r="E6916">
        <v>100</v>
      </c>
      <c r="F6916" t="s">
        <v>14</v>
      </c>
      <c r="H6916">
        <v>0</v>
      </c>
    </row>
    <row r="6917" spans="1:9" x14ac:dyDescent="0.2">
      <c r="A6917" t="str">
        <f t="shared" si="355"/>
        <v>41974Tiahura18101PoritidaeDessous</v>
      </c>
      <c r="B6917" s="1">
        <v>41974</v>
      </c>
      <c r="C6917" t="s">
        <v>24</v>
      </c>
      <c r="D6917" s="19">
        <v>18</v>
      </c>
      <c r="E6917">
        <v>101</v>
      </c>
      <c r="F6917" t="s">
        <v>7</v>
      </c>
      <c r="G6917" t="s">
        <v>8</v>
      </c>
      <c r="H6917">
        <v>3</v>
      </c>
      <c r="I6917" t="s">
        <v>27</v>
      </c>
    </row>
    <row r="6918" spans="1:9" x14ac:dyDescent="0.2">
      <c r="A6918" t="str">
        <f t="shared" si="355"/>
        <v>41974Tiahura18102PoritidaeDessous</v>
      </c>
      <c r="B6918" s="1">
        <v>41974</v>
      </c>
      <c r="C6918" t="s">
        <v>24</v>
      </c>
      <c r="D6918" s="19">
        <v>18</v>
      </c>
      <c r="E6918">
        <v>102</v>
      </c>
      <c r="F6918" t="s">
        <v>7</v>
      </c>
      <c r="G6918" t="s">
        <v>8</v>
      </c>
      <c r="H6918">
        <v>1</v>
      </c>
      <c r="I6918" t="s">
        <v>27</v>
      </c>
    </row>
    <row r="6919" spans="1:9" x14ac:dyDescent="0.2">
      <c r="A6919" t="str">
        <f t="shared" si="355"/>
        <v>41974Tiahura18103PocilloporidaeDessous</v>
      </c>
      <c r="B6919" s="1">
        <v>41974</v>
      </c>
      <c r="C6919" t="s">
        <v>24</v>
      </c>
      <c r="D6919" s="19">
        <v>18</v>
      </c>
      <c r="E6919">
        <v>103</v>
      </c>
      <c r="F6919" t="s">
        <v>10</v>
      </c>
      <c r="G6919" t="s">
        <v>8</v>
      </c>
      <c r="H6919">
        <v>1</v>
      </c>
      <c r="I6919" t="s">
        <v>27</v>
      </c>
    </row>
    <row r="6920" spans="1:9" x14ac:dyDescent="0.2">
      <c r="A6920" t="str">
        <f t="shared" si="355"/>
        <v>41974Tiahura18103PoritidaeDessous</v>
      </c>
      <c r="B6920" s="1">
        <v>41974</v>
      </c>
      <c r="C6920" t="s">
        <v>24</v>
      </c>
      <c r="D6920" s="19">
        <v>18</v>
      </c>
      <c r="E6920">
        <v>103</v>
      </c>
      <c r="F6920" t="s">
        <v>7</v>
      </c>
      <c r="G6920" t="s">
        <v>8</v>
      </c>
      <c r="H6920">
        <v>4</v>
      </c>
      <c r="I6920" t="s">
        <v>27</v>
      </c>
    </row>
    <row r="6921" spans="1:9" x14ac:dyDescent="0.2">
      <c r="A6921" t="str">
        <f t="shared" si="355"/>
        <v>41974Tiahura18104PoritidaeDessous</v>
      </c>
      <c r="B6921" s="1">
        <v>41974</v>
      </c>
      <c r="C6921" t="s">
        <v>24</v>
      </c>
      <c r="D6921" s="19">
        <v>18</v>
      </c>
      <c r="E6921">
        <v>104</v>
      </c>
      <c r="F6921" t="s">
        <v>7</v>
      </c>
      <c r="G6921" t="s">
        <v>8</v>
      </c>
      <c r="H6921">
        <v>5</v>
      </c>
      <c r="I6921" t="s">
        <v>27</v>
      </c>
    </row>
    <row r="6922" spans="1:9" x14ac:dyDescent="0.2">
      <c r="A6922" t="str">
        <f t="shared" si="355"/>
        <v>41974Tiahura18105PoritidaeBords</v>
      </c>
      <c r="B6922" s="1">
        <v>41974</v>
      </c>
      <c r="C6922" t="s">
        <v>24</v>
      </c>
      <c r="D6922" s="19">
        <v>18</v>
      </c>
      <c r="E6922">
        <v>105</v>
      </c>
      <c r="F6922" t="s">
        <v>7</v>
      </c>
      <c r="G6922" t="s">
        <v>13</v>
      </c>
      <c r="H6922">
        <v>1</v>
      </c>
      <c r="I6922" t="s">
        <v>27</v>
      </c>
    </row>
    <row r="6923" spans="1:9" x14ac:dyDescent="0.2">
      <c r="A6923" t="str">
        <f t="shared" si="355"/>
        <v>41974Tiahura18106PoritidaeDessous</v>
      </c>
      <c r="B6923" s="1">
        <v>41974</v>
      </c>
      <c r="C6923" t="s">
        <v>24</v>
      </c>
      <c r="D6923" s="19">
        <v>18</v>
      </c>
      <c r="E6923">
        <v>106</v>
      </c>
      <c r="F6923" t="s">
        <v>7</v>
      </c>
      <c r="G6923" t="s">
        <v>8</v>
      </c>
      <c r="H6923">
        <v>5</v>
      </c>
      <c r="I6923" t="s">
        <v>27</v>
      </c>
    </row>
    <row r="6924" spans="1:9" x14ac:dyDescent="0.2">
      <c r="A6924" t="str">
        <f t="shared" si="355"/>
        <v>41974Tiahura18107PoritidaeDessous</v>
      </c>
      <c r="B6924" s="1">
        <v>41974</v>
      </c>
      <c r="C6924" t="s">
        <v>24</v>
      </c>
      <c r="D6924" s="19">
        <v>18</v>
      </c>
      <c r="E6924">
        <v>107</v>
      </c>
      <c r="F6924" t="s">
        <v>7</v>
      </c>
      <c r="G6924" t="s">
        <v>8</v>
      </c>
      <c r="H6924">
        <v>1</v>
      </c>
      <c r="I6924" t="s">
        <v>27</v>
      </c>
    </row>
    <row r="6925" spans="1:9" x14ac:dyDescent="0.2">
      <c r="A6925" t="str">
        <f t="shared" si="355"/>
        <v>41974Tiahura18108Autres</v>
      </c>
      <c r="B6925" s="1">
        <v>41974</v>
      </c>
      <c r="C6925" t="s">
        <v>24</v>
      </c>
      <c r="D6925" s="19">
        <v>18</v>
      </c>
      <c r="E6925">
        <v>108</v>
      </c>
      <c r="F6925" t="s">
        <v>14</v>
      </c>
      <c r="H6925">
        <v>0</v>
      </c>
    </row>
    <row r="6926" spans="1:9" x14ac:dyDescent="0.2">
      <c r="A6926" t="str">
        <f t="shared" si="355"/>
        <v>41974Tiahura18109PoritidaeDessous</v>
      </c>
      <c r="B6926" s="1">
        <v>41974</v>
      </c>
      <c r="C6926" t="s">
        <v>24</v>
      </c>
      <c r="D6926" s="19">
        <v>18</v>
      </c>
      <c r="E6926">
        <v>109</v>
      </c>
      <c r="F6926" t="s">
        <v>7</v>
      </c>
      <c r="G6926" t="s">
        <v>8</v>
      </c>
      <c r="H6926">
        <v>1</v>
      </c>
      <c r="I6926" t="s">
        <v>27</v>
      </c>
    </row>
    <row r="6927" spans="1:9" x14ac:dyDescent="0.2">
      <c r="A6927" t="str">
        <f t="shared" si="355"/>
        <v>41974Tiahura18110Autres</v>
      </c>
      <c r="B6927" s="1">
        <v>41974</v>
      </c>
      <c r="C6927" t="s">
        <v>24</v>
      </c>
      <c r="D6927" s="19">
        <v>18</v>
      </c>
      <c r="E6927">
        <v>110</v>
      </c>
      <c r="F6927" t="s">
        <v>14</v>
      </c>
      <c r="H6927">
        <v>0</v>
      </c>
    </row>
    <row r="6928" spans="1:9" x14ac:dyDescent="0.2">
      <c r="A6928" t="str">
        <f t="shared" si="355"/>
        <v>41974Tiahura18111PoritidaeBords</v>
      </c>
      <c r="B6928" s="1">
        <v>41974</v>
      </c>
      <c r="C6928" t="s">
        <v>24</v>
      </c>
      <c r="D6928" s="19">
        <v>18</v>
      </c>
      <c r="E6928">
        <v>111</v>
      </c>
      <c r="F6928" t="s">
        <v>7</v>
      </c>
      <c r="G6928" t="s">
        <v>13</v>
      </c>
      <c r="H6928">
        <v>1</v>
      </c>
      <c r="I6928" t="s">
        <v>27</v>
      </c>
    </row>
    <row r="6929" spans="1:9" x14ac:dyDescent="0.2">
      <c r="A6929" t="str">
        <f t="shared" si="355"/>
        <v>41974Tiahura18112PoritidaeBords</v>
      </c>
      <c r="B6929" s="1">
        <v>41974</v>
      </c>
      <c r="C6929" t="s">
        <v>24</v>
      </c>
      <c r="D6929" s="19">
        <v>18</v>
      </c>
      <c r="E6929">
        <v>112</v>
      </c>
      <c r="F6929" t="s">
        <v>7</v>
      </c>
      <c r="G6929" t="s">
        <v>13</v>
      </c>
      <c r="H6929">
        <v>2</v>
      </c>
      <c r="I6929" t="s">
        <v>27</v>
      </c>
    </row>
    <row r="6930" spans="1:9" x14ac:dyDescent="0.2">
      <c r="A6930" t="str">
        <f t="shared" si="355"/>
        <v>41974Tiahura18112PoritidaeDessus</v>
      </c>
      <c r="B6930" s="1">
        <v>41974</v>
      </c>
      <c r="C6930" t="s">
        <v>24</v>
      </c>
      <c r="D6930" s="19">
        <v>18</v>
      </c>
      <c r="E6930">
        <v>112</v>
      </c>
      <c r="F6930" t="s">
        <v>7</v>
      </c>
      <c r="G6930" t="s">
        <v>11</v>
      </c>
      <c r="H6930">
        <v>1</v>
      </c>
      <c r="I6930" t="s">
        <v>27</v>
      </c>
    </row>
    <row r="6931" spans="1:9" x14ac:dyDescent="0.2">
      <c r="A6931" t="str">
        <f t="shared" si="355"/>
        <v>41974Tiahura18113Autres</v>
      </c>
      <c r="B6931" s="1">
        <v>41974</v>
      </c>
      <c r="C6931" t="s">
        <v>24</v>
      </c>
      <c r="D6931" s="19">
        <v>18</v>
      </c>
      <c r="E6931">
        <v>113</v>
      </c>
      <c r="F6931" t="s">
        <v>14</v>
      </c>
      <c r="H6931">
        <v>0</v>
      </c>
    </row>
    <row r="6932" spans="1:9" x14ac:dyDescent="0.2">
      <c r="A6932" t="str">
        <f t="shared" si="355"/>
        <v>41974Tiahura18114Autres</v>
      </c>
      <c r="B6932" s="1">
        <v>41974</v>
      </c>
      <c r="C6932" t="s">
        <v>24</v>
      </c>
      <c r="D6932" s="19">
        <v>18</v>
      </c>
      <c r="E6932">
        <v>114</v>
      </c>
      <c r="F6932" t="s">
        <v>14</v>
      </c>
      <c r="H6932">
        <v>0</v>
      </c>
    </row>
    <row r="6933" spans="1:9" x14ac:dyDescent="0.2">
      <c r="A6933" t="str">
        <f t="shared" si="355"/>
        <v>41974Tiahura18115PoritidaeBords</v>
      </c>
      <c r="B6933" s="1">
        <v>41974</v>
      </c>
      <c r="C6933" t="s">
        <v>24</v>
      </c>
      <c r="D6933" s="19">
        <v>18</v>
      </c>
      <c r="E6933">
        <v>115</v>
      </c>
      <c r="F6933" t="s">
        <v>7</v>
      </c>
      <c r="G6933" t="s">
        <v>13</v>
      </c>
      <c r="H6933">
        <v>1</v>
      </c>
      <c r="I6933" t="s">
        <v>27</v>
      </c>
    </row>
    <row r="6934" spans="1:9" x14ac:dyDescent="0.2">
      <c r="A6934" t="str">
        <f t="shared" si="355"/>
        <v>41974Tiahura18115PoritidaeDessous</v>
      </c>
      <c r="B6934" s="1">
        <v>41974</v>
      </c>
      <c r="C6934" t="s">
        <v>24</v>
      </c>
      <c r="D6934" s="19">
        <v>18</v>
      </c>
      <c r="E6934">
        <v>115</v>
      </c>
      <c r="F6934" t="s">
        <v>7</v>
      </c>
      <c r="G6934" t="s">
        <v>8</v>
      </c>
      <c r="H6934">
        <v>1</v>
      </c>
      <c r="I6934" t="s">
        <v>27</v>
      </c>
    </row>
    <row r="6935" spans="1:9" x14ac:dyDescent="0.2">
      <c r="A6935" t="str">
        <f t="shared" si="355"/>
        <v>41974Tiahura18116PoritidaeDessous</v>
      </c>
      <c r="B6935" s="1">
        <v>41974</v>
      </c>
      <c r="C6935" t="s">
        <v>24</v>
      </c>
      <c r="D6935" s="19">
        <v>18</v>
      </c>
      <c r="E6935">
        <v>116</v>
      </c>
      <c r="F6935" t="s">
        <v>7</v>
      </c>
      <c r="G6935" t="s">
        <v>8</v>
      </c>
      <c r="H6935">
        <v>3</v>
      </c>
      <c r="I6935" t="s">
        <v>27</v>
      </c>
    </row>
    <row r="6936" spans="1:9" x14ac:dyDescent="0.2">
      <c r="A6936" t="str">
        <f t="shared" si="355"/>
        <v>41974Tiahura18117PocilloporidaeDessus</v>
      </c>
      <c r="B6936" s="1">
        <v>41974</v>
      </c>
      <c r="C6936" t="s">
        <v>24</v>
      </c>
      <c r="D6936" s="19">
        <v>18</v>
      </c>
      <c r="E6936">
        <v>117</v>
      </c>
      <c r="F6936" t="s">
        <v>10</v>
      </c>
      <c r="G6936" t="s">
        <v>11</v>
      </c>
      <c r="H6936">
        <v>1</v>
      </c>
      <c r="I6936" t="s">
        <v>27</v>
      </c>
    </row>
    <row r="6937" spans="1:9" x14ac:dyDescent="0.2">
      <c r="A6937" t="str">
        <f t="shared" si="355"/>
        <v>41974Tiahura18118Autres</v>
      </c>
      <c r="B6937" s="1">
        <v>41974</v>
      </c>
      <c r="C6937" t="s">
        <v>24</v>
      </c>
      <c r="D6937" s="19">
        <v>18</v>
      </c>
      <c r="E6937">
        <v>118</v>
      </c>
      <c r="F6937" t="s">
        <v>14</v>
      </c>
      <c r="H6937">
        <v>0</v>
      </c>
    </row>
    <row r="6938" spans="1:9" x14ac:dyDescent="0.2">
      <c r="A6938" t="str">
        <f t="shared" si="355"/>
        <v>41974Tiahura18119Autres</v>
      </c>
      <c r="B6938" s="1">
        <v>41974</v>
      </c>
      <c r="C6938" t="s">
        <v>24</v>
      </c>
      <c r="D6938" s="19">
        <v>18</v>
      </c>
      <c r="E6938">
        <v>119</v>
      </c>
      <c r="F6938" t="s">
        <v>14</v>
      </c>
      <c r="H6938">
        <v>0</v>
      </c>
    </row>
    <row r="6939" spans="1:9" x14ac:dyDescent="0.2">
      <c r="A6939" t="str">
        <f t="shared" si="355"/>
        <v>41974Tiahura18120AcroporidaeDessous</v>
      </c>
      <c r="B6939" s="1">
        <v>41974</v>
      </c>
      <c r="C6939" t="s">
        <v>24</v>
      </c>
      <c r="D6939" s="19">
        <v>18</v>
      </c>
      <c r="E6939">
        <v>120</v>
      </c>
      <c r="F6939" t="s">
        <v>17</v>
      </c>
      <c r="G6939" t="s">
        <v>8</v>
      </c>
      <c r="H6939">
        <v>1</v>
      </c>
      <c r="I6939" t="s">
        <v>27</v>
      </c>
    </row>
    <row r="6940" spans="1:9" x14ac:dyDescent="0.2">
      <c r="A6940" t="str">
        <f t="shared" si="355"/>
        <v>41974Haapiti6121Autres</v>
      </c>
      <c r="B6940" s="1">
        <v>41974</v>
      </c>
      <c r="C6940" t="s">
        <v>25</v>
      </c>
      <c r="D6940" s="19">
        <v>6</v>
      </c>
      <c r="E6940">
        <v>121</v>
      </c>
      <c r="F6940" t="s">
        <v>14</v>
      </c>
      <c r="H6940">
        <v>0</v>
      </c>
    </row>
    <row r="6941" spans="1:9" x14ac:dyDescent="0.2">
      <c r="A6941" t="str">
        <f t="shared" si="355"/>
        <v>41974Haapiti6122PocilloporidaeDessous</v>
      </c>
      <c r="B6941" s="1">
        <v>41974</v>
      </c>
      <c r="C6941" t="s">
        <v>25</v>
      </c>
      <c r="D6941" s="19">
        <v>6</v>
      </c>
      <c r="E6941">
        <v>122</v>
      </c>
      <c r="F6941" t="s">
        <v>10</v>
      </c>
      <c r="G6941" t="s">
        <v>8</v>
      </c>
      <c r="H6941">
        <v>1</v>
      </c>
      <c r="I6941" t="s">
        <v>27</v>
      </c>
    </row>
    <row r="6942" spans="1:9" x14ac:dyDescent="0.2">
      <c r="A6942" t="str">
        <f t="shared" si="355"/>
        <v>41974Haapiti6123Autres</v>
      </c>
      <c r="B6942" s="1">
        <v>41974</v>
      </c>
      <c r="C6942" t="s">
        <v>25</v>
      </c>
      <c r="D6942" s="19">
        <v>6</v>
      </c>
      <c r="E6942">
        <v>123</v>
      </c>
      <c r="F6942" t="s">
        <v>14</v>
      </c>
      <c r="H6942">
        <v>0</v>
      </c>
    </row>
    <row r="6943" spans="1:9" x14ac:dyDescent="0.2">
      <c r="A6943" t="str">
        <f t="shared" si="355"/>
        <v>41974Haapiti6124Autres</v>
      </c>
      <c r="B6943" s="1">
        <v>41974</v>
      </c>
      <c r="C6943" t="s">
        <v>25</v>
      </c>
      <c r="D6943" s="19">
        <v>6</v>
      </c>
      <c r="E6943">
        <v>124</v>
      </c>
      <c r="F6943" t="s">
        <v>14</v>
      </c>
      <c r="H6943">
        <v>0</v>
      </c>
    </row>
    <row r="6944" spans="1:9" x14ac:dyDescent="0.2">
      <c r="A6944" t="str">
        <f t="shared" si="355"/>
        <v>41974Haapiti6125Autres</v>
      </c>
      <c r="B6944" s="1">
        <v>41974</v>
      </c>
      <c r="C6944" t="s">
        <v>25</v>
      </c>
      <c r="D6944" s="19">
        <v>6</v>
      </c>
      <c r="E6944">
        <v>125</v>
      </c>
      <c r="F6944" t="s">
        <v>14</v>
      </c>
      <c r="H6944">
        <v>0</v>
      </c>
    </row>
    <row r="6945" spans="1:9" x14ac:dyDescent="0.2">
      <c r="A6945" t="str">
        <f t="shared" si="355"/>
        <v>41974Haapiti6126Autres</v>
      </c>
      <c r="B6945" s="1">
        <v>41974</v>
      </c>
      <c r="C6945" t="s">
        <v>25</v>
      </c>
      <c r="D6945" s="19">
        <v>6</v>
      </c>
      <c r="E6945">
        <v>126</v>
      </c>
      <c r="F6945" t="s">
        <v>14</v>
      </c>
      <c r="H6945">
        <v>0</v>
      </c>
    </row>
    <row r="6946" spans="1:9" x14ac:dyDescent="0.2">
      <c r="A6946" t="str">
        <f t="shared" si="355"/>
        <v>41974Haapiti6127Autres</v>
      </c>
      <c r="B6946" s="1">
        <v>41974</v>
      </c>
      <c r="C6946" t="s">
        <v>25</v>
      </c>
      <c r="D6946" s="19">
        <v>6</v>
      </c>
      <c r="E6946">
        <v>127</v>
      </c>
      <c r="F6946" t="s">
        <v>14</v>
      </c>
      <c r="H6946">
        <v>0</v>
      </c>
    </row>
    <row r="6947" spans="1:9" x14ac:dyDescent="0.2">
      <c r="A6947" t="str">
        <f t="shared" si="355"/>
        <v>41974Haapiti6128Autres</v>
      </c>
      <c r="B6947" s="1">
        <v>41974</v>
      </c>
      <c r="C6947" t="s">
        <v>25</v>
      </c>
      <c r="D6947" s="19">
        <v>6</v>
      </c>
      <c r="E6947">
        <v>128</v>
      </c>
      <c r="F6947" t="s">
        <v>14</v>
      </c>
      <c r="H6947">
        <v>0</v>
      </c>
    </row>
    <row r="6948" spans="1:9" x14ac:dyDescent="0.2">
      <c r="A6948" t="str">
        <f t="shared" si="355"/>
        <v>41974Haapiti6128PocilloporidaeDessus</v>
      </c>
      <c r="B6948" s="1">
        <v>41974</v>
      </c>
      <c r="C6948" t="s">
        <v>25</v>
      </c>
      <c r="D6948" s="19">
        <v>6</v>
      </c>
      <c r="E6948">
        <v>128</v>
      </c>
      <c r="F6948" t="s">
        <v>10</v>
      </c>
      <c r="G6948" t="s">
        <v>11</v>
      </c>
      <c r="H6948">
        <v>1</v>
      </c>
      <c r="I6948" t="s">
        <v>27</v>
      </c>
    </row>
    <row r="6949" spans="1:9" x14ac:dyDescent="0.2">
      <c r="A6949" t="str">
        <f t="shared" si="355"/>
        <v>41974Haapiti6129Autres</v>
      </c>
      <c r="B6949" s="1">
        <v>41974</v>
      </c>
      <c r="C6949" t="s">
        <v>25</v>
      </c>
      <c r="D6949" s="19">
        <v>6</v>
      </c>
      <c r="E6949">
        <v>129</v>
      </c>
      <c r="F6949" t="s">
        <v>14</v>
      </c>
      <c r="H6949">
        <v>0</v>
      </c>
    </row>
    <row r="6950" spans="1:9" x14ac:dyDescent="0.2">
      <c r="A6950" t="str">
        <f t="shared" si="355"/>
        <v>41974Haapiti6130Autres</v>
      </c>
      <c r="B6950" s="1">
        <v>41974</v>
      </c>
      <c r="C6950" t="s">
        <v>25</v>
      </c>
      <c r="D6950" s="19">
        <v>6</v>
      </c>
      <c r="E6950">
        <v>130</v>
      </c>
      <c r="F6950" t="s">
        <v>14</v>
      </c>
      <c r="H6950">
        <v>0</v>
      </c>
    </row>
    <row r="6951" spans="1:9" x14ac:dyDescent="0.2">
      <c r="A6951" t="str">
        <f t="shared" si="355"/>
        <v>41974Haapiti6131Autres</v>
      </c>
      <c r="B6951" s="1">
        <v>41974</v>
      </c>
      <c r="C6951" t="s">
        <v>25</v>
      </c>
      <c r="D6951" s="19">
        <v>6</v>
      </c>
      <c r="E6951">
        <v>131</v>
      </c>
      <c r="F6951" t="s">
        <v>14</v>
      </c>
      <c r="H6951">
        <v>0</v>
      </c>
    </row>
    <row r="6952" spans="1:9" x14ac:dyDescent="0.2">
      <c r="A6952" t="str">
        <f t="shared" si="355"/>
        <v>41974Haapiti6132Autres</v>
      </c>
      <c r="B6952" s="1">
        <v>41974</v>
      </c>
      <c r="C6952" t="s">
        <v>25</v>
      </c>
      <c r="D6952" s="19">
        <v>6</v>
      </c>
      <c r="E6952">
        <v>132</v>
      </c>
      <c r="F6952" t="s">
        <v>14</v>
      </c>
      <c r="H6952">
        <v>0</v>
      </c>
    </row>
    <row r="6953" spans="1:9" x14ac:dyDescent="0.2">
      <c r="A6953" t="str">
        <f t="shared" si="355"/>
        <v>41974Haapiti6133PocilloporidaeBords</v>
      </c>
      <c r="B6953" s="1">
        <v>41974</v>
      </c>
      <c r="C6953" t="s">
        <v>25</v>
      </c>
      <c r="D6953" s="19">
        <v>6</v>
      </c>
      <c r="E6953">
        <v>133</v>
      </c>
      <c r="F6953" t="s">
        <v>10</v>
      </c>
      <c r="G6953" t="s">
        <v>13</v>
      </c>
      <c r="H6953">
        <v>1</v>
      </c>
      <c r="I6953" t="s">
        <v>27</v>
      </c>
    </row>
    <row r="6954" spans="1:9" x14ac:dyDescent="0.2">
      <c r="A6954" t="str">
        <f t="shared" si="355"/>
        <v>41974Haapiti6134CassésDessous</v>
      </c>
      <c r="B6954" s="1">
        <v>41974</v>
      </c>
      <c r="C6954" t="s">
        <v>25</v>
      </c>
      <c r="D6954" s="19">
        <v>6</v>
      </c>
      <c r="E6954">
        <v>134</v>
      </c>
      <c r="F6954" t="s">
        <v>12</v>
      </c>
      <c r="G6954" t="s">
        <v>8</v>
      </c>
      <c r="H6954">
        <v>1</v>
      </c>
      <c r="I6954" t="s">
        <v>27</v>
      </c>
    </row>
    <row r="6955" spans="1:9" x14ac:dyDescent="0.2">
      <c r="A6955" t="str">
        <f t="shared" si="355"/>
        <v>41974Haapiti6135Autres</v>
      </c>
      <c r="B6955" s="1">
        <v>41974</v>
      </c>
      <c r="C6955" t="s">
        <v>25</v>
      </c>
      <c r="D6955" s="19">
        <v>6</v>
      </c>
      <c r="E6955">
        <v>135</v>
      </c>
      <c r="F6955" t="s">
        <v>14</v>
      </c>
      <c r="H6955">
        <v>0</v>
      </c>
    </row>
    <row r="6956" spans="1:9" x14ac:dyDescent="0.2">
      <c r="A6956" t="str">
        <f t="shared" si="355"/>
        <v>41974Haapiti6136Autres</v>
      </c>
      <c r="B6956" s="1">
        <v>41974</v>
      </c>
      <c r="C6956" t="s">
        <v>25</v>
      </c>
      <c r="D6956" s="19">
        <v>6</v>
      </c>
      <c r="E6956">
        <v>136</v>
      </c>
      <c r="F6956" t="s">
        <v>14</v>
      </c>
      <c r="H6956">
        <v>0</v>
      </c>
    </row>
    <row r="6957" spans="1:9" x14ac:dyDescent="0.2">
      <c r="A6957" t="str">
        <f t="shared" si="355"/>
        <v>41974Haapiti6137Autres</v>
      </c>
      <c r="B6957" s="1">
        <v>41974</v>
      </c>
      <c r="C6957" t="s">
        <v>25</v>
      </c>
      <c r="D6957" s="19">
        <v>6</v>
      </c>
      <c r="E6957">
        <v>137</v>
      </c>
      <c r="F6957" t="s">
        <v>14</v>
      </c>
      <c r="H6957">
        <v>0</v>
      </c>
    </row>
    <row r="6958" spans="1:9" x14ac:dyDescent="0.2">
      <c r="A6958" t="str">
        <f t="shared" si="355"/>
        <v>41974Haapiti6138Autres</v>
      </c>
      <c r="B6958" s="1">
        <v>41974</v>
      </c>
      <c r="C6958" t="s">
        <v>25</v>
      </c>
      <c r="D6958" s="19">
        <v>6</v>
      </c>
      <c r="E6958">
        <v>138</v>
      </c>
      <c r="F6958" t="s">
        <v>14</v>
      </c>
      <c r="H6958">
        <v>0</v>
      </c>
    </row>
    <row r="6959" spans="1:9" x14ac:dyDescent="0.2">
      <c r="A6959" t="str">
        <f t="shared" si="355"/>
        <v>41974Haapiti6139Autres</v>
      </c>
      <c r="B6959" s="1">
        <v>41974</v>
      </c>
      <c r="C6959" t="s">
        <v>25</v>
      </c>
      <c r="D6959" s="19">
        <v>6</v>
      </c>
      <c r="E6959">
        <v>139</v>
      </c>
      <c r="F6959" t="s">
        <v>14</v>
      </c>
      <c r="H6959">
        <v>0</v>
      </c>
    </row>
    <row r="6960" spans="1:9" x14ac:dyDescent="0.2">
      <c r="A6960" t="str">
        <f t="shared" si="355"/>
        <v>41974Haapiti6140Autres</v>
      </c>
      <c r="B6960" s="1">
        <v>41974</v>
      </c>
      <c r="C6960" t="s">
        <v>25</v>
      </c>
      <c r="D6960" s="19">
        <v>6</v>
      </c>
      <c r="E6960">
        <v>140</v>
      </c>
      <c r="F6960" t="s">
        <v>14</v>
      </c>
      <c r="H6960">
        <v>0</v>
      </c>
    </row>
    <row r="6961" spans="1:9" x14ac:dyDescent="0.2">
      <c r="A6961" t="str">
        <f t="shared" si="355"/>
        <v>41974Haapiti12141Autres</v>
      </c>
      <c r="B6961" s="1">
        <v>41974</v>
      </c>
      <c r="C6961" t="s">
        <v>25</v>
      </c>
      <c r="D6961" s="19">
        <v>12</v>
      </c>
      <c r="E6961">
        <v>141</v>
      </c>
      <c r="F6961" t="s">
        <v>14</v>
      </c>
      <c r="H6961">
        <v>0</v>
      </c>
    </row>
    <row r="6962" spans="1:9" x14ac:dyDescent="0.2">
      <c r="A6962" t="str">
        <f t="shared" si="355"/>
        <v>41974Haapiti12142PoritidaeDessous</v>
      </c>
      <c r="B6962" s="1">
        <v>41974</v>
      </c>
      <c r="C6962" t="s">
        <v>25</v>
      </c>
      <c r="D6962" s="19">
        <v>12</v>
      </c>
      <c r="E6962">
        <v>142</v>
      </c>
      <c r="F6962" t="s">
        <v>7</v>
      </c>
      <c r="G6962" t="s">
        <v>8</v>
      </c>
      <c r="H6962">
        <v>1</v>
      </c>
      <c r="I6962" t="s">
        <v>27</v>
      </c>
    </row>
    <row r="6963" spans="1:9" x14ac:dyDescent="0.2">
      <c r="A6963" t="str">
        <f t="shared" si="355"/>
        <v>41974Haapiti12143Autres</v>
      </c>
      <c r="B6963" s="1">
        <v>41974</v>
      </c>
      <c r="C6963" t="s">
        <v>25</v>
      </c>
      <c r="D6963" s="19">
        <v>12</v>
      </c>
      <c r="E6963">
        <v>143</v>
      </c>
      <c r="F6963" t="s">
        <v>14</v>
      </c>
      <c r="H6963">
        <v>0</v>
      </c>
    </row>
    <row r="6964" spans="1:9" x14ac:dyDescent="0.2">
      <c r="A6964" t="str">
        <f t="shared" si="355"/>
        <v>41974Haapiti12144Autres</v>
      </c>
      <c r="B6964" s="1">
        <v>41974</v>
      </c>
      <c r="C6964" t="s">
        <v>25</v>
      </c>
      <c r="D6964" s="19">
        <v>12</v>
      </c>
      <c r="E6964">
        <v>144</v>
      </c>
      <c r="F6964" t="s">
        <v>14</v>
      </c>
      <c r="H6964">
        <v>0</v>
      </c>
    </row>
    <row r="6965" spans="1:9" x14ac:dyDescent="0.2">
      <c r="A6965" t="str">
        <f t="shared" si="355"/>
        <v>41974Haapiti12145Autres</v>
      </c>
      <c r="B6965" s="1">
        <v>41974</v>
      </c>
      <c r="C6965" t="s">
        <v>25</v>
      </c>
      <c r="D6965" s="19">
        <v>12</v>
      </c>
      <c r="E6965">
        <v>145</v>
      </c>
      <c r="F6965" t="s">
        <v>14</v>
      </c>
      <c r="H6965">
        <v>0</v>
      </c>
    </row>
    <row r="6966" spans="1:9" x14ac:dyDescent="0.2">
      <c r="A6966" t="str">
        <f t="shared" si="355"/>
        <v>41974Haapiti12146Autres</v>
      </c>
      <c r="B6966" s="1">
        <v>41974</v>
      </c>
      <c r="C6966" t="s">
        <v>25</v>
      </c>
      <c r="D6966" s="19">
        <v>12</v>
      </c>
      <c r="E6966">
        <v>146</v>
      </c>
      <c r="F6966" t="s">
        <v>14</v>
      </c>
      <c r="H6966">
        <v>0</v>
      </c>
    </row>
    <row r="6967" spans="1:9" x14ac:dyDescent="0.2">
      <c r="A6967" t="str">
        <f t="shared" si="355"/>
        <v>41974Haapiti12147Autres</v>
      </c>
      <c r="B6967" s="1">
        <v>41974</v>
      </c>
      <c r="C6967" t="s">
        <v>25</v>
      </c>
      <c r="D6967" s="19">
        <v>12</v>
      </c>
      <c r="E6967">
        <v>147</v>
      </c>
      <c r="F6967" t="s">
        <v>14</v>
      </c>
      <c r="H6967">
        <v>0</v>
      </c>
    </row>
    <row r="6968" spans="1:9" x14ac:dyDescent="0.2">
      <c r="A6968" t="str">
        <f t="shared" si="355"/>
        <v>41974Haapiti12148PocilloporidaeDessus</v>
      </c>
      <c r="B6968" s="1">
        <v>41974</v>
      </c>
      <c r="C6968" t="s">
        <v>25</v>
      </c>
      <c r="D6968" s="19">
        <v>12</v>
      </c>
      <c r="E6968">
        <v>148</v>
      </c>
      <c r="F6968" t="s">
        <v>10</v>
      </c>
      <c r="G6968" t="s">
        <v>11</v>
      </c>
      <c r="H6968">
        <v>1</v>
      </c>
      <c r="I6968" t="s">
        <v>27</v>
      </c>
    </row>
    <row r="6969" spans="1:9" x14ac:dyDescent="0.2">
      <c r="A6969" t="str">
        <f t="shared" si="355"/>
        <v>41974Haapiti12149PocilloporidaeBords</v>
      </c>
      <c r="B6969" s="1">
        <v>41974</v>
      </c>
      <c r="C6969" t="s">
        <v>25</v>
      </c>
      <c r="D6969" s="19">
        <v>12</v>
      </c>
      <c r="E6969">
        <v>149</v>
      </c>
      <c r="F6969" t="s">
        <v>10</v>
      </c>
      <c r="G6969" t="s">
        <v>13</v>
      </c>
      <c r="H6969">
        <v>1</v>
      </c>
      <c r="I6969" t="s">
        <v>27</v>
      </c>
    </row>
    <row r="6970" spans="1:9" x14ac:dyDescent="0.2">
      <c r="A6970" t="str">
        <f t="shared" si="355"/>
        <v>41974Haapiti12150Autres</v>
      </c>
      <c r="B6970" s="1">
        <v>41974</v>
      </c>
      <c r="C6970" t="s">
        <v>25</v>
      </c>
      <c r="D6970" s="19">
        <v>12</v>
      </c>
      <c r="E6970">
        <v>150</v>
      </c>
      <c r="F6970" t="s">
        <v>14</v>
      </c>
      <c r="H6970">
        <v>0</v>
      </c>
    </row>
    <row r="6971" spans="1:9" x14ac:dyDescent="0.2">
      <c r="A6971" t="str">
        <f t="shared" si="355"/>
        <v>41974Haapiti12151Autres</v>
      </c>
      <c r="B6971" s="1">
        <v>41974</v>
      </c>
      <c r="C6971" t="s">
        <v>25</v>
      </c>
      <c r="D6971" s="19">
        <v>12</v>
      </c>
      <c r="E6971">
        <v>151</v>
      </c>
      <c r="F6971" t="s">
        <v>14</v>
      </c>
      <c r="H6971">
        <v>0</v>
      </c>
    </row>
    <row r="6972" spans="1:9" x14ac:dyDescent="0.2">
      <c r="A6972" t="str">
        <f t="shared" si="355"/>
        <v>41974Haapiti12152Autres</v>
      </c>
      <c r="B6972" s="1">
        <v>41974</v>
      </c>
      <c r="C6972" t="s">
        <v>25</v>
      </c>
      <c r="D6972" s="19">
        <v>12</v>
      </c>
      <c r="E6972">
        <v>152</v>
      </c>
      <c r="F6972" t="s">
        <v>14</v>
      </c>
      <c r="H6972">
        <v>0</v>
      </c>
    </row>
    <row r="6973" spans="1:9" x14ac:dyDescent="0.2">
      <c r="A6973" t="str">
        <f t="shared" si="355"/>
        <v>41974Haapiti12153PocilloporidaeDessous</v>
      </c>
      <c r="B6973" s="1">
        <v>41974</v>
      </c>
      <c r="C6973" t="s">
        <v>25</v>
      </c>
      <c r="D6973" s="19">
        <v>12</v>
      </c>
      <c r="E6973">
        <v>153</v>
      </c>
      <c r="F6973" t="s">
        <v>10</v>
      </c>
      <c r="G6973" t="s">
        <v>8</v>
      </c>
      <c r="H6973">
        <v>1</v>
      </c>
      <c r="I6973" t="s">
        <v>27</v>
      </c>
    </row>
    <row r="6974" spans="1:9" x14ac:dyDescent="0.2">
      <c r="A6974" t="str">
        <f t="shared" si="355"/>
        <v>41974Haapiti12153PoritidaeDessous</v>
      </c>
      <c r="B6974" s="1">
        <v>41974</v>
      </c>
      <c r="C6974" t="s">
        <v>25</v>
      </c>
      <c r="D6974" s="19">
        <v>12</v>
      </c>
      <c r="E6974">
        <v>153</v>
      </c>
      <c r="F6974" t="s">
        <v>7</v>
      </c>
      <c r="G6974" t="s">
        <v>8</v>
      </c>
      <c r="H6974">
        <v>2</v>
      </c>
      <c r="I6974" t="s">
        <v>27</v>
      </c>
    </row>
    <row r="6975" spans="1:9" x14ac:dyDescent="0.2">
      <c r="A6975" t="str">
        <f t="shared" ref="A6975:A7038" si="356">B6975 &amp; C6975&amp; D6975&amp; E6975 &amp; F6975 &amp;G6975</f>
        <v>41974Haapiti12154Autres</v>
      </c>
      <c r="B6975" s="1">
        <v>41974</v>
      </c>
      <c r="C6975" t="s">
        <v>25</v>
      </c>
      <c r="D6975" s="19">
        <v>12</v>
      </c>
      <c r="E6975">
        <v>154</v>
      </c>
      <c r="F6975" t="s">
        <v>14</v>
      </c>
      <c r="H6975">
        <v>0</v>
      </c>
    </row>
    <row r="6976" spans="1:9" x14ac:dyDescent="0.2">
      <c r="A6976" t="str">
        <f t="shared" si="356"/>
        <v>41974Haapiti12155Autres</v>
      </c>
      <c r="B6976" s="1">
        <v>41974</v>
      </c>
      <c r="C6976" t="s">
        <v>25</v>
      </c>
      <c r="D6976" s="19">
        <v>12</v>
      </c>
      <c r="E6976">
        <v>155</v>
      </c>
      <c r="F6976" t="s">
        <v>14</v>
      </c>
      <c r="H6976">
        <v>0</v>
      </c>
    </row>
    <row r="6977" spans="1:9" x14ac:dyDescent="0.2">
      <c r="A6977" t="str">
        <f t="shared" si="356"/>
        <v>41974Haapiti12156Autres</v>
      </c>
      <c r="B6977" s="1">
        <v>41974</v>
      </c>
      <c r="C6977" t="s">
        <v>25</v>
      </c>
      <c r="D6977" s="19">
        <v>12</v>
      </c>
      <c r="E6977">
        <v>156</v>
      </c>
      <c r="F6977" t="s">
        <v>14</v>
      </c>
      <c r="H6977">
        <v>0</v>
      </c>
    </row>
    <row r="6978" spans="1:9" x14ac:dyDescent="0.2">
      <c r="A6978" t="str">
        <f t="shared" si="356"/>
        <v>41974Haapiti12157Autres</v>
      </c>
      <c r="B6978" s="1">
        <v>41974</v>
      </c>
      <c r="C6978" t="s">
        <v>25</v>
      </c>
      <c r="D6978" s="19">
        <v>12</v>
      </c>
      <c r="E6978">
        <v>157</v>
      </c>
      <c r="F6978" t="s">
        <v>14</v>
      </c>
      <c r="H6978">
        <v>0</v>
      </c>
    </row>
    <row r="6979" spans="1:9" x14ac:dyDescent="0.2">
      <c r="A6979" t="str">
        <f t="shared" si="356"/>
        <v>41974Haapiti12158Autres</v>
      </c>
      <c r="B6979" s="1">
        <v>41974</v>
      </c>
      <c r="C6979" t="s">
        <v>25</v>
      </c>
      <c r="D6979" s="19">
        <v>12</v>
      </c>
      <c r="E6979">
        <v>158</v>
      </c>
      <c r="F6979" t="s">
        <v>14</v>
      </c>
      <c r="H6979">
        <v>0</v>
      </c>
    </row>
    <row r="6980" spans="1:9" x14ac:dyDescent="0.2">
      <c r="A6980" t="str">
        <f t="shared" si="356"/>
        <v>41974Haapiti12159Autres</v>
      </c>
      <c r="B6980" s="1">
        <v>41974</v>
      </c>
      <c r="C6980" t="s">
        <v>25</v>
      </c>
      <c r="D6980" s="19">
        <v>12</v>
      </c>
      <c r="E6980">
        <v>159</v>
      </c>
      <c r="F6980" t="s">
        <v>14</v>
      </c>
      <c r="H6980">
        <v>0</v>
      </c>
    </row>
    <row r="6981" spans="1:9" x14ac:dyDescent="0.2">
      <c r="A6981" t="str">
        <f t="shared" si="356"/>
        <v>41974Haapiti12160PocilloporidaeDessous</v>
      </c>
      <c r="B6981" s="1">
        <v>41974</v>
      </c>
      <c r="C6981" t="s">
        <v>25</v>
      </c>
      <c r="D6981" s="19">
        <v>12</v>
      </c>
      <c r="E6981">
        <v>160</v>
      </c>
      <c r="F6981" t="s">
        <v>10</v>
      </c>
      <c r="G6981" t="s">
        <v>8</v>
      </c>
      <c r="H6981">
        <v>1</v>
      </c>
      <c r="I6981" t="s">
        <v>27</v>
      </c>
    </row>
    <row r="6982" spans="1:9" x14ac:dyDescent="0.2">
      <c r="A6982" t="str">
        <f t="shared" si="356"/>
        <v>41974Haapiti18161Autres</v>
      </c>
      <c r="B6982" s="1">
        <v>41974</v>
      </c>
      <c r="C6982" t="s">
        <v>25</v>
      </c>
      <c r="D6982" s="19">
        <v>18</v>
      </c>
      <c r="E6982">
        <v>161</v>
      </c>
      <c r="F6982" t="s">
        <v>14</v>
      </c>
      <c r="H6982">
        <v>0</v>
      </c>
    </row>
    <row r="6983" spans="1:9" x14ac:dyDescent="0.2">
      <c r="A6983" t="str">
        <f t="shared" si="356"/>
        <v>41974Haapiti18162Autres</v>
      </c>
      <c r="B6983" s="1">
        <v>41974</v>
      </c>
      <c r="C6983" t="s">
        <v>25</v>
      </c>
      <c r="D6983" s="19">
        <v>18</v>
      </c>
      <c r="E6983">
        <v>162</v>
      </c>
      <c r="F6983" t="s">
        <v>14</v>
      </c>
      <c r="H6983">
        <v>0</v>
      </c>
    </row>
    <row r="6984" spans="1:9" x14ac:dyDescent="0.2">
      <c r="A6984" t="str">
        <f t="shared" si="356"/>
        <v>41974Haapiti18163Autres</v>
      </c>
      <c r="B6984" s="1">
        <v>41974</v>
      </c>
      <c r="C6984" t="s">
        <v>25</v>
      </c>
      <c r="D6984" s="19">
        <v>18</v>
      </c>
      <c r="E6984">
        <v>163</v>
      </c>
      <c r="F6984" t="s">
        <v>14</v>
      </c>
      <c r="H6984">
        <v>0</v>
      </c>
    </row>
    <row r="6985" spans="1:9" x14ac:dyDescent="0.2">
      <c r="A6985" t="str">
        <f t="shared" si="356"/>
        <v>41974Haapiti18164Autres</v>
      </c>
      <c r="B6985" s="1">
        <v>41974</v>
      </c>
      <c r="C6985" t="s">
        <v>25</v>
      </c>
      <c r="D6985" s="19">
        <v>18</v>
      </c>
      <c r="E6985">
        <v>164</v>
      </c>
      <c r="F6985" t="s">
        <v>14</v>
      </c>
      <c r="H6985">
        <v>0</v>
      </c>
    </row>
    <row r="6986" spans="1:9" x14ac:dyDescent="0.2">
      <c r="A6986" t="str">
        <f t="shared" si="356"/>
        <v>41974Haapiti18165Autres</v>
      </c>
      <c r="B6986" s="1">
        <v>41974</v>
      </c>
      <c r="C6986" t="s">
        <v>25</v>
      </c>
      <c r="D6986" s="19">
        <v>18</v>
      </c>
      <c r="E6986">
        <v>165</v>
      </c>
      <c r="F6986" t="s">
        <v>14</v>
      </c>
      <c r="H6986">
        <v>0</v>
      </c>
    </row>
    <row r="6987" spans="1:9" x14ac:dyDescent="0.2">
      <c r="A6987" t="str">
        <f t="shared" si="356"/>
        <v>41974Haapiti18166Autres</v>
      </c>
      <c r="B6987" s="1">
        <v>41974</v>
      </c>
      <c r="C6987" t="s">
        <v>25</v>
      </c>
      <c r="D6987" s="19">
        <v>18</v>
      </c>
      <c r="E6987">
        <v>166</v>
      </c>
      <c r="F6987" t="s">
        <v>14</v>
      </c>
      <c r="H6987">
        <v>0</v>
      </c>
    </row>
    <row r="6988" spans="1:9" x14ac:dyDescent="0.2">
      <c r="A6988" t="str">
        <f t="shared" si="356"/>
        <v>41974Haapiti18167</v>
      </c>
      <c r="B6988" s="1">
        <v>41974</v>
      </c>
      <c r="C6988" t="s">
        <v>25</v>
      </c>
      <c r="D6988" s="19">
        <v>18</v>
      </c>
      <c r="E6988">
        <v>167</v>
      </c>
      <c r="F6988" t="s">
        <v>27</v>
      </c>
      <c r="G6988" t="s">
        <v>27</v>
      </c>
      <c r="H6988" t="s">
        <v>27</v>
      </c>
      <c r="I6988" t="s">
        <v>31</v>
      </c>
    </row>
    <row r="6989" spans="1:9" x14ac:dyDescent="0.2">
      <c r="A6989" t="str">
        <f t="shared" si="356"/>
        <v>41974Haapiti18168Autres</v>
      </c>
      <c r="B6989" s="1">
        <v>41974</v>
      </c>
      <c r="C6989" t="s">
        <v>25</v>
      </c>
      <c r="D6989" s="19">
        <v>18</v>
      </c>
      <c r="E6989">
        <v>168</v>
      </c>
      <c r="F6989" t="s">
        <v>14</v>
      </c>
      <c r="H6989">
        <v>0</v>
      </c>
    </row>
    <row r="6990" spans="1:9" x14ac:dyDescent="0.2">
      <c r="A6990" t="str">
        <f t="shared" si="356"/>
        <v>41974Haapiti18169Autres</v>
      </c>
      <c r="B6990" s="1">
        <v>41974</v>
      </c>
      <c r="C6990" t="s">
        <v>25</v>
      </c>
      <c r="D6990" s="19">
        <v>18</v>
      </c>
      <c r="E6990">
        <v>169</v>
      </c>
      <c r="F6990" t="s">
        <v>14</v>
      </c>
      <c r="H6990">
        <v>0</v>
      </c>
    </row>
    <row r="6991" spans="1:9" x14ac:dyDescent="0.2">
      <c r="A6991" t="str">
        <f t="shared" si="356"/>
        <v>41974Haapiti18170</v>
      </c>
      <c r="B6991" s="1">
        <v>41974</v>
      </c>
      <c r="C6991" t="s">
        <v>25</v>
      </c>
      <c r="D6991" s="19">
        <v>18</v>
      </c>
      <c r="E6991">
        <v>170</v>
      </c>
      <c r="F6991" t="s">
        <v>27</v>
      </c>
      <c r="G6991" t="s">
        <v>27</v>
      </c>
      <c r="H6991" t="s">
        <v>27</v>
      </c>
      <c r="I6991" t="s">
        <v>31</v>
      </c>
    </row>
    <row r="6992" spans="1:9" x14ac:dyDescent="0.2">
      <c r="A6992" t="str">
        <f t="shared" si="356"/>
        <v>41974Haapiti18171Autres</v>
      </c>
      <c r="B6992" s="1">
        <v>41974</v>
      </c>
      <c r="C6992" t="s">
        <v>25</v>
      </c>
      <c r="D6992" s="19">
        <v>18</v>
      </c>
      <c r="E6992">
        <v>171</v>
      </c>
      <c r="F6992" t="s">
        <v>14</v>
      </c>
      <c r="H6992">
        <v>0</v>
      </c>
    </row>
    <row r="6993" spans="1:9" x14ac:dyDescent="0.2">
      <c r="A6993" t="str">
        <f t="shared" si="356"/>
        <v>41974Haapiti18172Autres</v>
      </c>
      <c r="B6993" s="1">
        <v>41974</v>
      </c>
      <c r="C6993" t="s">
        <v>25</v>
      </c>
      <c r="D6993" s="19">
        <v>18</v>
      </c>
      <c r="E6993">
        <v>172</v>
      </c>
      <c r="F6993" t="s">
        <v>14</v>
      </c>
      <c r="H6993">
        <v>0</v>
      </c>
    </row>
    <row r="6994" spans="1:9" x14ac:dyDescent="0.2">
      <c r="A6994" t="str">
        <f t="shared" si="356"/>
        <v>41974Haapiti18173Autres</v>
      </c>
      <c r="B6994" s="1">
        <v>41974</v>
      </c>
      <c r="C6994" t="s">
        <v>25</v>
      </c>
      <c r="D6994" s="19">
        <v>18</v>
      </c>
      <c r="E6994">
        <v>173</v>
      </c>
      <c r="F6994" t="s">
        <v>14</v>
      </c>
      <c r="H6994">
        <v>0</v>
      </c>
    </row>
    <row r="6995" spans="1:9" x14ac:dyDescent="0.2">
      <c r="A6995" t="str">
        <f t="shared" si="356"/>
        <v>41974Haapiti18174Autres</v>
      </c>
      <c r="B6995" s="1">
        <v>41974</v>
      </c>
      <c r="C6995" t="s">
        <v>25</v>
      </c>
      <c r="D6995" s="19">
        <v>18</v>
      </c>
      <c r="E6995">
        <v>174</v>
      </c>
      <c r="F6995" t="s">
        <v>14</v>
      </c>
      <c r="H6995">
        <v>0</v>
      </c>
    </row>
    <row r="6996" spans="1:9" x14ac:dyDescent="0.2">
      <c r="A6996" t="str">
        <f t="shared" si="356"/>
        <v>41974Haapiti18175PocilloporidaeDessus</v>
      </c>
      <c r="B6996" s="1">
        <v>41974</v>
      </c>
      <c r="C6996" t="s">
        <v>25</v>
      </c>
      <c r="D6996" s="19">
        <v>18</v>
      </c>
      <c r="E6996">
        <v>175</v>
      </c>
      <c r="F6996" t="s">
        <v>10</v>
      </c>
      <c r="G6996" t="s">
        <v>11</v>
      </c>
      <c r="H6996">
        <v>1</v>
      </c>
      <c r="I6996" t="s">
        <v>27</v>
      </c>
    </row>
    <row r="6997" spans="1:9" x14ac:dyDescent="0.2">
      <c r="A6997" t="str">
        <f t="shared" si="356"/>
        <v>41974Haapiti18176PocilloporidaeBords</v>
      </c>
      <c r="B6997" s="1">
        <v>41974</v>
      </c>
      <c r="C6997" t="s">
        <v>25</v>
      </c>
      <c r="D6997" s="19">
        <v>18</v>
      </c>
      <c r="E6997">
        <v>176</v>
      </c>
      <c r="F6997" t="s">
        <v>10</v>
      </c>
      <c r="G6997" t="s">
        <v>13</v>
      </c>
      <c r="H6997">
        <v>1</v>
      </c>
      <c r="I6997" t="s">
        <v>27</v>
      </c>
    </row>
    <row r="6998" spans="1:9" x14ac:dyDescent="0.2">
      <c r="A6998" t="str">
        <f t="shared" si="356"/>
        <v>41974Haapiti18177Autres</v>
      </c>
      <c r="B6998" s="1">
        <v>41974</v>
      </c>
      <c r="C6998" t="s">
        <v>25</v>
      </c>
      <c r="D6998" s="19">
        <v>18</v>
      </c>
      <c r="E6998">
        <v>177</v>
      </c>
      <c r="F6998" t="s">
        <v>14</v>
      </c>
      <c r="H6998">
        <v>0</v>
      </c>
    </row>
    <row r="6999" spans="1:9" x14ac:dyDescent="0.2">
      <c r="A6999" t="str">
        <f t="shared" si="356"/>
        <v>41974Haapiti18178PocilloporidaeDessous</v>
      </c>
      <c r="B6999" s="1">
        <v>41974</v>
      </c>
      <c r="C6999" t="s">
        <v>25</v>
      </c>
      <c r="D6999" s="19">
        <v>18</v>
      </c>
      <c r="E6999">
        <v>178</v>
      </c>
      <c r="F6999" t="s">
        <v>10</v>
      </c>
      <c r="G6999" t="s">
        <v>8</v>
      </c>
      <c r="H6999">
        <v>1</v>
      </c>
      <c r="I6999" t="s">
        <v>27</v>
      </c>
    </row>
    <row r="7000" spans="1:9" x14ac:dyDescent="0.2">
      <c r="A7000" t="str">
        <f t="shared" si="356"/>
        <v>41974Haapiti18179Autres</v>
      </c>
      <c r="B7000" s="1">
        <v>41974</v>
      </c>
      <c r="C7000" t="s">
        <v>25</v>
      </c>
      <c r="D7000" s="19">
        <v>18</v>
      </c>
      <c r="E7000">
        <v>179</v>
      </c>
      <c r="F7000" t="s">
        <v>14</v>
      </c>
      <c r="H7000">
        <v>0</v>
      </c>
    </row>
    <row r="7001" spans="1:9" x14ac:dyDescent="0.2">
      <c r="A7001" t="str">
        <f t="shared" si="356"/>
        <v>41974Haapiti18180Autres</v>
      </c>
      <c r="B7001" s="1">
        <v>41974</v>
      </c>
      <c r="C7001" t="s">
        <v>25</v>
      </c>
      <c r="D7001" s="19">
        <v>18</v>
      </c>
      <c r="E7001">
        <v>180</v>
      </c>
      <c r="F7001" t="s">
        <v>14</v>
      </c>
      <c r="H7001">
        <v>0</v>
      </c>
    </row>
    <row r="7002" spans="1:9" x14ac:dyDescent="0.2">
      <c r="A7002" t="str">
        <f t="shared" si="356"/>
        <v>42248Vaipahu61PoritidaeDessous</v>
      </c>
      <c r="B7002" s="1">
        <v>42248</v>
      </c>
      <c r="C7002" t="s">
        <v>23</v>
      </c>
      <c r="D7002" s="19">
        <v>6</v>
      </c>
      <c r="E7002">
        <v>1</v>
      </c>
      <c r="F7002" t="s">
        <v>7</v>
      </c>
      <c r="G7002" t="s">
        <v>8</v>
      </c>
      <c r="H7002">
        <v>1</v>
      </c>
      <c r="I7002" t="s">
        <v>27</v>
      </c>
    </row>
    <row r="7003" spans="1:9" x14ac:dyDescent="0.2">
      <c r="A7003" t="str">
        <f t="shared" si="356"/>
        <v>42248Vaipahu62Autres</v>
      </c>
      <c r="B7003" s="1">
        <v>42248</v>
      </c>
      <c r="C7003" t="s">
        <v>23</v>
      </c>
      <c r="D7003" s="19">
        <v>6</v>
      </c>
      <c r="E7003">
        <v>2</v>
      </c>
      <c r="F7003" t="s">
        <v>14</v>
      </c>
      <c r="H7003">
        <v>0</v>
      </c>
    </row>
    <row r="7004" spans="1:9" x14ac:dyDescent="0.2">
      <c r="A7004" t="str">
        <f t="shared" si="356"/>
        <v>42248Vaipahu63Autres</v>
      </c>
      <c r="B7004" s="1">
        <v>42248</v>
      </c>
      <c r="C7004" t="s">
        <v>23</v>
      </c>
      <c r="D7004" s="19">
        <v>6</v>
      </c>
      <c r="E7004">
        <v>3</v>
      </c>
      <c r="F7004" t="s">
        <v>14</v>
      </c>
      <c r="H7004">
        <v>0</v>
      </c>
    </row>
    <row r="7005" spans="1:9" x14ac:dyDescent="0.2">
      <c r="A7005" t="str">
        <f t="shared" si="356"/>
        <v>42248Vaipahu64Autres</v>
      </c>
      <c r="B7005" s="1">
        <v>42248</v>
      </c>
      <c r="C7005" t="s">
        <v>23</v>
      </c>
      <c r="D7005" s="19">
        <v>6</v>
      </c>
      <c r="E7005">
        <v>4</v>
      </c>
      <c r="F7005" t="s">
        <v>14</v>
      </c>
      <c r="H7005">
        <v>0</v>
      </c>
    </row>
    <row r="7006" spans="1:9" x14ac:dyDescent="0.2">
      <c r="A7006" t="str">
        <f t="shared" si="356"/>
        <v>42248Vaipahu65Autres</v>
      </c>
      <c r="B7006" s="1">
        <v>42248</v>
      </c>
      <c r="C7006" t="s">
        <v>23</v>
      </c>
      <c r="D7006" s="19">
        <v>6</v>
      </c>
      <c r="E7006">
        <v>5</v>
      </c>
      <c r="F7006" t="s">
        <v>14</v>
      </c>
      <c r="H7006">
        <v>0</v>
      </c>
    </row>
    <row r="7007" spans="1:9" x14ac:dyDescent="0.2">
      <c r="A7007" t="str">
        <f t="shared" si="356"/>
        <v>42248Vaipahu66Autres</v>
      </c>
      <c r="B7007" s="1">
        <v>42248</v>
      </c>
      <c r="C7007" t="s">
        <v>23</v>
      </c>
      <c r="D7007" s="19">
        <v>6</v>
      </c>
      <c r="E7007">
        <v>6</v>
      </c>
      <c r="F7007" t="s">
        <v>14</v>
      </c>
      <c r="H7007">
        <v>0</v>
      </c>
    </row>
    <row r="7008" spans="1:9" x14ac:dyDescent="0.2">
      <c r="A7008" t="str">
        <f t="shared" si="356"/>
        <v>42248Vaipahu67</v>
      </c>
      <c r="B7008" s="1">
        <v>42248</v>
      </c>
      <c r="C7008" t="s">
        <v>23</v>
      </c>
      <c r="D7008" s="19">
        <v>6</v>
      </c>
      <c r="E7008">
        <v>7</v>
      </c>
      <c r="F7008" t="s">
        <v>27</v>
      </c>
      <c r="G7008" t="s">
        <v>27</v>
      </c>
      <c r="H7008" t="s">
        <v>27</v>
      </c>
      <c r="I7008" t="s">
        <v>31</v>
      </c>
    </row>
    <row r="7009" spans="1:8" x14ac:dyDescent="0.2">
      <c r="A7009" t="str">
        <f t="shared" si="356"/>
        <v>42248Vaipahu68Autres</v>
      </c>
      <c r="B7009" s="1">
        <v>42248</v>
      </c>
      <c r="C7009" t="s">
        <v>23</v>
      </c>
      <c r="D7009" s="19">
        <v>6</v>
      </c>
      <c r="E7009">
        <v>8</v>
      </c>
      <c r="F7009" t="s">
        <v>14</v>
      </c>
      <c r="H7009">
        <v>0</v>
      </c>
    </row>
    <row r="7010" spans="1:8" x14ac:dyDescent="0.2">
      <c r="A7010" t="str">
        <f t="shared" si="356"/>
        <v>42248Vaipahu69Autres</v>
      </c>
      <c r="B7010" s="1">
        <v>42248</v>
      </c>
      <c r="C7010" t="s">
        <v>23</v>
      </c>
      <c r="D7010" s="19">
        <v>6</v>
      </c>
      <c r="E7010">
        <v>9</v>
      </c>
      <c r="F7010" t="s">
        <v>14</v>
      </c>
      <c r="H7010">
        <v>0</v>
      </c>
    </row>
    <row r="7011" spans="1:8" x14ac:dyDescent="0.2">
      <c r="A7011" t="str">
        <f t="shared" si="356"/>
        <v>42248Vaipahu610Autres</v>
      </c>
      <c r="B7011" s="1">
        <v>42248</v>
      </c>
      <c r="C7011" t="s">
        <v>23</v>
      </c>
      <c r="D7011" s="19">
        <v>6</v>
      </c>
      <c r="E7011">
        <v>10</v>
      </c>
      <c r="F7011" t="s">
        <v>14</v>
      </c>
      <c r="H7011">
        <v>0</v>
      </c>
    </row>
    <row r="7012" spans="1:8" x14ac:dyDescent="0.2">
      <c r="A7012" t="str">
        <f t="shared" si="356"/>
        <v>42248Vaipahu611Autres</v>
      </c>
      <c r="B7012" s="1">
        <v>42248</v>
      </c>
      <c r="C7012" t="s">
        <v>23</v>
      </c>
      <c r="D7012" s="19">
        <v>6</v>
      </c>
      <c r="E7012">
        <v>11</v>
      </c>
      <c r="F7012" t="s">
        <v>14</v>
      </c>
      <c r="H7012">
        <v>0</v>
      </c>
    </row>
    <row r="7013" spans="1:8" x14ac:dyDescent="0.2">
      <c r="A7013" t="str">
        <f t="shared" si="356"/>
        <v>42248Vaipahu612Autres</v>
      </c>
      <c r="B7013" s="1">
        <v>42248</v>
      </c>
      <c r="C7013" t="s">
        <v>23</v>
      </c>
      <c r="D7013" s="19">
        <v>6</v>
      </c>
      <c r="E7013">
        <v>12</v>
      </c>
      <c r="F7013" t="s">
        <v>14</v>
      </c>
      <c r="H7013">
        <v>0</v>
      </c>
    </row>
    <row r="7014" spans="1:8" x14ac:dyDescent="0.2">
      <c r="A7014" t="str">
        <f t="shared" si="356"/>
        <v>42248Vaipahu613Autres</v>
      </c>
      <c r="B7014" s="1">
        <v>42248</v>
      </c>
      <c r="C7014" t="s">
        <v>23</v>
      </c>
      <c r="D7014" s="19">
        <v>6</v>
      </c>
      <c r="E7014">
        <v>13</v>
      </c>
      <c r="F7014" t="s">
        <v>14</v>
      </c>
      <c r="H7014">
        <v>0</v>
      </c>
    </row>
    <row r="7015" spans="1:8" x14ac:dyDescent="0.2">
      <c r="A7015" t="str">
        <f t="shared" si="356"/>
        <v>42248Vaipahu614Autres</v>
      </c>
      <c r="B7015" s="1">
        <v>42248</v>
      </c>
      <c r="C7015" t="s">
        <v>23</v>
      </c>
      <c r="D7015" s="19">
        <v>6</v>
      </c>
      <c r="E7015">
        <v>14</v>
      </c>
      <c r="F7015" t="s">
        <v>14</v>
      </c>
      <c r="H7015">
        <v>0</v>
      </c>
    </row>
    <row r="7016" spans="1:8" x14ac:dyDescent="0.2">
      <c r="A7016" t="str">
        <f t="shared" si="356"/>
        <v>42248Vaipahu615Autres</v>
      </c>
      <c r="B7016" s="1">
        <v>42248</v>
      </c>
      <c r="C7016" t="s">
        <v>23</v>
      </c>
      <c r="D7016" s="19">
        <v>6</v>
      </c>
      <c r="E7016">
        <v>15</v>
      </c>
      <c r="F7016" t="s">
        <v>14</v>
      </c>
      <c r="H7016">
        <v>0</v>
      </c>
    </row>
    <row r="7017" spans="1:8" x14ac:dyDescent="0.2">
      <c r="A7017" t="str">
        <f t="shared" si="356"/>
        <v>42248Vaipahu616Autres</v>
      </c>
      <c r="B7017" s="1">
        <v>42248</v>
      </c>
      <c r="C7017" t="s">
        <v>23</v>
      </c>
      <c r="D7017" s="19">
        <v>6</v>
      </c>
      <c r="E7017">
        <v>16</v>
      </c>
      <c r="F7017" t="s">
        <v>14</v>
      </c>
      <c r="H7017">
        <v>0</v>
      </c>
    </row>
    <row r="7018" spans="1:8" x14ac:dyDescent="0.2">
      <c r="A7018" t="str">
        <f t="shared" si="356"/>
        <v>42248Vaipahu617Autres</v>
      </c>
      <c r="B7018" s="1">
        <v>42248</v>
      </c>
      <c r="C7018" t="s">
        <v>23</v>
      </c>
      <c r="D7018" s="19">
        <v>6</v>
      </c>
      <c r="E7018">
        <v>17</v>
      </c>
      <c r="F7018" t="s">
        <v>14</v>
      </c>
      <c r="H7018">
        <v>0</v>
      </c>
    </row>
    <row r="7019" spans="1:8" x14ac:dyDescent="0.2">
      <c r="A7019" t="str">
        <f t="shared" si="356"/>
        <v>42248Vaipahu618Autres</v>
      </c>
      <c r="B7019" s="1">
        <v>42248</v>
      </c>
      <c r="C7019" t="s">
        <v>23</v>
      </c>
      <c r="D7019" s="19">
        <v>6</v>
      </c>
      <c r="E7019">
        <v>18</v>
      </c>
      <c r="F7019" t="s">
        <v>14</v>
      </c>
      <c r="H7019">
        <v>0</v>
      </c>
    </row>
    <row r="7020" spans="1:8" x14ac:dyDescent="0.2">
      <c r="A7020" t="str">
        <f t="shared" si="356"/>
        <v>42248Vaipahu619Autres</v>
      </c>
      <c r="B7020" s="1">
        <v>42248</v>
      </c>
      <c r="C7020" t="s">
        <v>23</v>
      </c>
      <c r="D7020" s="19">
        <v>6</v>
      </c>
      <c r="E7020">
        <v>19</v>
      </c>
      <c r="F7020" t="s">
        <v>14</v>
      </c>
      <c r="H7020">
        <v>0</v>
      </c>
    </row>
    <row r="7021" spans="1:8" x14ac:dyDescent="0.2">
      <c r="A7021" t="str">
        <f t="shared" si="356"/>
        <v>42248Vaipahu620Autres</v>
      </c>
      <c r="B7021" s="1">
        <v>42248</v>
      </c>
      <c r="C7021" t="s">
        <v>23</v>
      </c>
      <c r="D7021" s="19">
        <v>6</v>
      </c>
      <c r="E7021">
        <v>20</v>
      </c>
      <c r="F7021" t="s">
        <v>14</v>
      </c>
      <c r="H7021">
        <v>0</v>
      </c>
    </row>
    <row r="7022" spans="1:8" x14ac:dyDescent="0.2">
      <c r="A7022" t="str">
        <f t="shared" si="356"/>
        <v>42248Vaipahu1221Autres</v>
      </c>
      <c r="B7022" s="1">
        <v>42248</v>
      </c>
      <c r="C7022" t="s">
        <v>23</v>
      </c>
      <c r="D7022" s="19">
        <v>12</v>
      </c>
      <c r="E7022">
        <v>21</v>
      </c>
      <c r="F7022" t="s">
        <v>14</v>
      </c>
      <c r="H7022">
        <v>0</v>
      </c>
    </row>
    <row r="7023" spans="1:8" x14ac:dyDescent="0.2">
      <c r="A7023" t="str">
        <f t="shared" si="356"/>
        <v>42248Vaipahu1222Autres</v>
      </c>
      <c r="B7023" s="1">
        <v>42248</v>
      </c>
      <c r="C7023" t="s">
        <v>23</v>
      </c>
      <c r="D7023" s="19">
        <v>12</v>
      </c>
      <c r="E7023">
        <v>22</v>
      </c>
      <c r="F7023" t="s">
        <v>14</v>
      </c>
      <c r="H7023">
        <v>0</v>
      </c>
    </row>
    <row r="7024" spans="1:8" x14ac:dyDescent="0.2">
      <c r="A7024" t="str">
        <f t="shared" si="356"/>
        <v>42248Vaipahu1223Autres</v>
      </c>
      <c r="B7024" s="1">
        <v>42248</v>
      </c>
      <c r="C7024" t="s">
        <v>23</v>
      </c>
      <c r="D7024" s="19">
        <v>12</v>
      </c>
      <c r="E7024">
        <v>23</v>
      </c>
      <c r="F7024" t="s">
        <v>14</v>
      </c>
      <c r="H7024">
        <v>0</v>
      </c>
    </row>
    <row r="7025" spans="1:9" x14ac:dyDescent="0.2">
      <c r="A7025" t="str">
        <f t="shared" si="356"/>
        <v>42248Vaipahu1224Autres</v>
      </c>
      <c r="B7025" s="1">
        <v>42248</v>
      </c>
      <c r="C7025" t="s">
        <v>23</v>
      </c>
      <c r="D7025" s="19">
        <v>12</v>
      </c>
      <c r="E7025">
        <v>24</v>
      </c>
      <c r="F7025" t="s">
        <v>14</v>
      </c>
      <c r="H7025">
        <v>0</v>
      </c>
    </row>
    <row r="7026" spans="1:9" x14ac:dyDescent="0.2">
      <c r="A7026" t="str">
        <f t="shared" si="356"/>
        <v>42248Vaipahu1225Autres</v>
      </c>
      <c r="B7026" s="1">
        <v>42248</v>
      </c>
      <c r="C7026" t="s">
        <v>23</v>
      </c>
      <c r="D7026" s="19">
        <v>12</v>
      </c>
      <c r="E7026">
        <v>25</v>
      </c>
      <c r="F7026" t="s">
        <v>14</v>
      </c>
      <c r="H7026">
        <v>0</v>
      </c>
    </row>
    <row r="7027" spans="1:9" x14ac:dyDescent="0.2">
      <c r="A7027" t="str">
        <f t="shared" si="356"/>
        <v>42248Vaipahu1226Autres</v>
      </c>
      <c r="B7027" s="1">
        <v>42248</v>
      </c>
      <c r="C7027" t="s">
        <v>23</v>
      </c>
      <c r="D7027" s="19">
        <v>12</v>
      </c>
      <c r="E7027">
        <v>26</v>
      </c>
      <c r="F7027" t="s">
        <v>14</v>
      </c>
      <c r="H7027">
        <v>0</v>
      </c>
    </row>
    <row r="7028" spans="1:9" x14ac:dyDescent="0.2">
      <c r="A7028" t="str">
        <f t="shared" si="356"/>
        <v>42248Vaipahu1227Autres</v>
      </c>
      <c r="B7028" s="1">
        <v>42248</v>
      </c>
      <c r="C7028" t="s">
        <v>23</v>
      </c>
      <c r="D7028" s="19">
        <v>12</v>
      </c>
      <c r="E7028">
        <v>27</v>
      </c>
      <c r="F7028" t="s">
        <v>14</v>
      </c>
      <c r="H7028">
        <v>0</v>
      </c>
    </row>
    <row r="7029" spans="1:9" x14ac:dyDescent="0.2">
      <c r="A7029" t="str">
        <f t="shared" si="356"/>
        <v>42248Vaipahu1228PoritidaeDessous</v>
      </c>
      <c r="B7029" s="1">
        <v>42248</v>
      </c>
      <c r="C7029" t="s">
        <v>23</v>
      </c>
      <c r="D7029" s="19">
        <v>12</v>
      </c>
      <c r="E7029">
        <v>28</v>
      </c>
      <c r="F7029" t="s">
        <v>7</v>
      </c>
      <c r="G7029" t="s">
        <v>8</v>
      </c>
      <c r="H7029">
        <v>1</v>
      </c>
      <c r="I7029" t="s">
        <v>27</v>
      </c>
    </row>
    <row r="7030" spans="1:9" x14ac:dyDescent="0.2">
      <c r="A7030" t="str">
        <f t="shared" si="356"/>
        <v>42248Vaipahu1229PoritidaeDessous</v>
      </c>
      <c r="B7030" s="1">
        <v>42248</v>
      </c>
      <c r="C7030" t="s">
        <v>23</v>
      </c>
      <c r="D7030" s="19">
        <v>12</v>
      </c>
      <c r="E7030">
        <v>29</v>
      </c>
      <c r="F7030" t="s">
        <v>7</v>
      </c>
      <c r="G7030" t="s">
        <v>8</v>
      </c>
      <c r="H7030">
        <v>1</v>
      </c>
      <c r="I7030" t="s">
        <v>27</v>
      </c>
    </row>
    <row r="7031" spans="1:9" x14ac:dyDescent="0.2">
      <c r="A7031" t="str">
        <f t="shared" si="356"/>
        <v>42248Vaipahu1230Autres</v>
      </c>
      <c r="B7031" s="1">
        <v>42248</v>
      </c>
      <c r="C7031" t="s">
        <v>23</v>
      </c>
      <c r="D7031" s="19">
        <v>12</v>
      </c>
      <c r="E7031">
        <v>30</v>
      </c>
      <c r="F7031" t="s">
        <v>14</v>
      </c>
      <c r="H7031">
        <v>0</v>
      </c>
    </row>
    <row r="7032" spans="1:9" x14ac:dyDescent="0.2">
      <c r="A7032" t="str">
        <f t="shared" si="356"/>
        <v>42248Vaipahu1231Autres</v>
      </c>
      <c r="B7032" s="1">
        <v>42248</v>
      </c>
      <c r="C7032" t="s">
        <v>23</v>
      </c>
      <c r="D7032" s="19">
        <v>12</v>
      </c>
      <c r="E7032">
        <v>31</v>
      </c>
      <c r="F7032" t="s">
        <v>14</v>
      </c>
      <c r="H7032">
        <v>0</v>
      </c>
    </row>
    <row r="7033" spans="1:9" x14ac:dyDescent="0.2">
      <c r="A7033" t="str">
        <f t="shared" si="356"/>
        <v>42248Vaipahu1232Autres</v>
      </c>
      <c r="B7033" s="1">
        <v>42248</v>
      </c>
      <c r="C7033" t="s">
        <v>23</v>
      </c>
      <c r="D7033" s="19">
        <v>12</v>
      </c>
      <c r="E7033">
        <v>32</v>
      </c>
      <c r="F7033" t="s">
        <v>14</v>
      </c>
      <c r="H7033">
        <v>0</v>
      </c>
    </row>
    <row r="7034" spans="1:9" x14ac:dyDescent="0.2">
      <c r="A7034" t="str">
        <f t="shared" si="356"/>
        <v>42248Vaipahu1233Autres</v>
      </c>
      <c r="B7034" s="1">
        <v>42248</v>
      </c>
      <c r="C7034" t="s">
        <v>23</v>
      </c>
      <c r="D7034" s="19">
        <v>12</v>
      </c>
      <c r="E7034">
        <v>33</v>
      </c>
      <c r="F7034" t="s">
        <v>14</v>
      </c>
      <c r="H7034">
        <v>0</v>
      </c>
    </row>
    <row r="7035" spans="1:9" x14ac:dyDescent="0.2">
      <c r="A7035" t="str">
        <f t="shared" si="356"/>
        <v>42248Vaipahu1234Autres</v>
      </c>
      <c r="B7035" s="1">
        <v>42248</v>
      </c>
      <c r="C7035" t="s">
        <v>23</v>
      </c>
      <c r="D7035" s="19">
        <v>12</v>
      </c>
      <c r="E7035">
        <v>34</v>
      </c>
      <c r="F7035" t="s">
        <v>14</v>
      </c>
      <c r="H7035">
        <v>0</v>
      </c>
    </row>
    <row r="7036" spans="1:9" x14ac:dyDescent="0.2">
      <c r="A7036" t="str">
        <f t="shared" si="356"/>
        <v>42248Vaipahu1235Autres</v>
      </c>
      <c r="B7036" s="1">
        <v>42248</v>
      </c>
      <c r="C7036" t="s">
        <v>23</v>
      </c>
      <c r="D7036" s="19">
        <v>12</v>
      </c>
      <c r="E7036">
        <v>35</v>
      </c>
      <c r="F7036" t="s">
        <v>14</v>
      </c>
      <c r="H7036">
        <v>0</v>
      </c>
    </row>
    <row r="7037" spans="1:9" x14ac:dyDescent="0.2">
      <c r="A7037" t="str">
        <f t="shared" si="356"/>
        <v>42248Vaipahu1236Autres</v>
      </c>
      <c r="B7037" s="1">
        <v>42248</v>
      </c>
      <c r="C7037" t="s">
        <v>23</v>
      </c>
      <c r="D7037" s="19">
        <v>12</v>
      </c>
      <c r="E7037">
        <v>36</v>
      </c>
      <c r="F7037" t="s">
        <v>14</v>
      </c>
      <c r="H7037">
        <v>0</v>
      </c>
    </row>
    <row r="7038" spans="1:9" x14ac:dyDescent="0.2">
      <c r="A7038" t="str">
        <f t="shared" si="356"/>
        <v>42248Vaipahu1237Autres</v>
      </c>
      <c r="B7038" s="1">
        <v>42248</v>
      </c>
      <c r="C7038" t="s">
        <v>23</v>
      </c>
      <c r="D7038" s="19">
        <v>12</v>
      </c>
      <c r="E7038">
        <v>37</v>
      </c>
      <c r="F7038" t="s">
        <v>14</v>
      </c>
      <c r="H7038">
        <v>0</v>
      </c>
    </row>
    <row r="7039" spans="1:9" x14ac:dyDescent="0.2">
      <c r="A7039" t="str">
        <f t="shared" ref="A7039:A7102" si="357">B7039 &amp; C7039&amp; D7039&amp; E7039 &amp; F7039 &amp;G7039</f>
        <v>42248Vaipahu1238Autres</v>
      </c>
      <c r="B7039" s="1">
        <v>42248</v>
      </c>
      <c r="C7039" t="s">
        <v>23</v>
      </c>
      <c r="D7039" s="19">
        <v>12</v>
      </c>
      <c r="E7039">
        <v>38</v>
      </c>
      <c r="F7039" t="s">
        <v>14</v>
      </c>
      <c r="H7039">
        <v>0</v>
      </c>
    </row>
    <row r="7040" spans="1:9" x14ac:dyDescent="0.2">
      <c r="A7040" t="str">
        <f t="shared" si="357"/>
        <v>42248Vaipahu1239Autres</v>
      </c>
      <c r="B7040" s="1">
        <v>42248</v>
      </c>
      <c r="C7040" t="s">
        <v>23</v>
      </c>
      <c r="D7040" s="19">
        <v>12</v>
      </c>
      <c r="E7040">
        <v>39</v>
      </c>
      <c r="F7040" t="s">
        <v>14</v>
      </c>
      <c r="H7040">
        <v>0</v>
      </c>
    </row>
    <row r="7041" spans="1:8" x14ac:dyDescent="0.2">
      <c r="A7041" t="str">
        <f t="shared" si="357"/>
        <v>42248Vaipahu1240Autres</v>
      </c>
      <c r="B7041" s="1">
        <v>42248</v>
      </c>
      <c r="C7041" t="s">
        <v>23</v>
      </c>
      <c r="D7041" s="19">
        <v>12</v>
      </c>
      <c r="E7041">
        <v>40</v>
      </c>
      <c r="F7041" t="s">
        <v>14</v>
      </c>
      <c r="H7041">
        <v>0</v>
      </c>
    </row>
    <row r="7042" spans="1:8" x14ac:dyDescent="0.2">
      <c r="A7042" t="str">
        <f t="shared" si="357"/>
        <v>42248Vaipahu1841Autres</v>
      </c>
      <c r="B7042" s="1">
        <v>42248</v>
      </c>
      <c r="C7042" t="s">
        <v>23</v>
      </c>
      <c r="D7042" s="19">
        <v>18</v>
      </c>
      <c r="E7042">
        <v>41</v>
      </c>
      <c r="F7042" t="s">
        <v>14</v>
      </c>
      <c r="H7042">
        <v>0</v>
      </c>
    </row>
    <row r="7043" spans="1:8" x14ac:dyDescent="0.2">
      <c r="A7043" t="str">
        <f t="shared" si="357"/>
        <v>42248Vaipahu1842Autres</v>
      </c>
      <c r="B7043" s="1">
        <v>42248</v>
      </c>
      <c r="C7043" t="s">
        <v>23</v>
      </c>
      <c r="D7043" s="19">
        <v>18</v>
      </c>
      <c r="E7043">
        <v>42</v>
      </c>
      <c r="F7043" t="s">
        <v>14</v>
      </c>
      <c r="H7043">
        <v>0</v>
      </c>
    </row>
    <row r="7044" spans="1:8" x14ac:dyDescent="0.2">
      <c r="A7044" t="str">
        <f t="shared" si="357"/>
        <v>42248Vaipahu1843Autres</v>
      </c>
      <c r="B7044" s="1">
        <v>42248</v>
      </c>
      <c r="C7044" t="s">
        <v>23</v>
      </c>
      <c r="D7044" s="19">
        <v>18</v>
      </c>
      <c r="E7044">
        <v>43</v>
      </c>
      <c r="F7044" t="s">
        <v>14</v>
      </c>
      <c r="H7044">
        <v>0</v>
      </c>
    </row>
    <row r="7045" spans="1:8" x14ac:dyDescent="0.2">
      <c r="A7045" t="str">
        <f t="shared" si="357"/>
        <v>42248Vaipahu1844Autres</v>
      </c>
      <c r="B7045" s="1">
        <v>42248</v>
      </c>
      <c r="C7045" t="s">
        <v>23</v>
      </c>
      <c r="D7045" s="19">
        <v>18</v>
      </c>
      <c r="E7045">
        <v>44</v>
      </c>
      <c r="F7045" t="s">
        <v>14</v>
      </c>
      <c r="H7045">
        <v>0</v>
      </c>
    </row>
    <row r="7046" spans="1:8" x14ac:dyDescent="0.2">
      <c r="A7046" t="str">
        <f t="shared" si="357"/>
        <v>42248Vaipahu1845Autres</v>
      </c>
      <c r="B7046" s="1">
        <v>42248</v>
      </c>
      <c r="C7046" t="s">
        <v>23</v>
      </c>
      <c r="D7046" s="19">
        <v>18</v>
      </c>
      <c r="E7046">
        <v>45</v>
      </c>
      <c r="F7046" t="s">
        <v>14</v>
      </c>
      <c r="H7046">
        <v>0</v>
      </c>
    </row>
    <row r="7047" spans="1:8" x14ac:dyDescent="0.2">
      <c r="A7047" t="str">
        <f t="shared" si="357"/>
        <v>42248Vaipahu1846Autres</v>
      </c>
      <c r="B7047" s="1">
        <v>42248</v>
      </c>
      <c r="C7047" t="s">
        <v>23</v>
      </c>
      <c r="D7047" s="19">
        <v>18</v>
      </c>
      <c r="E7047">
        <v>46</v>
      </c>
      <c r="F7047" t="s">
        <v>14</v>
      </c>
      <c r="H7047">
        <v>0</v>
      </c>
    </row>
    <row r="7048" spans="1:8" x14ac:dyDescent="0.2">
      <c r="A7048" t="str">
        <f t="shared" si="357"/>
        <v>42248Vaipahu1847Autres</v>
      </c>
      <c r="B7048" s="1">
        <v>42248</v>
      </c>
      <c r="C7048" t="s">
        <v>23</v>
      </c>
      <c r="D7048" s="19">
        <v>18</v>
      </c>
      <c r="E7048">
        <v>47</v>
      </c>
      <c r="F7048" t="s">
        <v>14</v>
      </c>
      <c r="H7048">
        <v>0</v>
      </c>
    </row>
    <row r="7049" spans="1:8" x14ac:dyDescent="0.2">
      <c r="A7049" t="str">
        <f t="shared" si="357"/>
        <v>42248Vaipahu1848Autres</v>
      </c>
      <c r="B7049" s="1">
        <v>42248</v>
      </c>
      <c r="C7049" t="s">
        <v>23</v>
      </c>
      <c r="D7049" s="19">
        <v>18</v>
      </c>
      <c r="E7049">
        <v>48</v>
      </c>
      <c r="F7049" t="s">
        <v>14</v>
      </c>
      <c r="H7049">
        <v>0</v>
      </c>
    </row>
    <row r="7050" spans="1:8" x14ac:dyDescent="0.2">
      <c r="A7050" t="str">
        <f t="shared" si="357"/>
        <v>42248Vaipahu1849Autres</v>
      </c>
      <c r="B7050" s="1">
        <v>42248</v>
      </c>
      <c r="C7050" t="s">
        <v>23</v>
      </c>
      <c r="D7050" s="19">
        <v>18</v>
      </c>
      <c r="E7050">
        <v>49</v>
      </c>
      <c r="F7050" t="s">
        <v>14</v>
      </c>
      <c r="H7050">
        <v>0</v>
      </c>
    </row>
    <row r="7051" spans="1:8" x14ac:dyDescent="0.2">
      <c r="A7051" t="str">
        <f t="shared" si="357"/>
        <v>42248Vaipahu1850Autres</v>
      </c>
      <c r="B7051" s="1">
        <v>42248</v>
      </c>
      <c r="C7051" t="s">
        <v>23</v>
      </c>
      <c r="D7051" s="19">
        <v>18</v>
      </c>
      <c r="E7051">
        <v>50</v>
      </c>
      <c r="F7051" t="s">
        <v>14</v>
      </c>
      <c r="H7051">
        <v>0</v>
      </c>
    </row>
    <row r="7052" spans="1:8" x14ac:dyDescent="0.2">
      <c r="A7052" t="str">
        <f t="shared" si="357"/>
        <v>42248Vaipahu1851Autres</v>
      </c>
      <c r="B7052" s="1">
        <v>42248</v>
      </c>
      <c r="C7052" t="s">
        <v>23</v>
      </c>
      <c r="D7052" s="19">
        <v>18</v>
      </c>
      <c r="E7052">
        <v>51</v>
      </c>
      <c r="F7052" t="s">
        <v>14</v>
      </c>
      <c r="H7052">
        <v>0</v>
      </c>
    </row>
    <row r="7053" spans="1:8" x14ac:dyDescent="0.2">
      <c r="A7053" t="str">
        <f t="shared" si="357"/>
        <v>42248Vaipahu1852Autres</v>
      </c>
      <c r="B7053" s="1">
        <v>42248</v>
      </c>
      <c r="C7053" t="s">
        <v>23</v>
      </c>
      <c r="D7053" s="19">
        <v>18</v>
      </c>
      <c r="E7053">
        <v>52</v>
      </c>
      <c r="F7053" t="s">
        <v>14</v>
      </c>
      <c r="H7053">
        <v>0</v>
      </c>
    </row>
    <row r="7054" spans="1:8" x14ac:dyDescent="0.2">
      <c r="A7054" t="str">
        <f t="shared" si="357"/>
        <v>42248Vaipahu1853Autres</v>
      </c>
      <c r="B7054" s="1">
        <v>42248</v>
      </c>
      <c r="C7054" t="s">
        <v>23</v>
      </c>
      <c r="D7054" s="19">
        <v>18</v>
      </c>
      <c r="E7054">
        <v>53</v>
      </c>
      <c r="F7054" t="s">
        <v>14</v>
      </c>
      <c r="H7054">
        <v>0</v>
      </c>
    </row>
    <row r="7055" spans="1:8" x14ac:dyDescent="0.2">
      <c r="A7055" t="str">
        <f t="shared" si="357"/>
        <v>42248Vaipahu1854Autres</v>
      </c>
      <c r="B7055" s="1">
        <v>42248</v>
      </c>
      <c r="C7055" t="s">
        <v>23</v>
      </c>
      <c r="D7055" s="19">
        <v>18</v>
      </c>
      <c r="E7055">
        <v>54</v>
      </c>
      <c r="F7055" t="s">
        <v>14</v>
      </c>
      <c r="H7055">
        <v>0</v>
      </c>
    </row>
    <row r="7056" spans="1:8" x14ac:dyDescent="0.2">
      <c r="A7056" t="str">
        <f t="shared" si="357"/>
        <v>42248Vaipahu1855Autres</v>
      </c>
      <c r="B7056" s="1">
        <v>42248</v>
      </c>
      <c r="C7056" t="s">
        <v>23</v>
      </c>
      <c r="D7056" s="19">
        <v>18</v>
      </c>
      <c r="E7056">
        <v>55</v>
      </c>
      <c r="F7056" t="s">
        <v>14</v>
      </c>
      <c r="H7056">
        <v>0</v>
      </c>
    </row>
    <row r="7057" spans="1:8" x14ac:dyDescent="0.2">
      <c r="A7057" t="str">
        <f t="shared" si="357"/>
        <v>42248Vaipahu1856Autres</v>
      </c>
      <c r="B7057" s="1">
        <v>42248</v>
      </c>
      <c r="C7057" t="s">
        <v>23</v>
      </c>
      <c r="D7057" s="19">
        <v>18</v>
      </c>
      <c r="E7057">
        <v>56</v>
      </c>
      <c r="F7057" t="s">
        <v>14</v>
      </c>
      <c r="H7057">
        <v>0</v>
      </c>
    </row>
    <row r="7058" spans="1:8" x14ac:dyDescent="0.2">
      <c r="A7058" t="str">
        <f t="shared" si="357"/>
        <v>42248Vaipahu1857Autres</v>
      </c>
      <c r="B7058" s="1">
        <v>42248</v>
      </c>
      <c r="C7058" t="s">
        <v>23</v>
      </c>
      <c r="D7058" s="19">
        <v>18</v>
      </c>
      <c r="E7058">
        <v>57</v>
      </c>
      <c r="F7058" t="s">
        <v>14</v>
      </c>
      <c r="H7058">
        <v>0</v>
      </c>
    </row>
    <row r="7059" spans="1:8" x14ac:dyDescent="0.2">
      <c r="A7059" t="str">
        <f t="shared" si="357"/>
        <v>42248Vaipahu1858Autres</v>
      </c>
      <c r="B7059" s="1">
        <v>42248</v>
      </c>
      <c r="C7059" t="s">
        <v>23</v>
      </c>
      <c r="D7059" s="19">
        <v>18</v>
      </c>
      <c r="E7059">
        <v>58</v>
      </c>
      <c r="F7059" t="s">
        <v>14</v>
      </c>
      <c r="H7059">
        <v>0</v>
      </c>
    </row>
    <row r="7060" spans="1:8" x14ac:dyDescent="0.2">
      <c r="A7060" t="str">
        <f t="shared" si="357"/>
        <v>42248Vaipahu1859Autres</v>
      </c>
      <c r="B7060" s="1">
        <v>42248</v>
      </c>
      <c r="C7060" t="s">
        <v>23</v>
      </c>
      <c r="D7060" s="19">
        <v>18</v>
      </c>
      <c r="E7060">
        <v>59</v>
      </c>
      <c r="F7060" t="s">
        <v>14</v>
      </c>
      <c r="H7060">
        <v>0</v>
      </c>
    </row>
    <row r="7061" spans="1:8" x14ac:dyDescent="0.2">
      <c r="A7061" t="str">
        <f t="shared" si="357"/>
        <v>42248Vaipahu1860Autres</v>
      </c>
      <c r="B7061" s="1">
        <v>42248</v>
      </c>
      <c r="C7061" t="s">
        <v>23</v>
      </c>
      <c r="D7061" s="19">
        <v>18</v>
      </c>
      <c r="E7061">
        <v>60</v>
      </c>
      <c r="F7061" t="s">
        <v>14</v>
      </c>
      <c r="H7061">
        <v>0</v>
      </c>
    </row>
    <row r="7062" spans="1:8" x14ac:dyDescent="0.2">
      <c r="A7062" t="str">
        <f t="shared" si="357"/>
        <v>42248Tiahura661Autres</v>
      </c>
      <c r="B7062" s="1">
        <v>42248</v>
      </c>
      <c r="C7062" t="s">
        <v>24</v>
      </c>
      <c r="D7062" s="19">
        <v>6</v>
      </c>
      <c r="E7062">
        <v>61</v>
      </c>
      <c r="F7062" t="s">
        <v>14</v>
      </c>
      <c r="H7062">
        <v>0</v>
      </c>
    </row>
    <row r="7063" spans="1:8" x14ac:dyDescent="0.2">
      <c r="A7063" t="str">
        <f t="shared" si="357"/>
        <v>42248Tiahura662Autres</v>
      </c>
      <c r="B7063" s="1">
        <v>42248</v>
      </c>
      <c r="C7063" t="s">
        <v>24</v>
      </c>
      <c r="D7063" s="19">
        <v>6</v>
      </c>
      <c r="E7063">
        <v>62</v>
      </c>
      <c r="F7063" t="s">
        <v>14</v>
      </c>
      <c r="H7063">
        <v>0</v>
      </c>
    </row>
    <row r="7064" spans="1:8" x14ac:dyDescent="0.2">
      <c r="A7064" t="str">
        <f t="shared" si="357"/>
        <v>42248Tiahura663Autres</v>
      </c>
      <c r="B7064" s="1">
        <v>42248</v>
      </c>
      <c r="C7064" t="s">
        <v>24</v>
      </c>
      <c r="D7064" s="19">
        <v>6</v>
      </c>
      <c r="E7064">
        <v>63</v>
      </c>
      <c r="F7064" t="s">
        <v>14</v>
      </c>
      <c r="H7064">
        <v>0</v>
      </c>
    </row>
    <row r="7065" spans="1:8" x14ac:dyDescent="0.2">
      <c r="A7065" t="str">
        <f t="shared" si="357"/>
        <v>42248Tiahura664Autres</v>
      </c>
      <c r="B7065" s="1">
        <v>42248</v>
      </c>
      <c r="C7065" t="s">
        <v>24</v>
      </c>
      <c r="D7065" s="19">
        <v>6</v>
      </c>
      <c r="E7065">
        <v>64</v>
      </c>
      <c r="F7065" t="s">
        <v>14</v>
      </c>
      <c r="H7065">
        <v>0</v>
      </c>
    </row>
    <row r="7066" spans="1:8" x14ac:dyDescent="0.2">
      <c r="A7066" t="str">
        <f t="shared" si="357"/>
        <v>42248Tiahura665Autres</v>
      </c>
      <c r="B7066" s="1">
        <v>42248</v>
      </c>
      <c r="C7066" t="s">
        <v>24</v>
      </c>
      <c r="D7066" s="19">
        <v>6</v>
      </c>
      <c r="E7066">
        <v>65</v>
      </c>
      <c r="F7066" t="s">
        <v>14</v>
      </c>
      <c r="H7066">
        <v>0</v>
      </c>
    </row>
    <row r="7067" spans="1:8" x14ac:dyDescent="0.2">
      <c r="A7067" t="str">
        <f t="shared" si="357"/>
        <v>42248Tiahura666Autres</v>
      </c>
      <c r="B7067" s="1">
        <v>42248</v>
      </c>
      <c r="C7067" t="s">
        <v>24</v>
      </c>
      <c r="D7067" s="19">
        <v>6</v>
      </c>
      <c r="E7067">
        <v>66</v>
      </c>
      <c r="F7067" t="s">
        <v>14</v>
      </c>
      <c r="H7067">
        <v>0</v>
      </c>
    </row>
    <row r="7068" spans="1:8" x14ac:dyDescent="0.2">
      <c r="A7068" t="str">
        <f t="shared" si="357"/>
        <v>42248Tiahura667Autres</v>
      </c>
      <c r="B7068" s="1">
        <v>42248</v>
      </c>
      <c r="C7068" t="s">
        <v>24</v>
      </c>
      <c r="D7068" s="19">
        <v>6</v>
      </c>
      <c r="E7068">
        <v>67</v>
      </c>
      <c r="F7068" t="s">
        <v>14</v>
      </c>
      <c r="H7068">
        <v>0</v>
      </c>
    </row>
    <row r="7069" spans="1:8" x14ac:dyDescent="0.2">
      <c r="A7069" t="str">
        <f t="shared" si="357"/>
        <v>42248Tiahura668Autres</v>
      </c>
      <c r="B7069" s="1">
        <v>42248</v>
      </c>
      <c r="C7069" t="s">
        <v>24</v>
      </c>
      <c r="D7069" s="19">
        <v>6</v>
      </c>
      <c r="E7069">
        <v>68</v>
      </c>
      <c r="F7069" t="s">
        <v>14</v>
      </c>
      <c r="H7069">
        <v>0</v>
      </c>
    </row>
    <row r="7070" spans="1:8" x14ac:dyDescent="0.2">
      <c r="A7070" t="str">
        <f t="shared" si="357"/>
        <v>42248Tiahura669Autres</v>
      </c>
      <c r="B7070" s="1">
        <v>42248</v>
      </c>
      <c r="C7070" t="s">
        <v>24</v>
      </c>
      <c r="D7070" s="19">
        <v>6</v>
      </c>
      <c r="E7070">
        <v>69</v>
      </c>
      <c r="F7070" t="s">
        <v>14</v>
      </c>
      <c r="H7070">
        <v>0</v>
      </c>
    </row>
    <row r="7071" spans="1:8" x14ac:dyDescent="0.2">
      <c r="A7071" t="str">
        <f t="shared" si="357"/>
        <v>42248Tiahura670Autres</v>
      </c>
      <c r="B7071" s="1">
        <v>42248</v>
      </c>
      <c r="C7071" t="s">
        <v>24</v>
      </c>
      <c r="D7071" s="19">
        <v>6</v>
      </c>
      <c r="E7071">
        <v>70</v>
      </c>
      <c r="F7071" t="s">
        <v>14</v>
      </c>
      <c r="H7071">
        <v>0</v>
      </c>
    </row>
    <row r="7072" spans="1:8" x14ac:dyDescent="0.2">
      <c r="A7072" t="str">
        <f t="shared" si="357"/>
        <v>42248Tiahura671Autres</v>
      </c>
      <c r="B7072" s="1">
        <v>42248</v>
      </c>
      <c r="C7072" t="s">
        <v>24</v>
      </c>
      <c r="D7072" s="19">
        <v>6</v>
      </c>
      <c r="E7072">
        <v>71</v>
      </c>
      <c r="F7072" t="s">
        <v>14</v>
      </c>
      <c r="H7072">
        <v>0</v>
      </c>
    </row>
    <row r="7073" spans="1:9" x14ac:dyDescent="0.2">
      <c r="A7073" t="str">
        <f t="shared" si="357"/>
        <v>42248Tiahura672Autres</v>
      </c>
      <c r="B7073" s="1">
        <v>42248</v>
      </c>
      <c r="C7073" t="s">
        <v>24</v>
      </c>
      <c r="D7073" s="19">
        <v>6</v>
      </c>
      <c r="E7073">
        <v>72</v>
      </c>
      <c r="F7073" t="s">
        <v>14</v>
      </c>
      <c r="H7073">
        <v>0</v>
      </c>
    </row>
    <row r="7074" spans="1:9" x14ac:dyDescent="0.2">
      <c r="A7074" t="str">
        <f t="shared" si="357"/>
        <v>42248Tiahura673Autres</v>
      </c>
      <c r="B7074" s="1">
        <v>42248</v>
      </c>
      <c r="C7074" t="s">
        <v>24</v>
      </c>
      <c r="D7074" s="19">
        <v>6</v>
      </c>
      <c r="E7074">
        <v>73</v>
      </c>
      <c r="F7074" t="s">
        <v>14</v>
      </c>
      <c r="H7074">
        <v>0</v>
      </c>
    </row>
    <row r="7075" spans="1:9" x14ac:dyDescent="0.2">
      <c r="A7075" t="str">
        <f t="shared" si="357"/>
        <v>42248Tiahura674Autres</v>
      </c>
      <c r="B7075" s="1">
        <v>42248</v>
      </c>
      <c r="C7075" t="s">
        <v>24</v>
      </c>
      <c r="D7075" s="19">
        <v>6</v>
      </c>
      <c r="E7075">
        <v>74</v>
      </c>
      <c r="F7075" t="s">
        <v>14</v>
      </c>
      <c r="H7075">
        <v>0</v>
      </c>
    </row>
    <row r="7076" spans="1:9" x14ac:dyDescent="0.2">
      <c r="A7076" t="str">
        <f t="shared" si="357"/>
        <v>42248Tiahura675Autres</v>
      </c>
      <c r="B7076" s="1">
        <v>42248</v>
      </c>
      <c r="C7076" t="s">
        <v>24</v>
      </c>
      <c r="D7076" s="19">
        <v>6</v>
      </c>
      <c r="E7076">
        <v>75</v>
      </c>
      <c r="F7076" t="s">
        <v>14</v>
      </c>
      <c r="H7076">
        <v>0</v>
      </c>
    </row>
    <row r="7077" spans="1:9" x14ac:dyDescent="0.2">
      <c r="A7077" t="str">
        <f t="shared" si="357"/>
        <v>42248Tiahura676Autres</v>
      </c>
      <c r="B7077" s="1">
        <v>42248</v>
      </c>
      <c r="C7077" t="s">
        <v>24</v>
      </c>
      <c r="D7077" s="19">
        <v>6</v>
      </c>
      <c r="E7077">
        <v>76</v>
      </c>
      <c r="F7077" t="s">
        <v>14</v>
      </c>
      <c r="H7077">
        <v>0</v>
      </c>
    </row>
    <row r="7078" spans="1:9" x14ac:dyDescent="0.2">
      <c r="A7078" t="str">
        <f t="shared" si="357"/>
        <v>42248Tiahura677Autres</v>
      </c>
      <c r="B7078" s="1">
        <v>42248</v>
      </c>
      <c r="C7078" t="s">
        <v>24</v>
      </c>
      <c r="D7078" s="19">
        <v>6</v>
      </c>
      <c r="E7078">
        <v>77</v>
      </c>
      <c r="F7078" t="s">
        <v>14</v>
      </c>
      <c r="H7078">
        <v>0</v>
      </c>
    </row>
    <row r="7079" spans="1:9" x14ac:dyDescent="0.2">
      <c r="A7079" t="str">
        <f t="shared" si="357"/>
        <v>42248Tiahura678Autres</v>
      </c>
      <c r="B7079" s="1">
        <v>42248</v>
      </c>
      <c r="C7079" t="s">
        <v>24</v>
      </c>
      <c r="D7079" s="19">
        <v>6</v>
      </c>
      <c r="E7079">
        <v>78</v>
      </c>
      <c r="F7079" t="s">
        <v>14</v>
      </c>
      <c r="H7079">
        <v>0</v>
      </c>
    </row>
    <row r="7080" spans="1:9" x14ac:dyDescent="0.2">
      <c r="A7080" t="str">
        <f t="shared" si="357"/>
        <v>42248Tiahura679Autres</v>
      </c>
      <c r="B7080" s="1">
        <v>42248</v>
      </c>
      <c r="C7080" t="s">
        <v>24</v>
      </c>
      <c r="D7080" s="19">
        <v>6</v>
      </c>
      <c r="E7080">
        <v>79</v>
      </c>
      <c r="F7080" t="s">
        <v>14</v>
      </c>
      <c r="H7080">
        <v>0</v>
      </c>
    </row>
    <row r="7081" spans="1:9" x14ac:dyDescent="0.2">
      <c r="A7081" t="str">
        <f t="shared" si="357"/>
        <v>42248Tiahura680Autres</v>
      </c>
      <c r="B7081" s="1">
        <v>42248</v>
      </c>
      <c r="C7081" t="s">
        <v>24</v>
      </c>
      <c r="D7081" s="19">
        <v>6</v>
      </c>
      <c r="E7081">
        <v>80</v>
      </c>
      <c r="F7081" t="s">
        <v>14</v>
      </c>
      <c r="H7081">
        <v>0</v>
      </c>
    </row>
    <row r="7082" spans="1:9" x14ac:dyDescent="0.2">
      <c r="A7082" t="str">
        <f t="shared" si="357"/>
        <v>42248Tiahura1281Autres</v>
      </c>
      <c r="B7082" s="1">
        <v>42248</v>
      </c>
      <c r="C7082" t="s">
        <v>24</v>
      </c>
      <c r="D7082" s="19">
        <v>12</v>
      </c>
      <c r="E7082">
        <v>81</v>
      </c>
      <c r="F7082" t="s">
        <v>14</v>
      </c>
      <c r="H7082">
        <v>0</v>
      </c>
    </row>
    <row r="7083" spans="1:9" x14ac:dyDescent="0.2">
      <c r="A7083" t="str">
        <f t="shared" si="357"/>
        <v>42248Tiahura1282PoritidaeDessous</v>
      </c>
      <c r="B7083" s="1">
        <v>42248</v>
      </c>
      <c r="C7083" t="s">
        <v>24</v>
      </c>
      <c r="D7083" s="19">
        <v>12</v>
      </c>
      <c r="E7083">
        <v>82</v>
      </c>
      <c r="F7083" t="s">
        <v>7</v>
      </c>
      <c r="G7083" t="s">
        <v>8</v>
      </c>
      <c r="H7083">
        <v>1</v>
      </c>
      <c r="I7083" t="s">
        <v>27</v>
      </c>
    </row>
    <row r="7084" spans="1:9" x14ac:dyDescent="0.2">
      <c r="A7084" t="str">
        <f t="shared" si="357"/>
        <v>42248Tiahura1283Autres</v>
      </c>
      <c r="B7084" s="1">
        <v>42248</v>
      </c>
      <c r="C7084" t="s">
        <v>24</v>
      </c>
      <c r="D7084" s="19">
        <v>12</v>
      </c>
      <c r="E7084">
        <v>83</v>
      </c>
      <c r="F7084" t="s">
        <v>14</v>
      </c>
      <c r="H7084">
        <v>0</v>
      </c>
    </row>
    <row r="7085" spans="1:9" x14ac:dyDescent="0.2">
      <c r="A7085" t="str">
        <f t="shared" si="357"/>
        <v>42248Tiahura1283PoritidaeDessous</v>
      </c>
      <c r="B7085" s="1">
        <v>42248</v>
      </c>
      <c r="C7085" t="s">
        <v>24</v>
      </c>
      <c r="D7085" s="19">
        <v>12</v>
      </c>
      <c r="E7085">
        <v>83</v>
      </c>
      <c r="F7085" t="s">
        <v>7</v>
      </c>
      <c r="G7085" t="s">
        <v>8</v>
      </c>
      <c r="H7085">
        <v>1</v>
      </c>
      <c r="I7085" t="s">
        <v>27</v>
      </c>
    </row>
    <row r="7086" spans="1:9" x14ac:dyDescent="0.2">
      <c r="A7086" t="str">
        <f t="shared" si="357"/>
        <v>42248Tiahura1284Autres</v>
      </c>
      <c r="B7086" s="1">
        <v>42248</v>
      </c>
      <c r="C7086" t="s">
        <v>24</v>
      </c>
      <c r="D7086" s="19">
        <v>12</v>
      </c>
      <c r="E7086">
        <v>84</v>
      </c>
      <c r="F7086" t="s">
        <v>14</v>
      </c>
      <c r="H7086">
        <v>0</v>
      </c>
    </row>
    <row r="7087" spans="1:9" x14ac:dyDescent="0.2">
      <c r="A7087" t="str">
        <f t="shared" si="357"/>
        <v>42248Tiahura1285Autres</v>
      </c>
      <c r="B7087" s="1">
        <v>42248</v>
      </c>
      <c r="C7087" t="s">
        <v>24</v>
      </c>
      <c r="D7087" s="19">
        <v>12</v>
      </c>
      <c r="E7087">
        <v>85</v>
      </c>
      <c r="F7087" t="s">
        <v>14</v>
      </c>
      <c r="H7087">
        <v>0</v>
      </c>
    </row>
    <row r="7088" spans="1:9" x14ac:dyDescent="0.2">
      <c r="A7088" t="str">
        <f t="shared" si="357"/>
        <v>42248Tiahura1286Autres</v>
      </c>
      <c r="B7088" s="1">
        <v>42248</v>
      </c>
      <c r="C7088" t="s">
        <v>24</v>
      </c>
      <c r="D7088" s="19">
        <v>12</v>
      </c>
      <c r="E7088">
        <v>86</v>
      </c>
      <c r="F7088" t="s">
        <v>14</v>
      </c>
      <c r="H7088">
        <v>0</v>
      </c>
    </row>
    <row r="7089" spans="1:9" x14ac:dyDescent="0.2">
      <c r="A7089" t="str">
        <f t="shared" si="357"/>
        <v>42248Tiahura1287Autres</v>
      </c>
      <c r="B7089" s="1">
        <v>42248</v>
      </c>
      <c r="C7089" t="s">
        <v>24</v>
      </c>
      <c r="D7089" s="19">
        <v>12</v>
      </c>
      <c r="E7089">
        <v>87</v>
      </c>
      <c r="F7089" t="s">
        <v>14</v>
      </c>
      <c r="H7089">
        <v>0</v>
      </c>
    </row>
    <row r="7090" spans="1:9" x14ac:dyDescent="0.2">
      <c r="A7090" t="str">
        <f t="shared" si="357"/>
        <v>42248Tiahura1288Autres</v>
      </c>
      <c r="B7090" s="1">
        <v>42248</v>
      </c>
      <c r="C7090" t="s">
        <v>24</v>
      </c>
      <c r="D7090" s="19">
        <v>12</v>
      </c>
      <c r="E7090">
        <v>88</v>
      </c>
      <c r="F7090" t="s">
        <v>14</v>
      </c>
      <c r="H7090">
        <v>0</v>
      </c>
    </row>
    <row r="7091" spans="1:9" x14ac:dyDescent="0.2">
      <c r="A7091" t="str">
        <f t="shared" si="357"/>
        <v>42248Tiahura1289Autres</v>
      </c>
      <c r="B7091" s="1">
        <v>42248</v>
      </c>
      <c r="C7091" t="s">
        <v>24</v>
      </c>
      <c r="D7091" s="19">
        <v>12</v>
      </c>
      <c r="E7091">
        <v>89</v>
      </c>
      <c r="F7091" t="s">
        <v>14</v>
      </c>
      <c r="H7091">
        <v>0</v>
      </c>
    </row>
    <row r="7092" spans="1:9" x14ac:dyDescent="0.2">
      <c r="A7092" t="str">
        <f t="shared" si="357"/>
        <v>42248Tiahura1290Autres</v>
      </c>
      <c r="B7092" s="1">
        <v>42248</v>
      </c>
      <c r="C7092" t="s">
        <v>24</v>
      </c>
      <c r="D7092" s="19">
        <v>12</v>
      </c>
      <c r="E7092">
        <v>90</v>
      </c>
      <c r="F7092" t="s">
        <v>14</v>
      </c>
      <c r="H7092">
        <v>0</v>
      </c>
    </row>
    <row r="7093" spans="1:9" x14ac:dyDescent="0.2">
      <c r="A7093" t="str">
        <f t="shared" si="357"/>
        <v>42248Tiahura1291PoritidaeDessous</v>
      </c>
      <c r="B7093" s="1">
        <v>42248</v>
      </c>
      <c r="C7093" t="s">
        <v>24</v>
      </c>
      <c r="D7093" s="19">
        <v>12</v>
      </c>
      <c r="E7093">
        <v>91</v>
      </c>
      <c r="F7093" t="s">
        <v>7</v>
      </c>
      <c r="G7093" t="s">
        <v>8</v>
      </c>
      <c r="H7093">
        <v>2</v>
      </c>
      <c r="I7093" t="s">
        <v>27</v>
      </c>
    </row>
    <row r="7094" spans="1:9" x14ac:dyDescent="0.2">
      <c r="A7094" t="str">
        <f t="shared" si="357"/>
        <v>42248Tiahura1292PoritidaeDessous</v>
      </c>
      <c r="B7094" s="1">
        <v>42248</v>
      </c>
      <c r="C7094" t="s">
        <v>24</v>
      </c>
      <c r="D7094" s="19">
        <v>12</v>
      </c>
      <c r="E7094">
        <v>92</v>
      </c>
      <c r="F7094" t="s">
        <v>7</v>
      </c>
      <c r="G7094" t="s">
        <v>8</v>
      </c>
      <c r="H7094">
        <v>1</v>
      </c>
      <c r="I7094" t="s">
        <v>27</v>
      </c>
    </row>
    <row r="7095" spans="1:9" x14ac:dyDescent="0.2">
      <c r="A7095" t="str">
        <f t="shared" si="357"/>
        <v>42248Tiahura1293Autres</v>
      </c>
      <c r="B7095" s="1">
        <v>42248</v>
      </c>
      <c r="C7095" t="s">
        <v>24</v>
      </c>
      <c r="D7095" s="19">
        <v>12</v>
      </c>
      <c r="E7095">
        <v>93</v>
      </c>
      <c r="F7095" t="s">
        <v>14</v>
      </c>
      <c r="H7095">
        <v>0</v>
      </c>
    </row>
    <row r="7096" spans="1:9" x14ac:dyDescent="0.2">
      <c r="A7096" t="str">
        <f t="shared" si="357"/>
        <v>42248Tiahura1294Autres</v>
      </c>
      <c r="B7096" s="1">
        <v>42248</v>
      </c>
      <c r="C7096" t="s">
        <v>24</v>
      </c>
      <c r="D7096" s="19">
        <v>12</v>
      </c>
      <c r="E7096">
        <v>94</v>
      </c>
      <c r="F7096" t="s">
        <v>14</v>
      </c>
      <c r="H7096">
        <v>0</v>
      </c>
    </row>
    <row r="7097" spans="1:9" x14ac:dyDescent="0.2">
      <c r="A7097" t="str">
        <f t="shared" si="357"/>
        <v>42248Tiahura1295Autres</v>
      </c>
      <c r="B7097" s="1">
        <v>42248</v>
      </c>
      <c r="C7097" t="s">
        <v>24</v>
      </c>
      <c r="D7097" s="19">
        <v>12</v>
      </c>
      <c r="E7097">
        <v>95</v>
      </c>
      <c r="F7097" t="s">
        <v>14</v>
      </c>
      <c r="H7097">
        <v>0</v>
      </c>
    </row>
    <row r="7098" spans="1:9" x14ac:dyDescent="0.2">
      <c r="A7098" t="str">
        <f t="shared" si="357"/>
        <v>42248Tiahura1296Autres</v>
      </c>
      <c r="B7098" s="1">
        <v>42248</v>
      </c>
      <c r="C7098" t="s">
        <v>24</v>
      </c>
      <c r="D7098" s="19">
        <v>12</v>
      </c>
      <c r="E7098">
        <v>96</v>
      </c>
      <c r="F7098" t="s">
        <v>14</v>
      </c>
      <c r="H7098">
        <v>0</v>
      </c>
    </row>
    <row r="7099" spans="1:9" x14ac:dyDescent="0.2">
      <c r="A7099" t="str">
        <f t="shared" si="357"/>
        <v>42248Tiahura1297Autres</v>
      </c>
      <c r="B7099" s="1">
        <v>42248</v>
      </c>
      <c r="C7099" t="s">
        <v>24</v>
      </c>
      <c r="D7099" s="19">
        <v>12</v>
      </c>
      <c r="E7099">
        <v>97</v>
      </c>
      <c r="F7099" t="s">
        <v>14</v>
      </c>
      <c r="H7099">
        <v>0</v>
      </c>
    </row>
    <row r="7100" spans="1:9" x14ac:dyDescent="0.2">
      <c r="A7100" t="str">
        <f t="shared" si="357"/>
        <v>42248Tiahura1298Autres</v>
      </c>
      <c r="B7100" s="1">
        <v>42248</v>
      </c>
      <c r="C7100" t="s">
        <v>24</v>
      </c>
      <c r="D7100" s="19">
        <v>12</v>
      </c>
      <c r="E7100">
        <v>98</v>
      </c>
      <c r="F7100" t="s">
        <v>14</v>
      </c>
      <c r="H7100">
        <v>0</v>
      </c>
    </row>
    <row r="7101" spans="1:9" x14ac:dyDescent="0.2">
      <c r="A7101" t="str">
        <f t="shared" si="357"/>
        <v>42248Tiahura1299Autres</v>
      </c>
      <c r="B7101" s="1">
        <v>42248</v>
      </c>
      <c r="C7101" t="s">
        <v>24</v>
      </c>
      <c r="D7101" s="19">
        <v>12</v>
      </c>
      <c r="E7101">
        <v>99</v>
      </c>
      <c r="F7101" t="s">
        <v>14</v>
      </c>
      <c r="H7101">
        <v>0</v>
      </c>
    </row>
    <row r="7102" spans="1:9" x14ac:dyDescent="0.2">
      <c r="A7102" t="str">
        <f t="shared" si="357"/>
        <v>42248Tiahura12100Autres</v>
      </c>
      <c r="B7102" s="1">
        <v>42248</v>
      </c>
      <c r="C7102" t="s">
        <v>24</v>
      </c>
      <c r="D7102" s="19">
        <v>12</v>
      </c>
      <c r="E7102">
        <v>100</v>
      </c>
      <c r="F7102" t="s">
        <v>14</v>
      </c>
      <c r="H7102">
        <v>0</v>
      </c>
    </row>
    <row r="7103" spans="1:9" x14ac:dyDescent="0.2">
      <c r="A7103" t="str">
        <f t="shared" ref="A7103:A7166" si="358">B7103 &amp; C7103&amp; D7103&amp; E7103 &amp; F7103 &amp;G7103</f>
        <v>42248Tiahura18101PoritidaeDessous</v>
      </c>
      <c r="B7103" s="1">
        <v>42248</v>
      </c>
      <c r="C7103" t="s">
        <v>24</v>
      </c>
      <c r="D7103" s="19">
        <v>18</v>
      </c>
      <c r="E7103">
        <v>101</v>
      </c>
      <c r="F7103" t="s">
        <v>7</v>
      </c>
      <c r="G7103" t="s">
        <v>8</v>
      </c>
      <c r="H7103">
        <v>1</v>
      </c>
      <c r="I7103" t="s">
        <v>27</v>
      </c>
    </row>
    <row r="7104" spans="1:9" x14ac:dyDescent="0.2">
      <c r="A7104" t="str">
        <f t="shared" si="358"/>
        <v>42248Tiahura18102Autres</v>
      </c>
      <c r="B7104" s="1">
        <v>42248</v>
      </c>
      <c r="C7104" t="s">
        <v>24</v>
      </c>
      <c r="D7104" s="19">
        <v>18</v>
      </c>
      <c r="E7104">
        <v>102</v>
      </c>
      <c r="F7104" t="s">
        <v>14</v>
      </c>
      <c r="H7104">
        <v>0</v>
      </c>
    </row>
    <row r="7105" spans="1:9" x14ac:dyDescent="0.2">
      <c r="A7105" t="str">
        <f t="shared" si="358"/>
        <v>42248Tiahura18103PoritidaeDessous</v>
      </c>
      <c r="B7105" s="1">
        <v>42248</v>
      </c>
      <c r="C7105" t="s">
        <v>24</v>
      </c>
      <c r="D7105" s="19">
        <v>18</v>
      </c>
      <c r="E7105">
        <v>103</v>
      </c>
      <c r="F7105" t="s">
        <v>7</v>
      </c>
      <c r="G7105" t="s">
        <v>8</v>
      </c>
      <c r="H7105">
        <v>1</v>
      </c>
      <c r="I7105" t="s">
        <v>27</v>
      </c>
    </row>
    <row r="7106" spans="1:9" x14ac:dyDescent="0.2">
      <c r="A7106" t="str">
        <f t="shared" si="358"/>
        <v>42248Tiahura18104Autres</v>
      </c>
      <c r="B7106" s="1">
        <v>42248</v>
      </c>
      <c r="C7106" t="s">
        <v>24</v>
      </c>
      <c r="D7106" s="19">
        <v>18</v>
      </c>
      <c r="E7106">
        <v>104</v>
      </c>
      <c r="F7106" t="s">
        <v>14</v>
      </c>
      <c r="H7106">
        <v>0</v>
      </c>
    </row>
    <row r="7107" spans="1:9" x14ac:dyDescent="0.2">
      <c r="A7107" t="str">
        <f t="shared" si="358"/>
        <v>42248Tiahura18105AutresBords</v>
      </c>
      <c r="B7107" s="1">
        <v>42248</v>
      </c>
      <c r="C7107" t="s">
        <v>24</v>
      </c>
      <c r="D7107" s="19">
        <v>18</v>
      </c>
      <c r="E7107">
        <v>105</v>
      </c>
      <c r="F7107" t="s">
        <v>14</v>
      </c>
      <c r="G7107" t="s">
        <v>13</v>
      </c>
      <c r="H7107">
        <v>1</v>
      </c>
      <c r="I7107" t="s">
        <v>27</v>
      </c>
    </row>
    <row r="7108" spans="1:9" x14ac:dyDescent="0.2">
      <c r="A7108" t="str">
        <f t="shared" si="358"/>
        <v>42248Tiahura18105PoritidaeBords</v>
      </c>
      <c r="B7108" s="1">
        <v>42248</v>
      </c>
      <c r="C7108" t="s">
        <v>24</v>
      </c>
      <c r="D7108" s="19">
        <v>18</v>
      </c>
      <c r="E7108">
        <v>105</v>
      </c>
      <c r="F7108" t="s">
        <v>7</v>
      </c>
      <c r="G7108" t="s">
        <v>13</v>
      </c>
      <c r="H7108">
        <v>2</v>
      </c>
      <c r="I7108" t="s">
        <v>27</v>
      </c>
    </row>
    <row r="7109" spans="1:9" x14ac:dyDescent="0.2">
      <c r="A7109" t="str">
        <f t="shared" si="358"/>
        <v>42248Tiahura18106Autres</v>
      </c>
      <c r="B7109" s="1">
        <v>42248</v>
      </c>
      <c r="C7109" t="s">
        <v>24</v>
      </c>
      <c r="D7109" s="19">
        <v>18</v>
      </c>
      <c r="E7109">
        <v>106</v>
      </c>
      <c r="F7109" t="s">
        <v>14</v>
      </c>
      <c r="H7109">
        <v>0</v>
      </c>
    </row>
    <row r="7110" spans="1:9" x14ac:dyDescent="0.2">
      <c r="A7110" t="str">
        <f t="shared" si="358"/>
        <v>42248Tiahura18107Autres</v>
      </c>
      <c r="B7110" s="1">
        <v>42248</v>
      </c>
      <c r="C7110" t="s">
        <v>24</v>
      </c>
      <c r="D7110" s="19">
        <v>18</v>
      </c>
      <c r="E7110">
        <v>107</v>
      </c>
      <c r="F7110" t="s">
        <v>14</v>
      </c>
      <c r="H7110">
        <v>0</v>
      </c>
    </row>
    <row r="7111" spans="1:9" x14ac:dyDescent="0.2">
      <c r="A7111" t="str">
        <f t="shared" si="358"/>
        <v>42248Tiahura18108Autres</v>
      </c>
      <c r="B7111" s="1">
        <v>42248</v>
      </c>
      <c r="C7111" t="s">
        <v>24</v>
      </c>
      <c r="D7111" s="19">
        <v>18</v>
      </c>
      <c r="E7111">
        <v>108</v>
      </c>
      <c r="F7111" t="s">
        <v>14</v>
      </c>
      <c r="H7111">
        <v>0</v>
      </c>
    </row>
    <row r="7112" spans="1:9" x14ac:dyDescent="0.2">
      <c r="A7112" t="str">
        <f t="shared" si="358"/>
        <v>42248Tiahura18109PoritidaeDessous</v>
      </c>
      <c r="B7112" s="1">
        <v>42248</v>
      </c>
      <c r="C7112" t="s">
        <v>24</v>
      </c>
      <c r="D7112" s="19">
        <v>18</v>
      </c>
      <c r="E7112">
        <v>109</v>
      </c>
      <c r="F7112" t="s">
        <v>7</v>
      </c>
      <c r="G7112" t="s">
        <v>8</v>
      </c>
      <c r="H7112">
        <v>1</v>
      </c>
      <c r="I7112" t="s">
        <v>27</v>
      </c>
    </row>
    <row r="7113" spans="1:9" x14ac:dyDescent="0.2">
      <c r="A7113" t="str">
        <f t="shared" si="358"/>
        <v>42248Tiahura18110Autres</v>
      </c>
      <c r="B7113" s="1">
        <v>42248</v>
      </c>
      <c r="C7113" t="s">
        <v>24</v>
      </c>
      <c r="D7113" s="19">
        <v>18</v>
      </c>
      <c r="E7113">
        <v>110</v>
      </c>
      <c r="F7113" t="s">
        <v>14</v>
      </c>
      <c r="H7113">
        <v>0</v>
      </c>
    </row>
    <row r="7114" spans="1:9" x14ac:dyDescent="0.2">
      <c r="A7114" t="str">
        <f t="shared" si="358"/>
        <v>42248Tiahura18111Autres</v>
      </c>
      <c r="B7114" s="1">
        <v>42248</v>
      </c>
      <c r="C7114" t="s">
        <v>24</v>
      </c>
      <c r="D7114" s="19">
        <v>18</v>
      </c>
      <c r="E7114">
        <v>111</v>
      </c>
      <c r="F7114" t="s">
        <v>14</v>
      </c>
      <c r="H7114">
        <v>0</v>
      </c>
    </row>
    <row r="7115" spans="1:9" x14ac:dyDescent="0.2">
      <c r="A7115" t="str">
        <f t="shared" si="358"/>
        <v>42248Tiahura18112Autres</v>
      </c>
      <c r="B7115" s="1">
        <v>42248</v>
      </c>
      <c r="C7115" t="s">
        <v>24</v>
      </c>
      <c r="D7115" s="19">
        <v>18</v>
      </c>
      <c r="E7115">
        <v>112</v>
      </c>
      <c r="F7115" t="s">
        <v>14</v>
      </c>
      <c r="H7115">
        <v>0</v>
      </c>
    </row>
    <row r="7116" spans="1:9" x14ac:dyDescent="0.2">
      <c r="A7116" t="str">
        <f t="shared" si="358"/>
        <v>42248Tiahura18113PoritidaeBords</v>
      </c>
      <c r="B7116" s="1">
        <v>42248</v>
      </c>
      <c r="C7116" t="s">
        <v>24</v>
      </c>
      <c r="D7116" s="19">
        <v>18</v>
      </c>
      <c r="E7116">
        <v>113</v>
      </c>
      <c r="F7116" t="s">
        <v>7</v>
      </c>
      <c r="G7116" t="s">
        <v>13</v>
      </c>
      <c r="H7116">
        <v>1</v>
      </c>
      <c r="I7116" t="s">
        <v>27</v>
      </c>
    </row>
    <row r="7117" spans="1:9" x14ac:dyDescent="0.2">
      <c r="A7117" t="str">
        <f t="shared" si="358"/>
        <v>42248Tiahura18114Autres</v>
      </c>
      <c r="B7117" s="1">
        <v>42248</v>
      </c>
      <c r="C7117" t="s">
        <v>24</v>
      </c>
      <c r="D7117" s="19">
        <v>18</v>
      </c>
      <c r="E7117">
        <v>114</v>
      </c>
      <c r="F7117" t="s">
        <v>14</v>
      </c>
      <c r="H7117">
        <v>0</v>
      </c>
    </row>
    <row r="7118" spans="1:9" x14ac:dyDescent="0.2">
      <c r="A7118" t="str">
        <f t="shared" si="358"/>
        <v>42248Tiahura18115Autres</v>
      </c>
      <c r="B7118" s="1">
        <v>42248</v>
      </c>
      <c r="C7118" t="s">
        <v>24</v>
      </c>
      <c r="D7118" s="19">
        <v>18</v>
      </c>
      <c r="E7118">
        <v>115</v>
      </c>
      <c r="F7118" t="s">
        <v>14</v>
      </c>
      <c r="H7118">
        <v>0</v>
      </c>
    </row>
    <row r="7119" spans="1:9" x14ac:dyDescent="0.2">
      <c r="A7119" t="str">
        <f t="shared" si="358"/>
        <v>42248Tiahura18116Autres</v>
      </c>
      <c r="B7119" s="1">
        <v>42248</v>
      </c>
      <c r="C7119" t="s">
        <v>24</v>
      </c>
      <c r="D7119" s="19">
        <v>18</v>
      </c>
      <c r="E7119">
        <v>116</v>
      </c>
      <c r="F7119" t="s">
        <v>14</v>
      </c>
      <c r="H7119">
        <v>0</v>
      </c>
    </row>
    <row r="7120" spans="1:9" x14ac:dyDescent="0.2">
      <c r="A7120" t="str">
        <f t="shared" si="358"/>
        <v>42248Tiahura18117PoritidaeBords</v>
      </c>
      <c r="B7120" s="1">
        <v>42248</v>
      </c>
      <c r="C7120" t="s">
        <v>24</v>
      </c>
      <c r="D7120" s="19">
        <v>18</v>
      </c>
      <c r="E7120">
        <v>117</v>
      </c>
      <c r="F7120" t="s">
        <v>7</v>
      </c>
      <c r="G7120" t="s">
        <v>13</v>
      </c>
      <c r="H7120">
        <v>1</v>
      </c>
      <c r="I7120" t="s">
        <v>27</v>
      </c>
    </row>
    <row r="7121" spans="1:9" x14ac:dyDescent="0.2">
      <c r="A7121" t="str">
        <f t="shared" si="358"/>
        <v>42248Tiahura18118PoritidaeDessous</v>
      </c>
      <c r="B7121" s="1">
        <v>42248</v>
      </c>
      <c r="C7121" t="s">
        <v>24</v>
      </c>
      <c r="D7121" s="19">
        <v>18</v>
      </c>
      <c r="E7121">
        <v>118</v>
      </c>
      <c r="F7121" t="s">
        <v>7</v>
      </c>
      <c r="G7121" t="s">
        <v>8</v>
      </c>
      <c r="H7121">
        <v>1</v>
      </c>
      <c r="I7121" t="s">
        <v>27</v>
      </c>
    </row>
    <row r="7122" spans="1:9" x14ac:dyDescent="0.2">
      <c r="A7122" t="str">
        <f t="shared" si="358"/>
        <v>42248Tiahura18119Autres</v>
      </c>
      <c r="B7122" s="1">
        <v>42248</v>
      </c>
      <c r="C7122" t="s">
        <v>24</v>
      </c>
      <c r="D7122" s="19">
        <v>18</v>
      </c>
      <c r="E7122">
        <v>119</v>
      </c>
      <c r="F7122" t="s">
        <v>14</v>
      </c>
      <c r="H7122">
        <v>0</v>
      </c>
    </row>
    <row r="7123" spans="1:9" x14ac:dyDescent="0.2">
      <c r="A7123" t="str">
        <f t="shared" si="358"/>
        <v>42248Tiahura18120Autres</v>
      </c>
      <c r="B7123" s="1">
        <v>42248</v>
      </c>
      <c r="C7123" t="s">
        <v>24</v>
      </c>
      <c r="D7123" s="19">
        <v>18</v>
      </c>
      <c r="E7123">
        <v>120</v>
      </c>
      <c r="F7123" t="s">
        <v>14</v>
      </c>
      <c r="H7123">
        <v>0</v>
      </c>
    </row>
    <row r="7124" spans="1:9" x14ac:dyDescent="0.2">
      <c r="A7124" t="str">
        <f t="shared" si="358"/>
        <v>42248Haapiti6121Autres</v>
      </c>
      <c r="B7124" s="1">
        <v>42248</v>
      </c>
      <c r="C7124" t="s">
        <v>25</v>
      </c>
      <c r="D7124" s="19">
        <v>6</v>
      </c>
      <c r="E7124">
        <v>121</v>
      </c>
      <c r="F7124" t="s">
        <v>14</v>
      </c>
      <c r="H7124">
        <v>0</v>
      </c>
    </row>
    <row r="7125" spans="1:9" x14ac:dyDescent="0.2">
      <c r="A7125" t="str">
        <f t="shared" si="358"/>
        <v>42248Haapiti6122Autres</v>
      </c>
      <c r="B7125" s="1">
        <v>42248</v>
      </c>
      <c r="C7125" t="s">
        <v>25</v>
      </c>
      <c r="D7125" s="19">
        <v>6</v>
      </c>
      <c r="E7125">
        <v>122</v>
      </c>
      <c r="F7125" t="s">
        <v>14</v>
      </c>
      <c r="H7125">
        <v>0</v>
      </c>
    </row>
    <row r="7126" spans="1:9" x14ac:dyDescent="0.2">
      <c r="A7126" t="str">
        <f t="shared" si="358"/>
        <v>42248Haapiti6123Autres</v>
      </c>
      <c r="B7126" s="1">
        <v>42248</v>
      </c>
      <c r="C7126" t="s">
        <v>25</v>
      </c>
      <c r="D7126" s="19">
        <v>6</v>
      </c>
      <c r="E7126">
        <v>123</v>
      </c>
      <c r="F7126" t="s">
        <v>14</v>
      </c>
      <c r="H7126">
        <v>0</v>
      </c>
    </row>
    <row r="7127" spans="1:9" x14ac:dyDescent="0.2">
      <c r="A7127" t="str">
        <f t="shared" si="358"/>
        <v>42248Haapiti6124Autres</v>
      </c>
      <c r="B7127" s="1">
        <v>42248</v>
      </c>
      <c r="C7127" t="s">
        <v>25</v>
      </c>
      <c r="D7127" s="19">
        <v>6</v>
      </c>
      <c r="E7127">
        <v>124</v>
      </c>
      <c r="F7127" t="s">
        <v>14</v>
      </c>
      <c r="H7127">
        <v>0</v>
      </c>
    </row>
    <row r="7128" spans="1:9" x14ac:dyDescent="0.2">
      <c r="A7128" t="str">
        <f t="shared" si="358"/>
        <v>42248Haapiti6125AcroporidaeDessous</v>
      </c>
      <c r="B7128" s="1">
        <v>42248</v>
      </c>
      <c r="C7128" t="s">
        <v>25</v>
      </c>
      <c r="D7128" s="19">
        <v>6</v>
      </c>
      <c r="E7128">
        <v>125</v>
      </c>
      <c r="F7128" t="s">
        <v>17</v>
      </c>
      <c r="G7128" t="s">
        <v>8</v>
      </c>
      <c r="H7128">
        <v>1</v>
      </c>
      <c r="I7128" t="s">
        <v>27</v>
      </c>
    </row>
    <row r="7129" spans="1:9" x14ac:dyDescent="0.2">
      <c r="A7129" t="str">
        <f t="shared" si="358"/>
        <v>42248Haapiti6126Autres</v>
      </c>
      <c r="B7129" s="1">
        <v>42248</v>
      </c>
      <c r="C7129" t="s">
        <v>25</v>
      </c>
      <c r="D7129" s="19">
        <v>6</v>
      </c>
      <c r="E7129">
        <v>126</v>
      </c>
      <c r="F7129" t="s">
        <v>14</v>
      </c>
      <c r="H7129">
        <v>0</v>
      </c>
    </row>
    <row r="7130" spans="1:9" x14ac:dyDescent="0.2">
      <c r="A7130" t="str">
        <f t="shared" si="358"/>
        <v>42248Haapiti6127Autres</v>
      </c>
      <c r="B7130" s="1">
        <v>42248</v>
      </c>
      <c r="C7130" t="s">
        <v>25</v>
      </c>
      <c r="D7130" s="19">
        <v>6</v>
      </c>
      <c r="E7130">
        <v>127</v>
      </c>
      <c r="F7130" t="s">
        <v>14</v>
      </c>
      <c r="H7130">
        <v>0</v>
      </c>
    </row>
    <row r="7131" spans="1:9" x14ac:dyDescent="0.2">
      <c r="A7131" t="str">
        <f t="shared" si="358"/>
        <v>42248Haapiti6128Autres</v>
      </c>
      <c r="B7131" s="1">
        <v>42248</v>
      </c>
      <c r="C7131" t="s">
        <v>25</v>
      </c>
      <c r="D7131" s="19">
        <v>6</v>
      </c>
      <c r="E7131">
        <v>128</v>
      </c>
      <c r="F7131" t="s">
        <v>14</v>
      </c>
      <c r="H7131">
        <v>0</v>
      </c>
    </row>
    <row r="7132" spans="1:9" x14ac:dyDescent="0.2">
      <c r="A7132" t="str">
        <f t="shared" si="358"/>
        <v>42248Haapiti6129Autres</v>
      </c>
      <c r="B7132" s="1">
        <v>42248</v>
      </c>
      <c r="C7132" t="s">
        <v>25</v>
      </c>
      <c r="D7132" s="19">
        <v>6</v>
      </c>
      <c r="E7132">
        <v>129</v>
      </c>
      <c r="F7132" t="s">
        <v>14</v>
      </c>
      <c r="H7132">
        <v>0</v>
      </c>
    </row>
    <row r="7133" spans="1:9" x14ac:dyDescent="0.2">
      <c r="A7133" t="str">
        <f t="shared" si="358"/>
        <v>42248Haapiti6130Autres</v>
      </c>
      <c r="B7133" s="1">
        <v>42248</v>
      </c>
      <c r="C7133" t="s">
        <v>25</v>
      </c>
      <c r="D7133" s="19">
        <v>6</v>
      </c>
      <c r="E7133">
        <v>130</v>
      </c>
      <c r="F7133" t="s">
        <v>14</v>
      </c>
      <c r="H7133">
        <v>0</v>
      </c>
    </row>
    <row r="7134" spans="1:9" x14ac:dyDescent="0.2">
      <c r="A7134" t="str">
        <f t="shared" si="358"/>
        <v>42248Haapiti6131Autres</v>
      </c>
      <c r="B7134" s="1">
        <v>42248</v>
      </c>
      <c r="C7134" t="s">
        <v>25</v>
      </c>
      <c r="D7134" s="19">
        <v>6</v>
      </c>
      <c r="E7134">
        <v>131</v>
      </c>
      <c r="F7134" t="s">
        <v>14</v>
      </c>
      <c r="H7134">
        <v>0</v>
      </c>
    </row>
    <row r="7135" spans="1:9" x14ac:dyDescent="0.2">
      <c r="A7135" t="str">
        <f t="shared" si="358"/>
        <v>42248Haapiti6132Autres</v>
      </c>
      <c r="B7135" s="1">
        <v>42248</v>
      </c>
      <c r="C7135" t="s">
        <v>25</v>
      </c>
      <c r="D7135" s="19">
        <v>6</v>
      </c>
      <c r="E7135">
        <v>132</v>
      </c>
      <c r="F7135" t="s">
        <v>14</v>
      </c>
      <c r="H7135">
        <v>0</v>
      </c>
    </row>
    <row r="7136" spans="1:9" x14ac:dyDescent="0.2">
      <c r="A7136" t="str">
        <f t="shared" si="358"/>
        <v>42248Haapiti6133Autres</v>
      </c>
      <c r="B7136" s="1">
        <v>42248</v>
      </c>
      <c r="C7136" t="s">
        <v>25</v>
      </c>
      <c r="D7136" s="19">
        <v>6</v>
      </c>
      <c r="E7136">
        <v>133</v>
      </c>
      <c r="F7136" t="s">
        <v>14</v>
      </c>
      <c r="H7136">
        <v>0</v>
      </c>
    </row>
    <row r="7137" spans="1:9" x14ac:dyDescent="0.2">
      <c r="A7137" t="str">
        <f t="shared" si="358"/>
        <v>42248Haapiti6134Autres</v>
      </c>
      <c r="B7137" s="1">
        <v>42248</v>
      </c>
      <c r="C7137" t="s">
        <v>25</v>
      </c>
      <c r="D7137" s="19">
        <v>6</v>
      </c>
      <c r="E7137">
        <v>134</v>
      </c>
      <c r="F7137" t="s">
        <v>14</v>
      </c>
      <c r="H7137">
        <v>0</v>
      </c>
    </row>
    <row r="7138" spans="1:9" x14ac:dyDescent="0.2">
      <c r="A7138" t="str">
        <f t="shared" si="358"/>
        <v>42248Haapiti6135</v>
      </c>
      <c r="B7138" s="1">
        <v>42248</v>
      </c>
      <c r="C7138" t="s">
        <v>25</v>
      </c>
      <c r="D7138" s="19">
        <v>6</v>
      </c>
      <c r="E7138">
        <v>135</v>
      </c>
      <c r="F7138" t="s">
        <v>27</v>
      </c>
      <c r="G7138" t="s">
        <v>27</v>
      </c>
      <c r="H7138" t="s">
        <v>27</v>
      </c>
      <c r="I7138" t="s">
        <v>31</v>
      </c>
    </row>
    <row r="7139" spans="1:9" x14ac:dyDescent="0.2">
      <c r="A7139" t="str">
        <f t="shared" si="358"/>
        <v>42248Haapiti6136Autres</v>
      </c>
      <c r="B7139" s="1">
        <v>42248</v>
      </c>
      <c r="C7139" t="s">
        <v>25</v>
      </c>
      <c r="D7139" s="19">
        <v>6</v>
      </c>
      <c r="E7139">
        <v>136</v>
      </c>
      <c r="F7139" t="s">
        <v>14</v>
      </c>
      <c r="H7139">
        <v>0</v>
      </c>
    </row>
    <row r="7140" spans="1:9" x14ac:dyDescent="0.2">
      <c r="A7140" t="str">
        <f t="shared" si="358"/>
        <v>42248Haapiti6137Autres</v>
      </c>
      <c r="B7140" s="1">
        <v>42248</v>
      </c>
      <c r="C7140" t="s">
        <v>25</v>
      </c>
      <c r="D7140" s="19">
        <v>6</v>
      </c>
      <c r="E7140">
        <v>137</v>
      </c>
      <c r="F7140" t="s">
        <v>14</v>
      </c>
      <c r="H7140">
        <v>0</v>
      </c>
    </row>
    <row r="7141" spans="1:9" x14ac:dyDescent="0.2">
      <c r="A7141" t="str">
        <f t="shared" si="358"/>
        <v>42248Haapiti6138Autres</v>
      </c>
      <c r="B7141" s="1">
        <v>42248</v>
      </c>
      <c r="C7141" t="s">
        <v>25</v>
      </c>
      <c r="D7141" s="19">
        <v>6</v>
      </c>
      <c r="E7141">
        <v>138</v>
      </c>
      <c r="F7141" t="s">
        <v>14</v>
      </c>
      <c r="H7141">
        <v>0</v>
      </c>
    </row>
    <row r="7142" spans="1:9" x14ac:dyDescent="0.2">
      <c r="A7142" t="str">
        <f t="shared" si="358"/>
        <v>42248Haapiti6139Autres</v>
      </c>
      <c r="B7142" s="1">
        <v>42248</v>
      </c>
      <c r="C7142" t="s">
        <v>25</v>
      </c>
      <c r="D7142" s="19">
        <v>6</v>
      </c>
      <c r="E7142">
        <v>139</v>
      </c>
      <c r="F7142" t="s">
        <v>14</v>
      </c>
      <c r="H7142">
        <v>0</v>
      </c>
    </row>
    <row r="7143" spans="1:9" x14ac:dyDescent="0.2">
      <c r="A7143" t="str">
        <f t="shared" si="358"/>
        <v>42248Haapiti6140Autres</v>
      </c>
      <c r="B7143" s="1">
        <v>42248</v>
      </c>
      <c r="C7143" t="s">
        <v>25</v>
      </c>
      <c r="D7143" s="19">
        <v>6</v>
      </c>
      <c r="E7143">
        <v>140</v>
      </c>
      <c r="F7143" t="s">
        <v>14</v>
      </c>
      <c r="H7143">
        <v>0</v>
      </c>
    </row>
    <row r="7144" spans="1:9" x14ac:dyDescent="0.2">
      <c r="A7144" t="str">
        <f t="shared" si="358"/>
        <v>42248Haapiti12141Autres</v>
      </c>
      <c r="B7144" s="1">
        <v>42248</v>
      </c>
      <c r="C7144" t="s">
        <v>25</v>
      </c>
      <c r="D7144" s="19">
        <v>12</v>
      </c>
      <c r="E7144">
        <v>141</v>
      </c>
      <c r="F7144" t="s">
        <v>14</v>
      </c>
      <c r="H7144">
        <v>0</v>
      </c>
    </row>
    <row r="7145" spans="1:9" x14ac:dyDescent="0.2">
      <c r="A7145" t="str">
        <f t="shared" si="358"/>
        <v>42248Haapiti12142Autres</v>
      </c>
      <c r="B7145" s="1">
        <v>42248</v>
      </c>
      <c r="C7145" t="s">
        <v>25</v>
      </c>
      <c r="D7145" s="19">
        <v>12</v>
      </c>
      <c r="E7145">
        <v>142</v>
      </c>
      <c r="F7145" t="s">
        <v>14</v>
      </c>
      <c r="H7145">
        <v>0</v>
      </c>
    </row>
    <row r="7146" spans="1:9" x14ac:dyDescent="0.2">
      <c r="A7146" t="str">
        <f t="shared" si="358"/>
        <v>42248Haapiti12143Autres</v>
      </c>
      <c r="B7146" s="1">
        <v>42248</v>
      </c>
      <c r="C7146" t="s">
        <v>25</v>
      </c>
      <c r="D7146" s="19">
        <v>12</v>
      </c>
      <c r="E7146">
        <v>143</v>
      </c>
      <c r="F7146" t="s">
        <v>14</v>
      </c>
      <c r="H7146">
        <v>0</v>
      </c>
    </row>
    <row r="7147" spans="1:9" x14ac:dyDescent="0.2">
      <c r="A7147" t="str">
        <f t="shared" si="358"/>
        <v>42248Haapiti12144Autres</v>
      </c>
      <c r="B7147" s="1">
        <v>42248</v>
      </c>
      <c r="C7147" t="s">
        <v>25</v>
      </c>
      <c r="D7147" s="19">
        <v>12</v>
      </c>
      <c r="E7147">
        <v>144</v>
      </c>
      <c r="F7147" t="s">
        <v>14</v>
      </c>
      <c r="H7147">
        <v>0</v>
      </c>
    </row>
    <row r="7148" spans="1:9" x14ac:dyDescent="0.2">
      <c r="A7148" t="str">
        <f t="shared" si="358"/>
        <v>42248Haapiti12145Autres</v>
      </c>
      <c r="B7148" s="1">
        <v>42248</v>
      </c>
      <c r="C7148" t="s">
        <v>25</v>
      </c>
      <c r="D7148" s="19">
        <v>12</v>
      </c>
      <c r="E7148">
        <v>145</v>
      </c>
      <c r="F7148" t="s">
        <v>14</v>
      </c>
      <c r="H7148">
        <v>0</v>
      </c>
    </row>
    <row r="7149" spans="1:9" x14ac:dyDescent="0.2">
      <c r="A7149" t="str">
        <f t="shared" si="358"/>
        <v>42248Haapiti12146Autres</v>
      </c>
      <c r="B7149" s="1">
        <v>42248</v>
      </c>
      <c r="C7149" t="s">
        <v>25</v>
      </c>
      <c r="D7149" s="19">
        <v>12</v>
      </c>
      <c r="E7149">
        <v>146</v>
      </c>
      <c r="F7149" t="s">
        <v>14</v>
      </c>
      <c r="H7149">
        <v>0</v>
      </c>
    </row>
    <row r="7150" spans="1:9" x14ac:dyDescent="0.2">
      <c r="A7150" t="str">
        <f t="shared" si="358"/>
        <v>42248Haapiti12147Autres</v>
      </c>
      <c r="B7150" s="1">
        <v>42248</v>
      </c>
      <c r="C7150" t="s">
        <v>25</v>
      </c>
      <c r="D7150" s="19">
        <v>12</v>
      </c>
      <c r="E7150">
        <v>147</v>
      </c>
      <c r="F7150" t="s">
        <v>14</v>
      </c>
      <c r="H7150">
        <v>0</v>
      </c>
    </row>
    <row r="7151" spans="1:9" x14ac:dyDescent="0.2">
      <c r="A7151" t="str">
        <f t="shared" si="358"/>
        <v>42248Haapiti12148Autres</v>
      </c>
      <c r="B7151" s="1">
        <v>42248</v>
      </c>
      <c r="C7151" t="s">
        <v>25</v>
      </c>
      <c r="D7151" s="19">
        <v>12</v>
      </c>
      <c r="E7151">
        <v>148</v>
      </c>
      <c r="F7151" t="s">
        <v>14</v>
      </c>
      <c r="H7151">
        <v>0</v>
      </c>
    </row>
    <row r="7152" spans="1:9" x14ac:dyDescent="0.2">
      <c r="A7152" t="str">
        <f t="shared" si="358"/>
        <v>42248Haapiti12149Autres</v>
      </c>
      <c r="B7152" s="1">
        <v>42248</v>
      </c>
      <c r="C7152" t="s">
        <v>25</v>
      </c>
      <c r="D7152" s="19">
        <v>12</v>
      </c>
      <c r="E7152">
        <v>149</v>
      </c>
      <c r="F7152" t="s">
        <v>14</v>
      </c>
      <c r="H7152">
        <v>0</v>
      </c>
    </row>
    <row r="7153" spans="1:8" x14ac:dyDescent="0.2">
      <c r="A7153" t="str">
        <f t="shared" si="358"/>
        <v>42248Haapiti12150Autres</v>
      </c>
      <c r="B7153" s="1">
        <v>42248</v>
      </c>
      <c r="C7153" t="s">
        <v>25</v>
      </c>
      <c r="D7153" s="19">
        <v>12</v>
      </c>
      <c r="E7153">
        <v>150</v>
      </c>
      <c r="F7153" t="s">
        <v>14</v>
      </c>
      <c r="H7153">
        <v>0</v>
      </c>
    </row>
    <row r="7154" spans="1:8" x14ac:dyDescent="0.2">
      <c r="A7154" t="str">
        <f t="shared" si="358"/>
        <v>42248Haapiti12151Autres</v>
      </c>
      <c r="B7154" s="1">
        <v>42248</v>
      </c>
      <c r="C7154" t="s">
        <v>25</v>
      </c>
      <c r="D7154" s="19">
        <v>12</v>
      </c>
      <c r="E7154">
        <v>151</v>
      </c>
      <c r="F7154" t="s">
        <v>14</v>
      </c>
      <c r="H7154">
        <v>0</v>
      </c>
    </row>
    <row r="7155" spans="1:8" x14ac:dyDescent="0.2">
      <c r="A7155" t="str">
        <f t="shared" si="358"/>
        <v>42248Haapiti12152Autres</v>
      </c>
      <c r="B7155" s="1">
        <v>42248</v>
      </c>
      <c r="C7155" t="s">
        <v>25</v>
      </c>
      <c r="D7155" s="19">
        <v>12</v>
      </c>
      <c r="E7155">
        <v>152</v>
      </c>
      <c r="F7155" t="s">
        <v>14</v>
      </c>
      <c r="H7155">
        <v>0</v>
      </c>
    </row>
    <row r="7156" spans="1:8" x14ac:dyDescent="0.2">
      <c r="A7156" t="str">
        <f t="shared" si="358"/>
        <v>42248Haapiti12153Autres</v>
      </c>
      <c r="B7156" s="1">
        <v>42248</v>
      </c>
      <c r="C7156" t="s">
        <v>25</v>
      </c>
      <c r="D7156" s="19">
        <v>12</v>
      </c>
      <c r="E7156">
        <v>153</v>
      </c>
      <c r="F7156" t="s">
        <v>14</v>
      </c>
      <c r="H7156">
        <v>0</v>
      </c>
    </row>
    <row r="7157" spans="1:8" x14ac:dyDescent="0.2">
      <c r="A7157" t="str">
        <f t="shared" si="358"/>
        <v>42248Haapiti12154Autres</v>
      </c>
      <c r="B7157" s="1">
        <v>42248</v>
      </c>
      <c r="C7157" t="s">
        <v>25</v>
      </c>
      <c r="D7157" s="19">
        <v>12</v>
      </c>
      <c r="E7157">
        <v>154</v>
      </c>
      <c r="F7157" t="s">
        <v>14</v>
      </c>
      <c r="H7157">
        <v>0</v>
      </c>
    </row>
    <row r="7158" spans="1:8" x14ac:dyDescent="0.2">
      <c r="A7158" t="str">
        <f t="shared" si="358"/>
        <v>42248Haapiti12155Autres</v>
      </c>
      <c r="B7158" s="1">
        <v>42248</v>
      </c>
      <c r="C7158" t="s">
        <v>25</v>
      </c>
      <c r="D7158" s="19">
        <v>12</v>
      </c>
      <c r="E7158">
        <v>155</v>
      </c>
      <c r="F7158" t="s">
        <v>14</v>
      </c>
      <c r="H7158">
        <v>0</v>
      </c>
    </row>
    <row r="7159" spans="1:8" x14ac:dyDescent="0.2">
      <c r="A7159" t="str">
        <f t="shared" si="358"/>
        <v>42248Haapiti12156Autres</v>
      </c>
      <c r="B7159" s="1">
        <v>42248</v>
      </c>
      <c r="C7159" t="s">
        <v>25</v>
      </c>
      <c r="D7159" s="19">
        <v>12</v>
      </c>
      <c r="E7159">
        <v>156</v>
      </c>
      <c r="F7159" t="s">
        <v>14</v>
      </c>
      <c r="H7159">
        <v>0</v>
      </c>
    </row>
    <row r="7160" spans="1:8" x14ac:dyDescent="0.2">
      <c r="A7160" t="str">
        <f t="shared" si="358"/>
        <v>42248Haapiti12157Autres</v>
      </c>
      <c r="B7160" s="1">
        <v>42248</v>
      </c>
      <c r="C7160" t="s">
        <v>25</v>
      </c>
      <c r="D7160" s="19">
        <v>12</v>
      </c>
      <c r="E7160">
        <v>157</v>
      </c>
      <c r="F7160" t="s">
        <v>14</v>
      </c>
      <c r="H7160">
        <v>0</v>
      </c>
    </row>
    <row r="7161" spans="1:8" x14ac:dyDescent="0.2">
      <c r="A7161" t="str">
        <f t="shared" si="358"/>
        <v>42248Haapiti12158Autres</v>
      </c>
      <c r="B7161" s="1">
        <v>42248</v>
      </c>
      <c r="C7161" t="s">
        <v>25</v>
      </c>
      <c r="D7161" s="19">
        <v>12</v>
      </c>
      <c r="E7161">
        <v>158</v>
      </c>
      <c r="F7161" t="s">
        <v>14</v>
      </c>
      <c r="H7161">
        <v>0</v>
      </c>
    </row>
    <row r="7162" spans="1:8" x14ac:dyDescent="0.2">
      <c r="A7162" t="str">
        <f t="shared" si="358"/>
        <v>42248Haapiti12159Autres</v>
      </c>
      <c r="B7162" s="1">
        <v>42248</v>
      </c>
      <c r="C7162" t="s">
        <v>25</v>
      </c>
      <c r="D7162" s="19">
        <v>12</v>
      </c>
      <c r="E7162">
        <v>159</v>
      </c>
      <c r="F7162" t="s">
        <v>14</v>
      </c>
      <c r="H7162">
        <v>0</v>
      </c>
    </row>
    <row r="7163" spans="1:8" x14ac:dyDescent="0.2">
      <c r="A7163" t="str">
        <f t="shared" si="358"/>
        <v>42248Haapiti12160Autres</v>
      </c>
      <c r="B7163" s="1">
        <v>42248</v>
      </c>
      <c r="C7163" t="s">
        <v>25</v>
      </c>
      <c r="D7163" s="19">
        <v>12</v>
      </c>
      <c r="E7163">
        <v>160</v>
      </c>
      <c r="F7163" t="s">
        <v>14</v>
      </c>
      <c r="H7163">
        <v>0</v>
      </c>
    </row>
    <row r="7164" spans="1:8" x14ac:dyDescent="0.2">
      <c r="A7164" t="str">
        <f t="shared" si="358"/>
        <v>42248Haapiti18161Autres</v>
      </c>
      <c r="B7164" s="1">
        <v>42248</v>
      </c>
      <c r="C7164" t="s">
        <v>25</v>
      </c>
      <c r="D7164" s="19">
        <v>18</v>
      </c>
      <c r="E7164">
        <v>161</v>
      </c>
      <c r="F7164" t="s">
        <v>14</v>
      </c>
      <c r="H7164">
        <v>0</v>
      </c>
    </row>
    <row r="7165" spans="1:8" x14ac:dyDescent="0.2">
      <c r="A7165" t="str">
        <f t="shared" si="358"/>
        <v>42248Haapiti18162Autres</v>
      </c>
      <c r="B7165" s="1">
        <v>42248</v>
      </c>
      <c r="C7165" t="s">
        <v>25</v>
      </c>
      <c r="D7165" s="19">
        <v>18</v>
      </c>
      <c r="E7165">
        <v>162</v>
      </c>
      <c r="F7165" t="s">
        <v>14</v>
      </c>
      <c r="H7165">
        <v>0</v>
      </c>
    </row>
    <row r="7166" spans="1:8" x14ac:dyDescent="0.2">
      <c r="A7166" t="str">
        <f t="shared" si="358"/>
        <v>42248Haapiti18163Autres</v>
      </c>
      <c r="B7166" s="1">
        <v>42248</v>
      </c>
      <c r="C7166" t="s">
        <v>25</v>
      </c>
      <c r="D7166" s="19">
        <v>18</v>
      </c>
      <c r="E7166">
        <v>163</v>
      </c>
      <c r="F7166" t="s">
        <v>14</v>
      </c>
      <c r="H7166">
        <v>0</v>
      </c>
    </row>
    <row r="7167" spans="1:8" x14ac:dyDescent="0.2">
      <c r="A7167" t="str">
        <f t="shared" ref="A7167:A7230" si="359">B7167 &amp; C7167&amp; D7167&amp; E7167 &amp; F7167 &amp;G7167</f>
        <v>42248Haapiti18164Autres</v>
      </c>
      <c r="B7167" s="1">
        <v>42248</v>
      </c>
      <c r="C7167" t="s">
        <v>25</v>
      </c>
      <c r="D7167" s="19">
        <v>18</v>
      </c>
      <c r="E7167">
        <v>164</v>
      </c>
      <c r="F7167" t="s">
        <v>14</v>
      </c>
      <c r="H7167">
        <v>0</v>
      </c>
    </row>
    <row r="7168" spans="1:8" x14ac:dyDescent="0.2">
      <c r="A7168" t="str">
        <f t="shared" si="359"/>
        <v>42248Haapiti18165Autres</v>
      </c>
      <c r="B7168" s="1">
        <v>42248</v>
      </c>
      <c r="C7168" t="s">
        <v>25</v>
      </c>
      <c r="D7168" s="19">
        <v>18</v>
      </c>
      <c r="E7168">
        <v>165</v>
      </c>
      <c r="F7168" t="s">
        <v>14</v>
      </c>
      <c r="H7168">
        <v>0</v>
      </c>
    </row>
    <row r="7169" spans="1:9" x14ac:dyDescent="0.2">
      <c r="A7169" t="str">
        <f t="shared" si="359"/>
        <v>42248Haapiti18166Autres</v>
      </c>
      <c r="B7169" s="1">
        <v>42248</v>
      </c>
      <c r="C7169" t="s">
        <v>25</v>
      </c>
      <c r="D7169" s="19">
        <v>18</v>
      </c>
      <c r="E7169">
        <v>166</v>
      </c>
      <c r="F7169" t="s">
        <v>14</v>
      </c>
      <c r="H7169">
        <v>0</v>
      </c>
    </row>
    <row r="7170" spans="1:9" x14ac:dyDescent="0.2">
      <c r="A7170" t="str">
        <f t="shared" si="359"/>
        <v>42248Haapiti18167Autres</v>
      </c>
      <c r="B7170" s="1">
        <v>42248</v>
      </c>
      <c r="C7170" t="s">
        <v>25</v>
      </c>
      <c r="D7170" s="19">
        <v>18</v>
      </c>
      <c r="E7170">
        <v>167</v>
      </c>
      <c r="F7170" t="s">
        <v>14</v>
      </c>
      <c r="H7170">
        <v>0</v>
      </c>
    </row>
    <row r="7171" spans="1:9" x14ac:dyDescent="0.2">
      <c r="A7171" t="str">
        <f t="shared" si="359"/>
        <v>42248Haapiti18168Autres</v>
      </c>
      <c r="B7171" s="1">
        <v>42248</v>
      </c>
      <c r="C7171" t="s">
        <v>25</v>
      </c>
      <c r="D7171" s="19">
        <v>18</v>
      </c>
      <c r="E7171">
        <v>168</v>
      </c>
      <c r="F7171" t="s">
        <v>14</v>
      </c>
      <c r="H7171">
        <v>0</v>
      </c>
    </row>
    <row r="7172" spans="1:9" x14ac:dyDescent="0.2">
      <c r="A7172" t="str">
        <f t="shared" si="359"/>
        <v>42248Haapiti18169Autres</v>
      </c>
      <c r="B7172" s="1">
        <v>42248</v>
      </c>
      <c r="C7172" t="s">
        <v>25</v>
      </c>
      <c r="D7172" s="19">
        <v>18</v>
      </c>
      <c r="E7172">
        <v>169</v>
      </c>
      <c r="F7172" t="s">
        <v>14</v>
      </c>
      <c r="H7172">
        <v>0</v>
      </c>
    </row>
    <row r="7173" spans="1:9" x14ac:dyDescent="0.2">
      <c r="A7173" t="str">
        <f t="shared" si="359"/>
        <v>42248Haapiti18170Autres</v>
      </c>
      <c r="B7173" s="1">
        <v>42248</v>
      </c>
      <c r="C7173" t="s">
        <v>25</v>
      </c>
      <c r="D7173" s="19">
        <v>18</v>
      </c>
      <c r="E7173">
        <v>170</v>
      </c>
      <c r="F7173" t="s">
        <v>14</v>
      </c>
      <c r="H7173">
        <v>0</v>
      </c>
    </row>
    <row r="7174" spans="1:9" x14ac:dyDescent="0.2">
      <c r="A7174" t="str">
        <f t="shared" si="359"/>
        <v>42248Haapiti18171PocilloporidaeDessous</v>
      </c>
      <c r="B7174" s="1">
        <v>42248</v>
      </c>
      <c r="C7174" t="s">
        <v>25</v>
      </c>
      <c r="D7174" s="19">
        <v>18</v>
      </c>
      <c r="E7174">
        <v>171</v>
      </c>
      <c r="F7174" t="s">
        <v>10</v>
      </c>
      <c r="G7174" t="s">
        <v>8</v>
      </c>
      <c r="H7174">
        <v>1</v>
      </c>
      <c r="I7174" t="s">
        <v>27</v>
      </c>
    </row>
    <row r="7175" spans="1:9" x14ac:dyDescent="0.2">
      <c r="A7175" t="str">
        <f t="shared" si="359"/>
        <v>42248Haapiti18172Autres</v>
      </c>
      <c r="B7175" s="1">
        <v>42248</v>
      </c>
      <c r="C7175" t="s">
        <v>25</v>
      </c>
      <c r="D7175" s="19">
        <v>18</v>
      </c>
      <c r="E7175">
        <v>172</v>
      </c>
      <c r="F7175" t="s">
        <v>14</v>
      </c>
      <c r="H7175">
        <v>0</v>
      </c>
    </row>
    <row r="7176" spans="1:9" x14ac:dyDescent="0.2">
      <c r="A7176" t="str">
        <f t="shared" si="359"/>
        <v>42248Haapiti18173Autres</v>
      </c>
      <c r="B7176" s="1">
        <v>42248</v>
      </c>
      <c r="C7176" t="s">
        <v>25</v>
      </c>
      <c r="D7176" s="19">
        <v>18</v>
      </c>
      <c r="E7176">
        <v>173</v>
      </c>
      <c r="F7176" t="s">
        <v>14</v>
      </c>
      <c r="H7176">
        <v>0</v>
      </c>
    </row>
    <row r="7177" spans="1:9" x14ac:dyDescent="0.2">
      <c r="A7177" t="str">
        <f t="shared" si="359"/>
        <v>42248Haapiti18174Autres</v>
      </c>
      <c r="B7177" s="1">
        <v>42248</v>
      </c>
      <c r="C7177" t="s">
        <v>25</v>
      </c>
      <c r="D7177" s="19">
        <v>18</v>
      </c>
      <c r="E7177">
        <v>174</v>
      </c>
      <c r="F7177" t="s">
        <v>14</v>
      </c>
      <c r="H7177">
        <v>0</v>
      </c>
    </row>
    <row r="7178" spans="1:9" x14ac:dyDescent="0.2">
      <c r="A7178" t="str">
        <f t="shared" si="359"/>
        <v>42248Haapiti18175Autres</v>
      </c>
      <c r="B7178" s="1">
        <v>42248</v>
      </c>
      <c r="C7178" t="s">
        <v>25</v>
      </c>
      <c r="D7178" s="19">
        <v>18</v>
      </c>
      <c r="E7178">
        <v>175</v>
      </c>
      <c r="F7178" t="s">
        <v>14</v>
      </c>
      <c r="H7178">
        <v>0</v>
      </c>
    </row>
    <row r="7179" spans="1:9" x14ac:dyDescent="0.2">
      <c r="A7179" t="str">
        <f t="shared" si="359"/>
        <v>42248Haapiti18176Autres</v>
      </c>
      <c r="B7179" s="1">
        <v>42248</v>
      </c>
      <c r="C7179" t="s">
        <v>25</v>
      </c>
      <c r="D7179" s="19">
        <v>18</v>
      </c>
      <c r="E7179">
        <v>176</v>
      </c>
      <c r="F7179" t="s">
        <v>14</v>
      </c>
      <c r="H7179">
        <v>0</v>
      </c>
    </row>
    <row r="7180" spans="1:9" x14ac:dyDescent="0.2">
      <c r="A7180" t="str">
        <f t="shared" si="359"/>
        <v>42248Haapiti18177Autres</v>
      </c>
      <c r="B7180" s="1">
        <v>42248</v>
      </c>
      <c r="C7180" t="s">
        <v>25</v>
      </c>
      <c r="D7180" s="19">
        <v>18</v>
      </c>
      <c r="E7180">
        <v>177</v>
      </c>
      <c r="F7180" t="s">
        <v>14</v>
      </c>
      <c r="H7180">
        <v>0</v>
      </c>
    </row>
    <row r="7181" spans="1:9" x14ac:dyDescent="0.2">
      <c r="A7181" t="str">
        <f t="shared" si="359"/>
        <v>42248Haapiti18178Autres</v>
      </c>
      <c r="B7181" s="1">
        <v>42248</v>
      </c>
      <c r="C7181" t="s">
        <v>25</v>
      </c>
      <c r="D7181" s="19">
        <v>18</v>
      </c>
      <c r="E7181">
        <v>178</v>
      </c>
      <c r="F7181" t="s">
        <v>14</v>
      </c>
      <c r="H7181">
        <v>0</v>
      </c>
    </row>
    <row r="7182" spans="1:9" x14ac:dyDescent="0.2">
      <c r="A7182" t="str">
        <f t="shared" si="359"/>
        <v>42248Haapiti18179Autres</v>
      </c>
      <c r="B7182" s="1">
        <v>42248</v>
      </c>
      <c r="C7182" t="s">
        <v>25</v>
      </c>
      <c r="D7182" s="19">
        <v>18</v>
      </c>
      <c r="E7182">
        <v>179</v>
      </c>
      <c r="F7182" t="s">
        <v>14</v>
      </c>
      <c r="H7182">
        <v>0</v>
      </c>
    </row>
    <row r="7183" spans="1:9" x14ac:dyDescent="0.2">
      <c r="A7183" t="str">
        <f t="shared" si="359"/>
        <v>42248Haapiti18180Autres</v>
      </c>
      <c r="B7183" s="1">
        <v>42248</v>
      </c>
      <c r="C7183" t="s">
        <v>25</v>
      </c>
      <c r="D7183" s="19">
        <v>18</v>
      </c>
      <c r="E7183">
        <v>180</v>
      </c>
      <c r="F7183" t="s">
        <v>14</v>
      </c>
      <c r="H7183">
        <v>0</v>
      </c>
    </row>
    <row r="7184" spans="1:9" x14ac:dyDescent="0.2">
      <c r="A7184" t="str">
        <f t="shared" si="359"/>
        <v>42339Vaipahu61Autres</v>
      </c>
      <c r="B7184" s="1">
        <v>42339</v>
      </c>
      <c r="C7184" t="s">
        <v>23</v>
      </c>
      <c r="D7184" s="19">
        <v>6</v>
      </c>
      <c r="E7184">
        <v>1</v>
      </c>
      <c r="F7184" t="s">
        <v>14</v>
      </c>
      <c r="G7184" t="s">
        <v>27</v>
      </c>
      <c r="H7184">
        <v>0</v>
      </c>
      <c r="I7184" t="s">
        <v>27</v>
      </c>
    </row>
    <row r="7185" spans="1:9" x14ac:dyDescent="0.2">
      <c r="A7185" t="str">
        <f t="shared" si="359"/>
        <v>42339Vaipahu62PocilloporidaeBords</v>
      </c>
      <c r="B7185" s="1">
        <v>42339</v>
      </c>
      <c r="C7185" t="s">
        <v>23</v>
      </c>
      <c r="D7185" s="19">
        <v>6</v>
      </c>
      <c r="E7185">
        <v>2</v>
      </c>
      <c r="F7185" t="s">
        <v>10</v>
      </c>
      <c r="G7185" t="s">
        <v>13</v>
      </c>
      <c r="H7185">
        <v>1</v>
      </c>
      <c r="I7185" t="s">
        <v>27</v>
      </c>
    </row>
    <row r="7186" spans="1:9" x14ac:dyDescent="0.2">
      <c r="A7186" t="str">
        <f t="shared" si="359"/>
        <v>42339Vaipahu63Autres</v>
      </c>
      <c r="B7186" s="1">
        <v>42339</v>
      </c>
      <c r="C7186" t="s">
        <v>23</v>
      </c>
      <c r="D7186" s="19">
        <v>6</v>
      </c>
      <c r="E7186">
        <v>3</v>
      </c>
      <c r="F7186" t="s">
        <v>14</v>
      </c>
      <c r="G7186" t="s">
        <v>27</v>
      </c>
      <c r="H7186">
        <v>0</v>
      </c>
      <c r="I7186" t="s">
        <v>27</v>
      </c>
    </row>
    <row r="7187" spans="1:9" x14ac:dyDescent="0.2">
      <c r="A7187" t="str">
        <f t="shared" si="359"/>
        <v>42339Vaipahu64PocilloporidaeBords</v>
      </c>
      <c r="B7187" s="1">
        <v>42339</v>
      </c>
      <c r="C7187" t="s">
        <v>23</v>
      </c>
      <c r="D7187" s="19">
        <v>6</v>
      </c>
      <c r="E7187">
        <v>4</v>
      </c>
      <c r="F7187" t="s">
        <v>10</v>
      </c>
      <c r="G7187" t="s">
        <v>13</v>
      </c>
      <c r="H7187">
        <v>1</v>
      </c>
      <c r="I7187" t="s">
        <v>27</v>
      </c>
    </row>
    <row r="7188" spans="1:9" x14ac:dyDescent="0.2">
      <c r="A7188" t="str">
        <f t="shared" si="359"/>
        <v>42339Vaipahu64PocilloporidaeDessous</v>
      </c>
      <c r="B7188" s="1">
        <v>42339</v>
      </c>
      <c r="C7188" t="s">
        <v>23</v>
      </c>
      <c r="D7188" s="19">
        <v>6</v>
      </c>
      <c r="E7188">
        <v>4</v>
      </c>
      <c r="F7188" t="s">
        <v>10</v>
      </c>
      <c r="G7188" t="s">
        <v>8</v>
      </c>
      <c r="H7188">
        <v>3</v>
      </c>
      <c r="I7188" t="s">
        <v>27</v>
      </c>
    </row>
    <row r="7189" spans="1:9" x14ac:dyDescent="0.2">
      <c r="A7189" t="str">
        <f t="shared" si="359"/>
        <v>42339Vaipahu65PocilloporidaeDessous</v>
      </c>
      <c r="B7189" s="1">
        <v>42339</v>
      </c>
      <c r="C7189" t="s">
        <v>23</v>
      </c>
      <c r="D7189" s="19">
        <v>6</v>
      </c>
      <c r="E7189">
        <v>5</v>
      </c>
      <c r="F7189" t="s">
        <v>10</v>
      </c>
      <c r="G7189" t="s">
        <v>8</v>
      </c>
      <c r="H7189">
        <v>1</v>
      </c>
      <c r="I7189" t="s">
        <v>27</v>
      </c>
    </row>
    <row r="7190" spans="1:9" x14ac:dyDescent="0.2">
      <c r="A7190" t="str">
        <f t="shared" si="359"/>
        <v>42339Vaipahu66PocilloporidaeDessous</v>
      </c>
      <c r="B7190" s="1">
        <v>42339</v>
      </c>
      <c r="C7190" t="s">
        <v>23</v>
      </c>
      <c r="D7190" s="19">
        <v>6</v>
      </c>
      <c r="E7190">
        <v>6</v>
      </c>
      <c r="F7190" t="s">
        <v>10</v>
      </c>
      <c r="G7190" t="s">
        <v>8</v>
      </c>
      <c r="H7190">
        <v>1</v>
      </c>
      <c r="I7190" t="s">
        <v>27</v>
      </c>
    </row>
    <row r="7191" spans="1:9" x14ac:dyDescent="0.2">
      <c r="A7191" t="str">
        <f t="shared" si="359"/>
        <v>42339Vaipahu67PocilloporidaeDessous</v>
      </c>
      <c r="B7191" s="1">
        <v>42339</v>
      </c>
      <c r="C7191" t="s">
        <v>23</v>
      </c>
      <c r="D7191" s="19">
        <v>6</v>
      </c>
      <c r="E7191">
        <v>7</v>
      </c>
      <c r="F7191" t="s">
        <v>10</v>
      </c>
      <c r="G7191" t="s">
        <v>8</v>
      </c>
      <c r="H7191">
        <v>1</v>
      </c>
      <c r="I7191" t="s">
        <v>27</v>
      </c>
    </row>
    <row r="7192" spans="1:9" x14ac:dyDescent="0.2">
      <c r="A7192" t="str">
        <f t="shared" si="359"/>
        <v>42339Vaipahu67PocilloporidaeDessus</v>
      </c>
      <c r="B7192" s="1">
        <v>42339</v>
      </c>
      <c r="C7192" t="s">
        <v>23</v>
      </c>
      <c r="D7192" s="19">
        <v>6</v>
      </c>
      <c r="E7192">
        <v>7</v>
      </c>
      <c r="F7192" t="s">
        <v>10</v>
      </c>
      <c r="G7192" t="s">
        <v>11</v>
      </c>
      <c r="H7192">
        <v>1</v>
      </c>
      <c r="I7192" t="s">
        <v>27</v>
      </c>
    </row>
    <row r="7193" spans="1:9" x14ac:dyDescent="0.2">
      <c r="A7193" t="str">
        <f t="shared" si="359"/>
        <v>42339Vaipahu68Autres</v>
      </c>
      <c r="B7193" s="1">
        <v>42339</v>
      </c>
      <c r="C7193" t="s">
        <v>23</v>
      </c>
      <c r="D7193" s="19">
        <v>6</v>
      </c>
      <c r="E7193">
        <v>8</v>
      </c>
      <c r="F7193" t="s">
        <v>14</v>
      </c>
      <c r="G7193" t="s">
        <v>27</v>
      </c>
      <c r="H7193">
        <v>0</v>
      </c>
      <c r="I7193" t="s">
        <v>27</v>
      </c>
    </row>
    <row r="7194" spans="1:9" x14ac:dyDescent="0.2">
      <c r="A7194" t="str">
        <f t="shared" si="359"/>
        <v>42339Vaipahu69PocilloporidaeDessous</v>
      </c>
      <c r="B7194" s="1">
        <v>42339</v>
      </c>
      <c r="C7194" t="s">
        <v>23</v>
      </c>
      <c r="D7194" s="19">
        <v>6</v>
      </c>
      <c r="E7194">
        <v>9</v>
      </c>
      <c r="F7194" t="s">
        <v>10</v>
      </c>
      <c r="G7194" t="s">
        <v>8</v>
      </c>
      <c r="H7194">
        <v>1</v>
      </c>
      <c r="I7194" t="s">
        <v>27</v>
      </c>
    </row>
    <row r="7195" spans="1:9" x14ac:dyDescent="0.2">
      <c r="A7195" t="str">
        <f t="shared" si="359"/>
        <v>42339Vaipahu69PocilloporidaeDessus</v>
      </c>
      <c r="B7195" s="1">
        <v>42339</v>
      </c>
      <c r="C7195" t="s">
        <v>23</v>
      </c>
      <c r="D7195" s="19">
        <v>6</v>
      </c>
      <c r="E7195">
        <v>9</v>
      </c>
      <c r="F7195" t="s">
        <v>10</v>
      </c>
      <c r="G7195" t="s">
        <v>11</v>
      </c>
      <c r="H7195">
        <v>1</v>
      </c>
      <c r="I7195" t="s">
        <v>27</v>
      </c>
    </row>
    <row r="7196" spans="1:9" x14ac:dyDescent="0.2">
      <c r="A7196" t="str">
        <f t="shared" si="359"/>
        <v>42339Vaipahu610Autres</v>
      </c>
      <c r="B7196" s="1">
        <v>42339</v>
      </c>
      <c r="C7196" t="s">
        <v>23</v>
      </c>
      <c r="D7196" s="19">
        <v>6</v>
      </c>
      <c r="E7196">
        <v>10</v>
      </c>
      <c r="F7196" t="s">
        <v>14</v>
      </c>
      <c r="G7196" t="s">
        <v>27</v>
      </c>
      <c r="H7196">
        <v>0</v>
      </c>
      <c r="I7196" t="s">
        <v>27</v>
      </c>
    </row>
    <row r="7197" spans="1:9" x14ac:dyDescent="0.2">
      <c r="A7197" t="str">
        <f t="shared" si="359"/>
        <v>42339Vaipahu611PocilloporidaeDessous</v>
      </c>
      <c r="B7197" s="1">
        <v>42339</v>
      </c>
      <c r="C7197" t="s">
        <v>23</v>
      </c>
      <c r="D7197" s="19">
        <v>6</v>
      </c>
      <c r="E7197">
        <v>11</v>
      </c>
      <c r="F7197" t="s">
        <v>10</v>
      </c>
      <c r="G7197" t="s">
        <v>8</v>
      </c>
      <c r="H7197">
        <v>3</v>
      </c>
      <c r="I7197" t="s">
        <v>27</v>
      </c>
    </row>
    <row r="7198" spans="1:9" x14ac:dyDescent="0.2">
      <c r="A7198" t="str">
        <f t="shared" si="359"/>
        <v>42339Vaipahu612PocilloporidaeDessous</v>
      </c>
      <c r="B7198" s="1">
        <v>42339</v>
      </c>
      <c r="C7198" t="s">
        <v>23</v>
      </c>
      <c r="D7198" s="19">
        <v>6</v>
      </c>
      <c r="E7198">
        <v>12</v>
      </c>
      <c r="F7198" t="s">
        <v>10</v>
      </c>
      <c r="G7198" t="s">
        <v>8</v>
      </c>
      <c r="H7198">
        <v>1</v>
      </c>
      <c r="I7198" t="s">
        <v>27</v>
      </c>
    </row>
    <row r="7199" spans="1:9" x14ac:dyDescent="0.2">
      <c r="A7199" t="str">
        <f t="shared" si="359"/>
        <v>42339Vaipahu613PocilloporidaeBords</v>
      </c>
      <c r="B7199" s="1">
        <v>42339</v>
      </c>
      <c r="C7199" t="s">
        <v>23</v>
      </c>
      <c r="D7199" s="19">
        <v>6</v>
      </c>
      <c r="E7199">
        <v>13</v>
      </c>
      <c r="F7199" t="s">
        <v>10</v>
      </c>
      <c r="G7199" t="s">
        <v>13</v>
      </c>
      <c r="H7199">
        <v>1</v>
      </c>
      <c r="I7199" t="s">
        <v>27</v>
      </c>
    </row>
    <row r="7200" spans="1:9" x14ac:dyDescent="0.2">
      <c r="A7200" t="str">
        <f t="shared" si="359"/>
        <v>42339Vaipahu614AcroporidaeDessous</v>
      </c>
      <c r="B7200" s="1">
        <v>42339</v>
      </c>
      <c r="C7200" t="s">
        <v>23</v>
      </c>
      <c r="D7200" s="19">
        <v>6</v>
      </c>
      <c r="E7200">
        <v>14</v>
      </c>
      <c r="F7200" t="s">
        <v>17</v>
      </c>
      <c r="G7200" t="s">
        <v>8</v>
      </c>
      <c r="H7200">
        <v>1</v>
      </c>
      <c r="I7200" t="s">
        <v>27</v>
      </c>
    </row>
    <row r="7201" spans="1:9" x14ac:dyDescent="0.2">
      <c r="A7201" t="str">
        <f t="shared" si="359"/>
        <v>42339Vaipahu614PocilloporidaeBords</v>
      </c>
      <c r="B7201" s="1">
        <v>42339</v>
      </c>
      <c r="C7201" t="s">
        <v>23</v>
      </c>
      <c r="D7201" s="19">
        <v>6</v>
      </c>
      <c r="E7201">
        <v>14</v>
      </c>
      <c r="F7201" t="s">
        <v>10</v>
      </c>
      <c r="G7201" t="s">
        <v>13</v>
      </c>
      <c r="H7201">
        <v>1</v>
      </c>
      <c r="I7201" t="s">
        <v>27</v>
      </c>
    </row>
    <row r="7202" spans="1:9" x14ac:dyDescent="0.2">
      <c r="A7202" t="str">
        <f t="shared" si="359"/>
        <v>42339Vaipahu614PocilloporidaeDessous</v>
      </c>
      <c r="B7202" s="1">
        <v>42339</v>
      </c>
      <c r="C7202" t="s">
        <v>23</v>
      </c>
      <c r="D7202" s="19">
        <v>6</v>
      </c>
      <c r="E7202">
        <v>14</v>
      </c>
      <c r="F7202" t="s">
        <v>10</v>
      </c>
      <c r="G7202" t="s">
        <v>8</v>
      </c>
      <c r="H7202">
        <v>3</v>
      </c>
      <c r="I7202" t="s">
        <v>27</v>
      </c>
    </row>
    <row r="7203" spans="1:9" x14ac:dyDescent="0.2">
      <c r="A7203" t="str">
        <f t="shared" si="359"/>
        <v>42339Vaipahu614PocilloporidaeDessus</v>
      </c>
      <c r="B7203" s="1">
        <v>42339</v>
      </c>
      <c r="C7203" t="s">
        <v>23</v>
      </c>
      <c r="D7203" s="19">
        <v>6</v>
      </c>
      <c r="E7203">
        <v>14</v>
      </c>
      <c r="F7203" t="s">
        <v>10</v>
      </c>
      <c r="G7203" t="s">
        <v>11</v>
      </c>
      <c r="H7203">
        <v>1</v>
      </c>
      <c r="I7203" t="s">
        <v>27</v>
      </c>
    </row>
    <row r="7204" spans="1:9" x14ac:dyDescent="0.2">
      <c r="A7204" t="str">
        <f t="shared" si="359"/>
        <v>42339Vaipahu615PocilloporidaeBords</v>
      </c>
      <c r="B7204" s="1">
        <v>42339</v>
      </c>
      <c r="C7204" t="s">
        <v>23</v>
      </c>
      <c r="D7204" s="19">
        <v>6</v>
      </c>
      <c r="E7204">
        <v>15</v>
      </c>
      <c r="F7204" t="s">
        <v>10</v>
      </c>
      <c r="G7204" t="s">
        <v>13</v>
      </c>
      <c r="H7204">
        <v>1</v>
      </c>
      <c r="I7204" t="s">
        <v>27</v>
      </c>
    </row>
    <row r="7205" spans="1:9" x14ac:dyDescent="0.2">
      <c r="A7205" t="str">
        <f t="shared" si="359"/>
        <v>42339Vaipahu616Autres</v>
      </c>
      <c r="B7205" s="1">
        <v>42339</v>
      </c>
      <c r="C7205" t="s">
        <v>23</v>
      </c>
      <c r="D7205" s="19">
        <v>6</v>
      </c>
      <c r="E7205">
        <v>16</v>
      </c>
      <c r="F7205" t="s">
        <v>14</v>
      </c>
      <c r="G7205" t="s">
        <v>27</v>
      </c>
      <c r="H7205">
        <v>0</v>
      </c>
      <c r="I7205" t="s">
        <v>27</v>
      </c>
    </row>
    <row r="7206" spans="1:9" x14ac:dyDescent="0.2">
      <c r="A7206" t="str">
        <f t="shared" si="359"/>
        <v>42339Vaipahu617Autres</v>
      </c>
      <c r="B7206" s="1">
        <v>42339</v>
      </c>
      <c r="C7206" t="s">
        <v>23</v>
      </c>
      <c r="D7206" s="19">
        <v>6</v>
      </c>
      <c r="E7206">
        <v>17</v>
      </c>
      <c r="F7206" t="s">
        <v>14</v>
      </c>
      <c r="G7206" t="s">
        <v>27</v>
      </c>
      <c r="H7206">
        <v>0</v>
      </c>
      <c r="I7206" t="s">
        <v>27</v>
      </c>
    </row>
    <row r="7207" spans="1:9" x14ac:dyDescent="0.2">
      <c r="A7207" t="str">
        <f t="shared" si="359"/>
        <v>42339Vaipahu618Autres</v>
      </c>
      <c r="B7207" s="1">
        <v>42339</v>
      </c>
      <c r="C7207" t="s">
        <v>23</v>
      </c>
      <c r="D7207" s="19">
        <v>6</v>
      </c>
      <c r="E7207">
        <v>18</v>
      </c>
      <c r="F7207" t="s">
        <v>14</v>
      </c>
      <c r="G7207" t="s">
        <v>27</v>
      </c>
      <c r="H7207">
        <v>0</v>
      </c>
      <c r="I7207" t="s">
        <v>27</v>
      </c>
    </row>
    <row r="7208" spans="1:9" x14ac:dyDescent="0.2">
      <c r="A7208" t="str">
        <f t="shared" si="359"/>
        <v>42339Vaipahu619Autres</v>
      </c>
      <c r="B7208" s="1">
        <v>42339</v>
      </c>
      <c r="C7208" t="s">
        <v>23</v>
      </c>
      <c r="D7208" s="19">
        <v>6</v>
      </c>
      <c r="E7208">
        <v>19</v>
      </c>
      <c r="F7208" t="s">
        <v>14</v>
      </c>
      <c r="G7208" t="s">
        <v>27</v>
      </c>
      <c r="H7208">
        <v>0</v>
      </c>
      <c r="I7208" t="s">
        <v>27</v>
      </c>
    </row>
    <row r="7209" spans="1:9" x14ac:dyDescent="0.2">
      <c r="A7209" t="str">
        <f t="shared" si="359"/>
        <v>42339Vaipahu620Autres</v>
      </c>
      <c r="B7209" s="1">
        <v>42339</v>
      </c>
      <c r="C7209" t="s">
        <v>23</v>
      </c>
      <c r="D7209" s="19">
        <v>6</v>
      </c>
      <c r="E7209">
        <v>20</v>
      </c>
      <c r="F7209" t="s">
        <v>14</v>
      </c>
      <c r="G7209" t="s">
        <v>27</v>
      </c>
      <c r="H7209">
        <v>0</v>
      </c>
      <c r="I7209" t="s">
        <v>27</v>
      </c>
    </row>
    <row r="7210" spans="1:9" x14ac:dyDescent="0.2">
      <c r="A7210" t="str">
        <f t="shared" si="359"/>
        <v>42339Vaipahu1221CassésDessous</v>
      </c>
      <c r="B7210" s="1">
        <v>42339</v>
      </c>
      <c r="C7210" t="s">
        <v>23</v>
      </c>
      <c r="D7210" s="19">
        <v>12</v>
      </c>
      <c r="E7210">
        <v>21</v>
      </c>
      <c r="F7210" t="s">
        <v>12</v>
      </c>
      <c r="G7210" t="s">
        <v>8</v>
      </c>
      <c r="H7210">
        <v>1</v>
      </c>
      <c r="I7210" t="s">
        <v>27</v>
      </c>
    </row>
    <row r="7211" spans="1:9" x14ac:dyDescent="0.2">
      <c r="A7211" t="str">
        <f t="shared" si="359"/>
        <v>42339Vaipahu1221PoritidaeDessous</v>
      </c>
      <c r="B7211" s="1">
        <v>42339</v>
      </c>
      <c r="C7211" t="s">
        <v>23</v>
      </c>
      <c r="D7211" s="19">
        <v>12</v>
      </c>
      <c r="E7211">
        <v>21</v>
      </c>
      <c r="F7211" t="s">
        <v>7</v>
      </c>
      <c r="G7211" t="s">
        <v>8</v>
      </c>
      <c r="H7211">
        <v>1</v>
      </c>
      <c r="I7211" t="s">
        <v>27</v>
      </c>
    </row>
    <row r="7212" spans="1:9" x14ac:dyDescent="0.2">
      <c r="A7212" t="str">
        <f t="shared" si="359"/>
        <v>42339Vaipahu1222PocilloporidaeDessous</v>
      </c>
      <c r="B7212" s="1">
        <v>42339</v>
      </c>
      <c r="C7212" t="s">
        <v>23</v>
      </c>
      <c r="D7212" s="19">
        <v>12</v>
      </c>
      <c r="E7212">
        <v>22</v>
      </c>
      <c r="F7212" t="s">
        <v>10</v>
      </c>
      <c r="G7212" t="s">
        <v>8</v>
      </c>
      <c r="H7212">
        <v>6</v>
      </c>
      <c r="I7212" t="s">
        <v>27</v>
      </c>
    </row>
    <row r="7213" spans="1:9" x14ac:dyDescent="0.2">
      <c r="A7213" t="str">
        <f t="shared" si="359"/>
        <v>42339Vaipahu1223Autres</v>
      </c>
      <c r="B7213" s="1">
        <v>42339</v>
      </c>
      <c r="C7213" t="s">
        <v>23</v>
      </c>
      <c r="D7213" s="19">
        <v>12</v>
      </c>
      <c r="E7213">
        <v>23</v>
      </c>
      <c r="F7213" t="s">
        <v>14</v>
      </c>
      <c r="G7213" t="s">
        <v>27</v>
      </c>
      <c r="H7213">
        <v>0</v>
      </c>
      <c r="I7213" t="s">
        <v>27</v>
      </c>
    </row>
    <row r="7214" spans="1:9" x14ac:dyDescent="0.2">
      <c r="A7214" t="str">
        <f t="shared" si="359"/>
        <v>42339Vaipahu1224Autres</v>
      </c>
      <c r="B7214" s="1">
        <v>42339</v>
      </c>
      <c r="C7214" t="s">
        <v>23</v>
      </c>
      <c r="D7214" s="19">
        <v>12</v>
      </c>
      <c r="E7214">
        <v>24</v>
      </c>
      <c r="F7214" t="s">
        <v>14</v>
      </c>
      <c r="G7214" t="s">
        <v>27</v>
      </c>
      <c r="H7214">
        <v>0</v>
      </c>
      <c r="I7214" t="s">
        <v>27</v>
      </c>
    </row>
    <row r="7215" spans="1:9" x14ac:dyDescent="0.2">
      <c r="A7215" t="str">
        <f t="shared" si="359"/>
        <v>42339Vaipahu1225Autres</v>
      </c>
      <c r="B7215" s="1">
        <v>42339</v>
      </c>
      <c r="C7215" t="s">
        <v>23</v>
      </c>
      <c r="D7215" s="19">
        <v>12</v>
      </c>
      <c r="E7215">
        <v>25</v>
      </c>
      <c r="F7215" t="s">
        <v>14</v>
      </c>
      <c r="G7215" t="s">
        <v>27</v>
      </c>
      <c r="H7215">
        <v>0</v>
      </c>
      <c r="I7215" t="s">
        <v>27</v>
      </c>
    </row>
    <row r="7216" spans="1:9" x14ac:dyDescent="0.2">
      <c r="A7216" t="str">
        <f t="shared" si="359"/>
        <v>42339Vaipahu1226PocilloporidaeDessous</v>
      </c>
      <c r="B7216" s="1">
        <v>42339</v>
      </c>
      <c r="C7216" t="s">
        <v>23</v>
      </c>
      <c r="D7216" s="19">
        <v>12</v>
      </c>
      <c r="E7216">
        <v>26</v>
      </c>
      <c r="F7216" t="s">
        <v>10</v>
      </c>
      <c r="G7216" t="s">
        <v>8</v>
      </c>
      <c r="H7216">
        <v>2</v>
      </c>
      <c r="I7216" t="s">
        <v>27</v>
      </c>
    </row>
    <row r="7217" spans="1:9" x14ac:dyDescent="0.2">
      <c r="A7217" t="str">
        <f t="shared" si="359"/>
        <v>42339Vaipahu1227Autres</v>
      </c>
      <c r="B7217" s="1">
        <v>42339</v>
      </c>
      <c r="C7217" t="s">
        <v>23</v>
      </c>
      <c r="D7217" s="19">
        <v>12</v>
      </c>
      <c r="E7217">
        <v>27</v>
      </c>
      <c r="F7217" t="s">
        <v>14</v>
      </c>
      <c r="G7217" t="s">
        <v>27</v>
      </c>
      <c r="H7217">
        <v>0</v>
      </c>
      <c r="I7217" t="s">
        <v>27</v>
      </c>
    </row>
    <row r="7218" spans="1:9" x14ac:dyDescent="0.2">
      <c r="A7218" t="str">
        <f t="shared" si="359"/>
        <v>42339Vaipahu1228Autres</v>
      </c>
      <c r="B7218" s="1">
        <v>42339</v>
      </c>
      <c r="C7218" t="s">
        <v>23</v>
      </c>
      <c r="D7218" s="19">
        <v>12</v>
      </c>
      <c r="E7218">
        <v>28</v>
      </c>
      <c r="F7218" t="s">
        <v>14</v>
      </c>
      <c r="G7218" t="s">
        <v>27</v>
      </c>
      <c r="H7218">
        <v>0</v>
      </c>
      <c r="I7218" t="s">
        <v>27</v>
      </c>
    </row>
    <row r="7219" spans="1:9" x14ac:dyDescent="0.2">
      <c r="A7219" t="str">
        <f t="shared" si="359"/>
        <v>42339Vaipahu1229Autres</v>
      </c>
      <c r="B7219" s="1">
        <v>42339</v>
      </c>
      <c r="C7219" t="s">
        <v>23</v>
      </c>
      <c r="D7219" s="19">
        <v>12</v>
      </c>
      <c r="E7219">
        <v>29</v>
      </c>
      <c r="F7219" t="s">
        <v>14</v>
      </c>
      <c r="G7219" t="s">
        <v>27</v>
      </c>
      <c r="H7219">
        <v>0</v>
      </c>
      <c r="I7219" t="s">
        <v>27</v>
      </c>
    </row>
    <row r="7220" spans="1:9" x14ac:dyDescent="0.2">
      <c r="A7220" t="str">
        <f t="shared" si="359"/>
        <v>42339Vaipahu1230PocilloporidaeDessous</v>
      </c>
      <c r="B7220" s="1">
        <v>42339</v>
      </c>
      <c r="C7220" t="s">
        <v>23</v>
      </c>
      <c r="D7220" s="19">
        <v>12</v>
      </c>
      <c r="E7220">
        <v>30</v>
      </c>
      <c r="F7220" t="s">
        <v>10</v>
      </c>
      <c r="G7220" t="s">
        <v>8</v>
      </c>
      <c r="H7220">
        <v>4</v>
      </c>
      <c r="I7220" t="s">
        <v>27</v>
      </c>
    </row>
    <row r="7221" spans="1:9" x14ac:dyDescent="0.2">
      <c r="A7221" t="str">
        <f t="shared" si="359"/>
        <v>42339Vaipahu1231CassésBords</v>
      </c>
      <c r="B7221" s="1">
        <v>42339</v>
      </c>
      <c r="C7221" t="s">
        <v>23</v>
      </c>
      <c r="D7221" s="19">
        <v>12</v>
      </c>
      <c r="E7221">
        <v>31</v>
      </c>
      <c r="F7221" t="s">
        <v>12</v>
      </c>
      <c r="G7221" t="s">
        <v>13</v>
      </c>
      <c r="H7221">
        <v>1</v>
      </c>
      <c r="I7221" t="s">
        <v>27</v>
      </c>
    </row>
    <row r="7222" spans="1:9" x14ac:dyDescent="0.2">
      <c r="A7222" t="str">
        <f t="shared" si="359"/>
        <v>42339Vaipahu1232PocilloporidaeBords</v>
      </c>
      <c r="B7222" s="1">
        <v>42339</v>
      </c>
      <c r="C7222" t="s">
        <v>23</v>
      </c>
      <c r="D7222" s="19">
        <v>12</v>
      </c>
      <c r="E7222">
        <v>32</v>
      </c>
      <c r="F7222" t="s">
        <v>10</v>
      </c>
      <c r="G7222" t="s">
        <v>13</v>
      </c>
      <c r="H7222">
        <v>2</v>
      </c>
      <c r="I7222" t="s">
        <v>27</v>
      </c>
    </row>
    <row r="7223" spans="1:9" x14ac:dyDescent="0.2">
      <c r="A7223" t="str">
        <f t="shared" si="359"/>
        <v>42339Vaipahu1232PocilloporidaeDessous</v>
      </c>
      <c r="B7223" s="1">
        <v>42339</v>
      </c>
      <c r="C7223" t="s">
        <v>23</v>
      </c>
      <c r="D7223" s="19">
        <v>12</v>
      </c>
      <c r="E7223">
        <v>32</v>
      </c>
      <c r="F7223" t="s">
        <v>10</v>
      </c>
      <c r="G7223" t="s">
        <v>8</v>
      </c>
      <c r="H7223">
        <v>1</v>
      </c>
      <c r="I7223" t="s">
        <v>27</v>
      </c>
    </row>
    <row r="7224" spans="1:9" x14ac:dyDescent="0.2">
      <c r="A7224" t="str">
        <f t="shared" si="359"/>
        <v>42339Vaipahu1233Autres</v>
      </c>
      <c r="B7224" s="1">
        <v>42339</v>
      </c>
      <c r="C7224" t="s">
        <v>23</v>
      </c>
      <c r="D7224" s="19">
        <v>12</v>
      </c>
      <c r="E7224">
        <v>33</v>
      </c>
      <c r="F7224" t="s">
        <v>14</v>
      </c>
      <c r="G7224" t="s">
        <v>27</v>
      </c>
      <c r="H7224">
        <v>0</v>
      </c>
      <c r="I7224" t="s">
        <v>27</v>
      </c>
    </row>
    <row r="7225" spans="1:9" x14ac:dyDescent="0.2">
      <c r="A7225" t="str">
        <f t="shared" si="359"/>
        <v>42339Vaipahu1234Autres</v>
      </c>
      <c r="B7225" s="1">
        <v>42339</v>
      </c>
      <c r="C7225" t="s">
        <v>23</v>
      </c>
      <c r="D7225" s="19">
        <v>12</v>
      </c>
      <c r="E7225">
        <v>34</v>
      </c>
      <c r="F7225" t="s">
        <v>14</v>
      </c>
      <c r="G7225" t="s">
        <v>27</v>
      </c>
      <c r="H7225">
        <v>0</v>
      </c>
      <c r="I7225" t="s">
        <v>27</v>
      </c>
    </row>
    <row r="7226" spans="1:9" x14ac:dyDescent="0.2">
      <c r="A7226" t="str">
        <f t="shared" si="359"/>
        <v>42339Vaipahu1235Autres</v>
      </c>
      <c r="B7226" s="1">
        <v>42339</v>
      </c>
      <c r="C7226" t="s">
        <v>23</v>
      </c>
      <c r="D7226" s="19">
        <v>12</v>
      </c>
      <c r="E7226">
        <v>35</v>
      </c>
      <c r="F7226" t="s">
        <v>14</v>
      </c>
      <c r="G7226" t="s">
        <v>27</v>
      </c>
      <c r="H7226">
        <v>0</v>
      </c>
      <c r="I7226" t="s">
        <v>27</v>
      </c>
    </row>
    <row r="7227" spans="1:9" x14ac:dyDescent="0.2">
      <c r="A7227" t="str">
        <f t="shared" si="359"/>
        <v>42339Vaipahu1236PocilloporidaeDessous</v>
      </c>
      <c r="B7227" s="1">
        <v>42339</v>
      </c>
      <c r="C7227" t="s">
        <v>23</v>
      </c>
      <c r="D7227" s="19">
        <v>12</v>
      </c>
      <c r="E7227">
        <v>36</v>
      </c>
      <c r="F7227" t="s">
        <v>10</v>
      </c>
      <c r="G7227" t="s">
        <v>8</v>
      </c>
      <c r="H7227">
        <v>1</v>
      </c>
      <c r="I7227" t="s">
        <v>27</v>
      </c>
    </row>
    <row r="7228" spans="1:9" x14ac:dyDescent="0.2">
      <c r="A7228" t="str">
        <f t="shared" si="359"/>
        <v>42339Vaipahu1237Autres</v>
      </c>
      <c r="B7228" s="1">
        <v>42339</v>
      </c>
      <c r="C7228" t="s">
        <v>23</v>
      </c>
      <c r="D7228" s="19">
        <v>12</v>
      </c>
      <c r="E7228">
        <v>37</v>
      </c>
      <c r="F7228" t="s">
        <v>14</v>
      </c>
      <c r="G7228" t="s">
        <v>27</v>
      </c>
      <c r="H7228">
        <v>0</v>
      </c>
      <c r="I7228" t="s">
        <v>27</v>
      </c>
    </row>
    <row r="7229" spans="1:9" x14ac:dyDescent="0.2">
      <c r="A7229" t="str">
        <f t="shared" si="359"/>
        <v>42339Vaipahu1238Autres</v>
      </c>
      <c r="B7229" s="1">
        <v>42339</v>
      </c>
      <c r="C7229" t="s">
        <v>23</v>
      </c>
      <c r="D7229" s="19">
        <v>12</v>
      </c>
      <c r="E7229">
        <v>38</v>
      </c>
      <c r="F7229" t="s">
        <v>14</v>
      </c>
      <c r="G7229" t="s">
        <v>27</v>
      </c>
      <c r="H7229">
        <v>0</v>
      </c>
      <c r="I7229" t="s">
        <v>27</v>
      </c>
    </row>
    <row r="7230" spans="1:9" x14ac:dyDescent="0.2">
      <c r="A7230" t="str">
        <f t="shared" si="359"/>
        <v>42339Vaipahu1239Autres</v>
      </c>
      <c r="B7230" s="1">
        <v>42339</v>
      </c>
      <c r="C7230" t="s">
        <v>23</v>
      </c>
      <c r="D7230" s="19">
        <v>12</v>
      </c>
      <c r="E7230">
        <v>39</v>
      </c>
      <c r="F7230" t="s">
        <v>14</v>
      </c>
      <c r="G7230" t="s">
        <v>27</v>
      </c>
      <c r="H7230">
        <v>0</v>
      </c>
      <c r="I7230" t="s">
        <v>27</v>
      </c>
    </row>
    <row r="7231" spans="1:9" x14ac:dyDescent="0.2">
      <c r="A7231" t="str">
        <f t="shared" ref="A7231:A7294" si="360">B7231 &amp; C7231&amp; D7231&amp; E7231 &amp; F7231 &amp;G7231</f>
        <v>42339Vaipahu1240Autres</v>
      </c>
      <c r="B7231" s="1">
        <v>42339</v>
      </c>
      <c r="C7231" t="s">
        <v>23</v>
      </c>
      <c r="D7231" s="19">
        <v>12</v>
      </c>
      <c r="E7231">
        <v>40</v>
      </c>
      <c r="F7231" t="s">
        <v>14</v>
      </c>
      <c r="G7231" t="s">
        <v>27</v>
      </c>
      <c r="H7231">
        <v>0</v>
      </c>
      <c r="I7231" t="s">
        <v>27</v>
      </c>
    </row>
    <row r="7232" spans="1:9" x14ac:dyDescent="0.2">
      <c r="A7232" t="str">
        <f t="shared" si="360"/>
        <v>42339Vaipahu1841PocilloporidaeDessous</v>
      </c>
      <c r="B7232" s="1">
        <v>42339</v>
      </c>
      <c r="C7232" t="s">
        <v>23</v>
      </c>
      <c r="D7232" s="19">
        <v>18</v>
      </c>
      <c r="E7232">
        <v>41</v>
      </c>
      <c r="F7232" t="s">
        <v>10</v>
      </c>
      <c r="G7232" t="s">
        <v>8</v>
      </c>
      <c r="H7232">
        <v>1</v>
      </c>
      <c r="I7232" t="s">
        <v>27</v>
      </c>
    </row>
    <row r="7233" spans="1:9" x14ac:dyDescent="0.2">
      <c r="A7233" t="str">
        <f t="shared" si="360"/>
        <v>42339Vaipahu1841PocilloporidaeDessus</v>
      </c>
      <c r="B7233" s="1">
        <v>42339</v>
      </c>
      <c r="C7233" t="s">
        <v>23</v>
      </c>
      <c r="D7233" s="19">
        <v>18</v>
      </c>
      <c r="E7233">
        <v>41</v>
      </c>
      <c r="F7233" t="s">
        <v>10</v>
      </c>
      <c r="G7233" t="s">
        <v>11</v>
      </c>
      <c r="H7233">
        <v>2</v>
      </c>
      <c r="I7233" t="s">
        <v>27</v>
      </c>
    </row>
    <row r="7234" spans="1:9" x14ac:dyDescent="0.2">
      <c r="A7234" t="str">
        <f t="shared" si="360"/>
        <v>42339Vaipahu1842CassésDessous</v>
      </c>
      <c r="B7234" s="1">
        <v>42339</v>
      </c>
      <c r="C7234" t="s">
        <v>23</v>
      </c>
      <c r="D7234" s="19">
        <v>18</v>
      </c>
      <c r="E7234">
        <v>42</v>
      </c>
      <c r="F7234" t="s">
        <v>12</v>
      </c>
      <c r="G7234" t="s">
        <v>8</v>
      </c>
      <c r="H7234">
        <v>2</v>
      </c>
      <c r="I7234" t="s">
        <v>27</v>
      </c>
    </row>
    <row r="7235" spans="1:9" x14ac:dyDescent="0.2">
      <c r="A7235" t="str">
        <f t="shared" si="360"/>
        <v>42339Vaipahu1842PocilloporidaeDessous</v>
      </c>
      <c r="B7235" s="1">
        <v>42339</v>
      </c>
      <c r="C7235" t="s">
        <v>23</v>
      </c>
      <c r="D7235" s="19">
        <v>18</v>
      </c>
      <c r="E7235">
        <v>42</v>
      </c>
      <c r="F7235" t="s">
        <v>10</v>
      </c>
      <c r="G7235" t="s">
        <v>8</v>
      </c>
      <c r="H7235">
        <v>2</v>
      </c>
      <c r="I7235" t="s">
        <v>27</v>
      </c>
    </row>
    <row r="7236" spans="1:9" x14ac:dyDescent="0.2">
      <c r="A7236" t="str">
        <f t="shared" si="360"/>
        <v>42339Vaipahu1843Autres</v>
      </c>
      <c r="B7236" s="1">
        <v>42339</v>
      </c>
      <c r="C7236" t="s">
        <v>23</v>
      </c>
      <c r="D7236" s="19">
        <v>18</v>
      </c>
      <c r="E7236">
        <v>43</v>
      </c>
      <c r="F7236" t="s">
        <v>14</v>
      </c>
      <c r="G7236" t="s">
        <v>27</v>
      </c>
      <c r="H7236">
        <v>0</v>
      </c>
      <c r="I7236" t="s">
        <v>27</v>
      </c>
    </row>
    <row r="7237" spans="1:9" x14ac:dyDescent="0.2">
      <c r="A7237" t="str">
        <f t="shared" si="360"/>
        <v>42339Vaipahu1844Autres</v>
      </c>
      <c r="B7237" s="1">
        <v>42339</v>
      </c>
      <c r="C7237" t="s">
        <v>23</v>
      </c>
      <c r="D7237" s="19">
        <v>18</v>
      </c>
      <c r="E7237">
        <v>44</v>
      </c>
      <c r="F7237" t="s">
        <v>14</v>
      </c>
      <c r="G7237" t="s">
        <v>27</v>
      </c>
      <c r="H7237">
        <v>0</v>
      </c>
      <c r="I7237" t="s">
        <v>27</v>
      </c>
    </row>
    <row r="7238" spans="1:9" x14ac:dyDescent="0.2">
      <c r="A7238" t="str">
        <f t="shared" si="360"/>
        <v>42339Vaipahu1845Autres</v>
      </c>
      <c r="B7238" s="1">
        <v>42339</v>
      </c>
      <c r="C7238" t="s">
        <v>23</v>
      </c>
      <c r="D7238" s="19">
        <v>18</v>
      </c>
      <c r="E7238">
        <v>45</v>
      </c>
      <c r="F7238" t="s">
        <v>14</v>
      </c>
      <c r="G7238" t="s">
        <v>27</v>
      </c>
      <c r="H7238">
        <v>0</v>
      </c>
      <c r="I7238" t="s">
        <v>27</v>
      </c>
    </row>
    <row r="7239" spans="1:9" x14ac:dyDescent="0.2">
      <c r="A7239" t="str">
        <f t="shared" si="360"/>
        <v>42339Vaipahu1846Autres</v>
      </c>
      <c r="B7239" s="1">
        <v>42339</v>
      </c>
      <c r="C7239" t="s">
        <v>23</v>
      </c>
      <c r="D7239" s="19">
        <v>18</v>
      </c>
      <c r="E7239">
        <v>46</v>
      </c>
      <c r="F7239" t="s">
        <v>14</v>
      </c>
      <c r="G7239" t="s">
        <v>27</v>
      </c>
      <c r="H7239">
        <v>0</v>
      </c>
      <c r="I7239" t="s">
        <v>27</v>
      </c>
    </row>
    <row r="7240" spans="1:9" x14ac:dyDescent="0.2">
      <c r="A7240" t="str">
        <f t="shared" si="360"/>
        <v>42339Vaipahu1847Autres</v>
      </c>
      <c r="B7240" s="1">
        <v>42339</v>
      </c>
      <c r="C7240" t="s">
        <v>23</v>
      </c>
      <c r="D7240" s="19">
        <v>18</v>
      </c>
      <c r="E7240">
        <v>47</v>
      </c>
      <c r="F7240" t="s">
        <v>14</v>
      </c>
      <c r="G7240" t="s">
        <v>27</v>
      </c>
      <c r="H7240">
        <v>0</v>
      </c>
      <c r="I7240" t="s">
        <v>27</v>
      </c>
    </row>
    <row r="7241" spans="1:9" x14ac:dyDescent="0.2">
      <c r="A7241" t="str">
        <f t="shared" si="360"/>
        <v>42339Vaipahu1848PocilloporidaeBords</v>
      </c>
      <c r="B7241" s="1">
        <v>42339</v>
      </c>
      <c r="C7241" t="s">
        <v>23</v>
      </c>
      <c r="D7241" s="19">
        <v>18</v>
      </c>
      <c r="E7241">
        <v>48</v>
      </c>
      <c r="F7241" t="s">
        <v>10</v>
      </c>
      <c r="G7241" t="s">
        <v>13</v>
      </c>
      <c r="H7241">
        <v>1</v>
      </c>
      <c r="I7241" t="s">
        <v>27</v>
      </c>
    </row>
    <row r="7242" spans="1:9" x14ac:dyDescent="0.2">
      <c r="A7242" t="str">
        <f t="shared" si="360"/>
        <v>42339Vaipahu1849Autres</v>
      </c>
      <c r="B7242" s="1">
        <v>42339</v>
      </c>
      <c r="C7242" t="s">
        <v>23</v>
      </c>
      <c r="D7242" s="19">
        <v>18</v>
      </c>
      <c r="E7242">
        <v>49</v>
      </c>
      <c r="F7242" t="s">
        <v>14</v>
      </c>
      <c r="G7242" t="s">
        <v>27</v>
      </c>
      <c r="H7242">
        <v>0</v>
      </c>
      <c r="I7242" t="s">
        <v>27</v>
      </c>
    </row>
    <row r="7243" spans="1:9" x14ac:dyDescent="0.2">
      <c r="A7243" t="str">
        <f t="shared" si="360"/>
        <v>42339Vaipahu1850Autres</v>
      </c>
      <c r="B7243" s="1">
        <v>42339</v>
      </c>
      <c r="C7243" t="s">
        <v>23</v>
      </c>
      <c r="D7243" s="19">
        <v>18</v>
      </c>
      <c r="E7243">
        <v>50</v>
      </c>
      <c r="F7243" t="s">
        <v>14</v>
      </c>
      <c r="G7243" t="s">
        <v>27</v>
      </c>
      <c r="H7243">
        <v>0</v>
      </c>
      <c r="I7243" t="s">
        <v>27</v>
      </c>
    </row>
    <row r="7244" spans="1:9" x14ac:dyDescent="0.2">
      <c r="A7244" t="str">
        <f t="shared" si="360"/>
        <v>42339Vaipahu1851CassésDessous</v>
      </c>
      <c r="B7244" s="1">
        <v>42339</v>
      </c>
      <c r="C7244" t="s">
        <v>23</v>
      </c>
      <c r="D7244" s="19">
        <v>18</v>
      </c>
      <c r="E7244">
        <v>51</v>
      </c>
      <c r="F7244" t="s">
        <v>12</v>
      </c>
      <c r="G7244" t="s">
        <v>8</v>
      </c>
      <c r="H7244">
        <v>1</v>
      </c>
      <c r="I7244" t="s">
        <v>27</v>
      </c>
    </row>
    <row r="7245" spans="1:9" x14ac:dyDescent="0.2">
      <c r="A7245" t="str">
        <f t="shared" si="360"/>
        <v>42339Vaipahu1852PocilloporidaeDessous</v>
      </c>
      <c r="B7245" s="1">
        <v>42339</v>
      </c>
      <c r="C7245" t="s">
        <v>23</v>
      </c>
      <c r="D7245" s="19">
        <v>18</v>
      </c>
      <c r="E7245">
        <v>52</v>
      </c>
      <c r="F7245" t="s">
        <v>10</v>
      </c>
      <c r="G7245" t="s">
        <v>8</v>
      </c>
      <c r="H7245">
        <v>4</v>
      </c>
      <c r="I7245" t="s">
        <v>27</v>
      </c>
    </row>
    <row r="7246" spans="1:9" x14ac:dyDescent="0.2">
      <c r="A7246" t="str">
        <f t="shared" si="360"/>
        <v>42339Vaipahu1853PocilloporidaeDessous</v>
      </c>
      <c r="B7246" s="1">
        <v>42339</v>
      </c>
      <c r="C7246" t="s">
        <v>23</v>
      </c>
      <c r="D7246" s="19">
        <v>18</v>
      </c>
      <c r="E7246">
        <v>53</v>
      </c>
      <c r="F7246" t="s">
        <v>10</v>
      </c>
      <c r="G7246" t="s">
        <v>8</v>
      </c>
      <c r="H7246">
        <v>1</v>
      </c>
      <c r="I7246" t="s">
        <v>27</v>
      </c>
    </row>
    <row r="7247" spans="1:9" x14ac:dyDescent="0.2">
      <c r="A7247" t="str">
        <f t="shared" si="360"/>
        <v>42339Vaipahu1854Autres</v>
      </c>
      <c r="B7247" s="1">
        <v>42339</v>
      </c>
      <c r="C7247" t="s">
        <v>23</v>
      </c>
      <c r="D7247" s="19">
        <v>18</v>
      </c>
      <c r="E7247">
        <v>54</v>
      </c>
      <c r="F7247" t="s">
        <v>14</v>
      </c>
      <c r="G7247" t="s">
        <v>27</v>
      </c>
      <c r="H7247">
        <v>0</v>
      </c>
      <c r="I7247" t="s">
        <v>27</v>
      </c>
    </row>
    <row r="7248" spans="1:9" x14ac:dyDescent="0.2">
      <c r="A7248" t="str">
        <f t="shared" si="360"/>
        <v>42339Vaipahu1855Autres</v>
      </c>
      <c r="B7248" s="1">
        <v>42339</v>
      </c>
      <c r="C7248" t="s">
        <v>23</v>
      </c>
      <c r="D7248" s="19">
        <v>18</v>
      </c>
      <c r="E7248">
        <v>55</v>
      </c>
      <c r="F7248" t="s">
        <v>14</v>
      </c>
      <c r="G7248" t="s">
        <v>27</v>
      </c>
      <c r="H7248">
        <v>0</v>
      </c>
      <c r="I7248" t="s">
        <v>27</v>
      </c>
    </row>
    <row r="7249" spans="1:9" x14ac:dyDescent="0.2">
      <c r="A7249" t="str">
        <f t="shared" si="360"/>
        <v>42339Vaipahu1856Autres</v>
      </c>
      <c r="B7249" s="1">
        <v>42339</v>
      </c>
      <c r="C7249" t="s">
        <v>23</v>
      </c>
      <c r="D7249" s="19">
        <v>18</v>
      </c>
      <c r="E7249">
        <v>56</v>
      </c>
      <c r="F7249" t="s">
        <v>14</v>
      </c>
      <c r="G7249" t="s">
        <v>27</v>
      </c>
      <c r="H7249">
        <v>0</v>
      </c>
      <c r="I7249" t="s">
        <v>27</v>
      </c>
    </row>
    <row r="7250" spans="1:9" x14ac:dyDescent="0.2">
      <c r="A7250" t="str">
        <f t="shared" si="360"/>
        <v>42339Vaipahu1857PocilloporidaeBords</v>
      </c>
      <c r="B7250" s="1">
        <v>42339</v>
      </c>
      <c r="C7250" t="s">
        <v>23</v>
      </c>
      <c r="D7250" s="19">
        <v>18</v>
      </c>
      <c r="E7250">
        <v>57</v>
      </c>
      <c r="F7250" t="s">
        <v>10</v>
      </c>
      <c r="G7250" t="s">
        <v>13</v>
      </c>
      <c r="H7250">
        <v>1</v>
      </c>
      <c r="I7250" t="s">
        <v>27</v>
      </c>
    </row>
    <row r="7251" spans="1:9" x14ac:dyDescent="0.2">
      <c r="A7251" t="str">
        <f t="shared" si="360"/>
        <v>42339Vaipahu1858PocilloporidaeDessous</v>
      </c>
      <c r="B7251" s="1">
        <v>42339</v>
      </c>
      <c r="C7251" t="s">
        <v>23</v>
      </c>
      <c r="D7251" s="19">
        <v>18</v>
      </c>
      <c r="E7251">
        <v>58</v>
      </c>
      <c r="F7251" t="s">
        <v>10</v>
      </c>
      <c r="G7251" t="s">
        <v>8</v>
      </c>
      <c r="H7251">
        <v>2</v>
      </c>
      <c r="I7251" t="s">
        <v>27</v>
      </c>
    </row>
    <row r="7252" spans="1:9" x14ac:dyDescent="0.2">
      <c r="A7252" t="str">
        <f t="shared" si="360"/>
        <v>42339Vaipahu1859Autres</v>
      </c>
      <c r="B7252" s="1">
        <v>42339</v>
      </c>
      <c r="C7252" t="s">
        <v>23</v>
      </c>
      <c r="D7252" s="19">
        <v>18</v>
      </c>
      <c r="E7252">
        <v>59</v>
      </c>
      <c r="F7252" t="s">
        <v>14</v>
      </c>
      <c r="G7252" t="s">
        <v>27</v>
      </c>
      <c r="H7252">
        <v>0</v>
      </c>
      <c r="I7252" t="s">
        <v>27</v>
      </c>
    </row>
    <row r="7253" spans="1:9" x14ac:dyDescent="0.2">
      <c r="A7253" t="str">
        <f t="shared" si="360"/>
        <v>42339Vaipahu1860Autres</v>
      </c>
      <c r="B7253" s="1">
        <v>42339</v>
      </c>
      <c r="C7253" t="s">
        <v>23</v>
      </c>
      <c r="D7253" s="19">
        <v>18</v>
      </c>
      <c r="E7253">
        <v>60</v>
      </c>
      <c r="F7253" t="s">
        <v>14</v>
      </c>
      <c r="G7253" t="s">
        <v>27</v>
      </c>
      <c r="H7253">
        <v>0</v>
      </c>
      <c r="I7253" t="s">
        <v>27</v>
      </c>
    </row>
    <row r="7254" spans="1:9" x14ac:dyDescent="0.2">
      <c r="A7254" t="str">
        <f t="shared" si="360"/>
        <v>42339Tiahura661PocilloporidaeBords</v>
      </c>
      <c r="B7254" s="1">
        <v>42339</v>
      </c>
      <c r="C7254" t="s">
        <v>24</v>
      </c>
      <c r="D7254" s="19">
        <v>6</v>
      </c>
      <c r="E7254">
        <v>61</v>
      </c>
      <c r="F7254" t="s">
        <v>10</v>
      </c>
      <c r="G7254" t="s">
        <v>13</v>
      </c>
      <c r="H7254">
        <v>1</v>
      </c>
      <c r="I7254" t="s">
        <v>27</v>
      </c>
    </row>
    <row r="7255" spans="1:9" x14ac:dyDescent="0.2">
      <c r="A7255" t="str">
        <f t="shared" si="360"/>
        <v>42339Tiahura662Autres</v>
      </c>
      <c r="B7255" s="1">
        <v>42339</v>
      </c>
      <c r="C7255" t="s">
        <v>24</v>
      </c>
      <c r="D7255" s="19">
        <v>6</v>
      </c>
      <c r="E7255">
        <v>62</v>
      </c>
      <c r="F7255" t="s">
        <v>14</v>
      </c>
      <c r="G7255" t="s">
        <v>27</v>
      </c>
      <c r="H7255">
        <v>0</v>
      </c>
      <c r="I7255" t="s">
        <v>27</v>
      </c>
    </row>
    <row r="7256" spans="1:9" x14ac:dyDescent="0.2">
      <c r="A7256" t="str">
        <f t="shared" si="360"/>
        <v>42339Tiahura663Autres</v>
      </c>
      <c r="B7256" s="1">
        <v>42339</v>
      </c>
      <c r="C7256" t="s">
        <v>24</v>
      </c>
      <c r="D7256" s="19">
        <v>6</v>
      </c>
      <c r="E7256">
        <v>63</v>
      </c>
      <c r="F7256" t="s">
        <v>14</v>
      </c>
      <c r="G7256" t="s">
        <v>27</v>
      </c>
      <c r="H7256">
        <v>0</v>
      </c>
      <c r="I7256" t="s">
        <v>27</v>
      </c>
    </row>
    <row r="7257" spans="1:9" x14ac:dyDescent="0.2">
      <c r="A7257" t="str">
        <f t="shared" si="360"/>
        <v>42339Tiahura664Autres</v>
      </c>
      <c r="B7257" s="1">
        <v>42339</v>
      </c>
      <c r="C7257" t="s">
        <v>24</v>
      </c>
      <c r="D7257" s="19">
        <v>6</v>
      </c>
      <c r="E7257">
        <v>64</v>
      </c>
      <c r="F7257" t="s">
        <v>14</v>
      </c>
      <c r="G7257" t="s">
        <v>27</v>
      </c>
      <c r="H7257">
        <v>0</v>
      </c>
      <c r="I7257" t="s">
        <v>27</v>
      </c>
    </row>
    <row r="7258" spans="1:9" x14ac:dyDescent="0.2">
      <c r="A7258" t="str">
        <f t="shared" si="360"/>
        <v>42339Tiahura665Autres</v>
      </c>
      <c r="B7258" s="1">
        <v>42339</v>
      </c>
      <c r="C7258" t="s">
        <v>24</v>
      </c>
      <c r="D7258" s="19">
        <v>6</v>
      </c>
      <c r="E7258">
        <v>65</v>
      </c>
      <c r="F7258" t="s">
        <v>14</v>
      </c>
      <c r="G7258" t="s">
        <v>27</v>
      </c>
      <c r="H7258">
        <v>0</v>
      </c>
      <c r="I7258" t="s">
        <v>27</v>
      </c>
    </row>
    <row r="7259" spans="1:9" x14ac:dyDescent="0.2">
      <c r="A7259" t="str">
        <f t="shared" si="360"/>
        <v>42339Tiahura666Autres</v>
      </c>
      <c r="B7259" s="1">
        <v>42339</v>
      </c>
      <c r="C7259" t="s">
        <v>24</v>
      </c>
      <c r="D7259" s="19">
        <v>6</v>
      </c>
      <c r="E7259">
        <v>66</v>
      </c>
      <c r="F7259" t="s">
        <v>14</v>
      </c>
      <c r="G7259" t="s">
        <v>27</v>
      </c>
      <c r="H7259">
        <v>0</v>
      </c>
      <c r="I7259" t="s">
        <v>27</v>
      </c>
    </row>
    <row r="7260" spans="1:9" x14ac:dyDescent="0.2">
      <c r="A7260" t="str">
        <f t="shared" si="360"/>
        <v>42339Tiahura667PocilloporidaeDessus</v>
      </c>
      <c r="B7260" s="1">
        <v>42339</v>
      </c>
      <c r="C7260" t="s">
        <v>24</v>
      </c>
      <c r="D7260" s="19">
        <v>6</v>
      </c>
      <c r="E7260">
        <v>67</v>
      </c>
      <c r="F7260" t="s">
        <v>10</v>
      </c>
      <c r="G7260" t="s">
        <v>11</v>
      </c>
      <c r="H7260">
        <v>1</v>
      </c>
      <c r="I7260" t="s">
        <v>27</v>
      </c>
    </row>
    <row r="7261" spans="1:9" x14ac:dyDescent="0.2">
      <c r="A7261" t="str">
        <f t="shared" si="360"/>
        <v>42339Tiahura668Autres</v>
      </c>
      <c r="B7261" s="1">
        <v>42339</v>
      </c>
      <c r="C7261" t="s">
        <v>24</v>
      </c>
      <c r="D7261" s="19">
        <v>6</v>
      </c>
      <c r="E7261">
        <v>68</v>
      </c>
      <c r="F7261" t="s">
        <v>14</v>
      </c>
      <c r="G7261" t="s">
        <v>27</v>
      </c>
      <c r="H7261">
        <v>0</v>
      </c>
      <c r="I7261" t="s">
        <v>27</v>
      </c>
    </row>
    <row r="7262" spans="1:9" x14ac:dyDescent="0.2">
      <c r="A7262" t="str">
        <f t="shared" si="360"/>
        <v>42339Tiahura669Autres</v>
      </c>
      <c r="B7262" s="1">
        <v>42339</v>
      </c>
      <c r="C7262" t="s">
        <v>24</v>
      </c>
      <c r="D7262" s="19">
        <v>6</v>
      </c>
      <c r="E7262">
        <v>69</v>
      </c>
      <c r="F7262" t="s">
        <v>14</v>
      </c>
      <c r="G7262" t="s">
        <v>27</v>
      </c>
      <c r="H7262">
        <v>0</v>
      </c>
      <c r="I7262" t="s">
        <v>27</v>
      </c>
    </row>
    <row r="7263" spans="1:9" x14ac:dyDescent="0.2">
      <c r="A7263" t="str">
        <f t="shared" si="360"/>
        <v>42339Tiahura670Autres</v>
      </c>
      <c r="B7263" s="1">
        <v>42339</v>
      </c>
      <c r="C7263" t="s">
        <v>24</v>
      </c>
      <c r="D7263" s="19">
        <v>6</v>
      </c>
      <c r="E7263">
        <v>70</v>
      </c>
      <c r="F7263" t="s">
        <v>14</v>
      </c>
      <c r="G7263" t="s">
        <v>27</v>
      </c>
      <c r="H7263">
        <v>0</v>
      </c>
      <c r="I7263" t="s">
        <v>27</v>
      </c>
    </row>
    <row r="7264" spans="1:9" x14ac:dyDescent="0.2">
      <c r="A7264" t="str">
        <f t="shared" si="360"/>
        <v>42339Tiahura671Autres</v>
      </c>
      <c r="B7264" s="1">
        <v>42339</v>
      </c>
      <c r="C7264" t="s">
        <v>24</v>
      </c>
      <c r="D7264" s="19">
        <v>6</v>
      </c>
      <c r="E7264">
        <v>71</v>
      </c>
      <c r="F7264" t="s">
        <v>14</v>
      </c>
      <c r="G7264" t="s">
        <v>27</v>
      </c>
      <c r="H7264">
        <v>0</v>
      </c>
      <c r="I7264" t="s">
        <v>27</v>
      </c>
    </row>
    <row r="7265" spans="1:9" x14ac:dyDescent="0.2">
      <c r="A7265" t="str">
        <f t="shared" si="360"/>
        <v>42339Tiahura672Autres</v>
      </c>
      <c r="B7265" s="1">
        <v>42339</v>
      </c>
      <c r="C7265" t="s">
        <v>24</v>
      </c>
      <c r="D7265" s="19">
        <v>6</v>
      </c>
      <c r="E7265">
        <v>72</v>
      </c>
      <c r="F7265" t="s">
        <v>14</v>
      </c>
      <c r="G7265" t="s">
        <v>27</v>
      </c>
      <c r="H7265">
        <v>0</v>
      </c>
      <c r="I7265" t="s">
        <v>27</v>
      </c>
    </row>
    <row r="7266" spans="1:9" x14ac:dyDescent="0.2">
      <c r="A7266" t="str">
        <f t="shared" si="360"/>
        <v>42339Tiahura673PocilloporidaeDessus</v>
      </c>
      <c r="B7266" s="1">
        <v>42339</v>
      </c>
      <c r="C7266" t="s">
        <v>24</v>
      </c>
      <c r="D7266" s="19">
        <v>6</v>
      </c>
      <c r="E7266">
        <v>73</v>
      </c>
      <c r="F7266" t="s">
        <v>10</v>
      </c>
      <c r="G7266" t="s">
        <v>11</v>
      </c>
      <c r="H7266">
        <v>2</v>
      </c>
      <c r="I7266" t="s">
        <v>27</v>
      </c>
    </row>
    <row r="7267" spans="1:9" x14ac:dyDescent="0.2">
      <c r="A7267" t="str">
        <f t="shared" si="360"/>
        <v>42339Tiahura674Autres</v>
      </c>
      <c r="B7267" s="1">
        <v>42339</v>
      </c>
      <c r="C7267" t="s">
        <v>24</v>
      </c>
      <c r="D7267" s="19">
        <v>6</v>
      </c>
      <c r="E7267">
        <v>74</v>
      </c>
      <c r="F7267" t="s">
        <v>14</v>
      </c>
      <c r="G7267" t="s">
        <v>27</v>
      </c>
      <c r="H7267">
        <v>0</v>
      </c>
      <c r="I7267" t="s">
        <v>27</v>
      </c>
    </row>
    <row r="7268" spans="1:9" x14ac:dyDescent="0.2">
      <c r="A7268" t="str">
        <f t="shared" si="360"/>
        <v>42339Tiahura675Autres</v>
      </c>
      <c r="B7268" s="1">
        <v>42339</v>
      </c>
      <c r="C7268" t="s">
        <v>24</v>
      </c>
      <c r="D7268" s="19">
        <v>6</v>
      </c>
      <c r="E7268">
        <v>75</v>
      </c>
      <c r="F7268" t="s">
        <v>14</v>
      </c>
      <c r="G7268" t="s">
        <v>27</v>
      </c>
      <c r="H7268">
        <v>0</v>
      </c>
      <c r="I7268" t="s">
        <v>27</v>
      </c>
    </row>
    <row r="7269" spans="1:9" x14ac:dyDescent="0.2">
      <c r="A7269" t="str">
        <f t="shared" si="360"/>
        <v>42339Tiahura676Autres</v>
      </c>
      <c r="B7269" s="1">
        <v>42339</v>
      </c>
      <c r="C7269" t="s">
        <v>24</v>
      </c>
      <c r="D7269" s="19">
        <v>6</v>
      </c>
      <c r="E7269">
        <v>76</v>
      </c>
      <c r="F7269" t="s">
        <v>14</v>
      </c>
      <c r="G7269" t="s">
        <v>27</v>
      </c>
      <c r="H7269">
        <v>0</v>
      </c>
      <c r="I7269" t="s">
        <v>27</v>
      </c>
    </row>
    <row r="7270" spans="1:9" x14ac:dyDescent="0.2">
      <c r="A7270" t="str">
        <f t="shared" si="360"/>
        <v>42339Tiahura677PocilloporidaeBords</v>
      </c>
      <c r="B7270" s="1">
        <v>42339</v>
      </c>
      <c r="C7270" t="s">
        <v>24</v>
      </c>
      <c r="D7270" s="19">
        <v>6</v>
      </c>
      <c r="E7270">
        <v>77</v>
      </c>
      <c r="F7270" t="s">
        <v>10</v>
      </c>
      <c r="G7270" t="s">
        <v>13</v>
      </c>
      <c r="H7270">
        <v>1</v>
      </c>
      <c r="I7270" t="s">
        <v>27</v>
      </c>
    </row>
    <row r="7271" spans="1:9" x14ac:dyDescent="0.2">
      <c r="A7271" t="str">
        <f t="shared" si="360"/>
        <v>42339Tiahura678Autres</v>
      </c>
      <c r="B7271" s="1">
        <v>42339</v>
      </c>
      <c r="C7271" t="s">
        <v>24</v>
      </c>
      <c r="D7271" s="19">
        <v>6</v>
      </c>
      <c r="E7271">
        <v>78</v>
      </c>
      <c r="F7271" t="s">
        <v>14</v>
      </c>
      <c r="G7271" t="s">
        <v>27</v>
      </c>
      <c r="H7271">
        <v>0</v>
      </c>
      <c r="I7271" t="s">
        <v>27</v>
      </c>
    </row>
    <row r="7272" spans="1:9" x14ac:dyDescent="0.2">
      <c r="A7272" t="str">
        <f t="shared" si="360"/>
        <v>42339Tiahura679PocilloporidaeBords</v>
      </c>
      <c r="B7272" s="1">
        <v>42339</v>
      </c>
      <c r="C7272" t="s">
        <v>24</v>
      </c>
      <c r="D7272" s="19">
        <v>6</v>
      </c>
      <c r="E7272">
        <v>79</v>
      </c>
      <c r="F7272" t="s">
        <v>10</v>
      </c>
      <c r="G7272" t="s">
        <v>13</v>
      </c>
      <c r="H7272">
        <v>1</v>
      </c>
      <c r="I7272" t="s">
        <v>27</v>
      </c>
    </row>
    <row r="7273" spans="1:9" x14ac:dyDescent="0.2">
      <c r="A7273" t="str">
        <f t="shared" si="360"/>
        <v>42339Tiahura680PocilloporidaeDessus</v>
      </c>
      <c r="B7273" s="1">
        <v>42339</v>
      </c>
      <c r="C7273" t="s">
        <v>24</v>
      </c>
      <c r="D7273" s="19">
        <v>6</v>
      </c>
      <c r="E7273">
        <v>80</v>
      </c>
      <c r="F7273" t="s">
        <v>10</v>
      </c>
      <c r="G7273" t="s">
        <v>11</v>
      </c>
      <c r="H7273">
        <v>1</v>
      </c>
      <c r="I7273" t="s">
        <v>27</v>
      </c>
    </row>
    <row r="7274" spans="1:9" x14ac:dyDescent="0.2">
      <c r="A7274" t="str">
        <f t="shared" si="360"/>
        <v>42339Tiahura1281PocilloporidaeDessous</v>
      </c>
      <c r="B7274" s="1">
        <v>42339</v>
      </c>
      <c r="C7274" t="s">
        <v>24</v>
      </c>
      <c r="D7274" s="19">
        <v>12</v>
      </c>
      <c r="E7274">
        <v>81</v>
      </c>
      <c r="F7274" t="s">
        <v>10</v>
      </c>
      <c r="G7274" t="s">
        <v>8</v>
      </c>
      <c r="H7274">
        <v>1</v>
      </c>
      <c r="I7274" t="s">
        <v>27</v>
      </c>
    </row>
    <row r="7275" spans="1:9" x14ac:dyDescent="0.2">
      <c r="A7275" t="str">
        <f t="shared" si="360"/>
        <v>42339Tiahura1282Autres</v>
      </c>
      <c r="B7275" s="1">
        <v>42339</v>
      </c>
      <c r="C7275" t="s">
        <v>24</v>
      </c>
      <c r="D7275" s="19">
        <v>12</v>
      </c>
      <c r="E7275">
        <v>82</v>
      </c>
      <c r="F7275" t="s">
        <v>14</v>
      </c>
      <c r="G7275" t="s">
        <v>27</v>
      </c>
      <c r="H7275">
        <v>0</v>
      </c>
      <c r="I7275" t="s">
        <v>27</v>
      </c>
    </row>
    <row r="7276" spans="1:9" x14ac:dyDescent="0.2">
      <c r="A7276" t="str">
        <f t="shared" si="360"/>
        <v>42339Tiahura1283PocilloporidaeDessous</v>
      </c>
      <c r="B7276" s="1">
        <v>42339</v>
      </c>
      <c r="C7276" t="s">
        <v>24</v>
      </c>
      <c r="D7276" s="19">
        <v>12</v>
      </c>
      <c r="E7276">
        <v>83</v>
      </c>
      <c r="F7276" t="s">
        <v>10</v>
      </c>
      <c r="G7276" t="s">
        <v>8</v>
      </c>
      <c r="H7276">
        <v>3</v>
      </c>
      <c r="I7276" t="s">
        <v>27</v>
      </c>
    </row>
    <row r="7277" spans="1:9" x14ac:dyDescent="0.2">
      <c r="A7277" t="str">
        <f t="shared" si="360"/>
        <v>42339Tiahura1284PocilloporidaeBords</v>
      </c>
      <c r="B7277" s="1">
        <v>42339</v>
      </c>
      <c r="C7277" t="s">
        <v>24</v>
      </c>
      <c r="D7277" s="19">
        <v>12</v>
      </c>
      <c r="E7277">
        <v>84</v>
      </c>
      <c r="F7277" t="s">
        <v>10</v>
      </c>
      <c r="G7277" t="s">
        <v>13</v>
      </c>
      <c r="H7277">
        <v>2</v>
      </c>
      <c r="I7277" t="s">
        <v>27</v>
      </c>
    </row>
    <row r="7278" spans="1:9" x14ac:dyDescent="0.2">
      <c r="A7278" t="str">
        <f t="shared" si="360"/>
        <v>42339Tiahura1285Autres</v>
      </c>
      <c r="B7278" s="1">
        <v>42339</v>
      </c>
      <c r="C7278" t="s">
        <v>24</v>
      </c>
      <c r="D7278" s="19">
        <v>12</v>
      </c>
      <c r="E7278">
        <v>85</v>
      </c>
      <c r="F7278" t="s">
        <v>14</v>
      </c>
      <c r="G7278" t="s">
        <v>27</v>
      </c>
      <c r="H7278">
        <v>0</v>
      </c>
      <c r="I7278" t="s">
        <v>27</v>
      </c>
    </row>
    <row r="7279" spans="1:9" x14ac:dyDescent="0.2">
      <c r="A7279" t="str">
        <f t="shared" si="360"/>
        <v>42339Tiahura1286PocilloporidaeBords</v>
      </c>
      <c r="B7279" s="1">
        <v>42339</v>
      </c>
      <c r="C7279" t="s">
        <v>24</v>
      </c>
      <c r="D7279" s="19">
        <v>12</v>
      </c>
      <c r="E7279">
        <v>86</v>
      </c>
      <c r="F7279" t="s">
        <v>10</v>
      </c>
      <c r="G7279" t="s">
        <v>13</v>
      </c>
      <c r="H7279">
        <v>1</v>
      </c>
      <c r="I7279" t="s">
        <v>27</v>
      </c>
    </row>
    <row r="7280" spans="1:9" x14ac:dyDescent="0.2">
      <c r="A7280" t="str">
        <f t="shared" si="360"/>
        <v>42339Tiahura1287PoritidaeBords</v>
      </c>
      <c r="B7280" s="1">
        <v>42339</v>
      </c>
      <c r="C7280" t="s">
        <v>24</v>
      </c>
      <c r="D7280" s="19">
        <v>12</v>
      </c>
      <c r="E7280">
        <v>87</v>
      </c>
      <c r="F7280" t="s">
        <v>7</v>
      </c>
      <c r="G7280" t="s">
        <v>13</v>
      </c>
      <c r="H7280">
        <v>1</v>
      </c>
      <c r="I7280" t="s">
        <v>27</v>
      </c>
    </row>
    <row r="7281" spans="1:9" x14ac:dyDescent="0.2">
      <c r="A7281" t="str">
        <f t="shared" si="360"/>
        <v>42339Tiahura1288PoritidaeDessous</v>
      </c>
      <c r="B7281" s="1">
        <v>42339</v>
      </c>
      <c r="C7281" t="s">
        <v>24</v>
      </c>
      <c r="D7281" s="19">
        <v>12</v>
      </c>
      <c r="E7281">
        <v>88</v>
      </c>
      <c r="F7281" t="s">
        <v>7</v>
      </c>
      <c r="G7281" t="s">
        <v>8</v>
      </c>
      <c r="H7281">
        <v>2</v>
      </c>
      <c r="I7281" t="s">
        <v>27</v>
      </c>
    </row>
    <row r="7282" spans="1:9" x14ac:dyDescent="0.2">
      <c r="A7282" t="str">
        <f t="shared" si="360"/>
        <v>42339Tiahura1289Autres</v>
      </c>
      <c r="B7282" s="1">
        <v>42339</v>
      </c>
      <c r="C7282" t="s">
        <v>24</v>
      </c>
      <c r="D7282" s="19">
        <v>12</v>
      </c>
      <c r="E7282">
        <v>89</v>
      </c>
      <c r="F7282" t="s">
        <v>14</v>
      </c>
      <c r="G7282" t="s">
        <v>27</v>
      </c>
      <c r="H7282">
        <v>0</v>
      </c>
      <c r="I7282" t="s">
        <v>27</v>
      </c>
    </row>
    <row r="7283" spans="1:9" x14ac:dyDescent="0.2">
      <c r="A7283" t="str">
        <f t="shared" si="360"/>
        <v>42339Tiahura1290CassésDessus</v>
      </c>
      <c r="B7283" s="1">
        <v>42339</v>
      </c>
      <c r="C7283" t="s">
        <v>24</v>
      </c>
      <c r="D7283" s="19">
        <v>12</v>
      </c>
      <c r="E7283">
        <v>90</v>
      </c>
      <c r="F7283" t="s">
        <v>12</v>
      </c>
      <c r="G7283" t="s">
        <v>11</v>
      </c>
      <c r="H7283">
        <v>1</v>
      </c>
      <c r="I7283" t="s">
        <v>27</v>
      </c>
    </row>
    <row r="7284" spans="1:9" x14ac:dyDescent="0.2">
      <c r="A7284" t="str">
        <f t="shared" si="360"/>
        <v>42339Tiahura1291Autres</v>
      </c>
      <c r="B7284" s="1">
        <v>42339</v>
      </c>
      <c r="C7284" t="s">
        <v>24</v>
      </c>
      <c r="D7284" s="19">
        <v>12</v>
      </c>
      <c r="E7284">
        <v>91</v>
      </c>
      <c r="F7284" t="s">
        <v>14</v>
      </c>
      <c r="G7284" t="s">
        <v>27</v>
      </c>
      <c r="H7284">
        <v>0</v>
      </c>
      <c r="I7284" t="s">
        <v>27</v>
      </c>
    </row>
    <row r="7285" spans="1:9" x14ac:dyDescent="0.2">
      <c r="A7285" t="str">
        <f t="shared" si="360"/>
        <v>42339Tiahura1292Autres</v>
      </c>
      <c r="B7285" s="1">
        <v>42339</v>
      </c>
      <c r="C7285" t="s">
        <v>24</v>
      </c>
      <c r="D7285" s="19">
        <v>12</v>
      </c>
      <c r="E7285">
        <v>92</v>
      </c>
      <c r="F7285" t="s">
        <v>14</v>
      </c>
      <c r="G7285" t="s">
        <v>27</v>
      </c>
      <c r="H7285">
        <v>0</v>
      </c>
      <c r="I7285" t="s">
        <v>27</v>
      </c>
    </row>
    <row r="7286" spans="1:9" x14ac:dyDescent="0.2">
      <c r="A7286" t="str">
        <f t="shared" si="360"/>
        <v>42339Tiahura1293Autres</v>
      </c>
      <c r="B7286" s="1">
        <v>42339</v>
      </c>
      <c r="C7286" t="s">
        <v>24</v>
      </c>
      <c r="D7286" s="19">
        <v>12</v>
      </c>
      <c r="E7286">
        <v>93</v>
      </c>
      <c r="F7286" t="s">
        <v>14</v>
      </c>
      <c r="G7286" t="s">
        <v>27</v>
      </c>
      <c r="H7286">
        <v>0</v>
      </c>
      <c r="I7286" t="s">
        <v>27</v>
      </c>
    </row>
    <row r="7287" spans="1:9" x14ac:dyDescent="0.2">
      <c r="A7287" t="str">
        <f t="shared" si="360"/>
        <v>42339Tiahura1294PocilloporidaeDessus</v>
      </c>
      <c r="B7287" s="1">
        <v>42339</v>
      </c>
      <c r="C7287" t="s">
        <v>24</v>
      </c>
      <c r="D7287" s="19">
        <v>12</v>
      </c>
      <c r="E7287">
        <v>94</v>
      </c>
      <c r="F7287" t="s">
        <v>10</v>
      </c>
      <c r="G7287" t="s">
        <v>11</v>
      </c>
      <c r="H7287">
        <v>1</v>
      </c>
      <c r="I7287" t="s">
        <v>27</v>
      </c>
    </row>
    <row r="7288" spans="1:9" x14ac:dyDescent="0.2">
      <c r="A7288" t="str">
        <f t="shared" si="360"/>
        <v>42339Tiahura1295Autres</v>
      </c>
      <c r="B7288" s="1">
        <v>42339</v>
      </c>
      <c r="C7288" t="s">
        <v>24</v>
      </c>
      <c r="D7288" s="19">
        <v>12</v>
      </c>
      <c r="E7288">
        <v>95</v>
      </c>
      <c r="F7288" t="s">
        <v>14</v>
      </c>
      <c r="G7288" t="s">
        <v>27</v>
      </c>
      <c r="H7288">
        <v>0</v>
      </c>
      <c r="I7288" t="s">
        <v>27</v>
      </c>
    </row>
    <row r="7289" spans="1:9" x14ac:dyDescent="0.2">
      <c r="A7289" t="str">
        <f t="shared" si="360"/>
        <v>42339Tiahura1296Autres</v>
      </c>
      <c r="B7289" s="1">
        <v>42339</v>
      </c>
      <c r="C7289" t="s">
        <v>24</v>
      </c>
      <c r="D7289" s="19">
        <v>12</v>
      </c>
      <c r="E7289">
        <v>96</v>
      </c>
      <c r="F7289" t="s">
        <v>14</v>
      </c>
      <c r="G7289" t="s">
        <v>27</v>
      </c>
      <c r="H7289">
        <v>0</v>
      </c>
      <c r="I7289" t="s">
        <v>27</v>
      </c>
    </row>
    <row r="7290" spans="1:9" x14ac:dyDescent="0.2">
      <c r="A7290" t="str">
        <f t="shared" si="360"/>
        <v>42339Tiahura1297Autres</v>
      </c>
      <c r="B7290" s="1">
        <v>42339</v>
      </c>
      <c r="C7290" t="s">
        <v>24</v>
      </c>
      <c r="D7290" s="19">
        <v>12</v>
      </c>
      <c r="E7290">
        <v>97</v>
      </c>
      <c r="F7290" t="s">
        <v>14</v>
      </c>
      <c r="G7290" t="s">
        <v>27</v>
      </c>
      <c r="H7290">
        <v>0</v>
      </c>
      <c r="I7290" t="s">
        <v>27</v>
      </c>
    </row>
    <row r="7291" spans="1:9" x14ac:dyDescent="0.2">
      <c r="A7291" t="str">
        <f t="shared" si="360"/>
        <v>42339Tiahura1298Autres</v>
      </c>
      <c r="B7291" s="1">
        <v>42339</v>
      </c>
      <c r="C7291" t="s">
        <v>24</v>
      </c>
      <c r="D7291" s="19">
        <v>12</v>
      </c>
      <c r="E7291">
        <v>98</v>
      </c>
      <c r="F7291" t="s">
        <v>14</v>
      </c>
      <c r="G7291" t="s">
        <v>27</v>
      </c>
      <c r="H7291">
        <v>0</v>
      </c>
      <c r="I7291" t="s">
        <v>27</v>
      </c>
    </row>
    <row r="7292" spans="1:9" x14ac:dyDescent="0.2">
      <c r="A7292" t="str">
        <f t="shared" si="360"/>
        <v>42339Tiahura1299Autres</v>
      </c>
      <c r="B7292" s="1">
        <v>42339</v>
      </c>
      <c r="C7292" t="s">
        <v>24</v>
      </c>
      <c r="D7292" s="19">
        <v>12</v>
      </c>
      <c r="E7292">
        <v>99</v>
      </c>
      <c r="F7292" t="s">
        <v>14</v>
      </c>
      <c r="G7292" t="s">
        <v>27</v>
      </c>
      <c r="H7292">
        <v>0</v>
      </c>
      <c r="I7292" t="s">
        <v>27</v>
      </c>
    </row>
    <row r="7293" spans="1:9" x14ac:dyDescent="0.2">
      <c r="A7293" t="str">
        <f t="shared" si="360"/>
        <v>42339Tiahura12100PocilloporidaeDessous</v>
      </c>
      <c r="B7293" s="1">
        <v>42339</v>
      </c>
      <c r="C7293" t="s">
        <v>24</v>
      </c>
      <c r="D7293" s="19">
        <v>12</v>
      </c>
      <c r="E7293">
        <v>100</v>
      </c>
      <c r="F7293" t="s">
        <v>10</v>
      </c>
      <c r="G7293" t="s">
        <v>8</v>
      </c>
      <c r="H7293">
        <v>3</v>
      </c>
      <c r="I7293" t="s">
        <v>27</v>
      </c>
    </row>
    <row r="7294" spans="1:9" x14ac:dyDescent="0.2">
      <c r="A7294" t="str">
        <f t="shared" si="360"/>
        <v>42339Tiahura18101PoritidaeDessous</v>
      </c>
      <c r="B7294" s="1">
        <v>42339</v>
      </c>
      <c r="C7294" t="s">
        <v>24</v>
      </c>
      <c r="D7294" s="19">
        <v>18</v>
      </c>
      <c r="E7294">
        <v>101</v>
      </c>
      <c r="F7294" t="s">
        <v>7</v>
      </c>
      <c r="G7294" t="s">
        <v>8</v>
      </c>
      <c r="H7294">
        <v>3</v>
      </c>
      <c r="I7294" t="s">
        <v>27</v>
      </c>
    </row>
    <row r="7295" spans="1:9" x14ac:dyDescent="0.2">
      <c r="A7295" t="str">
        <f t="shared" ref="A7295:A7358" si="361">B7295 &amp; C7295&amp; D7295&amp; E7295 &amp; F7295 &amp;G7295</f>
        <v>42339Tiahura18102</v>
      </c>
      <c r="B7295" s="1">
        <v>42339</v>
      </c>
      <c r="C7295" t="s">
        <v>24</v>
      </c>
      <c r="D7295" s="19">
        <v>18</v>
      </c>
      <c r="E7295">
        <v>102</v>
      </c>
      <c r="I7295" t="s">
        <v>31</v>
      </c>
    </row>
    <row r="7296" spans="1:9" x14ac:dyDescent="0.2">
      <c r="A7296" t="str">
        <f t="shared" si="361"/>
        <v>42339Tiahura18103PoritidaeBords</v>
      </c>
      <c r="B7296" s="1">
        <v>42339</v>
      </c>
      <c r="C7296" t="s">
        <v>24</v>
      </c>
      <c r="D7296" s="19">
        <v>18</v>
      </c>
      <c r="E7296">
        <v>103</v>
      </c>
      <c r="F7296" t="s">
        <v>7</v>
      </c>
      <c r="G7296" t="s">
        <v>13</v>
      </c>
      <c r="H7296">
        <v>1</v>
      </c>
      <c r="I7296" t="s">
        <v>27</v>
      </c>
    </row>
    <row r="7297" spans="1:9" x14ac:dyDescent="0.2">
      <c r="A7297" t="str">
        <f t="shared" si="361"/>
        <v>42339Tiahura18103PoritidaeDessous</v>
      </c>
      <c r="B7297" s="1">
        <v>42339</v>
      </c>
      <c r="C7297" t="s">
        <v>24</v>
      </c>
      <c r="D7297" s="19">
        <v>18</v>
      </c>
      <c r="E7297">
        <v>103</v>
      </c>
      <c r="F7297" t="s">
        <v>7</v>
      </c>
      <c r="G7297" t="s">
        <v>8</v>
      </c>
      <c r="H7297">
        <v>1</v>
      </c>
      <c r="I7297" t="s">
        <v>27</v>
      </c>
    </row>
    <row r="7298" spans="1:9" x14ac:dyDescent="0.2">
      <c r="A7298" t="str">
        <f t="shared" si="361"/>
        <v>42339Tiahura18104Autres</v>
      </c>
      <c r="B7298" s="1">
        <v>42339</v>
      </c>
      <c r="C7298" t="s">
        <v>24</v>
      </c>
      <c r="D7298" s="19">
        <v>18</v>
      </c>
      <c r="E7298">
        <v>104</v>
      </c>
      <c r="F7298" t="s">
        <v>14</v>
      </c>
      <c r="G7298" t="s">
        <v>27</v>
      </c>
      <c r="H7298">
        <v>0</v>
      </c>
      <c r="I7298" t="s">
        <v>27</v>
      </c>
    </row>
    <row r="7299" spans="1:9" x14ac:dyDescent="0.2">
      <c r="A7299" t="str">
        <f t="shared" si="361"/>
        <v>42339Tiahura18105PoritidaeBords</v>
      </c>
      <c r="B7299" s="1">
        <v>42339</v>
      </c>
      <c r="C7299" t="s">
        <v>24</v>
      </c>
      <c r="D7299" s="19">
        <v>18</v>
      </c>
      <c r="E7299">
        <v>105</v>
      </c>
      <c r="F7299" t="s">
        <v>7</v>
      </c>
      <c r="G7299" t="s">
        <v>13</v>
      </c>
      <c r="H7299">
        <v>3</v>
      </c>
      <c r="I7299" t="s">
        <v>27</v>
      </c>
    </row>
    <row r="7300" spans="1:9" x14ac:dyDescent="0.2">
      <c r="A7300" t="str">
        <f t="shared" si="361"/>
        <v>42339Tiahura18106Autres</v>
      </c>
      <c r="B7300" s="1">
        <v>42339</v>
      </c>
      <c r="C7300" t="s">
        <v>24</v>
      </c>
      <c r="D7300" s="19">
        <v>18</v>
      </c>
      <c r="E7300">
        <v>106</v>
      </c>
      <c r="F7300" t="s">
        <v>14</v>
      </c>
      <c r="G7300" t="s">
        <v>27</v>
      </c>
      <c r="H7300">
        <v>0</v>
      </c>
      <c r="I7300" t="s">
        <v>27</v>
      </c>
    </row>
    <row r="7301" spans="1:9" x14ac:dyDescent="0.2">
      <c r="A7301" t="str">
        <f t="shared" si="361"/>
        <v>42339Tiahura18107Autres</v>
      </c>
      <c r="B7301" s="1">
        <v>42339</v>
      </c>
      <c r="C7301" t="s">
        <v>24</v>
      </c>
      <c r="D7301" s="19">
        <v>18</v>
      </c>
      <c r="E7301">
        <v>107</v>
      </c>
      <c r="F7301" t="s">
        <v>14</v>
      </c>
      <c r="G7301" t="s">
        <v>27</v>
      </c>
      <c r="H7301">
        <v>0</v>
      </c>
      <c r="I7301" t="s">
        <v>27</v>
      </c>
    </row>
    <row r="7302" spans="1:9" x14ac:dyDescent="0.2">
      <c r="A7302" t="str">
        <f t="shared" si="361"/>
        <v>42339Tiahura18108Autres</v>
      </c>
      <c r="B7302" s="1">
        <v>42339</v>
      </c>
      <c r="C7302" t="s">
        <v>24</v>
      </c>
      <c r="D7302" s="19">
        <v>18</v>
      </c>
      <c r="E7302">
        <v>108</v>
      </c>
      <c r="F7302" t="s">
        <v>14</v>
      </c>
      <c r="G7302" t="s">
        <v>27</v>
      </c>
      <c r="H7302">
        <v>0</v>
      </c>
      <c r="I7302" t="s">
        <v>27</v>
      </c>
    </row>
    <row r="7303" spans="1:9" x14ac:dyDescent="0.2">
      <c r="A7303" t="str">
        <f t="shared" si="361"/>
        <v>42339Tiahura18109Autres</v>
      </c>
      <c r="B7303" s="1">
        <v>42339</v>
      </c>
      <c r="C7303" t="s">
        <v>24</v>
      </c>
      <c r="D7303" s="19">
        <v>18</v>
      </c>
      <c r="E7303">
        <v>109</v>
      </c>
      <c r="F7303" t="s">
        <v>14</v>
      </c>
      <c r="G7303" t="s">
        <v>27</v>
      </c>
      <c r="H7303">
        <v>0</v>
      </c>
      <c r="I7303" t="s">
        <v>27</v>
      </c>
    </row>
    <row r="7304" spans="1:9" x14ac:dyDescent="0.2">
      <c r="A7304" t="str">
        <f t="shared" si="361"/>
        <v>42339Tiahura18110Autres</v>
      </c>
      <c r="B7304" s="1">
        <v>42339</v>
      </c>
      <c r="C7304" t="s">
        <v>24</v>
      </c>
      <c r="D7304" s="19">
        <v>18</v>
      </c>
      <c r="E7304">
        <v>110</v>
      </c>
      <c r="F7304" t="s">
        <v>14</v>
      </c>
      <c r="G7304" t="s">
        <v>27</v>
      </c>
      <c r="H7304">
        <v>0</v>
      </c>
      <c r="I7304" t="s">
        <v>27</v>
      </c>
    </row>
    <row r="7305" spans="1:9" x14ac:dyDescent="0.2">
      <c r="A7305" t="str">
        <f t="shared" si="361"/>
        <v>42339Tiahura18111Autres</v>
      </c>
      <c r="B7305" s="1">
        <v>42339</v>
      </c>
      <c r="C7305" t="s">
        <v>24</v>
      </c>
      <c r="D7305" s="19">
        <v>18</v>
      </c>
      <c r="E7305">
        <v>111</v>
      </c>
      <c r="F7305" t="s">
        <v>14</v>
      </c>
      <c r="G7305" t="s">
        <v>27</v>
      </c>
      <c r="H7305">
        <v>0</v>
      </c>
      <c r="I7305" t="s">
        <v>27</v>
      </c>
    </row>
    <row r="7306" spans="1:9" x14ac:dyDescent="0.2">
      <c r="A7306" t="str">
        <f t="shared" si="361"/>
        <v>42339Tiahura18112PoritidaeBords</v>
      </c>
      <c r="B7306" s="1">
        <v>42339</v>
      </c>
      <c r="C7306" t="s">
        <v>24</v>
      </c>
      <c r="D7306" s="19">
        <v>18</v>
      </c>
      <c r="E7306">
        <v>112</v>
      </c>
      <c r="F7306" t="s">
        <v>7</v>
      </c>
      <c r="G7306" t="s">
        <v>13</v>
      </c>
      <c r="H7306">
        <v>1</v>
      </c>
      <c r="I7306" t="s">
        <v>27</v>
      </c>
    </row>
    <row r="7307" spans="1:9" x14ac:dyDescent="0.2">
      <c r="A7307" t="str">
        <f t="shared" si="361"/>
        <v>42339Tiahura18113Autres</v>
      </c>
      <c r="B7307" s="1">
        <v>42339</v>
      </c>
      <c r="C7307" t="s">
        <v>24</v>
      </c>
      <c r="D7307" s="19">
        <v>18</v>
      </c>
      <c r="E7307">
        <v>113</v>
      </c>
      <c r="F7307" t="s">
        <v>14</v>
      </c>
      <c r="G7307" t="s">
        <v>27</v>
      </c>
      <c r="H7307">
        <v>0</v>
      </c>
      <c r="I7307" t="s">
        <v>27</v>
      </c>
    </row>
    <row r="7308" spans="1:9" x14ac:dyDescent="0.2">
      <c r="A7308" t="str">
        <f t="shared" si="361"/>
        <v>42339Tiahura18114PocilloporidaeBords</v>
      </c>
      <c r="B7308" s="1">
        <v>42339</v>
      </c>
      <c r="C7308" t="s">
        <v>24</v>
      </c>
      <c r="D7308" s="19">
        <v>18</v>
      </c>
      <c r="E7308">
        <v>114</v>
      </c>
      <c r="F7308" t="s">
        <v>10</v>
      </c>
      <c r="G7308" t="s">
        <v>13</v>
      </c>
      <c r="H7308">
        <v>2</v>
      </c>
      <c r="I7308" t="s">
        <v>27</v>
      </c>
    </row>
    <row r="7309" spans="1:9" x14ac:dyDescent="0.2">
      <c r="A7309" t="str">
        <f t="shared" si="361"/>
        <v>42339Tiahura18115PoritidaeBords</v>
      </c>
      <c r="B7309" s="1">
        <v>42339</v>
      </c>
      <c r="C7309" t="s">
        <v>24</v>
      </c>
      <c r="D7309" s="19">
        <v>18</v>
      </c>
      <c r="E7309">
        <v>115</v>
      </c>
      <c r="F7309" t="s">
        <v>7</v>
      </c>
      <c r="G7309" t="s">
        <v>13</v>
      </c>
      <c r="H7309">
        <v>1</v>
      </c>
      <c r="I7309" t="s">
        <v>27</v>
      </c>
    </row>
    <row r="7310" spans="1:9" x14ac:dyDescent="0.2">
      <c r="A7310" t="str">
        <f t="shared" si="361"/>
        <v>42339Tiahura18116Autres</v>
      </c>
      <c r="B7310" s="1">
        <v>42339</v>
      </c>
      <c r="C7310" t="s">
        <v>24</v>
      </c>
      <c r="D7310" s="19">
        <v>18</v>
      </c>
      <c r="E7310">
        <v>116</v>
      </c>
      <c r="F7310" t="s">
        <v>14</v>
      </c>
      <c r="G7310" t="s">
        <v>27</v>
      </c>
      <c r="H7310">
        <v>0</v>
      </c>
      <c r="I7310" t="s">
        <v>27</v>
      </c>
    </row>
    <row r="7311" spans="1:9" x14ac:dyDescent="0.2">
      <c r="A7311" t="str">
        <f t="shared" si="361"/>
        <v>42339Tiahura18117Autres</v>
      </c>
      <c r="B7311" s="1">
        <v>42339</v>
      </c>
      <c r="C7311" t="s">
        <v>24</v>
      </c>
      <c r="D7311" s="19">
        <v>18</v>
      </c>
      <c r="E7311">
        <v>117</v>
      </c>
      <c r="F7311" t="s">
        <v>14</v>
      </c>
      <c r="G7311" t="s">
        <v>27</v>
      </c>
      <c r="H7311">
        <v>0</v>
      </c>
      <c r="I7311" t="s">
        <v>27</v>
      </c>
    </row>
    <row r="7312" spans="1:9" x14ac:dyDescent="0.2">
      <c r="A7312" t="str">
        <f t="shared" si="361"/>
        <v>42339Tiahura18118Autres</v>
      </c>
      <c r="B7312" s="1">
        <v>42339</v>
      </c>
      <c r="C7312" t="s">
        <v>24</v>
      </c>
      <c r="D7312" s="19">
        <v>18</v>
      </c>
      <c r="E7312">
        <v>118</v>
      </c>
      <c r="F7312" t="s">
        <v>14</v>
      </c>
      <c r="G7312" t="s">
        <v>27</v>
      </c>
      <c r="H7312">
        <v>0</v>
      </c>
      <c r="I7312" t="s">
        <v>27</v>
      </c>
    </row>
    <row r="7313" spans="1:9" x14ac:dyDescent="0.2">
      <c r="A7313" t="str">
        <f t="shared" si="361"/>
        <v>42339Tiahura18119PocilloporidaeDessus</v>
      </c>
      <c r="B7313" s="1">
        <v>42339</v>
      </c>
      <c r="C7313" t="s">
        <v>24</v>
      </c>
      <c r="D7313" s="19">
        <v>18</v>
      </c>
      <c r="E7313">
        <v>119</v>
      </c>
      <c r="F7313" t="s">
        <v>10</v>
      </c>
      <c r="G7313" t="s">
        <v>11</v>
      </c>
      <c r="H7313">
        <v>1</v>
      </c>
      <c r="I7313" t="s">
        <v>27</v>
      </c>
    </row>
    <row r="7314" spans="1:9" x14ac:dyDescent="0.2">
      <c r="A7314" t="str">
        <f t="shared" si="361"/>
        <v>42339Tiahura18120PoritidaeDessous</v>
      </c>
      <c r="B7314" s="1">
        <v>42339</v>
      </c>
      <c r="C7314" t="s">
        <v>24</v>
      </c>
      <c r="D7314" s="19">
        <v>18</v>
      </c>
      <c r="E7314">
        <v>120</v>
      </c>
      <c r="F7314" t="s">
        <v>7</v>
      </c>
      <c r="G7314" t="s">
        <v>8</v>
      </c>
      <c r="H7314">
        <v>1</v>
      </c>
      <c r="I7314" t="s">
        <v>27</v>
      </c>
    </row>
    <row r="7315" spans="1:9" x14ac:dyDescent="0.2">
      <c r="A7315" t="str">
        <f t="shared" si="361"/>
        <v>42339Haapiti6121Autres</v>
      </c>
      <c r="B7315" s="1">
        <v>42339</v>
      </c>
      <c r="C7315" t="s">
        <v>25</v>
      </c>
      <c r="D7315" s="19">
        <v>6</v>
      </c>
      <c r="E7315">
        <v>121</v>
      </c>
      <c r="F7315" t="s">
        <v>14</v>
      </c>
      <c r="G7315" t="s">
        <v>27</v>
      </c>
      <c r="H7315">
        <v>0</v>
      </c>
      <c r="I7315" t="s">
        <v>27</v>
      </c>
    </row>
    <row r="7316" spans="1:9" x14ac:dyDescent="0.2">
      <c r="A7316" t="str">
        <f t="shared" si="361"/>
        <v>42339Haapiti6122PocilloporidaeDessous</v>
      </c>
      <c r="B7316" s="1">
        <v>42339</v>
      </c>
      <c r="C7316" t="s">
        <v>25</v>
      </c>
      <c r="D7316" s="19">
        <v>6</v>
      </c>
      <c r="E7316">
        <v>122</v>
      </c>
      <c r="F7316" t="s">
        <v>10</v>
      </c>
      <c r="G7316" t="s">
        <v>8</v>
      </c>
      <c r="H7316">
        <v>1</v>
      </c>
      <c r="I7316" t="s">
        <v>27</v>
      </c>
    </row>
    <row r="7317" spans="1:9" x14ac:dyDescent="0.2">
      <c r="A7317" t="str">
        <f t="shared" si="361"/>
        <v>42339Haapiti6123Autres</v>
      </c>
      <c r="B7317" s="1">
        <v>42339</v>
      </c>
      <c r="C7317" t="s">
        <v>25</v>
      </c>
      <c r="D7317" s="19">
        <v>6</v>
      </c>
      <c r="E7317">
        <v>123</v>
      </c>
      <c r="F7317" t="s">
        <v>14</v>
      </c>
      <c r="G7317" t="s">
        <v>27</v>
      </c>
      <c r="H7317">
        <v>0</v>
      </c>
      <c r="I7317" t="s">
        <v>27</v>
      </c>
    </row>
    <row r="7318" spans="1:9" x14ac:dyDescent="0.2">
      <c r="A7318" t="str">
        <f t="shared" si="361"/>
        <v>42339Haapiti6124Autres</v>
      </c>
      <c r="B7318" s="1">
        <v>42339</v>
      </c>
      <c r="C7318" t="s">
        <v>25</v>
      </c>
      <c r="D7318" s="19">
        <v>6</v>
      </c>
      <c r="E7318">
        <v>124</v>
      </c>
      <c r="F7318" t="s">
        <v>14</v>
      </c>
      <c r="G7318" t="s">
        <v>27</v>
      </c>
      <c r="H7318">
        <v>0</v>
      </c>
      <c r="I7318" t="s">
        <v>27</v>
      </c>
    </row>
    <row r="7319" spans="1:9" x14ac:dyDescent="0.2">
      <c r="A7319" t="str">
        <f t="shared" si="361"/>
        <v>42339Haapiti6125Autres</v>
      </c>
      <c r="B7319" s="1">
        <v>42339</v>
      </c>
      <c r="C7319" t="s">
        <v>25</v>
      </c>
      <c r="D7319" s="19">
        <v>6</v>
      </c>
      <c r="E7319">
        <v>125</v>
      </c>
      <c r="F7319" t="s">
        <v>14</v>
      </c>
      <c r="G7319" t="s">
        <v>27</v>
      </c>
      <c r="H7319">
        <v>0</v>
      </c>
      <c r="I7319" t="s">
        <v>27</v>
      </c>
    </row>
    <row r="7320" spans="1:9" x14ac:dyDescent="0.2">
      <c r="A7320" t="str">
        <f t="shared" si="361"/>
        <v>42339Haapiti6126Autres</v>
      </c>
      <c r="B7320" s="1">
        <v>42339</v>
      </c>
      <c r="C7320" t="s">
        <v>25</v>
      </c>
      <c r="D7320" s="19">
        <v>6</v>
      </c>
      <c r="E7320">
        <v>126</v>
      </c>
      <c r="F7320" t="s">
        <v>14</v>
      </c>
      <c r="G7320" t="s">
        <v>27</v>
      </c>
      <c r="H7320">
        <v>0</v>
      </c>
      <c r="I7320" t="s">
        <v>27</v>
      </c>
    </row>
    <row r="7321" spans="1:9" x14ac:dyDescent="0.2">
      <c r="A7321" t="str">
        <f t="shared" si="361"/>
        <v>42339Haapiti6127Autres</v>
      </c>
      <c r="B7321" s="1">
        <v>42339</v>
      </c>
      <c r="C7321" t="s">
        <v>25</v>
      </c>
      <c r="D7321" s="19">
        <v>6</v>
      </c>
      <c r="E7321">
        <v>127</v>
      </c>
      <c r="F7321" t="s">
        <v>14</v>
      </c>
      <c r="G7321" t="s">
        <v>27</v>
      </c>
      <c r="H7321">
        <v>0</v>
      </c>
      <c r="I7321" t="s">
        <v>27</v>
      </c>
    </row>
    <row r="7322" spans="1:9" x14ac:dyDescent="0.2">
      <c r="A7322" t="str">
        <f t="shared" si="361"/>
        <v>42339Haapiti6128Autres</v>
      </c>
      <c r="B7322" s="1">
        <v>42339</v>
      </c>
      <c r="C7322" t="s">
        <v>25</v>
      </c>
      <c r="D7322" s="19">
        <v>6</v>
      </c>
      <c r="E7322">
        <v>128</v>
      </c>
      <c r="F7322" t="s">
        <v>14</v>
      </c>
      <c r="G7322" t="s">
        <v>27</v>
      </c>
      <c r="H7322">
        <v>0</v>
      </c>
      <c r="I7322" t="s">
        <v>27</v>
      </c>
    </row>
    <row r="7323" spans="1:9" x14ac:dyDescent="0.2">
      <c r="A7323" t="str">
        <f t="shared" si="361"/>
        <v>42339Haapiti6129Autres</v>
      </c>
      <c r="B7323" s="1">
        <v>42339</v>
      </c>
      <c r="C7323" t="s">
        <v>25</v>
      </c>
      <c r="D7323" s="19">
        <v>6</v>
      </c>
      <c r="E7323">
        <v>129</v>
      </c>
      <c r="F7323" t="s">
        <v>14</v>
      </c>
      <c r="G7323" t="s">
        <v>27</v>
      </c>
      <c r="H7323">
        <v>0</v>
      </c>
      <c r="I7323" t="s">
        <v>27</v>
      </c>
    </row>
    <row r="7324" spans="1:9" x14ac:dyDescent="0.2">
      <c r="A7324" t="str">
        <f t="shared" si="361"/>
        <v>42339Haapiti6130</v>
      </c>
      <c r="B7324" s="1">
        <v>42339</v>
      </c>
      <c r="C7324" t="s">
        <v>25</v>
      </c>
      <c r="D7324" s="19">
        <v>6</v>
      </c>
      <c r="E7324">
        <v>130</v>
      </c>
      <c r="F7324" t="s">
        <v>27</v>
      </c>
      <c r="G7324" t="s">
        <v>27</v>
      </c>
      <c r="H7324" t="s">
        <v>27</v>
      </c>
      <c r="I7324" t="s">
        <v>31</v>
      </c>
    </row>
    <row r="7325" spans="1:9" x14ac:dyDescent="0.2">
      <c r="A7325" t="str">
        <f t="shared" si="361"/>
        <v>42339Haapiti6131Autres</v>
      </c>
      <c r="B7325" s="1">
        <v>42339</v>
      </c>
      <c r="C7325" t="s">
        <v>25</v>
      </c>
      <c r="D7325" s="19">
        <v>6</v>
      </c>
      <c r="E7325">
        <v>131</v>
      </c>
      <c r="F7325" t="s">
        <v>14</v>
      </c>
      <c r="G7325" t="s">
        <v>27</v>
      </c>
      <c r="H7325">
        <v>0</v>
      </c>
      <c r="I7325" t="s">
        <v>27</v>
      </c>
    </row>
    <row r="7326" spans="1:9" x14ac:dyDescent="0.2">
      <c r="A7326" t="str">
        <f t="shared" si="361"/>
        <v>42339Haapiti6132Autres</v>
      </c>
      <c r="B7326" s="1">
        <v>42339</v>
      </c>
      <c r="C7326" t="s">
        <v>25</v>
      </c>
      <c r="D7326" s="19">
        <v>6</v>
      </c>
      <c r="E7326">
        <v>132</v>
      </c>
      <c r="F7326" t="s">
        <v>14</v>
      </c>
      <c r="G7326" t="s">
        <v>27</v>
      </c>
      <c r="H7326">
        <v>0</v>
      </c>
      <c r="I7326" t="s">
        <v>27</v>
      </c>
    </row>
    <row r="7327" spans="1:9" x14ac:dyDescent="0.2">
      <c r="A7327" t="str">
        <f t="shared" si="361"/>
        <v>42339Haapiti6133Autres</v>
      </c>
      <c r="B7327" s="1">
        <v>42339</v>
      </c>
      <c r="C7327" t="s">
        <v>25</v>
      </c>
      <c r="D7327" s="19">
        <v>6</v>
      </c>
      <c r="E7327">
        <v>133</v>
      </c>
      <c r="F7327" t="s">
        <v>14</v>
      </c>
      <c r="G7327" t="s">
        <v>27</v>
      </c>
      <c r="H7327">
        <v>0</v>
      </c>
      <c r="I7327" t="s">
        <v>27</v>
      </c>
    </row>
    <row r="7328" spans="1:9" x14ac:dyDescent="0.2">
      <c r="A7328" t="str">
        <f t="shared" si="361"/>
        <v>42339Haapiti6134Autres</v>
      </c>
      <c r="B7328" s="1">
        <v>42339</v>
      </c>
      <c r="C7328" t="s">
        <v>25</v>
      </c>
      <c r="D7328" s="19">
        <v>6</v>
      </c>
      <c r="E7328">
        <v>134</v>
      </c>
      <c r="F7328" t="s">
        <v>14</v>
      </c>
      <c r="G7328" t="s">
        <v>27</v>
      </c>
      <c r="H7328">
        <v>0</v>
      </c>
      <c r="I7328" t="s">
        <v>27</v>
      </c>
    </row>
    <row r="7329" spans="1:9" x14ac:dyDescent="0.2">
      <c r="A7329" t="str">
        <f t="shared" si="361"/>
        <v>42339Haapiti6135</v>
      </c>
      <c r="B7329" s="1">
        <v>42339</v>
      </c>
      <c r="C7329" t="s">
        <v>25</v>
      </c>
      <c r="D7329" s="19">
        <v>6</v>
      </c>
      <c r="E7329">
        <v>135</v>
      </c>
      <c r="F7329" t="s">
        <v>27</v>
      </c>
      <c r="G7329" t="s">
        <v>27</v>
      </c>
      <c r="H7329" t="s">
        <v>27</v>
      </c>
      <c r="I7329" t="s">
        <v>31</v>
      </c>
    </row>
    <row r="7330" spans="1:9" x14ac:dyDescent="0.2">
      <c r="A7330" t="str">
        <f t="shared" si="361"/>
        <v>42339Haapiti6136Autres</v>
      </c>
      <c r="B7330" s="1">
        <v>42339</v>
      </c>
      <c r="C7330" t="s">
        <v>25</v>
      </c>
      <c r="D7330" s="19">
        <v>6</v>
      </c>
      <c r="E7330">
        <v>136</v>
      </c>
      <c r="F7330" t="s">
        <v>14</v>
      </c>
      <c r="G7330" t="s">
        <v>27</v>
      </c>
      <c r="H7330">
        <v>0</v>
      </c>
      <c r="I7330" t="s">
        <v>27</v>
      </c>
    </row>
    <row r="7331" spans="1:9" x14ac:dyDescent="0.2">
      <c r="A7331" t="str">
        <f t="shared" si="361"/>
        <v>42339Haapiti6137Autres</v>
      </c>
      <c r="B7331" s="1">
        <v>42339</v>
      </c>
      <c r="C7331" t="s">
        <v>25</v>
      </c>
      <c r="D7331" s="19">
        <v>6</v>
      </c>
      <c r="E7331">
        <v>137</v>
      </c>
      <c r="F7331" t="s">
        <v>14</v>
      </c>
      <c r="G7331" t="s">
        <v>27</v>
      </c>
      <c r="H7331">
        <v>0</v>
      </c>
      <c r="I7331" t="s">
        <v>27</v>
      </c>
    </row>
    <row r="7332" spans="1:9" x14ac:dyDescent="0.2">
      <c r="A7332" t="str">
        <f t="shared" si="361"/>
        <v>42339Haapiti6138Autres</v>
      </c>
      <c r="B7332" s="1">
        <v>42339</v>
      </c>
      <c r="C7332" t="s">
        <v>25</v>
      </c>
      <c r="D7332" s="19">
        <v>6</v>
      </c>
      <c r="E7332">
        <v>138</v>
      </c>
      <c r="F7332" t="s">
        <v>14</v>
      </c>
      <c r="G7332" t="s">
        <v>27</v>
      </c>
      <c r="H7332">
        <v>0</v>
      </c>
      <c r="I7332" t="s">
        <v>27</v>
      </c>
    </row>
    <row r="7333" spans="1:9" x14ac:dyDescent="0.2">
      <c r="A7333" t="str">
        <f t="shared" si="361"/>
        <v>42339Haapiti6139Autres</v>
      </c>
      <c r="B7333" s="1">
        <v>42339</v>
      </c>
      <c r="C7333" t="s">
        <v>25</v>
      </c>
      <c r="D7333" s="19">
        <v>6</v>
      </c>
      <c r="E7333">
        <v>139</v>
      </c>
      <c r="F7333" t="s">
        <v>14</v>
      </c>
      <c r="G7333" t="s">
        <v>27</v>
      </c>
      <c r="H7333">
        <v>0</v>
      </c>
      <c r="I7333" t="s">
        <v>27</v>
      </c>
    </row>
    <row r="7334" spans="1:9" x14ac:dyDescent="0.2">
      <c r="A7334" t="str">
        <f t="shared" si="361"/>
        <v>42339Haapiti6140Autres</v>
      </c>
      <c r="B7334" s="1">
        <v>42339</v>
      </c>
      <c r="C7334" t="s">
        <v>25</v>
      </c>
      <c r="D7334" s="19">
        <v>6</v>
      </c>
      <c r="E7334">
        <v>140</v>
      </c>
      <c r="F7334" t="s">
        <v>14</v>
      </c>
      <c r="G7334" t="s">
        <v>27</v>
      </c>
      <c r="H7334">
        <v>0</v>
      </c>
      <c r="I7334" t="s">
        <v>27</v>
      </c>
    </row>
    <row r="7335" spans="1:9" x14ac:dyDescent="0.2">
      <c r="A7335" t="str">
        <f t="shared" si="361"/>
        <v>42339Haapiti12141Autres</v>
      </c>
      <c r="B7335" s="1">
        <v>42339</v>
      </c>
      <c r="C7335" t="s">
        <v>25</v>
      </c>
      <c r="D7335" s="19">
        <v>12</v>
      </c>
      <c r="E7335">
        <v>141</v>
      </c>
      <c r="F7335" t="s">
        <v>14</v>
      </c>
      <c r="G7335" t="s">
        <v>27</v>
      </c>
      <c r="H7335">
        <v>0</v>
      </c>
      <c r="I7335" t="s">
        <v>27</v>
      </c>
    </row>
    <row r="7336" spans="1:9" x14ac:dyDescent="0.2">
      <c r="A7336" t="str">
        <f t="shared" si="361"/>
        <v>42339Haapiti12142Autres</v>
      </c>
      <c r="B7336" s="1">
        <v>42339</v>
      </c>
      <c r="C7336" t="s">
        <v>25</v>
      </c>
      <c r="D7336" s="19">
        <v>12</v>
      </c>
      <c r="E7336">
        <v>142</v>
      </c>
      <c r="F7336" t="s">
        <v>14</v>
      </c>
      <c r="G7336" t="s">
        <v>27</v>
      </c>
      <c r="H7336">
        <v>0</v>
      </c>
      <c r="I7336" t="s">
        <v>27</v>
      </c>
    </row>
    <row r="7337" spans="1:9" x14ac:dyDescent="0.2">
      <c r="A7337" t="str">
        <f t="shared" si="361"/>
        <v>42339Haapiti12143Autres</v>
      </c>
      <c r="B7337" s="1">
        <v>42339</v>
      </c>
      <c r="C7337" t="s">
        <v>25</v>
      </c>
      <c r="D7337" s="19">
        <v>12</v>
      </c>
      <c r="E7337">
        <v>143</v>
      </c>
      <c r="F7337" t="s">
        <v>14</v>
      </c>
      <c r="G7337" t="s">
        <v>27</v>
      </c>
      <c r="H7337">
        <v>0</v>
      </c>
      <c r="I7337" t="s">
        <v>27</v>
      </c>
    </row>
    <row r="7338" spans="1:9" x14ac:dyDescent="0.2">
      <c r="A7338" t="str">
        <f t="shared" si="361"/>
        <v>42339Haapiti12144Autres</v>
      </c>
      <c r="B7338" s="1">
        <v>42339</v>
      </c>
      <c r="C7338" t="s">
        <v>25</v>
      </c>
      <c r="D7338" s="19">
        <v>12</v>
      </c>
      <c r="E7338">
        <v>144</v>
      </c>
      <c r="F7338" t="s">
        <v>14</v>
      </c>
      <c r="G7338" t="s">
        <v>27</v>
      </c>
      <c r="H7338">
        <v>0</v>
      </c>
      <c r="I7338" t="s">
        <v>27</v>
      </c>
    </row>
    <row r="7339" spans="1:9" x14ac:dyDescent="0.2">
      <c r="A7339" t="str">
        <f t="shared" si="361"/>
        <v>42339Haapiti12145Autres</v>
      </c>
      <c r="B7339" s="1">
        <v>42339</v>
      </c>
      <c r="C7339" t="s">
        <v>25</v>
      </c>
      <c r="D7339" s="19">
        <v>12</v>
      </c>
      <c r="E7339">
        <v>145</v>
      </c>
      <c r="F7339" t="s">
        <v>14</v>
      </c>
      <c r="G7339" t="s">
        <v>27</v>
      </c>
      <c r="H7339">
        <v>0</v>
      </c>
      <c r="I7339" t="s">
        <v>27</v>
      </c>
    </row>
    <row r="7340" spans="1:9" x14ac:dyDescent="0.2">
      <c r="A7340" t="str">
        <f t="shared" si="361"/>
        <v>42339Haapiti12146Autres</v>
      </c>
      <c r="B7340" s="1">
        <v>42339</v>
      </c>
      <c r="C7340" t="s">
        <v>25</v>
      </c>
      <c r="D7340" s="19">
        <v>12</v>
      </c>
      <c r="E7340">
        <v>146</v>
      </c>
      <c r="F7340" t="s">
        <v>14</v>
      </c>
      <c r="G7340" t="s">
        <v>27</v>
      </c>
      <c r="H7340">
        <v>0</v>
      </c>
      <c r="I7340" t="s">
        <v>27</v>
      </c>
    </row>
    <row r="7341" spans="1:9" x14ac:dyDescent="0.2">
      <c r="A7341" t="str">
        <f t="shared" si="361"/>
        <v>42339Haapiti12147PocilloporidaeDessous</v>
      </c>
      <c r="B7341" s="1">
        <v>42339</v>
      </c>
      <c r="C7341" t="s">
        <v>25</v>
      </c>
      <c r="D7341" s="19">
        <v>12</v>
      </c>
      <c r="E7341">
        <v>147</v>
      </c>
      <c r="F7341" t="s">
        <v>10</v>
      </c>
      <c r="G7341" t="s">
        <v>8</v>
      </c>
      <c r="H7341">
        <v>1</v>
      </c>
      <c r="I7341" t="s">
        <v>27</v>
      </c>
    </row>
    <row r="7342" spans="1:9" x14ac:dyDescent="0.2">
      <c r="A7342" t="str">
        <f t="shared" si="361"/>
        <v>42339Haapiti12148Autres</v>
      </c>
      <c r="B7342" s="1">
        <v>42339</v>
      </c>
      <c r="C7342" t="s">
        <v>25</v>
      </c>
      <c r="D7342" s="19">
        <v>12</v>
      </c>
      <c r="E7342">
        <v>148</v>
      </c>
      <c r="F7342" t="s">
        <v>14</v>
      </c>
      <c r="G7342" t="s">
        <v>27</v>
      </c>
      <c r="H7342">
        <v>0</v>
      </c>
      <c r="I7342" t="s">
        <v>27</v>
      </c>
    </row>
    <row r="7343" spans="1:9" x14ac:dyDescent="0.2">
      <c r="A7343" t="str">
        <f t="shared" si="361"/>
        <v>42339Haapiti12149PocilloporidaeDessous</v>
      </c>
      <c r="B7343" s="1">
        <v>42339</v>
      </c>
      <c r="C7343" t="s">
        <v>25</v>
      </c>
      <c r="D7343" s="19">
        <v>12</v>
      </c>
      <c r="E7343">
        <v>149</v>
      </c>
      <c r="F7343" t="s">
        <v>10</v>
      </c>
      <c r="G7343" t="s">
        <v>8</v>
      </c>
      <c r="H7343">
        <v>1</v>
      </c>
      <c r="I7343" t="s">
        <v>27</v>
      </c>
    </row>
    <row r="7344" spans="1:9" x14ac:dyDescent="0.2">
      <c r="A7344" t="str">
        <f t="shared" si="361"/>
        <v>42339Haapiti12150PocilloporidaeDessus</v>
      </c>
      <c r="B7344" s="1">
        <v>42339</v>
      </c>
      <c r="C7344" t="s">
        <v>25</v>
      </c>
      <c r="D7344" s="19">
        <v>12</v>
      </c>
      <c r="E7344">
        <v>150</v>
      </c>
      <c r="F7344" t="s">
        <v>10</v>
      </c>
      <c r="G7344" t="s">
        <v>11</v>
      </c>
      <c r="H7344">
        <v>1</v>
      </c>
      <c r="I7344" t="s">
        <v>27</v>
      </c>
    </row>
    <row r="7345" spans="1:9" x14ac:dyDescent="0.2">
      <c r="A7345" t="str">
        <f t="shared" si="361"/>
        <v>42339Haapiti12151Autres</v>
      </c>
      <c r="B7345" s="1">
        <v>42339</v>
      </c>
      <c r="C7345" t="s">
        <v>25</v>
      </c>
      <c r="D7345" s="19">
        <v>12</v>
      </c>
      <c r="E7345">
        <v>151</v>
      </c>
      <c r="F7345" t="s">
        <v>14</v>
      </c>
      <c r="G7345" t="s">
        <v>27</v>
      </c>
      <c r="H7345">
        <v>0</v>
      </c>
      <c r="I7345" t="s">
        <v>27</v>
      </c>
    </row>
    <row r="7346" spans="1:9" x14ac:dyDescent="0.2">
      <c r="A7346" t="str">
        <f t="shared" si="361"/>
        <v>42339Haapiti12152Autres</v>
      </c>
      <c r="B7346" s="1">
        <v>42339</v>
      </c>
      <c r="C7346" t="s">
        <v>25</v>
      </c>
      <c r="D7346" s="19">
        <v>12</v>
      </c>
      <c r="E7346">
        <v>152</v>
      </c>
      <c r="F7346" t="s">
        <v>14</v>
      </c>
      <c r="G7346" t="s">
        <v>27</v>
      </c>
      <c r="H7346">
        <v>0</v>
      </c>
      <c r="I7346" t="s">
        <v>27</v>
      </c>
    </row>
    <row r="7347" spans="1:9" x14ac:dyDescent="0.2">
      <c r="A7347" t="str">
        <f t="shared" si="361"/>
        <v>42339Haapiti12153PocilloporidaeDessus</v>
      </c>
      <c r="B7347" s="1">
        <v>42339</v>
      </c>
      <c r="C7347" t="s">
        <v>25</v>
      </c>
      <c r="D7347" s="19">
        <v>12</v>
      </c>
      <c r="E7347">
        <v>153</v>
      </c>
      <c r="F7347" t="s">
        <v>10</v>
      </c>
      <c r="G7347" t="s">
        <v>11</v>
      </c>
      <c r="H7347">
        <v>1</v>
      </c>
      <c r="I7347" t="s">
        <v>27</v>
      </c>
    </row>
    <row r="7348" spans="1:9" x14ac:dyDescent="0.2">
      <c r="A7348" t="str">
        <f t="shared" si="361"/>
        <v>42339Haapiti12154Autres</v>
      </c>
      <c r="B7348" s="1">
        <v>42339</v>
      </c>
      <c r="C7348" t="s">
        <v>25</v>
      </c>
      <c r="D7348" s="19">
        <v>12</v>
      </c>
      <c r="E7348">
        <v>154</v>
      </c>
      <c r="F7348" t="s">
        <v>14</v>
      </c>
      <c r="G7348" t="s">
        <v>27</v>
      </c>
      <c r="H7348">
        <v>0</v>
      </c>
      <c r="I7348" t="s">
        <v>27</v>
      </c>
    </row>
    <row r="7349" spans="1:9" x14ac:dyDescent="0.2">
      <c r="A7349" t="str">
        <f t="shared" si="361"/>
        <v>42339Haapiti12155Autres</v>
      </c>
      <c r="B7349" s="1">
        <v>42339</v>
      </c>
      <c r="C7349" t="s">
        <v>25</v>
      </c>
      <c r="D7349" s="19">
        <v>12</v>
      </c>
      <c r="E7349">
        <v>155</v>
      </c>
      <c r="F7349" t="s">
        <v>14</v>
      </c>
      <c r="G7349" t="s">
        <v>27</v>
      </c>
      <c r="H7349">
        <v>0</v>
      </c>
      <c r="I7349" t="s">
        <v>27</v>
      </c>
    </row>
    <row r="7350" spans="1:9" x14ac:dyDescent="0.2">
      <c r="A7350" t="str">
        <f t="shared" si="361"/>
        <v>42339Haapiti12156Autres</v>
      </c>
      <c r="B7350" s="1">
        <v>42339</v>
      </c>
      <c r="C7350" t="s">
        <v>25</v>
      </c>
      <c r="D7350" s="19">
        <v>12</v>
      </c>
      <c r="E7350">
        <v>156</v>
      </c>
      <c r="F7350" t="s">
        <v>14</v>
      </c>
      <c r="G7350" t="s">
        <v>27</v>
      </c>
      <c r="H7350">
        <v>0</v>
      </c>
      <c r="I7350" t="s">
        <v>27</v>
      </c>
    </row>
    <row r="7351" spans="1:9" x14ac:dyDescent="0.2">
      <c r="A7351" t="str">
        <f t="shared" si="361"/>
        <v>42339Haapiti12157PocilloporidaeBords</v>
      </c>
      <c r="B7351" s="1">
        <v>42339</v>
      </c>
      <c r="C7351" t="s">
        <v>25</v>
      </c>
      <c r="D7351" s="19">
        <v>12</v>
      </c>
      <c r="E7351">
        <v>157</v>
      </c>
      <c r="F7351" t="s">
        <v>10</v>
      </c>
      <c r="G7351" t="s">
        <v>13</v>
      </c>
      <c r="H7351">
        <v>1</v>
      </c>
      <c r="I7351" t="s">
        <v>27</v>
      </c>
    </row>
    <row r="7352" spans="1:9" x14ac:dyDescent="0.2">
      <c r="A7352" t="str">
        <f t="shared" si="361"/>
        <v>42339Haapiti12158PocilloporidaeDessous</v>
      </c>
      <c r="B7352" s="1">
        <v>42339</v>
      </c>
      <c r="C7352" t="s">
        <v>25</v>
      </c>
      <c r="D7352" s="19">
        <v>12</v>
      </c>
      <c r="E7352">
        <v>158</v>
      </c>
      <c r="F7352" t="s">
        <v>10</v>
      </c>
      <c r="G7352" t="s">
        <v>8</v>
      </c>
      <c r="H7352">
        <v>2</v>
      </c>
      <c r="I7352" t="s">
        <v>27</v>
      </c>
    </row>
    <row r="7353" spans="1:9" x14ac:dyDescent="0.2">
      <c r="A7353" t="str">
        <f t="shared" si="361"/>
        <v>42339Haapiti12159Autres</v>
      </c>
      <c r="B7353" s="1">
        <v>42339</v>
      </c>
      <c r="C7353" t="s">
        <v>25</v>
      </c>
      <c r="D7353" s="19">
        <v>12</v>
      </c>
      <c r="E7353">
        <v>159</v>
      </c>
      <c r="F7353" t="s">
        <v>14</v>
      </c>
      <c r="G7353" t="s">
        <v>27</v>
      </c>
      <c r="H7353">
        <v>0</v>
      </c>
      <c r="I7353" t="s">
        <v>27</v>
      </c>
    </row>
    <row r="7354" spans="1:9" x14ac:dyDescent="0.2">
      <c r="A7354" t="str">
        <f t="shared" si="361"/>
        <v>42339Haapiti12160Autres</v>
      </c>
      <c r="B7354" s="1">
        <v>42339</v>
      </c>
      <c r="C7354" t="s">
        <v>25</v>
      </c>
      <c r="D7354" s="19">
        <v>12</v>
      </c>
      <c r="E7354">
        <v>160</v>
      </c>
      <c r="F7354" t="s">
        <v>14</v>
      </c>
      <c r="G7354" t="s">
        <v>27</v>
      </c>
      <c r="H7354">
        <v>0</v>
      </c>
      <c r="I7354" t="s">
        <v>27</v>
      </c>
    </row>
    <row r="7355" spans="1:9" x14ac:dyDescent="0.2">
      <c r="A7355" t="str">
        <f t="shared" si="361"/>
        <v>42339Haapiti18161PocilloporidaeDessus</v>
      </c>
      <c r="B7355" s="1">
        <v>42339</v>
      </c>
      <c r="C7355" t="s">
        <v>25</v>
      </c>
      <c r="D7355" s="19">
        <v>18</v>
      </c>
      <c r="E7355">
        <v>161</v>
      </c>
      <c r="F7355" t="s">
        <v>10</v>
      </c>
      <c r="G7355" t="s">
        <v>11</v>
      </c>
      <c r="H7355">
        <v>1</v>
      </c>
      <c r="I7355" t="s">
        <v>27</v>
      </c>
    </row>
    <row r="7356" spans="1:9" x14ac:dyDescent="0.2">
      <c r="A7356" t="str">
        <f t="shared" si="361"/>
        <v>42339Haapiti18162PocilloporidaeDessous</v>
      </c>
      <c r="B7356" s="1">
        <v>42339</v>
      </c>
      <c r="C7356" t="s">
        <v>25</v>
      </c>
      <c r="D7356" s="19">
        <v>18</v>
      </c>
      <c r="E7356">
        <v>162</v>
      </c>
      <c r="F7356" t="s">
        <v>10</v>
      </c>
      <c r="G7356" t="s">
        <v>8</v>
      </c>
      <c r="H7356">
        <v>1</v>
      </c>
      <c r="I7356" t="s">
        <v>27</v>
      </c>
    </row>
    <row r="7357" spans="1:9" x14ac:dyDescent="0.2">
      <c r="A7357" t="str">
        <f t="shared" si="361"/>
        <v>42339Haapiti18163Autres</v>
      </c>
      <c r="B7357" s="1">
        <v>42339</v>
      </c>
      <c r="C7357" t="s">
        <v>25</v>
      </c>
      <c r="D7357" s="19">
        <v>18</v>
      </c>
      <c r="E7357">
        <v>163</v>
      </c>
      <c r="F7357" t="s">
        <v>14</v>
      </c>
      <c r="G7357" t="s">
        <v>27</v>
      </c>
      <c r="H7357">
        <v>0</v>
      </c>
      <c r="I7357" t="s">
        <v>27</v>
      </c>
    </row>
    <row r="7358" spans="1:9" x14ac:dyDescent="0.2">
      <c r="A7358" t="str">
        <f t="shared" si="361"/>
        <v>42339Haapiti18164PocilloporidaeDessus</v>
      </c>
      <c r="B7358" s="1">
        <v>42339</v>
      </c>
      <c r="C7358" t="s">
        <v>25</v>
      </c>
      <c r="D7358" s="19">
        <v>18</v>
      </c>
      <c r="E7358">
        <v>164</v>
      </c>
      <c r="F7358" t="s">
        <v>10</v>
      </c>
      <c r="G7358" t="s">
        <v>11</v>
      </c>
      <c r="H7358">
        <v>2</v>
      </c>
      <c r="I7358" t="s">
        <v>27</v>
      </c>
    </row>
    <row r="7359" spans="1:9" x14ac:dyDescent="0.2">
      <c r="A7359" t="str">
        <f t="shared" ref="A7359:A7422" si="362">B7359 &amp; C7359&amp; D7359&amp; E7359 &amp; F7359 &amp;G7359</f>
        <v>42339Haapiti18165PocilloporidaeDessous</v>
      </c>
      <c r="B7359" s="1">
        <v>42339</v>
      </c>
      <c r="C7359" t="s">
        <v>25</v>
      </c>
      <c r="D7359" s="19">
        <v>18</v>
      </c>
      <c r="E7359">
        <v>165</v>
      </c>
      <c r="F7359" t="s">
        <v>10</v>
      </c>
      <c r="G7359" t="s">
        <v>8</v>
      </c>
      <c r="H7359">
        <v>5</v>
      </c>
      <c r="I7359" t="s">
        <v>27</v>
      </c>
    </row>
    <row r="7360" spans="1:9" x14ac:dyDescent="0.2">
      <c r="A7360" t="str">
        <f t="shared" si="362"/>
        <v>42339Haapiti18166Autres</v>
      </c>
      <c r="B7360" s="1">
        <v>42339</v>
      </c>
      <c r="C7360" t="s">
        <v>25</v>
      </c>
      <c r="D7360" s="19">
        <v>18</v>
      </c>
      <c r="E7360">
        <v>166</v>
      </c>
      <c r="F7360" t="s">
        <v>14</v>
      </c>
      <c r="G7360" t="s">
        <v>27</v>
      </c>
      <c r="H7360">
        <v>0</v>
      </c>
      <c r="I7360" t="s">
        <v>27</v>
      </c>
    </row>
    <row r="7361" spans="1:9" x14ac:dyDescent="0.2">
      <c r="A7361" t="str">
        <f t="shared" si="362"/>
        <v>42339Haapiti18167PocilloporidaeDessous</v>
      </c>
      <c r="B7361" s="1">
        <v>42339</v>
      </c>
      <c r="C7361" t="s">
        <v>25</v>
      </c>
      <c r="D7361" s="19">
        <v>18</v>
      </c>
      <c r="E7361">
        <v>167</v>
      </c>
      <c r="F7361" t="s">
        <v>10</v>
      </c>
      <c r="G7361" t="s">
        <v>8</v>
      </c>
      <c r="H7361">
        <v>7</v>
      </c>
      <c r="I7361" t="s">
        <v>27</v>
      </c>
    </row>
    <row r="7362" spans="1:9" x14ac:dyDescent="0.2">
      <c r="A7362" t="str">
        <f t="shared" si="362"/>
        <v>42339Haapiti18168Autres</v>
      </c>
      <c r="B7362" s="1">
        <v>42339</v>
      </c>
      <c r="C7362" t="s">
        <v>25</v>
      </c>
      <c r="D7362" s="19">
        <v>18</v>
      </c>
      <c r="E7362">
        <v>168</v>
      </c>
      <c r="F7362" t="s">
        <v>14</v>
      </c>
      <c r="G7362" t="s">
        <v>27</v>
      </c>
      <c r="H7362">
        <v>0</v>
      </c>
      <c r="I7362" t="s">
        <v>27</v>
      </c>
    </row>
    <row r="7363" spans="1:9" x14ac:dyDescent="0.2">
      <c r="A7363" t="str">
        <f t="shared" si="362"/>
        <v>42339Haapiti18169Autres</v>
      </c>
      <c r="B7363" s="1">
        <v>42339</v>
      </c>
      <c r="C7363" t="s">
        <v>25</v>
      </c>
      <c r="D7363" s="19">
        <v>18</v>
      </c>
      <c r="E7363">
        <v>169</v>
      </c>
      <c r="F7363" t="s">
        <v>14</v>
      </c>
      <c r="G7363" t="s">
        <v>27</v>
      </c>
      <c r="H7363">
        <v>0</v>
      </c>
      <c r="I7363" t="s">
        <v>27</v>
      </c>
    </row>
    <row r="7364" spans="1:9" x14ac:dyDescent="0.2">
      <c r="A7364" t="str">
        <f t="shared" si="362"/>
        <v>42339Haapiti18170PocilloporidaeBords</v>
      </c>
      <c r="B7364" s="1">
        <v>42339</v>
      </c>
      <c r="C7364" t="s">
        <v>25</v>
      </c>
      <c r="D7364" s="19">
        <v>18</v>
      </c>
      <c r="E7364">
        <v>170</v>
      </c>
      <c r="F7364" t="s">
        <v>10</v>
      </c>
      <c r="G7364" t="s">
        <v>13</v>
      </c>
      <c r="H7364">
        <v>1</v>
      </c>
      <c r="I7364" t="s">
        <v>27</v>
      </c>
    </row>
    <row r="7365" spans="1:9" x14ac:dyDescent="0.2">
      <c r="A7365" t="str">
        <f t="shared" si="362"/>
        <v>42339Haapiti18171Autres</v>
      </c>
      <c r="B7365" s="1">
        <v>42339</v>
      </c>
      <c r="C7365" t="s">
        <v>25</v>
      </c>
      <c r="D7365" s="19">
        <v>18</v>
      </c>
      <c r="E7365">
        <v>171</v>
      </c>
      <c r="F7365" t="s">
        <v>14</v>
      </c>
      <c r="G7365" t="s">
        <v>27</v>
      </c>
      <c r="H7365">
        <v>0</v>
      </c>
      <c r="I7365" t="s">
        <v>27</v>
      </c>
    </row>
    <row r="7366" spans="1:9" x14ac:dyDescent="0.2">
      <c r="A7366" t="str">
        <f t="shared" si="362"/>
        <v>42339Haapiti18172Autres</v>
      </c>
      <c r="B7366" s="1">
        <v>42339</v>
      </c>
      <c r="C7366" t="s">
        <v>25</v>
      </c>
      <c r="D7366" s="19">
        <v>18</v>
      </c>
      <c r="E7366">
        <v>172</v>
      </c>
      <c r="F7366" t="s">
        <v>14</v>
      </c>
      <c r="G7366" t="s">
        <v>27</v>
      </c>
      <c r="H7366">
        <v>0</v>
      </c>
      <c r="I7366" t="s">
        <v>27</v>
      </c>
    </row>
    <row r="7367" spans="1:9" x14ac:dyDescent="0.2">
      <c r="A7367" t="str">
        <f t="shared" si="362"/>
        <v>42339Haapiti18173Autres</v>
      </c>
      <c r="B7367" s="1">
        <v>42339</v>
      </c>
      <c r="C7367" t="s">
        <v>25</v>
      </c>
      <c r="D7367" s="19">
        <v>18</v>
      </c>
      <c r="E7367">
        <v>173</v>
      </c>
      <c r="F7367" t="s">
        <v>14</v>
      </c>
      <c r="G7367" t="s">
        <v>27</v>
      </c>
      <c r="H7367">
        <v>0</v>
      </c>
      <c r="I7367" t="s">
        <v>27</v>
      </c>
    </row>
    <row r="7368" spans="1:9" x14ac:dyDescent="0.2">
      <c r="A7368" t="str">
        <f t="shared" si="362"/>
        <v>42339Haapiti18174Autres</v>
      </c>
      <c r="B7368" s="1">
        <v>42339</v>
      </c>
      <c r="C7368" t="s">
        <v>25</v>
      </c>
      <c r="D7368" s="19">
        <v>18</v>
      </c>
      <c r="E7368">
        <v>174</v>
      </c>
      <c r="F7368" t="s">
        <v>14</v>
      </c>
      <c r="G7368" t="s">
        <v>27</v>
      </c>
      <c r="H7368">
        <v>0</v>
      </c>
      <c r="I7368" t="s">
        <v>27</v>
      </c>
    </row>
    <row r="7369" spans="1:9" x14ac:dyDescent="0.2">
      <c r="A7369" t="str">
        <f t="shared" si="362"/>
        <v>42339Haapiti18175PocilloporidaeBords</v>
      </c>
      <c r="B7369" s="1">
        <v>42339</v>
      </c>
      <c r="C7369" t="s">
        <v>25</v>
      </c>
      <c r="D7369" s="19">
        <v>18</v>
      </c>
      <c r="E7369">
        <v>175</v>
      </c>
      <c r="F7369" t="s">
        <v>10</v>
      </c>
      <c r="G7369" t="s">
        <v>13</v>
      </c>
      <c r="H7369">
        <v>1</v>
      </c>
      <c r="I7369" t="s">
        <v>27</v>
      </c>
    </row>
    <row r="7370" spans="1:9" x14ac:dyDescent="0.2">
      <c r="A7370" t="str">
        <f t="shared" si="362"/>
        <v>42339Haapiti18175PocilloporidaeDessous</v>
      </c>
      <c r="B7370" s="1">
        <v>42339</v>
      </c>
      <c r="C7370" t="s">
        <v>25</v>
      </c>
      <c r="D7370" s="19">
        <v>18</v>
      </c>
      <c r="E7370">
        <v>175</v>
      </c>
      <c r="F7370" t="s">
        <v>10</v>
      </c>
      <c r="G7370" t="s">
        <v>8</v>
      </c>
      <c r="H7370">
        <v>3</v>
      </c>
      <c r="I7370" t="s">
        <v>27</v>
      </c>
    </row>
    <row r="7371" spans="1:9" x14ac:dyDescent="0.2">
      <c r="A7371" t="str">
        <f t="shared" si="362"/>
        <v>42339Haapiti18176Autres</v>
      </c>
      <c r="B7371" s="1">
        <v>42339</v>
      </c>
      <c r="C7371" t="s">
        <v>25</v>
      </c>
      <c r="D7371" s="19">
        <v>18</v>
      </c>
      <c r="E7371">
        <v>176</v>
      </c>
      <c r="F7371" t="s">
        <v>14</v>
      </c>
      <c r="G7371" t="s">
        <v>27</v>
      </c>
      <c r="H7371">
        <v>0</v>
      </c>
      <c r="I7371" t="s">
        <v>27</v>
      </c>
    </row>
    <row r="7372" spans="1:9" x14ac:dyDescent="0.2">
      <c r="A7372" t="str">
        <f t="shared" si="362"/>
        <v>42339Haapiti18177Autres</v>
      </c>
      <c r="B7372" s="1">
        <v>42339</v>
      </c>
      <c r="C7372" t="s">
        <v>25</v>
      </c>
      <c r="D7372" s="19">
        <v>18</v>
      </c>
      <c r="E7372">
        <v>177</v>
      </c>
      <c r="F7372" t="s">
        <v>14</v>
      </c>
      <c r="G7372" t="s">
        <v>27</v>
      </c>
      <c r="H7372">
        <v>0</v>
      </c>
      <c r="I7372" t="s">
        <v>27</v>
      </c>
    </row>
    <row r="7373" spans="1:9" x14ac:dyDescent="0.2">
      <c r="A7373" t="str">
        <f t="shared" si="362"/>
        <v>42339Haapiti18178Autres</v>
      </c>
      <c r="B7373" s="1">
        <v>42339</v>
      </c>
      <c r="C7373" t="s">
        <v>25</v>
      </c>
      <c r="D7373" s="19">
        <v>18</v>
      </c>
      <c r="E7373">
        <v>178</v>
      </c>
      <c r="F7373" t="s">
        <v>14</v>
      </c>
      <c r="G7373" t="s">
        <v>27</v>
      </c>
      <c r="H7373">
        <v>0</v>
      </c>
      <c r="I7373" t="s">
        <v>27</v>
      </c>
    </row>
    <row r="7374" spans="1:9" x14ac:dyDescent="0.2">
      <c r="A7374" t="str">
        <f t="shared" si="362"/>
        <v>42339Haapiti18179Autres</v>
      </c>
      <c r="B7374" s="1">
        <v>42339</v>
      </c>
      <c r="C7374" t="s">
        <v>25</v>
      </c>
      <c r="D7374" s="19">
        <v>18</v>
      </c>
      <c r="E7374">
        <v>179</v>
      </c>
      <c r="F7374" t="s">
        <v>14</v>
      </c>
      <c r="G7374" t="s">
        <v>27</v>
      </c>
      <c r="H7374">
        <v>0</v>
      </c>
      <c r="I7374" t="s">
        <v>27</v>
      </c>
    </row>
    <row r="7375" spans="1:9" x14ac:dyDescent="0.2">
      <c r="A7375" t="str">
        <f t="shared" si="362"/>
        <v>42339Haapiti18180PocilloporidaeDessus</v>
      </c>
      <c r="B7375" s="1">
        <v>42339</v>
      </c>
      <c r="C7375" t="s">
        <v>25</v>
      </c>
      <c r="D7375" s="19">
        <v>18</v>
      </c>
      <c r="E7375">
        <v>180</v>
      </c>
      <c r="F7375" t="s">
        <v>10</v>
      </c>
      <c r="G7375" t="s">
        <v>11</v>
      </c>
      <c r="H7375">
        <v>2</v>
      </c>
      <c r="I7375" t="s">
        <v>27</v>
      </c>
    </row>
    <row r="7376" spans="1:9" x14ac:dyDescent="0.2">
      <c r="A7376" t="str">
        <f t="shared" si="362"/>
        <v>42614Vaipahu61Autres</v>
      </c>
      <c r="B7376" s="1">
        <v>42614</v>
      </c>
      <c r="C7376" t="s">
        <v>23</v>
      </c>
      <c r="D7376" s="19">
        <v>6</v>
      </c>
      <c r="E7376">
        <v>1</v>
      </c>
      <c r="F7376" t="s">
        <v>14</v>
      </c>
      <c r="G7376" t="s">
        <v>27</v>
      </c>
      <c r="H7376">
        <v>0</v>
      </c>
      <c r="I7376" t="s">
        <v>27</v>
      </c>
    </row>
    <row r="7377" spans="1:9" x14ac:dyDescent="0.2">
      <c r="A7377" t="str">
        <f t="shared" si="362"/>
        <v>42614Vaipahu62Autres</v>
      </c>
      <c r="B7377" s="1">
        <v>42614</v>
      </c>
      <c r="C7377" t="s">
        <v>23</v>
      </c>
      <c r="D7377" s="19">
        <v>6</v>
      </c>
      <c r="E7377">
        <v>2</v>
      </c>
      <c r="F7377" t="s">
        <v>14</v>
      </c>
      <c r="G7377" t="s">
        <v>27</v>
      </c>
      <c r="H7377">
        <v>0</v>
      </c>
      <c r="I7377" t="s">
        <v>27</v>
      </c>
    </row>
    <row r="7378" spans="1:9" x14ac:dyDescent="0.2">
      <c r="A7378" t="str">
        <f t="shared" si="362"/>
        <v>42614Vaipahu63PoritidaeDessous</v>
      </c>
      <c r="B7378" s="1">
        <v>42614</v>
      </c>
      <c r="C7378" t="s">
        <v>23</v>
      </c>
      <c r="D7378" s="19">
        <v>6</v>
      </c>
      <c r="E7378">
        <v>3</v>
      </c>
      <c r="F7378" t="s">
        <v>7</v>
      </c>
      <c r="G7378" t="s">
        <v>8</v>
      </c>
      <c r="H7378">
        <v>1</v>
      </c>
      <c r="I7378" t="s">
        <v>27</v>
      </c>
    </row>
    <row r="7379" spans="1:9" x14ac:dyDescent="0.2">
      <c r="A7379" t="str">
        <f t="shared" si="362"/>
        <v>42614Vaipahu64Autres</v>
      </c>
      <c r="B7379" s="1">
        <v>42614</v>
      </c>
      <c r="C7379" t="s">
        <v>23</v>
      </c>
      <c r="D7379" s="19">
        <v>6</v>
      </c>
      <c r="E7379">
        <v>4</v>
      </c>
      <c r="F7379" t="s">
        <v>14</v>
      </c>
      <c r="G7379" t="s">
        <v>27</v>
      </c>
      <c r="H7379">
        <v>0</v>
      </c>
      <c r="I7379" t="s">
        <v>27</v>
      </c>
    </row>
    <row r="7380" spans="1:9" x14ac:dyDescent="0.2">
      <c r="A7380" t="str">
        <f t="shared" si="362"/>
        <v>42614Vaipahu65Autres</v>
      </c>
      <c r="B7380" s="1">
        <v>42614</v>
      </c>
      <c r="C7380" t="s">
        <v>23</v>
      </c>
      <c r="D7380" s="19">
        <v>6</v>
      </c>
      <c r="E7380">
        <v>5</v>
      </c>
      <c r="F7380" t="s">
        <v>14</v>
      </c>
      <c r="G7380" t="s">
        <v>27</v>
      </c>
      <c r="H7380">
        <v>0</v>
      </c>
      <c r="I7380" t="s">
        <v>27</v>
      </c>
    </row>
    <row r="7381" spans="1:9" x14ac:dyDescent="0.2">
      <c r="A7381" t="str">
        <f t="shared" si="362"/>
        <v>42614Vaipahu66Autres</v>
      </c>
      <c r="B7381" s="1">
        <v>42614</v>
      </c>
      <c r="C7381" t="s">
        <v>23</v>
      </c>
      <c r="D7381" s="19">
        <v>6</v>
      </c>
      <c r="E7381">
        <v>6</v>
      </c>
      <c r="F7381" t="s">
        <v>14</v>
      </c>
      <c r="G7381" t="s">
        <v>27</v>
      </c>
      <c r="H7381">
        <v>0</v>
      </c>
      <c r="I7381" t="s">
        <v>27</v>
      </c>
    </row>
    <row r="7382" spans="1:9" x14ac:dyDescent="0.2">
      <c r="A7382" t="str">
        <f t="shared" si="362"/>
        <v>42614Vaipahu67Autres</v>
      </c>
      <c r="B7382" s="1">
        <v>42614</v>
      </c>
      <c r="C7382" t="s">
        <v>23</v>
      </c>
      <c r="D7382" s="19">
        <v>6</v>
      </c>
      <c r="E7382">
        <v>7</v>
      </c>
      <c r="F7382" t="s">
        <v>14</v>
      </c>
      <c r="G7382" t="s">
        <v>27</v>
      </c>
      <c r="H7382">
        <v>0</v>
      </c>
      <c r="I7382" t="s">
        <v>27</v>
      </c>
    </row>
    <row r="7383" spans="1:9" x14ac:dyDescent="0.2">
      <c r="A7383" t="str">
        <f t="shared" si="362"/>
        <v>42614Vaipahu68Autres</v>
      </c>
      <c r="B7383" s="1">
        <v>42614</v>
      </c>
      <c r="C7383" t="s">
        <v>23</v>
      </c>
      <c r="D7383" s="19">
        <v>6</v>
      </c>
      <c r="E7383">
        <v>8</v>
      </c>
      <c r="F7383" t="s">
        <v>14</v>
      </c>
      <c r="G7383" t="s">
        <v>27</v>
      </c>
      <c r="H7383">
        <v>0</v>
      </c>
      <c r="I7383" t="s">
        <v>27</v>
      </c>
    </row>
    <row r="7384" spans="1:9" x14ac:dyDescent="0.2">
      <c r="A7384" t="str">
        <f t="shared" si="362"/>
        <v>42614Vaipahu69Autres</v>
      </c>
      <c r="B7384" s="1">
        <v>42614</v>
      </c>
      <c r="C7384" t="s">
        <v>23</v>
      </c>
      <c r="D7384" s="19">
        <v>6</v>
      </c>
      <c r="E7384">
        <v>9</v>
      </c>
      <c r="F7384" t="s">
        <v>14</v>
      </c>
      <c r="G7384" t="s">
        <v>27</v>
      </c>
      <c r="H7384">
        <v>0</v>
      </c>
      <c r="I7384" t="s">
        <v>27</v>
      </c>
    </row>
    <row r="7385" spans="1:9" x14ac:dyDescent="0.2">
      <c r="A7385" t="str">
        <f t="shared" si="362"/>
        <v>42614Vaipahu610Autres</v>
      </c>
      <c r="B7385" s="1">
        <v>42614</v>
      </c>
      <c r="C7385" t="s">
        <v>23</v>
      </c>
      <c r="D7385" s="19">
        <v>6</v>
      </c>
      <c r="E7385">
        <v>10</v>
      </c>
      <c r="F7385" t="s">
        <v>14</v>
      </c>
      <c r="G7385" t="s">
        <v>27</v>
      </c>
      <c r="H7385">
        <v>0</v>
      </c>
      <c r="I7385" t="s">
        <v>27</v>
      </c>
    </row>
    <row r="7386" spans="1:9" x14ac:dyDescent="0.2">
      <c r="A7386" t="str">
        <f t="shared" si="362"/>
        <v>42614Vaipahu611Autres</v>
      </c>
      <c r="B7386" s="1">
        <v>42614</v>
      </c>
      <c r="C7386" t="s">
        <v>23</v>
      </c>
      <c r="D7386" s="19">
        <v>6</v>
      </c>
      <c r="E7386">
        <v>11</v>
      </c>
      <c r="F7386" t="s">
        <v>14</v>
      </c>
      <c r="G7386" t="s">
        <v>27</v>
      </c>
      <c r="H7386">
        <v>0</v>
      </c>
      <c r="I7386" t="s">
        <v>27</v>
      </c>
    </row>
    <row r="7387" spans="1:9" x14ac:dyDescent="0.2">
      <c r="A7387" t="str">
        <f t="shared" si="362"/>
        <v>42614Vaipahu612Autres</v>
      </c>
      <c r="B7387" s="1">
        <v>42614</v>
      </c>
      <c r="C7387" t="s">
        <v>23</v>
      </c>
      <c r="D7387" s="19">
        <v>6</v>
      </c>
      <c r="E7387">
        <v>12</v>
      </c>
      <c r="F7387" t="s">
        <v>14</v>
      </c>
      <c r="G7387" t="s">
        <v>27</v>
      </c>
      <c r="H7387">
        <v>0</v>
      </c>
      <c r="I7387" t="s">
        <v>27</v>
      </c>
    </row>
    <row r="7388" spans="1:9" x14ac:dyDescent="0.2">
      <c r="A7388" t="str">
        <f t="shared" si="362"/>
        <v>42614Vaipahu613Autres</v>
      </c>
      <c r="B7388" s="1">
        <v>42614</v>
      </c>
      <c r="C7388" t="s">
        <v>23</v>
      </c>
      <c r="D7388" s="19">
        <v>6</v>
      </c>
      <c r="E7388">
        <v>13</v>
      </c>
      <c r="F7388" t="s">
        <v>14</v>
      </c>
      <c r="G7388" t="s">
        <v>27</v>
      </c>
      <c r="H7388">
        <v>0</v>
      </c>
      <c r="I7388" t="s">
        <v>27</v>
      </c>
    </row>
    <row r="7389" spans="1:9" x14ac:dyDescent="0.2">
      <c r="A7389" t="str">
        <f t="shared" si="362"/>
        <v>42614Vaipahu614Autres</v>
      </c>
      <c r="B7389" s="1">
        <v>42614</v>
      </c>
      <c r="C7389" t="s">
        <v>23</v>
      </c>
      <c r="D7389" s="19">
        <v>6</v>
      </c>
      <c r="E7389">
        <v>14</v>
      </c>
      <c r="F7389" t="s">
        <v>14</v>
      </c>
      <c r="G7389" t="s">
        <v>27</v>
      </c>
      <c r="H7389">
        <v>0</v>
      </c>
      <c r="I7389" t="s">
        <v>27</v>
      </c>
    </row>
    <row r="7390" spans="1:9" x14ac:dyDescent="0.2">
      <c r="A7390" t="str">
        <f t="shared" si="362"/>
        <v>42614Vaipahu615Autres</v>
      </c>
      <c r="B7390" s="1">
        <v>42614</v>
      </c>
      <c r="C7390" t="s">
        <v>23</v>
      </c>
      <c r="D7390" s="19">
        <v>6</v>
      </c>
      <c r="E7390">
        <v>15</v>
      </c>
      <c r="F7390" t="s">
        <v>14</v>
      </c>
      <c r="G7390" t="s">
        <v>27</v>
      </c>
      <c r="H7390">
        <v>0</v>
      </c>
      <c r="I7390" t="s">
        <v>27</v>
      </c>
    </row>
    <row r="7391" spans="1:9" x14ac:dyDescent="0.2">
      <c r="A7391" t="str">
        <f t="shared" si="362"/>
        <v>42614Vaipahu616Autres</v>
      </c>
      <c r="B7391" s="1">
        <v>42614</v>
      </c>
      <c r="C7391" t="s">
        <v>23</v>
      </c>
      <c r="D7391" s="19">
        <v>6</v>
      </c>
      <c r="E7391">
        <v>16</v>
      </c>
      <c r="F7391" t="s">
        <v>14</v>
      </c>
      <c r="G7391" t="s">
        <v>27</v>
      </c>
      <c r="H7391">
        <v>0</v>
      </c>
      <c r="I7391" t="s">
        <v>27</v>
      </c>
    </row>
    <row r="7392" spans="1:9" x14ac:dyDescent="0.2">
      <c r="A7392" t="str">
        <f t="shared" si="362"/>
        <v>42614Vaipahu617Autres</v>
      </c>
      <c r="B7392" s="1">
        <v>42614</v>
      </c>
      <c r="C7392" t="s">
        <v>23</v>
      </c>
      <c r="D7392" s="19">
        <v>6</v>
      </c>
      <c r="E7392">
        <v>17</v>
      </c>
      <c r="F7392" t="s">
        <v>14</v>
      </c>
      <c r="G7392" t="s">
        <v>27</v>
      </c>
      <c r="H7392">
        <v>0</v>
      </c>
      <c r="I7392" t="s">
        <v>27</v>
      </c>
    </row>
    <row r="7393" spans="1:9" x14ac:dyDescent="0.2">
      <c r="A7393" t="str">
        <f t="shared" si="362"/>
        <v>42614Vaipahu618Autres</v>
      </c>
      <c r="B7393" s="1">
        <v>42614</v>
      </c>
      <c r="C7393" t="s">
        <v>23</v>
      </c>
      <c r="D7393" s="19">
        <v>6</v>
      </c>
      <c r="E7393">
        <v>18</v>
      </c>
      <c r="F7393" t="s">
        <v>14</v>
      </c>
      <c r="G7393" t="s">
        <v>27</v>
      </c>
      <c r="H7393">
        <v>0</v>
      </c>
      <c r="I7393" t="s">
        <v>27</v>
      </c>
    </row>
    <row r="7394" spans="1:9" x14ac:dyDescent="0.2">
      <c r="A7394" t="str">
        <f t="shared" si="362"/>
        <v>42614Vaipahu619Autres</v>
      </c>
      <c r="B7394" s="1">
        <v>42614</v>
      </c>
      <c r="C7394" t="s">
        <v>23</v>
      </c>
      <c r="D7394" s="19">
        <v>6</v>
      </c>
      <c r="E7394">
        <v>19</v>
      </c>
      <c r="F7394" t="s">
        <v>14</v>
      </c>
      <c r="G7394" t="s">
        <v>27</v>
      </c>
      <c r="H7394">
        <v>0</v>
      </c>
      <c r="I7394" t="s">
        <v>27</v>
      </c>
    </row>
    <row r="7395" spans="1:9" x14ac:dyDescent="0.2">
      <c r="A7395" t="str">
        <f t="shared" si="362"/>
        <v>42614Vaipahu620PocilloporidaeDessous</v>
      </c>
      <c r="B7395" s="1">
        <v>42614</v>
      </c>
      <c r="C7395" t="s">
        <v>23</v>
      </c>
      <c r="D7395" s="19">
        <v>6</v>
      </c>
      <c r="E7395">
        <v>20</v>
      </c>
      <c r="F7395" t="s">
        <v>10</v>
      </c>
      <c r="G7395" t="s">
        <v>8</v>
      </c>
      <c r="H7395">
        <v>1</v>
      </c>
      <c r="I7395" t="s">
        <v>27</v>
      </c>
    </row>
    <row r="7396" spans="1:9" x14ac:dyDescent="0.2">
      <c r="A7396" t="str">
        <f t="shared" si="362"/>
        <v>42614Vaipahu1221Autres</v>
      </c>
      <c r="B7396" s="1">
        <v>42614</v>
      </c>
      <c r="C7396" t="s">
        <v>23</v>
      </c>
      <c r="D7396" s="19">
        <v>12</v>
      </c>
      <c r="E7396">
        <v>21</v>
      </c>
      <c r="F7396" t="s">
        <v>14</v>
      </c>
      <c r="G7396" t="s">
        <v>27</v>
      </c>
      <c r="H7396">
        <v>0</v>
      </c>
      <c r="I7396" t="s">
        <v>27</v>
      </c>
    </row>
    <row r="7397" spans="1:9" x14ac:dyDescent="0.2">
      <c r="A7397" t="str">
        <f t="shared" si="362"/>
        <v>42614Vaipahu1222Autres</v>
      </c>
      <c r="B7397" s="1">
        <v>42614</v>
      </c>
      <c r="C7397" t="s">
        <v>23</v>
      </c>
      <c r="D7397" s="19">
        <v>12</v>
      </c>
      <c r="E7397">
        <v>22</v>
      </c>
      <c r="F7397" t="s">
        <v>14</v>
      </c>
      <c r="G7397" t="s">
        <v>27</v>
      </c>
      <c r="H7397">
        <v>0</v>
      </c>
      <c r="I7397" t="s">
        <v>27</v>
      </c>
    </row>
    <row r="7398" spans="1:9" x14ac:dyDescent="0.2">
      <c r="A7398" t="str">
        <f t="shared" si="362"/>
        <v>42614Vaipahu1223Autres</v>
      </c>
      <c r="B7398" s="1">
        <v>42614</v>
      </c>
      <c r="C7398" t="s">
        <v>23</v>
      </c>
      <c r="D7398" s="19">
        <v>12</v>
      </c>
      <c r="E7398">
        <v>23</v>
      </c>
      <c r="F7398" t="s">
        <v>14</v>
      </c>
      <c r="G7398" t="s">
        <v>27</v>
      </c>
      <c r="H7398">
        <v>0</v>
      </c>
      <c r="I7398" t="s">
        <v>27</v>
      </c>
    </row>
    <row r="7399" spans="1:9" x14ac:dyDescent="0.2">
      <c r="A7399" t="str">
        <f t="shared" si="362"/>
        <v>42614Vaipahu1224PoritidaeDessous</v>
      </c>
      <c r="B7399" s="1">
        <v>42614</v>
      </c>
      <c r="C7399" t="s">
        <v>23</v>
      </c>
      <c r="D7399" s="19">
        <v>12</v>
      </c>
      <c r="E7399">
        <v>24</v>
      </c>
      <c r="F7399" t="s">
        <v>7</v>
      </c>
      <c r="G7399" t="s">
        <v>8</v>
      </c>
      <c r="H7399">
        <v>2</v>
      </c>
      <c r="I7399" t="s">
        <v>27</v>
      </c>
    </row>
    <row r="7400" spans="1:9" x14ac:dyDescent="0.2">
      <c r="A7400" t="str">
        <f t="shared" si="362"/>
        <v>42614Vaipahu1225Autres</v>
      </c>
      <c r="B7400" s="1">
        <v>42614</v>
      </c>
      <c r="C7400" t="s">
        <v>23</v>
      </c>
      <c r="D7400" s="19">
        <v>12</v>
      </c>
      <c r="E7400">
        <v>25</v>
      </c>
      <c r="F7400" t="s">
        <v>14</v>
      </c>
      <c r="G7400" t="s">
        <v>27</v>
      </c>
      <c r="H7400">
        <v>0</v>
      </c>
      <c r="I7400" t="s">
        <v>27</v>
      </c>
    </row>
    <row r="7401" spans="1:9" x14ac:dyDescent="0.2">
      <c r="A7401" t="str">
        <f t="shared" si="362"/>
        <v>42614Vaipahu1226Autres</v>
      </c>
      <c r="B7401" s="1">
        <v>42614</v>
      </c>
      <c r="C7401" t="s">
        <v>23</v>
      </c>
      <c r="D7401" s="19">
        <v>12</v>
      </c>
      <c r="E7401">
        <v>26</v>
      </c>
      <c r="F7401" t="s">
        <v>14</v>
      </c>
      <c r="G7401" t="s">
        <v>27</v>
      </c>
      <c r="H7401">
        <v>0</v>
      </c>
      <c r="I7401" t="s">
        <v>27</v>
      </c>
    </row>
    <row r="7402" spans="1:9" x14ac:dyDescent="0.2">
      <c r="A7402" t="str">
        <f t="shared" si="362"/>
        <v>42614Vaipahu1227Autres</v>
      </c>
      <c r="B7402" s="1">
        <v>42614</v>
      </c>
      <c r="C7402" t="s">
        <v>23</v>
      </c>
      <c r="D7402" s="19">
        <v>12</v>
      </c>
      <c r="E7402">
        <v>27</v>
      </c>
      <c r="F7402" t="s">
        <v>14</v>
      </c>
      <c r="G7402" t="s">
        <v>27</v>
      </c>
      <c r="H7402">
        <v>0</v>
      </c>
      <c r="I7402" t="s">
        <v>27</v>
      </c>
    </row>
    <row r="7403" spans="1:9" x14ac:dyDescent="0.2">
      <c r="A7403" t="str">
        <f t="shared" si="362"/>
        <v>42614Vaipahu1228Autres</v>
      </c>
      <c r="B7403" s="1">
        <v>42614</v>
      </c>
      <c r="C7403" t="s">
        <v>23</v>
      </c>
      <c r="D7403" s="19">
        <v>12</v>
      </c>
      <c r="E7403">
        <v>28</v>
      </c>
      <c r="F7403" t="s">
        <v>14</v>
      </c>
      <c r="G7403" t="s">
        <v>27</v>
      </c>
      <c r="H7403">
        <v>0</v>
      </c>
      <c r="I7403" t="s">
        <v>27</v>
      </c>
    </row>
    <row r="7404" spans="1:9" x14ac:dyDescent="0.2">
      <c r="A7404" t="str">
        <f t="shared" si="362"/>
        <v>42614Vaipahu1229Autres</v>
      </c>
      <c r="B7404" s="1">
        <v>42614</v>
      </c>
      <c r="C7404" t="s">
        <v>23</v>
      </c>
      <c r="D7404" s="19">
        <v>12</v>
      </c>
      <c r="E7404">
        <v>29</v>
      </c>
      <c r="F7404" t="s">
        <v>14</v>
      </c>
      <c r="G7404" t="s">
        <v>27</v>
      </c>
      <c r="H7404">
        <v>0</v>
      </c>
      <c r="I7404" t="s">
        <v>27</v>
      </c>
    </row>
    <row r="7405" spans="1:9" x14ac:dyDescent="0.2">
      <c r="A7405" t="str">
        <f t="shared" si="362"/>
        <v>42614Vaipahu1230Autres</v>
      </c>
      <c r="B7405" s="1">
        <v>42614</v>
      </c>
      <c r="C7405" t="s">
        <v>23</v>
      </c>
      <c r="D7405" s="19">
        <v>12</v>
      </c>
      <c r="E7405">
        <v>30</v>
      </c>
      <c r="F7405" t="s">
        <v>14</v>
      </c>
      <c r="G7405" t="s">
        <v>27</v>
      </c>
      <c r="H7405">
        <v>0</v>
      </c>
      <c r="I7405" t="s">
        <v>27</v>
      </c>
    </row>
    <row r="7406" spans="1:9" x14ac:dyDescent="0.2">
      <c r="A7406" t="str">
        <f t="shared" si="362"/>
        <v>42614Vaipahu1231PoritidaeDessus</v>
      </c>
      <c r="B7406" s="1">
        <v>42614</v>
      </c>
      <c r="C7406" t="s">
        <v>23</v>
      </c>
      <c r="D7406" s="19">
        <v>12</v>
      </c>
      <c r="E7406">
        <v>31</v>
      </c>
      <c r="F7406" t="s">
        <v>7</v>
      </c>
      <c r="G7406" t="s">
        <v>11</v>
      </c>
      <c r="H7406">
        <v>1</v>
      </c>
      <c r="I7406" t="s">
        <v>27</v>
      </c>
    </row>
    <row r="7407" spans="1:9" x14ac:dyDescent="0.2">
      <c r="A7407" t="str">
        <f t="shared" si="362"/>
        <v>42614Vaipahu1232Autres</v>
      </c>
      <c r="B7407" s="1">
        <v>42614</v>
      </c>
      <c r="C7407" t="s">
        <v>23</v>
      </c>
      <c r="D7407" s="19">
        <v>12</v>
      </c>
      <c r="E7407">
        <v>32</v>
      </c>
      <c r="F7407" t="s">
        <v>14</v>
      </c>
      <c r="G7407" t="s">
        <v>27</v>
      </c>
      <c r="H7407">
        <v>0</v>
      </c>
      <c r="I7407" t="s">
        <v>27</v>
      </c>
    </row>
    <row r="7408" spans="1:9" x14ac:dyDescent="0.2">
      <c r="A7408" t="str">
        <f t="shared" si="362"/>
        <v>42614Vaipahu1233Autres</v>
      </c>
      <c r="B7408" s="1">
        <v>42614</v>
      </c>
      <c r="C7408" t="s">
        <v>23</v>
      </c>
      <c r="D7408" s="19">
        <v>12</v>
      </c>
      <c r="E7408">
        <v>33</v>
      </c>
      <c r="F7408" t="s">
        <v>14</v>
      </c>
      <c r="G7408" t="s">
        <v>27</v>
      </c>
      <c r="H7408">
        <v>0</v>
      </c>
      <c r="I7408" t="s">
        <v>27</v>
      </c>
    </row>
    <row r="7409" spans="1:9" x14ac:dyDescent="0.2">
      <c r="A7409" t="str">
        <f t="shared" si="362"/>
        <v>42614Vaipahu1234Autres</v>
      </c>
      <c r="B7409" s="1">
        <v>42614</v>
      </c>
      <c r="C7409" t="s">
        <v>23</v>
      </c>
      <c r="D7409" s="19">
        <v>12</v>
      </c>
      <c r="E7409">
        <v>34</v>
      </c>
      <c r="F7409" t="s">
        <v>14</v>
      </c>
      <c r="G7409" t="s">
        <v>27</v>
      </c>
      <c r="H7409">
        <v>0</v>
      </c>
      <c r="I7409" t="s">
        <v>27</v>
      </c>
    </row>
    <row r="7410" spans="1:9" x14ac:dyDescent="0.2">
      <c r="A7410" t="str">
        <f t="shared" si="362"/>
        <v>42614Vaipahu1235Autres</v>
      </c>
      <c r="B7410" s="1">
        <v>42614</v>
      </c>
      <c r="C7410" t="s">
        <v>23</v>
      </c>
      <c r="D7410" s="19">
        <v>12</v>
      </c>
      <c r="E7410">
        <v>35</v>
      </c>
      <c r="F7410" t="s">
        <v>14</v>
      </c>
      <c r="G7410" t="s">
        <v>27</v>
      </c>
      <c r="H7410">
        <v>0</v>
      </c>
      <c r="I7410" t="s">
        <v>27</v>
      </c>
    </row>
    <row r="7411" spans="1:9" x14ac:dyDescent="0.2">
      <c r="A7411" t="str">
        <f t="shared" si="362"/>
        <v>42614Vaipahu1236Autres</v>
      </c>
      <c r="B7411" s="1">
        <v>42614</v>
      </c>
      <c r="C7411" t="s">
        <v>23</v>
      </c>
      <c r="D7411" s="19">
        <v>12</v>
      </c>
      <c r="E7411">
        <v>36</v>
      </c>
      <c r="F7411" t="s">
        <v>14</v>
      </c>
      <c r="G7411" t="s">
        <v>27</v>
      </c>
      <c r="H7411">
        <v>0</v>
      </c>
      <c r="I7411" t="s">
        <v>27</v>
      </c>
    </row>
    <row r="7412" spans="1:9" x14ac:dyDescent="0.2">
      <c r="A7412" t="str">
        <f t="shared" si="362"/>
        <v>42614Vaipahu1237Autres</v>
      </c>
      <c r="B7412" s="1">
        <v>42614</v>
      </c>
      <c r="C7412" t="s">
        <v>23</v>
      </c>
      <c r="D7412" s="19">
        <v>12</v>
      </c>
      <c r="E7412">
        <v>37</v>
      </c>
      <c r="F7412" t="s">
        <v>14</v>
      </c>
      <c r="G7412" t="s">
        <v>27</v>
      </c>
      <c r="H7412">
        <v>0</v>
      </c>
      <c r="I7412" t="s">
        <v>27</v>
      </c>
    </row>
    <row r="7413" spans="1:9" x14ac:dyDescent="0.2">
      <c r="A7413" t="str">
        <f t="shared" si="362"/>
        <v>42614Vaipahu1238Autres</v>
      </c>
      <c r="B7413" s="1">
        <v>42614</v>
      </c>
      <c r="C7413" t="s">
        <v>23</v>
      </c>
      <c r="D7413" s="19">
        <v>12</v>
      </c>
      <c r="E7413">
        <v>38</v>
      </c>
      <c r="F7413" t="s">
        <v>14</v>
      </c>
      <c r="G7413" t="s">
        <v>27</v>
      </c>
      <c r="H7413">
        <v>0</v>
      </c>
      <c r="I7413" t="s">
        <v>27</v>
      </c>
    </row>
    <row r="7414" spans="1:9" x14ac:dyDescent="0.2">
      <c r="A7414" t="str">
        <f t="shared" si="362"/>
        <v>42614Vaipahu1239Autres</v>
      </c>
      <c r="B7414" s="1">
        <v>42614</v>
      </c>
      <c r="C7414" t="s">
        <v>23</v>
      </c>
      <c r="D7414" s="19">
        <v>12</v>
      </c>
      <c r="E7414">
        <v>39</v>
      </c>
      <c r="F7414" t="s">
        <v>14</v>
      </c>
      <c r="G7414" t="s">
        <v>27</v>
      </c>
      <c r="H7414">
        <v>0</v>
      </c>
      <c r="I7414" t="s">
        <v>27</v>
      </c>
    </row>
    <row r="7415" spans="1:9" x14ac:dyDescent="0.2">
      <c r="A7415" t="str">
        <f t="shared" si="362"/>
        <v>42614Vaipahu1240Autres</v>
      </c>
      <c r="B7415" s="1">
        <v>42614</v>
      </c>
      <c r="C7415" t="s">
        <v>23</v>
      </c>
      <c r="D7415" s="19">
        <v>12</v>
      </c>
      <c r="E7415">
        <v>40</v>
      </c>
      <c r="F7415" t="s">
        <v>14</v>
      </c>
      <c r="G7415" t="s">
        <v>27</v>
      </c>
      <c r="H7415">
        <v>0</v>
      </c>
      <c r="I7415" t="s">
        <v>27</v>
      </c>
    </row>
    <row r="7416" spans="1:9" x14ac:dyDescent="0.2">
      <c r="A7416" t="str">
        <f t="shared" si="362"/>
        <v>42614Vaipahu1841Autres</v>
      </c>
      <c r="B7416" s="1">
        <v>42614</v>
      </c>
      <c r="C7416" t="s">
        <v>23</v>
      </c>
      <c r="D7416" s="19">
        <v>18</v>
      </c>
      <c r="E7416">
        <v>41</v>
      </c>
      <c r="F7416" t="s">
        <v>14</v>
      </c>
      <c r="G7416" t="s">
        <v>27</v>
      </c>
      <c r="H7416">
        <v>0</v>
      </c>
      <c r="I7416" t="s">
        <v>27</v>
      </c>
    </row>
    <row r="7417" spans="1:9" x14ac:dyDescent="0.2">
      <c r="A7417" t="str">
        <f t="shared" si="362"/>
        <v>42614Vaipahu1842AcroporidaeDessous</v>
      </c>
      <c r="B7417" s="1">
        <v>42614</v>
      </c>
      <c r="C7417" t="s">
        <v>23</v>
      </c>
      <c r="D7417" s="19">
        <v>18</v>
      </c>
      <c r="E7417">
        <v>42</v>
      </c>
      <c r="F7417" t="s">
        <v>17</v>
      </c>
      <c r="G7417" t="s">
        <v>8</v>
      </c>
      <c r="H7417">
        <v>1</v>
      </c>
      <c r="I7417" t="s">
        <v>27</v>
      </c>
    </row>
    <row r="7418" spans="1:9" x14ac:dyDescent="0.2">
      <c r="A7418" t="str">
        <f t="shared" si="362"/>
        <v>42614Vaipahu1843Autres</v>
      </c>
      <c r="B7418" s="1">
        <v>42614</v>
      </c>
      <c r="C7418" t="s">
        <v>23</v>
      </c>
      <c r="D7418" s="19">
        <v>18</v>
      </c>
      <c r="E7418">
        <v>43</v>
      </c>
      <c r="F7418" t="s">
        <v>14</v>
      </c>
      <c r="G7418" t="s">
        <v>27</v>
      </c>
      <c r="H7418">
        <v>0</v>
      </c>
      <c r="I7418" t="s">
        <v>27</v>
      </c>
    </row>
    <row r="7419" spans="1:9" x14ac:dyDescent="0.2">
      <c r="A7419" t="str">
        <f t="shared" si="362"/>
        <v>42614Vaipahu1844Autres</v>
      </c>
      <c r="B7419" s="1">
        <v>42614</v>
      </c>
      <c r="C7419" t="s">
        <v>23</v>
      </c>
      <c r="D7419" s="19">
        <v>18</v>
      </c>
      <c r="E7419">
        <v>44</v>
      </c>
      <c r="F7419" t="s">
        <v>14</v>
      </c>
      <c r="G7419" t="s">
        <v>27</v>
      </c>
      <c r="H7419">
        <v>0</v>
      </c>
      <c r="I7419" t="s">
        <v>27</v>
      </c>
    </row>
    <row r="7420" spans="1:9" x14ac:dyDescent="0.2">
      <c r="A7420" t="str">
        <f t="shared" si="362"/>
        <v>42614Vaipahu1845Autres</v>
      </c>
      <c r="B7420" s="1">
        <v>42614</v>
      </c>
      <c r="C7420" t="s">
        <v>23</v>
      </c>
      <c r="D7420" s="19">
        <v>18</v>
      </c>
      <c r="E7420">
        <v>45</v>
      </c>
      <c r="F7420" t="s">
        <v>14</v>
      </c>
      <c r="G7420" t="s">
        <v>27</v>
      </c>
      <c r="H7420">
        <v>0</v>
      </c>
      <c r="I7420" t="s">
        <v>27</v>
      </c>
    </row>
    <row r="7421" spans="1:9" x14ac:dyDescent="0.2">
      <c r="A7421" t="str">
        <f t="shared" si="362"/>
        <v>42614Vaipahu1846Autres</v>
      </c>
      <c r="B7421" s="1">
        <v>42614</v>
      </c>
      <c r="C7421" t="s">
        <v>23</v>
      </c>
      <c r="D7421" s="19">
        <v>18</v>
      </c>
      <c r="E7421">
        <v>46</v>
      </c>
      <c r="F7421" t="s">
        <v>14</v>
      </c>
      <c r="G7421" t="s">
        <v>27</v>
      </c>
      <c r="H7421">
        <v>0</v>
      </c>
      <c r="I7421" t="s">
        <v>27</v>
      </c>
    </row>
    <row r="7422" spans="1:9" x14ac:dyDescent="0.2">
      <c r="A7422" t="str">
        <f t="shared" si="362"/>
        <v>42614Vaipahu1847Autres</v>
      </c>
      <c r="B7422" s="1">
        <v>42614</v>
      </c>
      <c r="C7422" t="s">
        <v>23</v>
      </c>
      <c r="D7422" s="19">
        <v>18</v>
      </c>
      <c r="E7422">
        <v>47</v>
      </c>
      <c r="F7422" t="s">
        <v>14</v>
      </c>
      <c r="G7422" t="s">
        <v>27</v>
      </c>
      <c r="H7422">
        <v>0</v>
      </c>
      <c r="I7422" t="s">
        <v>27</v>
      </c>
    </row>
    <row r="7423" spans="1:9" x14ac:dyDescent="0.2">
      <c r="A7423" t="str">
        <f t="shared" ref="A7423:A7486" si="363">B7423 &amp; C7423&amp; D7423&amp; E7423 &amp; F7423 &amp;G7423</f>
        <v>42614Vaipahu1848Autres</v>
      </c>
      <c r="B7423" s="1">
        <v>42614</v>
      </c>
      <c r="C7423" t="s">
        <v>23</v>
      </c>
      <c r="D7423" s="19">
        <v>18</v>
      </c>
      <c r="E7423">
        <v>48</v>
      </c>
      <c r="F7423" t="s">
        <v>14</v>
      </c>
      <c r="G7423" t="s">
        <v>27</v>
      </c>
      <c r="H7423">
        <v>0</v>
      </c>
      <c r="I7423" t="s">
        <v>27</v>
      </c>
    </row>
    <row r="7424" spans="1:9" x14ac:dyDescent="0.2">
      <c r="A7424" t="str">
        <f t="shared" si="363"/>
        <v>42614Vaipahu1849Autres</v>
      </c>
      <c r="B7424" s="1">
        <v>42614</v>
      </c>
      <c r="C7424" t="s">
        <v>23</v>
      </c>
      <c r="D7424" s="19">
        <v>18</v>
      </c>
      <c r="E7424">
        <v>49</v>
      </c>
      <c r="F7424" t="s">
        <v>14</v>
      </c>
      <c r="G7424" t="s">
        <v>27</v>
      </c>
      <c r="H7424">
        <v>0</v>
      </c>
      <c r="I7424" t="s">
        <v>27</v>
      </c>
    </row>
    <row r="7425" spans="1:9" x14ac:dyDescent="0.2">
      <c r="A7425" t="str">
        <f t="shared" si="363"/>
        <v>42614Vaipahu1850Autres</v>
      </c>
      <c r="B7425" s="1">
        <v>42614</v>
      </c>
      <c r="C7425" t="s">
        <v>23</v>
      </c>
      <c r="D7425" s="19">
        <v>18</v>
      </c>
      <c r="E7425">
        <v>50</v>
      </c>
      <c r="F7425" t="s">
        <v>14</v>
      </c>
      <c r="G7425" t="s">
        <v>27</v>
      </c>
      <c r="H7425">
        <v>0</v>
      </c>
      <c r="I7425" t="s">
        <v>27</v>
      </c>
    </row>
    <row r="7426" spans="1:9" x14ac:dyDescent="0.2">
      <c r="A7426" t="str">
        <f t="shared" si="363"/>
        <v>42614Vaipahu1851Autres</v>
      </c>
      <c r="B7426" s="1">
        <v>42614</v>
      </c>
      <c r="C7426" t="s">
        <v>23</v>
      </c>
      <c r="D7426" s="19">
        <v>18</v>
      </c>
      <c r="E7426">
        <v>51</v>
      </c>
      <c r="F7426" t="s">
        <v>14</v>
      </c>
      <c r="G7426" t="s">
        <v>27</v>
      </c>
      <c r="H7426">
        <v>0</v>
      </c>
      <c r="I7426" t="s">
        <v>27</v>
      </c>
    </row>
    <row r="7427" spans="1:9" x14ac:dyDescent="0.2">
      <c r="A7427" t="str">
        <f t="shared" si="363"/>
        <v>42614Vaipahu1852Autres</v>
      </c>
      <c r="B7427" s="1">
        <v>42614</v>
      </c>
      <c r="C7427" t="s">
        <v>23</v>
      </c>
      <c r="D7427" s="19">
        <v>18</v>
      </c>
      <c r="E7427">
        <v>52</v>
      </c>
      <c r="F7427" t="s">
        <v>14</v>
      </c>
      <c r="G7427" t="s">
        <v>27</v>
      </c>
      <c r="H7427">
        <v>0</v>
      </c>
      <c r="I7427" t="s">
        <v>27</v>
      </c>
    </row>
    <row r="7428" spans="1:9" x14ac:dyDescent="0.2">
      <c r="A7428" t="str">
        <f t="shared" si="363"/>
        <v>42614Vaipahu1853Autres</v>
      </c>
      <c r="B7428" s="1">
        <v>42614</v>
      </c>
      <c r="C7428" t="s">
        <v>23</v>
      </c>
      <c r="D7428" s="19">
        <v>18</v>
      </c>
      <c r="E7428">
        <v>53</v>
      </c>
      <c r="F7428" t="s">
        <v>14</v>
      </c>
      <c r="G7428" t="s">
        <v>27</v>
      </c>
      <c r="H7428">
        <v>0</v>
      </c>
      <c r="I7428" t="s">
        <v>27</v>
      </c>
    </row>
    <row r="7429" spans="1:9" x14ac:dyDescent="0.2">
      <c r="A7429" t="str">
        <f t="shared" si="363"/>
        <v>42614Vaipahu1854Autres</v>
      </c>
      <c r="B7429" s="1">
        <v>42614</v>
      </c>
      <c r="C7429" t="s">
        <v>23</v>
      </c>
      <c r="D7429" s="19">
        <v>18</v>
      </c>
      <c r="E7429">
        <v>54</v>
      </c>
      <c r="F7429" t="s">
        <v>14</v>
      </c>
      <c r="G7429" t="s">
        <v>27</v>
      </c>
      <c r="H7429">
        <v>0</v>
      </c>
      <c r="I7429" t="s">
        <v>27</v>
      </c>
    </row>
    <row r="7430" spans="1:9" x14ac:dyDescent="0.2">
      <c r="A7430" t="str">
        <f t="shared" si="363"/>
        <v>42614Vaipahu1855Autres</v>
      </c>
      <c r="B7430" s="1">
        <v>42614</v>
      </c>
      <c r="C7430" t="s">
        <v>23</v>
      </c>
      <c r="D7430" s="19">
        <v>18</v>
      </c>
      <c r="E7430">
        <v>55</v>
      </c>
      <c r="F7430" t="s">
        <v>14</v>
      </c>
      <c r="G7430" t="s">
        <v>27</v>
      </c>
      <c r="H7430">
        <v>0</v>
      </c>
      <c r="I7430" t="s">
        <v>27</v>
      </c>
    </row>
    <row r="7431" spans="1:9" x14ac:dyDescent="0.2">
      <c r="A7431" t="str">
        <f t="shared" si="363"/>
        <v>42614Vaipahu1856Autres</v>
      </c>
      <c r="B7431" s="1">
        <v>42614</v>
      </c>
      <c r="C7431" t="s">
        <v>23</v>
      </c>
      <c r="D7431" s="19">
        <v>18</v>
      </c>
      <c r="E7431">
        <v>56</v>
      </c>
      <c r="F7431" t="s">
        <v>14</v>
      </c>
      <c r="G7431" t="s">
        <v>27</v>
      </c>
      <c r="H7431">
        <v>0</v>
      </c>
      <c r="I7431" t="s">
        <v>27</v>
      </c>
    </row>
    <row r="7432" spans="1:9" x14ac:dyDescent="0.2">
      <c r="A7432" t="str">
        <f t="shared" si="363"/>
        <v>42614Vaipahu1857Autres</v>
      </c>
      <c r="B7432" s="1">
        <v>42614</v>
      </c>
      <c r="C7432" t="s">
        <v>23</v>
      </c>
      <c r="D7432" s="19">
        <v>18</v>
      </c>
      <c r="E7432">
        <v>57</v>
      </c>
      <c r="F7432" t="s">
        <v>14</v>
      </c>
      <c r="G7432" t="s">
        <v>27</v>
      </c>
      <c r="H7432">
        <v>0</v>
      </c>
      <c r="I7432" t="s">
        <v>27</v>
      </c>
    </row>
    <row r="7433" spans="1:9" x14ac:dyDescent="0.2">
      <c r="A7433" t="str">
        <f t="shared" si="363"/>
        <v>42614Vaipahu1858Autres</v>
      </c>
      <c r="B7433" s="1">
        <v>42614</v>
      </c>
      <c r="C7433" t="s">
        <v>23</v>
      </c>
      <c r="D7433" s="19">
        <v>18</v>
      </c>
      <c r="E7433">
        <v>58</v>
      </c>
      <c r="F7433" t="s">
        <v>14</v>
      </c>
      <c r="G7433" t="s">
        <v>27</v>
      </c>
      <c r="H7433">
        <v>0</v>
      </c>
      <c r="I7433" t="s">
        <v>27</v>
      </c>
    </row>
    <row r="7434" spans="1:9" x14ac:dyDescent="0.2">
      <c r="A7434" t="str">
        <f t="shared" si="363"/>
        <v>42614Vaipahu1859Autres</v>
      </c>
      <c r="B7434" s="1">
        <v>42614</v>
      </c>
      <c r="C7434" t="s">
        <v>23</v>
      </c>
      <c r="D7434" s="19">
        <v>18</v>
      </c>
      <c r="E7434">
        <v>59</v>
      </c>
      <c r="F7434" t="s">
        <v>14</v>
      </c>
      <c r="G7434" t="s">
        <v>27</v>
      </c>
      <c r="H7434">
        <v>0</v>
      </c>
      <c r="I7434" t="s">
        <v>27</v>
      </c>
    </row>
    <row r="7435" spans="1:9" x14ac:dyDescent="0.2">
      <c r="A7435" t="str">
        <f t="shared" si="363"/>
        <v>42614Vaipahu1860Autres</v>
      </c>
      <c r="B7435" s="1">
        <v>42614</v>
      </c>
      <c r="C7435" t="s">
        <v>23</v>
      </c>
      <c r="D7435" s="19">
        <v>18</v>
      </c>
      <c r="E7435">
        <v>60</v>
      </c>
      <c r="F7435" t="s">
        <v>14</v>
      </c>
      <c r="G7435" t="s">
        <v>27</v>
      </c>
      <c r="H7435">
        <v>0</v>
      </c>
      <c r="I7435" t="s">
        <v>27</v>
      </c>
    </row>
    <row r="7436" spans="1:9" x14ac:dyDescent="0.2">
      <c r="A7436" t="str">
        <f t="shared" si="363"/>
        <v>42614Tiahura661CassésDessous</v>
      </c>
      <c r="B7436" s="1">
        <v>42614</v>
      </c>
      <c r="C7436" t="s">
        <v>24</v>
      </c>
      <c r="D7436" s="19">
        <v>6</v>
      </c>
      <c r="E7436">
        <v>61</v>
      </c>
      <c r="F7436" t="s">
        <v>12</v>
      </c>
      <c r="G7436" t="s">
        <v>8</v>
      </c>
      <c r="H7436">
        <v>1</v>
      </c>
      <c r="I7436" t="s">
        <v>27</v>
      </c>
    </row>
    <row r="7437" spans="1:9" x14ac:dyDescent="0.2">
      <c r="A7437" t="str">
        <f t="shared" si="363"/>
        <v>42614Tiahura662AcroporidaeDessous</v>
      </c>
      <c r="B7437" s="1">
        <v>42614</v>
      </c>
      <c r="C7437" t="s">
        <v>24</v>
      </c>
      <c r="D7437" s="19">
        <v>6</v>
      </c>
      <c r="E7437">
        <v>62</v>
      </c>
      <c r="F7437" t="s">
        <v>17</v>
      </c>
      <c r="G7437" t="s">
        <v>8</v>
      </c>
      <c r="H7437">
        <v>2</v>
      </c>
      <c r="I7437" t="s">
        <v>27</v>
      </c>
    </row>
    <row r="7438" spans="1:9" x14ac:dyDescent="0.2">
      <c r="A7438" t="str">
        <f t="shared" si="363"/>
        <v>42614Tiahura663Autres</v>
      </c>
      <c r="B7438" s="1">
        <v>42614</v>
      </c>
      <c r="C7438" t="s">
        <v>24</v>
      </c>
      <c r="D7438" s="19">
        <v>6</v>
      </c>
      <c r="E7438">
        <v>63</v>
      </c>
      <c r="F7438" t="s">
        <v>14</v>
      </c>
      <c r="G7438" t="s">
        <v>27</v>
      </c>
      <c r="H7438">
        <v>0</v>
      </c>
      <c r="I7438" t="s">
        <v>27</v>
      </c>
    </row>
    <row r="7439" spans="1:9" x14ac:dyDescent="0.2">
      <c r="A7439" t="str">
        <f t="shared" si="363"/>
        <v>42614Tiahura664Autres</v>
      </c>
      <c r="B7439" s="1">
        <v>42614</v>
      </c>
      <c r="C7439" t="s">
        <v>24</v>
      </c>
      <c r="D7439" s="19">
        <v>6</v>
      </c>
      <c r="E7439">
        <v>64</v>
      </c>
      <c r="F7439" t="s">
        <v>14</v>
      </c>
      <c r="G7439" t="s">
        <v>27</v>
      </c>
      <c r="H7439">
        <v>0</v>
      </c>
      <c r="I7439" t="s">
        <v>27</v>
      </c>
    </row>
    <row r="7440" spans="1:9" x14ac:dyDescent="0.2">
      <c r="A7440" t="str">
        <f t="shared" si="363"/>
        <v>42614Tiahura665Autres</v>
      </c>
      <c r="B7440" s="1">
        <v>42614</v>
      </c>
      <c r="C7440" t="s">
        <v>24</v>
      </c>
      <c r="D7440" s="19">
        <v>6</v>
      </c>
      <c r="E7440">
        <v>65</v>
      </c>
      <c r="F7440" t="s">
        <v>14</v>
      </c>
      <c r="G7440" t="s">
        <v>27</v>
      </c>
      <c r="H7440">
        <v>0</v>
      </c>
      <c r="I7440" t="s">
        <v>27</v>
      </c>
    </row>
    <row r="7441" spans="1:9" x14ac:dyDescent="0.2">
      <c r="A7441" t="str">
        <f t="shared" si="363"/>
        <v>42614Tiahura666Autres</v>
      </c>
      <c r="B7441" s="1">
        <v>42614</v>
      </c>
      <c r="C7441" t="s">
        <v>24</v>
      </c>
      <c r="D7441" s="19">
        <v>6</v>
      </c>
      <c r="E7441">
        <v>66</v>
      </c>
      <c r="F7441" t="s">
        <v>14</v>
      </c>
      <c r="G7441" t="s">
        <v>27</v>
      </c>
      <c r="H7441">
        <v>0</v>
      </c>
      <c r="I7441" t="s">
        <v>27</v>
      </c>
    </row>
    <row r="7442" spans="1:9" x14ac:dyDescent="0.2">
      <c r="A7442" t="str">
        <f t="shared" si="363"/>
        <v>42614Tiahura667Autres</v>
      </c>
      <c r="B7442" s="1">
        <v>42614</v>
      </c>
      <c r="C7442" t="s">
        <v>24</v>
      </c>
      <c r="D7442" s="19">
        <v>6</v>
      </c>
      <c r="E7442">
        <v>67</v>
      </c>
      <c r="F7442" t="s">
        <v>14</v>
      </c>
      <c r="G7442" t="s">
        <v>27</v>
      </c>
      <c r="H7442">
        <v>0</v>
      </c>
      <c r="I7442" t="s">
        <v>27</v>
      </c>
    </row>
    <row r="7443" spans="1:9" x14ac:dyDescent="0.2">
      <c r="A7443" t="str">
        <f t="shared" si="363"/>
        <v>42614Tiahura668Autres</v>
      </c>
      <c r="B7443" s="1">
        <v>42614</v>
      </c>
      <c r="C7443" t="s">
        <v>24</v>
      </c>
      <c r="D7443" s="19">
        <v>6</v>
      </c>
      <c r="E7443">
        <v>68</v>
      </c>
      <c r="F7443" t="s">
        <v>14</v>
      </c>
      <c r="G7443" t="s">
        <v>27</v>
      </c>
      <c r="H7443">
        <v>0</v>
      </c>
      <c r="I7443" t="s">
        <v>27</v>
      </c>
    </row>
    <row r="7444" spans="1:9" x14ac:dyDescent="0.2">
      <c r="A7444" t="str">
        <f t="shared" si="363"/>
        <v>42614Tiahura669Autres</v>
      </c>
      <c r="B7444" s="1">
        <v>42614</v>
      </c>
      <c r="C7444" t="s">
        <v>24</v>
      </c>
      <c r="D7444" s="19">
        <v>6</v>
      </c>
      <c r="E7444">
        <v>69</v>
      </c>
      <c r="F7444" t="s">
        <v>14</v>
      </c>
      <c r="G7444" t="s">
        <v>27</v>
      </c>
      <c r="H7444">
        <v>0</v>
      </c>
      <c r="I7444" t="s">
        <v>27</v>
      </c>
    </row>
    <row r="7445" spans="1:9" x14ac:dyDescent="0.2">
      <c r="A7445" t="str">
        <f t="shared" si="363"/>
        <v>42614Tiahura670Autres</v>
      </c>
      <c r="B7445" s="1">
        <v>42614</v>
      </c>
      <c r="C7445" t="s">
        <v>24</v>
      </c>
      <c r="D7445" s="19">
        <v>6</v>
      </c>
      <c r="E7445">
        <v>70</v>
      </c>
      <c r="F7445" t="s">
        <v>14</v>
      </c>
      <c r="G7445" t="s">
        <v>27</v>
      </c>
      <c r="H7445">
        <v>0</v>
      </c>
      <c r="I7445" t="s">
        <v>27</v>
      </c>
    </row>
    <row r="7446" spans="1:9" x14ac:dyDescent="0.2">
      <c r="A7446" t="str">
        <f t="shared" si="363"/>
        <v>42614Tiahura671Autres</v>
      </c>
      <c r="B7446" s="1">
        <v>42614</v>
      </c>
      <c r="C7446" t="s">
        <v>24</v>
      </c>
      <c r="D7446" s="19">
        <v>6</v>
      </c>
      <c r="E7446">
        <v>71</v>
      </c>
      <c r="F7446" t="s">
        <v>14</v>
      </c>
      <c r="G7446" t="s">
        <v>27</v>
      </c>
      <c r="H7446">
        <v>0</v>
      </c>
      <c r="I7446" t="s">
        <v>27</v>
      </c>
    </row>
    <row r="7447" spans="1:9" x14ac:dyDescent="0.2">
      <c r="A7447" t="str">
        <f t="shared" si="363"/>
        <v>42614Tiahura672Autres</v>
      </c>
      <c r="B7447" s="1">
        <v>42614</v>
      </c>
      <c r="C7447" t="s">
        <v>24</v>
      </c>
      <c r="D7447" s="19">
        <v>6</v>
      </c>
      <c r="E7447">
        <v>72</v>
      </c>
      <c r="F7447" t="s">
        <v>14</v>
      </c>
      <c r="G7447" t="s">
        <v>27</v>
      </c>
      <c r="H7447">
        <v>0</v>
      </c>
      <c r="I7447" t="s">
        <v>27</v>
      </c>
    </row>
    <row r="7448" spans="1:9" x14ac:dyDescent="0.2">
      <c r="A7448" t="str">
        <f t="shared" si="363"/>
        <v>42614Tiahura673Autres</v>
      </c>
      <c r="B7448" s="1">
        <v>42614</v>
      </c>
      <c r="C7448" t="s">
        <v>24</v>
      </c>
      <c r="D7448" s="19">
        <v>6</v>
      </c>
      <c r="E7448">
        <v>73</v>
      </c>
      <c r="F7448" t="s">
        <v>14</v>
      </c>
      <c r="G7448" t="s">
        <v>27</v>
      </c>
      <c r="H7448">
        <v>0</v>
      </c>
      <c r="I7448" t="s">
        <v>27</v>
      </c>
    </row>
    <row r="7449" spans="1:9" x14ac:dyDescent="0.2">
      <c r="A7449" t="str">
        <f t="shared" si="363"/>
        <v>42614Tiahura674Autres</v>
      </c>
      <c r="B7449" s="1">
        <v>42614</v>
      </c>
      <c r="C7449" t="s">
        <v>24</v>
      </c>
      <c r="D7449" s="19">
        <v>6</v>
      </c>
      <c r="E7449">
        <v>74</v>
      </c>
      <c r="F7449" t="s">
        <v>14</v>
      </c>
      <c r="G7449" t="s">
        <v>27</v>
      </c>
      <c r="H7449">
        <v>0</v>
      </c>
      <c r="I7449" t="s">
        <v>27</v>
      </c>
    </row>
    <row r="7450" spans="1:9" x14ac:dyDescent="0.2">
      <c r="A7450" t="str">
        <f t="shared" si="363"/>
        <v>42614Tiahura675AcroporidaeBords</v>
      </c>
      <c r="B7450" s="1">
        <v>42614</v>
      </c>
      <c r="C7450" t="s">
        <v>24</v>
      </c>
      <c r="D7450" s="19">
        <v>6</v>
      </c>
      <c r="E7450">
        <v>75</v>
      </c>
      <c r="F7450" t="s">
        <v>17</v>
      </c>
      <c r="G7450" t="s">
        <v>13</v>
      </c>
      <c r="H7450">
        <v>1</v>
      </c>
      <c r="I7450" t="s">
        <v>27</v>
      </c>
    </row>
    <row r="7451" spans="1:9" x14ac:dyDescent="0.2">
      <c r="A7451" t="str">
        <f t="shared" si="363"/>
        <v>42614Tiahura676Autres</v>
      </c>
      <c r="B7451" s="1">
        <v>42614</v>
      </c>
      <c r="C7451" t="s">
        <v>24</v>
      </c>
      <c r="D7451" s="19">
        <v>6</v>
      </c>
      <c r="E7451">
        <v>76</v>
      </c>
      <c r="F7451" t="s">
        <v>14</v>
      </c>
      <c r="G7451" t="s">
        <v>27</v>
      </c>
      <c r="H7451">
        <v>0</v>
      </c>
      <c r="I7451" t="s">
        <v>27</v>
      </c>
    </row>
    <row r="7452" spans="1:9" x14ac:dyDescent="0.2">
      <c r="A7452" t="str">
        <f t="shared" si="363"/>
        <v>42614Tiahura677Autres</v>
      </c>
      <c r="B7452" s="1">
        <v>42614</v>
      </c>
      <c r="C7452" t="s">
        <v>24</v>
      </c>
      <c r="D7452" s="19">
        <v>6</v>
      </c>
      <c r="E7452">
        <v>77</v>
      </c>
      <c r="F7452" t="s">
        <v>14</v>
      </c>
      <c r="G7452" t="s">
        <v>27</v>
      </c>
      <c r="H7452">
        <v>0</v>
      </c>
      <c r="I7452" t="s">
        <v>27</v>
      </c>
    </row>
    <row r="7453" spans="1:9" x14ac:dyDescent="0.2">
      <c r="A7453" t="str">
        <f t="shared" si="363"/>
        <v>42614Tiahura678Autres</v>
      </c>
      <c r="B7453" s="1">
        <v>42614</v>
      </c>
      <c r="C7453" t="s">
        <v>24</v>
      </c>
      <c r="D7453" s="19">
        <v>6</v>
      </c>
      <c r="E7453">
        <v>78</v>
      </c>
      <c r="F7453" t="s">
        <v>14</v>
      </c>
      <c r="G7453" t="s">
        <v>27</v>
      </c>
      <c r="H7453">
        <v>0</v>
      </c>
      <c r="I7453" t="s">
        <v>27</v>
      </c>
    </row>
    <row r="7454" spans="1:9" x14ac:dyDescent="0.2">
      <c r="A7454" t="str">
        <f t="shared" si="363"/>
        <v>42614Tiahura679Autres</v>
      </c>
      <c r="B7454" s="1">
        <v>42614</v>
      </c>
      <c r="C7454" t="s">
        <v>24</v>
      </c>
      <c r="D7454" s="19">
        <v>6</v>
      </c>
      <c r="E7454">
        <v>79</v>
      </c>
      <c r="F7454" t="s">
        <v>14</v>
      </c>
      <c r="G7454" t="s">
        <v>27</v>
      </c>
      <c r="H7454">
        <v>0</v>
      </c>
      <c r="I7454" t="s">
        <v>27</v>
      </c>
    </row>
    <row r="7455" spans="1:9" x14ac:dyDescent="0.2">
      <c r="A7455" t="str">
        <f t="shared" si="363"/>
        <v>42614Tiahura680Autres</v>
      </c>
      <c r="B7455" s="1">
        <v>42614</v>
      </c>
      <c r="C7455" t="s">
        <v>24</v>
      </c>
      <c r="D7455" s="19">
        <v>6</v>
      </c>
      <c r="E7455">
        <v>80</v>
      </c>
      <c r="F7455" t="s">
        <v>14</v>
      </c>
      <c r="G7455" t="s">
        <v>27</v>
      </c>
      <c r="H7455">
        <v>0</v>
      </c>
      <c r="I7455" t="s">
        <v>27</v>
      </c>
    </row>
    <row r="7456" spans="1:9" x14ac:dyDescent="0.2">
      <c r="A7456" t="str">
        <f t="shared" si="363"/>
        <v>42614Tiahura1281Autres</v>
      </c>
      <c r="B7456" s="1">
        <v>42614</v>
      </c>
      <c r="C7456" t="s">
        <v>24</v>
      </c>
      <c r="D7456" s="19">
        <v>12</v>
      </c>
      <c r="E7456">
        <v>81</v>
      </c>
      <c r="F7456" t="s">
        <v>14</v>
      </c>
      <c r="G7456" t="s">
        <v>27</v>
      </c>
      <c r="H7456">
        <v>0</v>
      </c>
      <c r="I7456" t="s">
        <v>27</v>
      </c>
    </row>
    <row r="7457" spans="1:9" x14ac:dyDescent="0.2">
      <c r="A7457" t="str">
        <f t="shared" si="363"/>
        <v>42614Tiahura1282Autres</v>
      </c>
      <c r="B7457" s="1">
        <v>42614</v>
      </c>
      <c r="C7457" t="s">
        <v>24</v>
      </c>
      <c r="D7457" s="19">
        <v>12</v>
      </c>
      <c r="E7457">
        <v>82</v>
      </c>
      <c r="F7457" t="s">
        <v>14</v>
      </c>
      <c r="G7457" t="s">
        <v>27</v>
      </c>
      <c r="H7457">
        <v>0</v>
      </c>
      <c r="I7457" t="s">
        <v>27</v>
      </c>
    </row>
    <row r="7458" spans="1:9" x14ac:dyDescent="0.2">
      <c r="A7458" t="str">
        <f t="shared" si="363"/>
        <v>42614Tiahura1283PoritidaeDessous</v>
      </c>
      <c r="B7458" s="1">
        <v>42614</v>
      </c>
      <c r="C7458" t="s">
        <v>24</v>
      </c>
      <c r="D7458" s="19">
        <v>12</v>
      </c>
      <c r="E7458">
        <v>83</v>
      </c>
      <c r="F7458" t="s">
        <v>7</v>
      </c>
      <c r="G7458" t="s">
        <v>8</v>
      </c>
      <c r="H7458">
        <v>1</v>
      </c>
      <c r="I7458" t="s">
        <v>27</v>
      </c>
    </row>
    <row r="7459" spans="1:9" x14ac:dyDescent="0.2">
      <c r="A7459" t="str">
        <f t="shared" si="363"/>
        <v>42614Tiahura1284Autres</v>
      </c>
      <c r="B7459" s="1">
        <v>42614</v>
      </c>
      <c r="C7459" t="s">
        <v>24</v>
      </c>
      <c r="D7459" s="19">
        <v>12</v>
      </c>
      <c r="E7459">
        <v>84</v>
      </c>
      <c r="F7459" t="s">
        <v>14</v>
      </c>
      <c r="G7459" t="s">
        <v>27</v>
      </c>
      <c r="H7459">
        <v>0</v>
      </c>
      <c r="I7459" t="s">
        <v>27</v>
      </c>
    </row>
    <row r="7460" spans="1:9" x14ac:dyDescent="0.2">
      <c r="A7460" t="str">
        <f t="shared" si="363"/>
        <v>42614Tiahura1285Autres</v>
      </c>
      <c r="B7460" s="1">
        <v>42614</v>
      </c>
      <c r="C7460" t="s">
        <v>24</v>
      </c>
      <c r="D7460" s="19">
        <v>12</v>
      </c>
      <c r="E7460">
        <v>85</v>
      </c>
      <c r="F7460" t="s">
        <v>14</v>
      </c>
      <c r="G7460" t="s">
        <v>27</v>
      </c>
      <c r="H7460">
        <v>1</v>
      </c>
      <c r="I7460" t="s">
        <v>27</v>
      </c>
    </row>
    <row r="7461" spans="1:9" x14ac:dyDescent="0.2">
      <c r="A7461" t="str">
        <f t="shared" si="363"/>
        <v>42614Tiahura1286Autres</v>
      </c>
      <c r="B7461" s="1">
        <v>42614</v>
      </c>
      <c r="C7461" t="s">
        <v>24</v>
      </c>
      <c r="D7461" s="19">
        <v>12</v>
      </c>
      <c r="E7461">
        <v>86</v>
      </c>
      <c r="F7461" t="s">
        <v>14</v>
      </c>
      <c r="G7461" t="s">
        <v>27</v>
      </c>
      <c r="H7461">
        <v>0</v>
      </c>
      <c r="I7461" t="s">
        <v>27</v>
      </c>
    </row>
    <row r="7462" spans="1:9" x14ac:dyDescent="0.2">
      <c r="A7462" t="str">
        <f t="shared" si="363"/>
        <v>42614Tiahura1287Autres</v>
      </c>
      <c r="B7462" s="1">
        <v>42614</v>
      </c>
      <c r="C7462" t="s">
        <v>24</v>
      </c>
      <c r="D7462" s="19">
        <v>12</v>
      </c>
      <c r="E7462">
        <v>87</v>
      </c>
      <c r="F7462" t="s">
        <v>14</v>
      </c>
      <c r="G7462" t="s">
        <v>27</v>
      </c>
      <c r="H7462">
        <v>1</v>
      </c>
      <c r="I7462" t="s">
        <v>27</v>
      </c>
    </row>
    <row r="7463" spans="1:9" x14ac:dyDescent="0.2">
      <c r="A7463" t="str">
        <f t="shared" si="363"/>
        <v>42614Tiahura1288PoritidaeDessous</v>
      </c>
      <c r="B7463" s="1">
        <v>42614</v>
      </c>
      <c r="C7463" t="s">
        <v>24</v>
      </c>
      <c r="D7463" s="19">
        <v>12</v>
      </c>
      <c r="E7463">
        <v>88</v>
      </c>
      <c r="F7463" t="s">
        <v>7</v>
      </c>
      <c r="G7463" t="s">
        <v>8</v>
      </c>
      <c r="H7463">
        <v>2</v>
      </c>
      <c r="I7463" t="s">
        <v>27</v>
      </c>
    </row>
    <row r="7464" spans="1:9" x14ac:dyDescent="0.2">
      <c r="A7464" t="str">
        <f t="shared" si="363"/>
        <v>42614Tiahura1289PoritidaeBords</v>
      </c>
      <c r="B7464" s="1">
        <v>42614</v>
      </c>
      <c r="C7464" t="s">
        <v>24</v>
      </c>
      <c r="D7464" s="19">
        <v>12</v>
      </c>
      <c r="E7464">
        <v>89</v>
      </c>
      <c r="F7464" t="s">
        <v>7</v>
      </c>
      <c r="G7464" t="s">
        <v>13</v>
      </c>
      <c r="H7464">
        <v>1</v>
      </c>
      <c r="I7464" t="s">
        <v>27</v>
      </c>
    </row>
    <row r="7465" spans="1:9" x14ac:dyDescent="0.2">
      <c r="A7465" t="str">
        <f t="shared" si="363"/>
        <v>42614Tiahura1290PoritidaeDessous</v>
      </c>
      <c r="B7465" s="1">
        <v>42614</v>
      </c>
      <c r="C7465" t="s">
        <v>24</v>
      </c>
      <c r="D7465" s="19">
        <v>12</v>
      </c>
      <c r="E7465">
        <v>90</v>
      </c>
      <c r="F7465" t="s">
        <v>7</v>
      </c>
      <c r="G7465" t="s">
        <v>8</v>
      </c>
      <c r="H7465">
        <v>1</v>
      </c>
      <c r="I7465" t="s">
        <v>27</v>
      </c>
    </row>
    <row r="7466" spans="1:9" x14ac:dyDescent="0.2">
      <c r="A7466" t="str">
        <f t="shared" si="363"/>
        <v>42614Tiahura1291PoritidaeDessous</v>
      </c>
      <c r="B7466" s="1">
        <v>42614</v>
      </c>
      <c r="C7466" t="s">
        <v>24</v>
      </c>
      <c r="D7466" s="19">
        <v>12</v>
      </c>
      <c r="E7466">
        <v>91</v>
      </c>
      <c r="F7466" t="s">
        <v>7</v>
      </c>
      <c r="G7466" t="s">
        <v>8</v>
      </c>
      <c r="H7466">
        <v>3</v>
      </c>
      <c r="I7466" t="s">
        <v>27</v>
      </c>
    </row>
    <row r="7467" spans="1:9" x14ac:dyDescent="0.2">
      <c r="A7467" t="str">
        <f t="shared" si="363"/>
        <v>42614Tiahura1292Autres</v>
      </c>
      <c r="B7467" s="1">
        <v>42614</v>
      </c>
      <c r="C7467" t="s">
        <v>24</v>
      </c>
      <c r="D7467" s="19">
        <v>12</v>
      </c>
      <c r="E7467">
        <v>92</v>
      </c>
      <c r="F7467" t="s">
        <v>14</v>
      </c>
      <c r="G7467" t="s">
        <v>27</v>
      </c>
      <c r="H7467">
        <v>0</v>
      </c>
      <c r="I7467" t="s">
        <v>27</v>
      </c>
    </row>
    <row r="7468" spans="1:9" x14ac:dyDescent="0.2">
      <c r="A7468" t="str">
        <f t="shared" si="363"/>
        <v>42614Tiahura1293Autres</v>
      </c>
      <c r="B7468" s="1">
        <v>42614</v>
      </c>
      <c r="C7468" t="s">
        <v>24</v>
      </c>
      <c r="D7468" s="19">
        <v>12</v>
      </c>
      <c r="E7468">
        <v>93</v>
      </c>
      <c r="F7468" t="s">
        <v>14</v>
      </c>
      <c r="G7468" t="s">
        <v>27</v>
      </c>
      <c r="H7468">
        <v>0</v>
      </c>
      <c r="I7468" t="s">
        <v>27</v>
      </c>
    </row>
    <row r="7469" spans="1:9" x14ac:dyDescent="0.2">
      <c r="A7469" t="str">
        <f t="shared" si="363"/>
        <v>42614Tiahura1294Autres</v>
      </c>
      <c r="B7469" s="1">
        <v>42614</v>
      </c>
      <c r="C7469" t="s">
        <v>24</v>
      </c>
      <c r="D7469" s="19">
        <v>12</v>
      </c>
      <c r="E7469">
        <v>94</v>
      </c>
      <c r="F7469" t="s">
        <v>14</v>
      </c>
      <c r="G7469" t="s">
        <v>27</v>
      </c>
      <c r="H7469">
        <v>0</v>
      </c>
      <c r="I7469" t="s">
        <v>27</v>
      </c>
    </row>
    <row r="7470" spans="1:9" x14ac:dyDescent="0.2">
      <c r="A7470" t="str">
        <f t="shared" si="363"/>
        <v>42614Tiahura1295PoritidaeDessous</v>
      </c>
      <c r="B7470" s="1">
        <v>42614</v>
      </c>
      <c r="C7470" t="s">
        <v>24</v>
      </c>
      <c r="D7470" s="19">
        <v>12</v>
      </c>
      <c r="E7470">
        <v>95</v>
      </c>
      <c r="F7470" t="s">
        <v>7</v>
      </c>
      <c r="G7470" t="s">
        <v>8</v>
      </c>
      <c r="H7470">
        <v>2</v>
      </c>
      <c r="I7470" t="s">
        <v>27</v>
      </c>
    </row>
    <row r="7471" spans="1:9" x14ac:dyDescent="0.2">
      <c r="A7471" t="str">
        <f t="shared" si="363"/>
        <v>42614Tiahura1296PoritidaeDessous</v>
      </c>
      <c r="B7471" s="1">
        <v>42614</v>
      </c>
      <c r="C7471" t="s">
        <v>24</v>
      </c>
      <c r="D7471" s="19">
        <v>12</v>
      </c>
      <c r="E7471">
        <v>96</v>
      </c>
      <c r="F7471" t="s">
        <v>7</v>
      </c>
      <c r="G7471" t="s">
        <v>8</v>
      </c>
      <c r="H7471">
        <v>2</v>
      </c>
      <c r="I7471" t="s">
        <v>27</v>
      </c>
    </row>
    <row r="7472" spans="1:9" x14ac:dyDescent="0.2">
      <c r="A7472" t="str">
        <f t="shared" si="363"/>
        <v>42614Tiahura1297Autres</v>
      </c>
      <c r="B7472" s="1">
        <v>42614</v>
      </c>
      <c r="C7472" t="s">
        <v>24</v>
      </c>
      <c r="D7472" s="19">
        <v>12</v>
      </c>
      <c r="E7472">
        <v>97</v>
      </c>
      <c r="F7472" t="s">
        <v>14</v>
      </c>
      <c r="G7472" t="s">
        <v>27</v>
      </c>
      <c r="H7472">
        <v>0</v>
      </c>
      <c r="I7472" t="s">
        <v>27</v>
      </c>
    </row>
    <row r="7473" spans="1:9" x14ac:dyDescent="0.2">
      <c r="A7473" t="str">
        <f t="shared" si="363"/>
        <v>42614Tiahura1298PocilloporidaeDessous</v>
      </c>
      <c r="B7473" s="1">
        <v>42614</v>
      </c>
      <c r="C7473" t="s">
        <v>24</v>
      </c>
      <c r="D7473" s="19">
        <v>12</v>
      </c>
      <c r="E7473">
        <v>98</v>
      </c>
      <c r="F7473" t="s">
        <v>10</v>
      </c>
      <c r="G7473" t="s">
        <v>8</v>
      </c>
      <c r="H7473">
        <v>1</v>
      </c>
      <c r="I7473" t="s">
        <v>27</v>
      </c>
    </row>
    <row r="7474" spans="1:9" x14ac:dyDescent="0.2">
      <c r="A7474" t="str">
        <f t="shared" si="363"/>
        <v>42614Tiahura1298PoritidaeBords</v>
      </c>
      <c r="B7474" s="1">
        <v>42614</v>
      </c>
      <c r="C7474" t="s">
        <v>24</v>
      </c>
      <c r="D7474" s="19">
        <v>12</v>
      </c>
      <c r="E7474">
        <v>98</v>
      </c>
      <c r="F7474" t="s">
        <v>7</v>
      </c>
      <c r="G7474" t="s">
        <v>13</v>
      </c>
      <c r="H7474">
        <v>1</v>
      </c>
      <c r="I7474" t="s">
        <v>27</v>
      </c>
    </row>
    <row r="7475" spans="1:9" x14ac:dyDescent="0.2">
      <c r="A7475" t="str">
        <f t="shared" si="363"/>
        <v>42614Tiahura1299AcroporidaeDessous</v>
      </c>
      <c r="B7475" s="1">
        <v>42614</v>
      </c>
      <c r="C7475" t="s">
        <v>24</v>
      </c>
      <c r="D7475" s="19">
        <v>12</v>
      </c>
      <c r="E7475">
        <v>99</v>
      </c>
      <c r="F7475" t="s">
        <v>17</v>
      </c>
      <c r="G7475" t="s">
        <v>8</v>
      </c>
      <c r="H7475">
        <v>1</v>
      </c>
      <c r="I7475" t="s">
        <v>27</v>
      </c>
    </row>
    <row r="7476" spans="1:9" x14ac:dyDescent="0.2">
      <c r="A7476" t="str">
        <f t="shared" si="363"/>
        <v>42614Tiahura12100Autres</v>
      </c>
      <c r="B7476" s="1">
        <v>42614</v>
      </c>
      <c r="C7476" t="s">
        <v>24</v>
      </c>
      <c r="D7476" s="19">
        <v>12</v>
      </c>
      <c r="E7476">
        <v>100</v>
      </c>
      <c r="F7476" t="s">
        <v>14</v>
      </c>
      <c r="G7476" t="s">
        <v>27</v>
      </c>
      <c r="H7476">
        <v>0</v>
      </c>
      <c r="I7476" t="s">
        <v>27</v>
      </c>
    </row>
    <row r="7477" spans="1:9" x14ac:dyDescent="0.2">
      <c r="A7477" t="str">
        <f t="shared" si="363"/>
        <v>42614Tiahura18101Autres</v>
      </c>
      <c r="B7477" s="1">
        <v>42614</v>
      </c>
      <c r="C7477" t="s">
        <v>24</v>
      </c>
      <c r="D7477" s="19">
        <v>18</v>
      </c>
      <c r="E7477">
        <v>101</v>
      </c>
      <c r="F7477" t="s">
        <v>14</v>
      </c>
      <c r="G7477" t="s">
        <v>27</v>
      </c>
      <c r="H7477">
        <v>0</v>
      </c>
      <c r="I7477" t="s">
        <v>27</v>
      </c>
    </row>
    <row r="7478" spans="1:9" x14ac:dyDescent="0.2">
      <c r="A7478" t="str">
        <f t="shared" si="363"/>
        <v>42614Tiahura18102PoritidaeDessous</v>
      </c>
      <c r="B7478" s="1">
        <v>42614</v>
      </c>
      <c r="C7478" t="s">
        <v>24</v>
      </c>
      <c r="D7478" s="19">
        <v>18</v>
      </c>
      <c r="E7478">
        <v>102</v>
      </c>
      <c r="F7478" t="s">
        <v>7</v>
      </c>
      <c r="G7478" t="s">
        <v>8</v>
      </c>
      <c r="H7478">
        <v>2</v>
      </c>
      <c r="I7478" t="s">
        <v>27</v>
      </c>
    </row>
    <row r="7479" spans="1:9" x14ac:dyDescent="0.2">
      <c r="A7479" t="str">
        <f t="shared" si="363"/>
        <v>42614Tiahura18103Autres</v>
      </c>
      <c r="B7479" s="1">
        <v>42614</v>
      </c>
      <c r="C7479" t="s">
        <v>24</v>
      </c>
      <c r="D7479" s="19">
        <v>18</v>
      </c>
      <c r="E7479">
        <v>103</v>
      </c>
      <c r="F7479" t="s">
        <v>14</v>
      </c>
      <c r="G7479" t="s">
        <v>27</v>
      </c>
      <c r="H7479">
        <v>0</v>
      </c>
      <c r="I7479" t="s">
        <v>27</v>
      </c>
    </row>
    <row r="7480" spans="1:9" x14ac:dyDescent="0.2">
      <c r="A7480" t="str">
        <f t="shared" si="363"/>
        <v>42614Tiahura18104PocilloporidaeDessous</v>
      </c>
      <c r="B7480" s="1">
        <v>42614</v>
      </c>
      <c r="C7480" t="s">
        <v>24</v>
      </c>
      <c r="D7480" s="19">
        <v>18</v>
      </c>
      <c r="E7480">
        <v>104</v>
      </c>
      <c r="F7480" t="s">
        <v>10</v>
      </c>
      <c r="G7480" t="s">
        <v>8</v>
      </c>
      <c r="H7480">
        <v>1</v>
      </c>
      <c r="I7480" t="s">
        <v>27</v>
      </c>
    </row>
    <row r="7481" spans="1:9" x14ac:dyDescent="0.2">
      <c r="A7481" t="str">
        <f t="shared" si="363"/>
        <v>42614Tiahura18104PoritidaeDessous</v>
      </c>
      <c r="B7481" s="1">
        <v>42614</v>
      </c>
      <c r="C7481" t="s">
        <v>24</v>
      </c>
      <c r="D7481" s="19">
        <v>18</v>
      </c>
      <c r="E7481">
        <v>104</v>
      </c>
      <c r="F7481" t="s">
        <v>7</v>
      </c>
      <c r="G7481" t="s">
        <v>8</v>
      </c>
      <c r="H7481">
        <v>2</v>
      </c>
      <c r="I7481" t="s">
        <v>27</v>
      </c>
    </row>
    <row r="7482" spans="1:9" x14ac:dyDescent="0.2">
      <c r="A7482" t="str">
        <f t="shared" si="363"/>
        <v>42614Tiahura18105PoritidaeDessous</v>
      </c>
      <c r="B7482" s="1">
        <v>42614</v>
      </c>
      <c r="C7482" t="s">
        <v>24</v>
      </c>
      <c r="D7482" s="19">
        <v>18</v>
      </c>
      <c r="E7482">
        <v>105</v>
      </c>
      <c r="F7482" t="s">
        <v>7</v>
      </c>
      <c r="G7482" t="s">
        <v>8</v>
      </c>
      <c r="H7482">
        <v>4</v>
      </c>
      <c r="I7482" t="s">
        <v>27</v>
      </c>
    </row>
    <row r="7483" spans="1:9" x14ac:dyDescent="0.2">
      <c r="A7483" t="str">
        <f t="shared" si="363"/>
        <v>42614Tiahura18106Autres</v>
      </c>
      <c r="B7483" s="1">
        <v>42614</v>
      </c>
      <c r="C7483" t="s">
        <v>24</v>
      </c>
      <c r="D7483" s="19">
        <v>18</v>
      </c>
      <c r="E7483">
        <v>106</v>
      </c>
      <c r="F7483" t="s">
        <v>14</v>
      </c>
      <c r="G7483" t="s">
        <v>27</v>
      </c>
      <c r="H7483">
        <v>0</v>
      </c>
      <c r="I7483" t="s">
        <v>27</v>
      </c>
    </row>
    <row r="7484" spans="1:9" x14ac:dyDescent="0.2">
      <c r="A7484" t="str">
        <f t="shared" si="363"/>
        <v>42614Tiahura18107Autres</v>
      </c>
      <c r="B7484" s="1">
        <v>42614</v>
      </c>
      <c r="C7484" t="s">
        <v>24</v>
      </c>
      <c r="D7484" s="19">
        <v>18</v>
      </c>
      <c r="E7484">
        <v>107</v>
      </c>
      <c r="F7484" t="s">
        <v>14</v>
      </c>
      <c r="G7484" t="s">
        <v>27</v>
      </c>
      <c r="H7484">
        <v>0</v>
      </c>
      <c r="I7484" t="s">
        <v>27</v>
      </c>
    </row>
    <row r="7485" spans="1:9" x14ac:dyDescent="0.2">
      <c r="A7485" t="str">
        <f t="shared" si="363"/>
        <v>42614Tiahura18108Autres</v>
      </c>
      <c r="B7485" s="1">
        <v>42614</v>
      </c>
      <c r="C7485" t="s">
        <v>24</v>
      </c>
      <c r="D7485" s="19">
        <v>18</v>
      </c>
      <c r="E7485">
        <v>108</v>
      </c>
      <c r="F7485" t="s">
        <v>14</v>
      </c>
      <c r="G7485" t="s">
        <v>27</v>
      </c>
      <c r="H7485">
        <v>0</v>
      </c>
      <c r="I7485" t="s">
        <v>27</v>
      </c>
    </row>
    <row r="7486" spans="1:9" x14ac:dyDescent="0.2">
      <c r="A7486" t="str">
        <f t="shared" si="363"/>
        <v>42614Tiahura18109PocilloporidaeBords</v>
      </c>
      <c r="B7486" s="1">
        <v>42614</v>
      </c>
      <c r="C7486" t="s">
        <v>24</v>
      </c>
      <c r="D7486" s="19">
        <v>18</v>
      </c>
      <c r="E7486">
        <v>109</v>
      </c>
      <c r="F7486" t="s">
        <v>10</v>
      </c>
      <c r="G7486" t="s">
        <v>13</v>
      </c>
      <c r="H7486">
        <v>1</v>
      </c>
      <c r="I7486" t="s">
        <v>27</v>
      </c>
    </row>
    <row r="7487" spans="1:9" x14ac:dyDescent="0.2">
      <c r="A7487" t="str">
        <f t="shared" ref="A7487:A7550" si="364">B7487 &amp; C7487&amp; D7487&amp; E7487 &amp; F7487 &amp;G7487</f>
        <v>42614Tiahura18110Autres</v>
      </c>
      <c r="B7487" s="1">
        <v>42614</v>
      </c>
      <c r="C7487" t="s">
        <v>24</v>
      </c>
      <c r="D7487" s="19">
        <v>18</v>
      </c>
      <c r="E7487">
        <v>110</v>
      </c>
      <c r="F7487" t="s">
        <v>14</v>
      </c>
      <c r="G7487" t="s">
        <v>27</v>
      </c>
      <c r="H7487">
        <v>0</v>
      </c>
      <c r="I7487" t="s">
        <v>27</v>
      </c>
    </row>
    <row r="7488" spans="1:9" x14ac:dyDescent="0.2">
      <c r="A7488" t="str">
        <f t="shared" si="364"/>
        <v>42614Tiahura18111AcroporidaeBords</v>
      </c>
      <c r="B7488" s="1">
        <v>42614</v>
      </c>
      <c r="C7488" t="s">
        <v>24</v>
      </c>
      <c r="D7488" s="19">
        <v>18</v>
      </c>
      <c r="E7488">
        <v>111</v>
      </c>
      <c r="F7488" t="s">
        <v>17</v>
      </c>
      <c r="G7488" t="s">
        <v>13</v>
      </c>
      <c r="H7488">
        <v>1</v>
      </c>
      <c r="I7488" t="s">
        <v>27</v>
      </c>
    </row>
    <row r="7489" spans="1:9" x14ac:dyDescent="0.2">
      <c r="A7489" t="str">
        <f t="shared" si="364"/>
        <v>42614Tiahura18112PoritidaeBords</v>
      </c>
      <c r="B7489" s="1">
        <v>42614</v>
      </c>
      <c r="C7489" t="s">
        <v>24</v>
      </c>
      <c r="D7489" s="19">
        <v>18</v>
      </c>
      <c r="E7489">
        <v>112</v>
      </c>
      <c r="F7489" t="s">
        <v>7</v>
      </c>
      <c r="G7489" t="s">
        <v>13</v>
      </c>
      <c r="H7489">
        <v>1</v>
      </c>
      <c r="I7489" t="s">
        <v>27</v>
      </c>
    </row>
    <row r="7490" spans="1:9" x14ac:dyDescent="0.2">
      <c r="A7490" t="str">
        <f t="shared" si="364"/>
        <v>42614Tiahura18113Autres</v>
      </c>
      <c r="B7490" s="1">
        <v>42614</v>
      </c>
      <c r="C7490" t="s">
        <v>24</v>
      </c>
      <c r="D7490" s="19">
        <v>18</v>
      </c>
      <c r="E7490">
        <v>113</v>
      </c>
      <c r="F7490" t="s">
        <v>14</v>
      </c>
      <c r="G7490" t="s">
        <v>27</v>
      </c>
      <c r="H7490">
        <v>0</v>
      </c>
      <c r="I7490" t="s">
        <v>27</v>
      </c>
    </row>
    <row r="7491" spans="1:9" x14ac:dyDescent="0.2">
      <c r="A7491" t="str">
        <f t="shared" si="364"/>
        <v>42614Tiahura18114AcroporidaeBords</v>
      </c>
      <c r="B7491" s="1">
        <v>42614</v>
      </c>
      <c r="C7491" t="s">
        <v>24</v>
      </c>
      <c r="D7491" s="19">
        <v>18</v>
      </c>
      <c r="E7491">
        <v>114</v>
      </c>
      <c r="F7491" t="s">
        <v>17</v>
      </c>
      <c r="G7491" t="s">
        <v>13</v>
      </c>
      <c r="H7491">
        <v>1</v>
      </c>
      <c r="I7491" t="s">
        <v>27</v>
      </c>
    </row>
    <row r="7492" spans="1:9" x14ac:dyDescent="0.2">
      <c r="A7492" t="str">
        <f t="shared" si="364"/>
        <v>42614Tiahura18115Autres</v>
      </c>
      <c r="B7492" s="1">
        <v>42614</v>
      </c>
      <c r="C7492" t="s">
        <v>24</v>
      </c>
      <c r="D7492" s="19">
        <v>18</v>
      </c>
      <c r="E7492">
        <v>115</v>
      </c>
      <c r="F7492" t="s">
        <v>14</v>
      </c>
      <c r="G7492" t="s">
        <v>27</v>
      </c>
      <c r="H7492">
        <v>0</v>
      </c>
      <c r="I7492" t="s">
        <v>27</v>
      </c>
    </row>
    <row r="7493" spans="1:9" x14ac:dyDescent="0.2">
      <c r="A7493" t="str">
        <f t="shared" si="364"/>
        <v>42614Tiahura18116PoritidaeDessous</v>
      </c>
      <c r="B7493" s="1">
        <v>42614</v>
      </c>
      <c r="C7493" t="s">
        <v>24</v>
      </c>
      <c r="D7493" s="19">
        <v>18</v>
      </c>
      <c r="E7493">
        <v>116</v>
      </c>
      <c r="F7493" t="s">
        <v>7</v>
      </c>
      <c r="G7493" t="s">
        <v>8</v>
      </c>
      <c r="H7493">
        <v>2</v>
      </c>
      <c r="I7493" t="s">
        <v>27</v>
      </c>
    </row>
    <row r="7494" spans="1:9" x14ac:dyDescent="0.2">
      <c r="A7494" t="str">
        <f t="shared" si="364"/>
        <v>42614Tiahura18117Autres</v>
      </c>
      <c r="B7494" s="1">
        <v>42614</v>
      </c>
      <c r="C7494" t="s">
        <v>24</v>
      </c>
      <c r="D7494" s="19">
        <v>18</v>
      </c>
      <c r="E7494">
        <v>117</v>
      </c>
      <c r="F7494" t="s">
        <v>14</v>
      </c>
      <c r="G7494" t="s">
        <v>27</v>
      </c>
      <c r="H7494">
        <v>0</v>
      </c>
      <c r="I7494" t="s">
        <v>27</v>
      </c>
    </row>
    <row r="7495" spans="1:9" x14ac:dyDescent="0.2">
      <c r="A7495" t="str">
        <f t="shared" si="364"/>
        <v>42614Tiahura18118Autres</v>
      </c>
      <c r="B7495" s="1">
        <v>42614</v>
      </c>
      <c r="C7495" t="s">
        <v>24</v>
      </c>
      <c r="D7495" s="19">
        <v>18</v>
      </c>
      <c r="E7495">
        <v>118</v>
      </c>
      <c r="F7495" t="s">
        <v>14</v>
      </c>
      <c r="G7495" t="s">
        <v>27</v>
      </c>
      <c r="H7495">
        <v>0</v>
      </c>
      <c r="I7495" t="s">
        <v>27</v>
      </c>
    </row>
    <row r="7496" spans="1:9" x14ac:dyDescent="0.2">
      <c r="A7496" t="str">
        <f t="shared" si="364"/>
        <v>42614Tiahura18119PoritidaeDessous</v>
      </c>
      <c r="B7496" s="1">
        <v>42614</v>
      </c>
      <c r="C7496" t="s">
        <v>24</v>
      </c>
      <c r="D7496" s="19">
        <v>18</v>
      </c>
      <c r="E7496">
        <v>119</v>
      </c>
      <c r="F7496" t="s">
        <v>7</v>
      </c>
      <c r="G7496" t="s">
        <v>8</v>
      </c>
      <c r="H7496">
        <v>3</v>
      </c>
      <c r="I7496" t="s">
        <v>27</v>
      </c>
    </row>
    <row r="7497" spans="1:9" x14ac:dyDescent="0.2">
      <c r="A7497" t="str">
        <f t="shared" si="364"/>
        <v>42614Tiahura18120Autres</v>
      </c>
      <c r="B7497" s="1">
        <v>42614</v>
      </c>
      <c r="C7497" t="s">
        <v>24</v>
      </c>
      <c r="D7497" s="19">
        <v>18</v>
      </c>
      <c r="E7497">
        <v>120</v>
      </c>
      <c r="F7497" t="s">
        <v>14</v>
      </c>
      <c r="G7497" t="s">
        <v>27</v>
      </c>
      <c r="H7497">
        <v>0</v>
      </c>
      <c r="I7497" t="s">
        <v>27</v>
      </c>
    </row>
    <row r="7498" spans="1:9" x14ac:dyDescent="0.2">
      <c r="A7498" t="str">
        <f t="shared" si="364"/>
        <v>42614Haapiti6121Autres</v>
      </c>
      <c r="B7498" s="1">
        <v>42614</v>
      </c>
      <c r="C7498" t="s">
        <v>25</v>
      </c>
      <c r="D7498" s="19">
        <v>6</v>
      </c>
      <c r="E7498">
        <v>121</v>
      </c>
      <c r="F7498" t="s">
        <v>14</v>
      </c>
      <c r="G7498" t="s">
        <v>27</v>
      </c>
      <c r="H7498">
        <v>0</v>
      </c>
      <c r="I7498" t="s">
        <v>27</v>
      </c>
    </row>
    <row r="7499" spans="1:9" x14ac:dyDescent="0.2">
      <c r="A7499" t="str">
        <f t="shared" si="364"/>
        <v>42614Haapiti6122Autres</v>
      </c>
      <c r="B7499" s="1">
        <v>42614</v>
      </c>
      <c r="C7499" t="s">
        <v>25</v>
      </c>
      <c r="D7499" s="19">
        <v>6</v>
      </c>
      <c r="E7499">
        <v>122</v>
      </c>
      <c r="F7499" t="s">
        <v>14</v>
      </c>
      <c r="G7499" t="s">
        <v>27</v>
      </c>
      <c r="H7499">
        <v>0</v>
      </c>
      <c r="I7499" t="s">
        <v>27</v>
      </c>
    </row>
    <row r="7500" spans="1:9" x14ac:dyDescent="0.2">
      <c r="A7500" t="str">
        <f t="shared" si="364"/>
        <v>42614Haapiti6123Autres</v>
      </c>
      <c r="B7500" s="1">
        <v>42614</v>
      </c>
      <c r="C7500" t="s">
        <v>25</v>
      </c>
      <c r="D7500" s="19">
        <v>6</v>
      </c>
      <c r="E7500">
        <v>123</v>
      </c>
      <c r="F7500" t="s">
        <v>14</v>
      </c>
      <c r="G7500" t="s">
        <v>27</v>
      </c>
      <c r="H7500">
        <v>0</v>
      </c>
      <c r="I7500" t="s">
        <v>27</v>
      </c>
    </row>
    <row r="7501" spans="1:9" x14ac:dyDescent="0.2">
      <c r="A7501" t="str">
        <f t="shared" si="364"/>
        <v>42614Haapiti6124Autres</v>
      </c>
      <c r="B7501" s="1">
        <v>42614</v>
      </c>
      <c r="C7501" t="s">
        <v>25</v>
      </c>
      <c r="D7501" s="19">
        <v>6</v>
      </c>
      <c r="E7501">
        <v>124</v>
      </c>
      <c r="F7501" t="s">
        <v>14</v>
      </c>
      <c r="G7501" t="s">
        <v>27</v>
      </c>
      <c r="H7501">
        <v>0</v>
      </c>
      <c r="I7501" t="s">
        <v>27</v>
      </c>
    </row>
    <row r="7502" spans="1:9" x14ac:dyDescent="0.2">
      <c r="A7502" t="str">
        <f t="shared" si="364"/>
        <v>42614Haapiti6125Autres</v>
      </c>
      <c r="B7502" s="1">
        <v>42614</v>
      </c>
      <c r="C7502" t="s">
        <v>25</v>
      </c>
      <c r="D7502" s="19">
        <v>6</v>
      </c>
      <c r="E7502">
        <v>125</v>
      </c>
      <c r="F7502" t="s">
        <v>14</v>
      </c>
      <c r="G7502" t="s">
        <v>27</v>
      </c>
      <c r="H7502">
        <v>0</v>
      </c>
      <c r="I7502" t="s">
        <v>27</v>
      </c>
    </row>
    <row r="7503" spans="1:9" x14ac:dyDescent="0.2">
      <c r="A7503" t="str">
        <f t="shared" si="364"/>
        <v>42614Haapiti6126Autres</v>
      </c>
      <c r="B7503" s="1">
        <v>42614</v>
      </c>
      <c r="C7503" t="s">
        <v>25</v>
      </c>
      <c r="D7503" s="19">
        <v>6</v>
      </c>
      <c r="E7503">
        <v>126</v>
      </c>
      <c r="F7503" t="s">
        <v>14</v>
      </c>
      <c r="G7503" t="s">
        <v>27</v>
      </c>
      <c r="H7503">
        <v>0</v>
      </c>
      <c r="I7503" t="s">
        <v>27</v>
      </c>
    </row>
    <row r="7504" spans="1:9" x14ac:dyDescent="0.2">
      <c r="A7504" t="str">
        <f t="shared" si="364"/>
        <v>42614Haapiti6127Autres</v>
      </c>
      <c r="B7504" s="1">
        <v>42614</v>
      </c>
      <c r="C7504" t="s">
        <v>25</v>
      </c>
      <c r="D7504" s="19">
        <v>6</v>
      </c>
      <c r="E7504">
        <v>127</v>
      </c>
      <c r="F7504" t="s">
        <v>14</v>
      </c>
      <c r="G7504" t="s">
        <v>27</v>
      </c>
      <c r="H7504">
        <v>0</v>
      </c>
      <c r="I7504" t="s">
        <v>27</v>
      </c>
    </row>
    <row r="7505" spans="1:9" x14ac:dyDescent="0.2">
      <c r="A7505" t="str">
        <f t="shared" si="364"/>
        <v>42614Haapiti6128Autres</v>
      </c>
      <c r="B7505" s="1">
        <v>42614</v>
      </c>
      <c r="C7505" t="s">
        <v>25</v>
      </c>
      <c r="D7505" s="19">
        <v>6</v>
      </c>
      <c r="E7505">
        <v>128</v>
      </c>
      <c r="F7505" t="s">
        <v>14</v>
      </c>
      <c r="G7505" t="s">
        <v>27</v>
      </c>
      <c r="H7505">
        <v>0</v>
      </c>
      <c r="I7505" t="s">
        <v>27</v>
      </c>
    </row>
    <row r="7506" spans="1:9" x14ac:dyDescent="0.2">
      <c r="A7506" t="str">
        <f t="shared" si="364"/>
        <v>42614Haapiti6129Autres</v>
      </c>
      <c r="B7506" s="1">
        <v>42614</v>
      </c>
      <c r="C7506" t="s">
        <v>25</v>
      </c>
      <c r="D7506" s="19">
        <v>6</v>
      </c>
      <c r="E7506">
        <v>129</v>
      </c>
      <c r="F7506" t="s">
        <v>14</v>
      </c>
      <c r="G7506" t="s">
        <v>27</v>
      </c>
      <c r="H7506">
        <v>0</v>
      </c>
      <c r="I7506" t="s">
        <v>27</v>
      </c>
    </row>
    <row r="7507" spans="1:9" x14ac:dyDescent="0.2">
      <c r="A7507" t="str">
        <f t="shared" si="364"/>
        <v>42614Haapiti6130Autres</v>
      </c>
      <c r="B7507" s="1">
        <v>42614</v>
      </c>
      <c r="C7507" t="s">
        <v>25</v>
      </c>
      <c r="D7507" s="19">
        <v>6</v>
      </c>
      <c r="E7507">
        <v>130</v>
      </c>
      <c r="F7507" t="s">
        <v>14</v>
      </c>
      <c r="G7507" t="s">
        <v>27</v>
      </c>
      <c r="H7507">
        <v>0</v>
      </c>
      <c r="I7507" t="s">
        <v>27</v>
      </c>
    </row>
    <row r="7508" spans="1:9" x14ac:dyDescent="0.2">
      <c r="A7508" t="str">
        <f t="shared" si="364"/>
        <v>42614Haapiti6131Autres</v>
      </c>
      <c r="B7508" s="1">
        <v>42614</v>
      </c>
      <c r="C7508" t="s">
        <v>25</v>
      </c>
      <c r="D7508" s="19">
        <v>6</v>
      </c>
      <c r="E7508">
        <v>131</v>
      </c>
      <c r="F7508" t="s">
        <v>14</v>
      </c>
      <c r="G7508" t="s">
        <v>27</v>
      </c>
      <c r="H7508">
        <v>0</v>
      </c>
      <c r="I7508" t="s">
        <v>27</v>
      </c>
    </row>
    <row r="7509" spans="1:9" x14ac:dyDescent="0.2">
      <c r="A7509" t="str">
        <f t="shared" si="364"/>
        <v>42614Haapiti6132Autres</v>
      </c>
      <c r="B7509" s="1">
        <v>42614</v>
      </c>
      <c r="C7509" t="s">
        <v>25</v>
      </c>
      <c r="D7509" s="19">
        <v>6</v>
      </c>
      <c r="E7509">
        <v>132</v>
      </c>
      <c r="F7509" t="s">
        <v>14</v>
      </c>
      <c r="G7509" t="s">
        <v>27</v>
      </c>
      <c r="H7509">
        <v>0</v>
      </c>
      <c r="I7509" t="s">
        <v>27</v>
      </c>
    </row>
    <row r="7510" spans="1:9" x14ac:dyDescent="0.2">
      <c r="A7510" t="str">
        <f t="shared" si="364"/>
        <v>42614Haapiti6133Autres</v>
      </c>
      <c r="B7510" s="1">
        <v>42614</v>
      </c>
      <c r="C7510" t="s">
        <v>25</v>
      </c>
      <c r="D7510" s="19">
        <v>6</v>
      </c>
      <c r="E7510">
        <v>133</v>
      </c>
      <c r="F7510" t="s">
        <v>14</v>
      </c>
      <c r="G7510" t="s">
        <v>27</v>
      </c>
      <c r="H7510">
        <v>0</v>
      </c>
      <c r="I7510" t="s">
        <v>27</v>
      </c>
    </row>
    <row r="7511" spans="1:9" x14ac:dyDescent="0.2">
      <c r="A7511" t="str">
        <f t="shared" si="364"/>
        <v>42614Haapiti6134Autres</v>
      </c>
      <c r="B7511" s="1">
        <v>42614</v>
      </c>
      <c r="C7511" t="s">
        <v>25</v>
      </c>
      <c r="D7511" s="19">
        <v>6</v>
      </c>
      <c r="E7511">
        <v>134</v>
      </c>
      <c r="F7511" t="s">
        <v>14</v>
      </c>
      <c r="G7511" t="s">
        <v>27</v>
      </c>
      <c r="H7511">
        <v>0</v>
      </c>
      <c r="I7511" t="s">
        <v>27</v>
      </c>
    </row>
    <row r="7512" spans="1:9" x14ac:dyDescent="0.2">
      <c r="A7512" t="str">
        <f t="shared" si="364"/>
        <v>42614Haapiti6135Autres</v>
      </c>
      <c r="B7512" s="1">
        <v>42614</v>
      </c>
      <c r="C7512" t="s">
        <v>25</v>
      </c>
      <c r="D7512" s="19">
        <v>6</v>
      </c>
      <c r="E7512">
        <v>135</v>
      </c>
      <c r="F7512" t="s">
        <v>14</v>
      </c>
      <c r="G7512" t="s">
        <v>27</v>
      </c>
      <c r="H7512">
        <v>0</v>
      </c>
      <c r="I7512" t="s">
        <v>27</v>
      </c>
    </row>
    <row r="7513" spans="1:9" x14ac:dyDescent="0.2">
      <c r="A7513" t="str">
        <f t="shared" si="364"/>
        <v>42614Haapiti6136Autres</v>
      </c>
      <c r="B7513" s="1">
        <v>42614</v>
      </c>
      <c r="C7513" t="s">
        <v>25</v>
      </c>
      <c r="D7513" s="19">
        <v>6</v>
      </c>
      <c r="E7513">
        <v>136</v>
      </c>
      <c r="F7513" t="s">
        <v>14</v>
      </c>
      <c r="G7513" t="s">
        <v>27</v>
      </c>
      <c r="H7513">
        <v>0</v>
      </c>
      <c r="I7513" t="s">
        <v>27</v>
      </c>
    </row>
    <row r="7514" spans="1:9" x14ac:dyDescent="0.2">
      <c r="A7514" t="str">
        <f t="shared" si="364"/>
        <v>42614Haapiti6137Autres</v>
      </c>
      <c r="B7514" s="1">
        <v>42614</v>
      </c>
      <c r="C7514" t="s">
        <v>25</v>
      </c>
      <c r="D7514" s="19">
        <v>6</v>
      </c>
      <c r="E7514">
        <v>137</v>
      </c>
      <c r="F7514" t="s">
        <v>14</v>
      </c>
      <c r="G7514" t="s">
        <v>27</v>
      </c>
      <c r="H7514">
        <v>0</v>
      </c>
      <c r="I7514" t="s">
        <v>27</v>
      </c>
    </row>
    <row r="7515" spans="1:9" x14ac:dyDescent="0.2">
      <c r="A7515" t="str">
        <f t="shared" si="364"/>
        <v>42614Haapiti6138Autres</v>
      </c>
      <c r="B7515" s="1">
        <v>42614</v>
      </c>
      <c r="C7515" t="s">
        <v>25</v>
      </c>
      <c r="D7515" s="19">
        <v>6</v>
      </c>
      <c r="E7515">
        <v>138</v>
      </c>
      <c r="F7515" t="s">
        <v>14</v>
      </c>
      <c r="G7515" t="s">
        <v>27</v>
      </c>
      <c r="H7515">
        <v>0</v>
      </c>
      <c r="I7515" t="s">
        <v>27</v>
      </c>
    </row>
    <row r="7516" spans="1:9" x14ac:dyDescent="0.2">
      <c r="A7516" t="str">
        <f t="shared" si="364"/>
        <v>42614Haapiti6139Autres</v>
      </c>
      <c r="B7516" s="1">
        <v>42614</v>
      </c>
      <c r="C7516" t="s">
        <v>25</v>
      </c>
      <c r="D7516" s="19">
        <v>6</v>
      </c>
      <c r="E7516">
        <v>139</v>
      </c>
      <c r="F7516" t="s">
        <v>14</v>
      </c>
      <c r="G7516" t="s">
        <v>27</v>
      </c>
      <c r="H7516">
        <v>0</v>
      </c>
      <c r="I7516" t="s">
        <v>27</v>
      </c>
    </row>
    <row r="7517" spans="1:9" x14ac:dyDescent="0.2">
      <c r="A7517" t="str">
        <f t="shared" si="364"/>
        <v>42614Haapiti6140Autres</v>
      </c>
      <c r="B7517" s="1">
        <v>42614</v>
      </c>
      <c r="C7517" t="s">
        <v>25</v>
      </c>
      <c r="D7517" s="19">
        <v>6</v>
      </c>
      <c r="E7517">
        <v>140</v>
      </c>
      <c r="F7517" t="s">
        <v>14</v>
      </c>
      <c r="G7517" t="s">
        <v>27</v>
      </c>
      <c r="H7517">
        <v>0</v>
      </c>
      <c r="I7517" t="s">
        <v>27</v>
      </c>
    </row>
    <row r="7518" spans="1:9" x14ac:dyDescent="0.2">
      <c r="A7518" t="str">
        <f t="shared" si="364"/>
        <v>42614Haapiti12141Autres</v>
      </c>
      <c r="B7518" s="1">
        <v>42614</v>
      </c>
      <c r="C7518" t="s">
        <v>25</v>
      </c>
      <c r="D7518" s="19">
        <v>12</v>
      </c>
      <c r="E7518">
        <v>141</v>
      </c>
      <c r="F7518" t="s">
        <v>14</v>
      </c>
      <c r="G7518" t="s">
        <v>27</v>
      </c>
      <c r="H7518">
        <v>0</v>
      </c>
      <c r="I7518" t="s">
        <v>27</v>
      </c>
    </row>
    <row r="7519" spans="1:9" x14ac:dyDescent="0.2">
      <c r="A7519" t="str">
        <f t="shared" si="364"/>
        <v>42614Haapiti12142Autres</v>
      </c>
      <c r="B7519" s="1">
        <v>42614</v>
      </c>
      <c r="C7519" t="s">
        <v>25</v>
      </c>
      <c r="D7519" s="19">
        <v>12</v>
      </c>
      <c r="E7519">
        <v>142</v>
      </c>
      <c r="F7519" t="s">
        <v>14</v>
      </c>
      <c r="G7519" t="s">
        <v>27</v>
      </c>
      <c r="H7519">
        <v>0</v>
      </c>
      <c r="I7519" t="s">
        <v>27</v>
      </c>
    </row>
    <row r="7520" spans="1:9" x14ac:dyDescent="0.2">
      <c r="A7520" t="str">
        <f t="shared" si="364"/>
        <v>42614Haapiti12143CassésDessous</v>
      </c>
      <c r="B7520" s="1">
        <v>42614</v>
      </c>
      <c r="C7520" t="s">
        <v>25</v>
      </c>
      <c r="D7520" s="19">
        <v>12</v>
      </c>
      <c r="E7520">
        <v>143</v>
      </c>
      <c r="F7520" t="s">
        <v>12</v>
      </c>
      <c r="G7520" t="s">
        <v>8</v>
      </c>
      <c r="H7520">
        <v>1</v>
      </c>
      <c r="I7520" t="s">
        <v>27</v>
      </c>
    </row>
    <row r="7521" spans="1:9" x14ac:dyDescent="0.2">
      <c r="A7521" t="str">
        <f t="shared" si="364"/>
        <v>42614Haapiti12144Autres</v>
      </c>
      <c r="B7521" s="1">
        <v>42614</v>
      </c>
      <c r="C7521" t="s">
        <v>25</v>
      </c>
      <c r="D7521" s="19">
        <v>12</v>
      </c>
      <c r="E7521">
        <v>144</v>
      </c>
      <c r="F7521" t="s">
        <v>14</v>
      </c>
      <c r="G7521" t="s">
        <v>27</v>
      </c>
      <c r="H7521">
        <v>0</v>
      </c>
      <c r="I7521" t="s">
        <v>27</v>
      </c>
    </row>
    <row r="7522" spans="1:9" x14ac:dyDescent="0.2">
      <c r="A7522" t="str">
        <f t="shared" si="364"/>
        <v>42614Haapiti12145Autres</v>
      </c>
      <c r="B7522" s="1">
        <v>42614</v>
      </c>
      <c r="C7522" t="s">
        <v>25</v>
      </c>
      <c r="D7522" s="19">
        <v>12</v>
      </c>
      <c r="E7522">
        <v>145</v>
      </c>
      <c r="F7522" t="s">
        <v>14</v>
      </c>
      <c r="G7522" t="s">
        <v>27</v>
      </c>
      <c r="H7522">
        <v>0</v>
      </c>
      <c r="I7522" t="s">
        <v>27</v>
      </c>
    </row>
    <row r="7523" spans="1:9" x14ac:dyDescent="0.2">
      <c r="A7523" t="str">
        <f t="shared" si="364"/>
        <v>42614Haapiti12146Autres</v>
      </c>
      <c r="B7523" s="1">
        <v>42614</v>
      </c>
      <c r="C7523" t="s">
        <v>25</v>
      </c>
      <c r="D7523" s="19">
        <v>12</v>
      </c>
      <c r="E7523">
        <v>146</v>
      </c>
      <c r="F7523" t="s">
        <v>14</v>
      </c>
      <c r="G7523" t="s">
        <v>27</v>
      </c>
      <c r="H7523">
        <v>0</v>
      </c>
      <c r="I7523" t="s">
        <v>27</v>
      </c>
    </row>
    <row r="7524" spans="1:9" x14ac:dyDescent="0.2">
      <c r="A7524" t="str">
        <f t="shared" si="364"/>
        <v>42614Haapiti12147Autres</v>
      </c>
      <c r="B7524" s="1">
        <v>42614</v>
      </c>
      <c r="C7524" t="s">
        <v>25</v>
      </c>
      <c r="D7524" s="19">
        <v>12</v>
      </c>
      <c r="E7524">
        <v>147</v>
      </c>
      <c r="F7524" t="s">
        <v>14</v>
      </c>
      <c r="G7524" t="s">
        <v>27</v>
      </c>
      <c r="H7524">
        <v>0</v>
      </c>
      <c r="I7524" t="s">
        <v>27</v>
      </c>
    </row>
    <row r="7525" spans="1:9" x14ac:dyDescent="0.2">
      <c r="A7525" t="str">
        <f t="shared" si="364"/>
        <v>42614Haapiti12148PoritidaeDessous</v>
      </c>
      <c r="B7525" s="1">
        <v>42614</v>
      </c>
      <c r="C7525" t="s">
        <v>25</v>
      </c>
      <c r="D7525" s="19">
        <v>12</v>
      </c>
      <c r="E7525">
        <v>148</v>
      </c>
      <c r="F7525" t="s">
        <v>7</v>
      </c>
      <c r="G7525" t="s">
        <v>8</v>
      </c>
      <c r="H7525">
        <v>2</v>
      </c>
      <c r="I7525" t="s">
        <v>27</v>
      </c>
    </row>
    <row r="7526" spans="1:9" x14ac:dyDescent="0.2">
      <c r="A7526" t="str">
        <f t="shared" si="364"/>
        <v>42614Haapiti12149Autres</v>
      </c>
      <c r="B7526" s="1">
        <v>42614</v>
      </c>
      <c r="C7526" t="s">
        <v>25</v>
      </c>
      <c r="D7526" s="19">
        <v>12</v>
      </c>
      <c r="E7526">
        <v>149</v>
      </c>
      <c r="F7526" t="s">
        <v>14</v>
      </c>
      <c r="G7526" t="s">
        <v>27</v>
      </c>
      <c r="H7526">
        <v>0</v>
      </c>
      <c r="I7526" t="s">
        <v>27</v>
      </c>
    </row>
    <row r="7527" spans="1:9" x14ac:dyDescent="0.2">
      <c r="A7527" t="str">
        <f t="shared" si="364"/>
        <v>42614Haapiti12150Autres</v>
      </c>
      <c r="B7527" s="1">
        <v>42614</v>
      </c>
      <c r="C7527" t="s">
        <v>25</v>
      </c>
      <c r="D7527" s="19">
        <v>12</v>
      </c>
      <c r="E7527">
        <v>150</v>
      </c>
      <c r="F7527" t="s">
        <v>14</v>
      </c>
      <c r="G7527" t="s">
        <v>27</v>
      </c>
      <c r="H7527">
        <v>0</v>
      </c>
      <c r="I7527" t="s">
        <v>27</v>
      </c>
    </row>
    <row r="7528" spans="1:9" x14ac:dyDescent="0.2">
      <c r="A7528" t="str">
        <f t="shared" si="364"/>
        <v>42614Haapiti12151Autres</v>
      </c>
      <c r="B7528" s="1">
        <v>42614</v>
      </c>
      <c r="C7528" t="s">
        <v>25</v>
      </c>
      <c r="D7528" s="19">
        <v>12</v>
      </c>
      <c r="E7528">
        <v>151</v>
      </c>
      <c r="F7528" t="s">
        <v>14</v>
      </c>
      <c r="G7528" t="s">
        <v>27</v>
      </c>
      <c r="H7528">
        <v>0</v>
      </c>
      <c r="I7528" t="s">
        <v>27</v>
      </c>
    </row>
    <row r="7529" spans="1:9" x14ac:dyDescent="0.2">
      <c r="A7529" t="str">
        <f t="shared" si="364"/>
        <v>42614Haapiti12152Autres</v>
      </c>
      <c r="B7529" s="1">
        <v>42614</v>
      </c>
      <c r="C7529" t="s">
        <v>25</v>
      </c>
      <c r="D7529" s="19">
        <v>12</v>
      </c>
      <c r="E7529">
        <v>152</v>
      </c>
      <c r="F7529" t="s">
        <v>14</v>
      </c>
      <c r="G7529" t="s">
        <v>27</v>
      </c>
      <c r="H7529">
        <v>0</v>
      </c>
      <c r="I7529" t="s">
        <v>27</v>
      </c>
    </row>
    <row r="7530" spans="1:9" x14ac:dyDescent="0.2">
      <c r="A7530" t="str">
        <f t="shared" si="364"/>
        <v>42614Haapiti12153Autres</v>
      </c>
      <c r="B7530" s="1">
        <v>42614</v>
      </c>
      <c r="C7530" t="s">
        <v>25</v>
      </c>
      <c r="D7530" s="19">
        <v>12</v>
      </c>
      <c r="E7530">
        <v>153</v>
      </c>
      <c r="F7530" t="s">
        <v>14</v>
      </c>
      <c r="G7530" t="s">
        <v>27</v>
      </c>
      <c r="H7530">
        <v>0</v>
      </c>
      <c r="I7530" t="s">
        <v>27</v>
      </c>
    </row>
    <row r="7531" spans="1:9" x14ac:dyDescent="0.2">
      <c r="A7531" t="str">
        <f t="shared" si="364"/>
        <v>42614Haapiti12154Autres</v>
      </c>
      <c r="B7531" s="1">
        <v>42614</v>
      </c>
      <c r="C7531" t="s">
        <v>25</v>
      </c>
      <c r="D7531" s="19">
        <v>12</v>
      </c>
      <c r="E7531">
        <v>154</v>
      </c>
      <c r="F7531" t="s">
        <v>14</v>
      </c>
      <c r="G7531" t="s">
        <v>27</v>
      </c>
      <c r="H7531">
        <v>0</v>
      </c>
      <c r="I7531" t="s">
        <v>27</v>
      </c>
    </row>
    <row r="7532" spans="1:9" x14ac:dyDescent="0.2">
      <c r="A7532" t="str">
        <f t="shared" si="364"/>
        <v>42614Haapiti12155Autres</v>
      </c>
      <c r="B7532" s="1">
        <v>42614</v>
      </c>
      <c r="C7532" t="s">
        <v>25</v>
      </c>
      <c r="D7532" s="19">
        <v>12</v>
      </c>
      <c r="E7532">
        <v>155</v>
      </c>
      <c r="F7532" t="s">
        <v>14</v>
      </c>
      <c r="G7532" t="s">
        <v>27</v>
      </c>
      <c r="H7532">
        <v>0</v>
      </c>
      <c r="I7532" t="s">
        <v>27</v>
      </c>
    </row>
    <row r="7533" spans="1:9" x14ac:dyDescent="0.2">
      <c r="A7533" t="str">
        <f t="shared" si="364"/>
        <v>42614Haapiti12156Autres</v>
      </c>
      <c r="B7533" s="1">
        <v>42614</v>
      </c>
      <c r="C7533" t="s">
        <v>25</v>
      </c>
      <c r="D7533" s="19">
        <v>12</v>
      </c>
      <c r="E7533">
        <v>156</v>
      </c>
      <c r="F7533" t="s">
        <v>14</v>
      </c>
      <c r="G7533" t="s">
        <v>27</v>
      </c>
      <c r="H7533">
        <v>0</v>
      </c>
      <c r="I7533" t="s">
        <v>27</v>
      </c>
    </row>
    <row r="7534" spans="1:9" x14ac:dyDescent="0.2">
      <c r="A7534" t="str">
        <f t="shared" si="364"/>
        <v>42614Haapiti12157Autres</v>
      </c>
      <c r="B7534" s="1">
        <v>42614</v>
      </c>
      <c r="C7534" t="s">
        <v>25</v>
      </c>
      <c r="D7534" s="19">
        <v>12</v>
      </c>
      <c r="E7534">
        <v>157</v>
      </c>
      <c r="F7534" t="s">
        <v>14</v>
      </c>
      <c r="G7534" t="s">
        <v>27</v>
      </c>
      <c r="H7534">
        <v>0</v>
      </c>
      <c r="I7534" t="s">
        <v>27</v>
      </c>
    </row>
    <row r="7535" spans="1:9" x14ac:dyDescent="0.2">
      <c r="A7535" t="str">
        <f t="shared" si="364"/>
        <v>42614Haapiti12158Autres</v>
      </c>
      <c r="B7535" s="1">
        <v>42614</v>
      </c>
      <c r="C7535" t="s">
        <v>25</v>
      </c>
      <c r="D7535" s="19">
        <v>12</v>
      </c>
      <c r="E7535">
        <v>158</v>
      </c>
      <c r="F7535" t="s">
        <v>14</v>
      </c>
      <c r="G7535" t="s">
        <v>27</v>
      </c>
      <c r="H7535">
        <v>0</v>
      </c>
      <c r="I7535" t="s">
        <v>27</v>
      </c>
    </row>
    <row r="7536" spans="1:9" x14ac:dyDescent="0.2">
      <c r="A7536" t="str">
        <f t="shared" si="364"/>
        <v>42614Haapiti12159Autres</v>
      </c>
      <c r="B7536" s="1">
        <v>42614</v>
      </c>
      <c r="C7536" t="s">
        <v>25</v>
      </c>
      <c r="D7536" s="19">
        <v>12</v>
      </c>
      <c r="E7536">
        <v>159</v>
      </c>
      <c r="F7536" t="s">
        <v>14</v>
      </c>
      <c r="G7536" t="s">
        <v>27</v>
      </c>
      <c r="H7536">
        <v>0</v>
      </c>
      <c r="I7536" t="s">
        <v>27</v>
      </c>
    </row>
    <row r="7537" spans="1:9" x14ac:dyDescent="0.2">
      <c r="A7537" t="str">
        <f t="shared" si="364"/>
        <v>42614Haapiti12160Autres</v>
      </c>
      <c r="B7537" s="1">
        <v>42614</v>
      </c>
      <c r="C7537" t="s">
        <v>25</v>
      </c>
      <c r="D7537" s="19">
        <v>12</v>
      </c>
      <c r="E7537">
        <v>160</v>
      </c>
      <c r="F7537" t="s">
        <v>14</v>
      </c>
      <c r="G7537" t="s">
        <v>27</v>
      </c>
      <c r="H7537">
        <v>0</v>
      </c>
      <c r="I7537" t="s">
        <v>27</v>
      </c>
    </row>
    <row r="7538" spans="1:9" x14ac:dyDescent="0.2">
      <c r="A7538" t="str">
        <f t="shared" si="364"/>
        <v>42614Haapiti18161Autres</v>
      </c>
      <c r="B7538" s="1">
        <v>42614</v>
      </c>
      <c r="C7538" t="s">
        <v>25</v>
      </c>
      <c r="D7538" s="19">
        <v>18</v>
      </c>
      <c r="E7538">
        <v>161</v>
      </c>
      <c r="F7538" t="s">
        <v>14</v>
      </c>
      <c r="G7538" t="s">
        <v>27</v>
      </c>
      <c r="H7538">
        <v>0</v>
      </c>
      <c r="I7538" t="s">
        <v>27</v>
      </c>
    </row>
    <row r="7539" spans="1:9" x14ac:dyDescent="0.2">
      <c r="A7539" t="str">
        <f t="shared" si="364"/>
        <v>42614Haapiti18162Autres</v>
      </c>
      <c r="B7539" s="1">
        <v>42614</v>
      </c>
      <c r="C7539" t="s">
        <v>25</v>
      </c>
      <c r="D7539" s="19">
        <v>18</v>
      </c>
      <c r="E7539">
        <v>162</v>
      </c>
      <c r="F7539" t="s">
        <v>14</v>
      </c>
      <c r="G7539" t="s">
        <v>27</v>
      </c>
      <c r="H7539">
        <v>0</v>
      </c>
      <c r="I7539" t="s">
        <v>27</v>
      </c>
    </row>
    <row r="7540" spans="1:9" x14ac:dyDescent="0.2">
      <c r="A7540" t="str">
        <f t="shared" si="364"/>
        <v>42614Haapiti18163Autres</v>
      </c>
      <c r="B7540" s="1">
        <v>42614</v>
      </c>
      <c r="C7540" t="s">
        <v>25</v>
      </c>
      <c r="D7540" s="19">
        <v>18</v>
      </c>
      <c r="E7540">
        <v>163</v>
      </c>
      <c r="F7540" t="s">
        <v>14</v>
      </c>
      <c r="G7540" t="s">
        <v>27</v>
      </c>
      <c r="H7540">
        <v>0</v>
      </c>
      <c r="I7540" t="s">
        <v>27</v>
      </c>
    </row>
    <row r="7541" spans="1:9" x14ac:dyDescent="0.2">
      <c r="A7541" t="str">
        <f t="shared" si="364"/>
        <v>42614Haapiti18164Autres</v>
      </c>
      <c r="B7541" s="1">
        <v>42614</v>
      </c>
      <c r="C7541" t="s">
        <v>25</v>
      </c>
      <c r="D7541" s="19">
        <v>18</v>
      </c>
      <c r="E7541">
        <v>164</v>
      </c>
      <c r="F7541" t="s">
        <v>14</v>
      </c>
      <c r="G7541" t="s">
        <v>27</v>
      </c>
      <c r="H7541">
        <v>0</v>
      </c>
      <c r="I7541" t="s">
        <v>27</v>
      </c>
    </row>
    <row r="7542" spans="1:9" x14ac:dyDescent="0.2">
      <c r="A7542" t="str">
        <f t="shared" si="364"/>
        <v>42614Haapiti18165Autres</v>
      </c>
      <c r="B7542" s="1">
        <v>42614</v>
      </c>
      <c r="C7542" t="s">
        <v>25</v>
      </c>
      <c r="D7542" s="19">
        <v>18</v>
      </c>
      <c r="E7542">
        <v>165</v>
      </c>
      <c r="F7542" t="s">
        <v>14</v>
      </c>
      <c r="G7542" t="s">
        <v>27</v>
      </c>
      <c r="H7542">
        <v>0</v>
      </c>
      <c r="I7542" t="s">
        <v>27</v>
      </c>
    </row>
    <row r="7543" spans="1:9" x14ac:dyDescent="0.2">
      <c r="A7543" t="str">
        <f t="shared" si="364"/>
        <v>42614Haapiti18166Autres</v>
      </c>
      <c r="B7543" s="1">
        <v>42614</v>
      </c>
      <c r="C7543" t="s">
        <v>25</v>
      </c>
      <c r="D7543" s="19">
        <v>18</v>
      </c>
      <c r="E7543">
        <v>166</v>
      </c>
      <c r="F7543" t="s">
        <v>14</v>
      </c>
      <c r="G7543" t="s">
        <v>27</v>
      </c>
      <c r="H7543">
        <v>0</v>
      </c>
      <c r="I7543" t="s">
        <v>27</v>
      </c>
    </row>
    <row r="7544" spans="1:9" x14ac:dyDescent="0.2">
      <c r="A7544" t="str">
        <f t="shared" si="364"/>
        <v>42614Haapiti18167Autres</v>
      </c>
      <c r="B7544" s="1">
        <v>42614</v>
      </c>
      <c r="C7544" t="s">
        <v>25</v>
      </c>
      <c r="D7544" s="19">
        <v>18</v>
      </c>
      <c r="E7544">
        <v>167</v>
      </c>
      <c r="F7544" t="s">
        <v>14</v>
      </c>
      <c r="G7544" t="s">
        <v>27</v>
      </c>
      <c r="H7544">
        <v>0</v>
      </c>
      <c r="I7544" t="s">
        <v>27</v>
      </c>
    </row>
    <row r="7545" spans="1:9" x14ac:dyDescent="0.2">
      <c r="A7545" t="str">
        <f t="shared" si="364"/>
        <v>42614Haapiti18168Autres</v>
      </c>
      <c r="B7545" s="1">
        <v>42614</v>
      </c>
      <c r="C7545" t="s">
        <v>25</v>
      </c>
      <c r="D7545" s="19">
        <v>18</v>
      </c>
      <c r="E7545">
        <v>168</v>
      </c>
      <c r="F7545" t="s">
        <v>14</v>
      </c>
      <c r="G7545" t="s">
        <v>27</v>
      </c>
      <c r="H7545">
        <v>0</v>
      </c>
      <c r="I7545" t="s">
        <v>27</v>
      </c>
    </row>
    <row r="7546" spans="1:9" x14ac:dyDescent="0.2">
      <c r="A7546" t="str">
        <f t="shared" si="364"/>
        <v>42614Haapiti18169Autres</v>
      </c>
      <c r="B7546" s="1">
        <v>42614</v>
      </c>
      <c r="C7546" t="s">
        <v>25</v>
      </c>
      <c r="D7546" s="19">
        <v>18</v>
      </c>
      <c r="E7546">
        <v>169</v>
      </c>
      <c r="F7546" t="s">
        <v>14</v>
      </c>
      <c r="G7546" t="s">
        <v>27</v>
      </c>
      <c r="H7546">
        <v>0</v>
      </c>
      <c r="I7546" t="s">
        <v>27</v>
      </c>
    </row>
    <row r="7547" spans="1:9" x14ac:dyDescent="0.2">
      <c r="A7547" t="str">
        <f t="shared" si="364"/>
        <v>42614Haapiti18170Autres</v>
      </c>
      <c r="B7547" s="1">
        <v>42614</v>
      </c>
      <c r="C7547" t="s">
        <v>25</v>
      </c>
      <c r="D7547" s="19">
        <v>18</v>
      </c>
      <c r="E7547">
        <v>170</v>
      </c>
      <c r="F7547" t="s">
        <v>14</v>
      </c>
      <c r="G7547" t="s">
        <v>27</v>
      </c>
      <c r="H7547">
        <v>0</v>
      </c>
      <c r="I7547" t="s">
        <v>27</v>
      </c>
    </row>
    <row r="7548" spans="1:9" x14ac:dyDescent="0.2">
      <c r="A7548" t="str">
        <f t="shared" si="364"/>
        <v>42614Haapiti18171Autres</v>
      </c>
      <c r="B7548" s="1">
        <v>42614</v>
      </c>
      <c r="C7548" t="s">
        <v>25</v>
      </c>
      <c r="D7548" s="19">
        <v>18</v>
      </c>
      <c r="E7548">
        <v>171</v>
      </c>
      <c r="F7548" t="s">
        <v>14</v>
      </c>
      <c r="G7548" t="s">
        <v>27</v>
      </c>
      <c r="H7548">
        <v>0</v>
      </c>
      <c r="I7548" t="s">
        <v>27</v>
      </c>
    </row>
    <row r="7549" spans="1:9" x14ac:dyDescent="0.2">
      <c r="A7549" t="str">
        <f t="shared" si="364"/>
        <v>42614Haapiti18172Autres</v>
      </c>
      <c r="B7549" s="1">
        <v>42614</v>
      </c>
      <c r="C7549" t="s">
        <v>25</v>
      </c>
      <c r="D7549" s="19">
        <v>18</v>
      </c>
      <c r="E7549">
        <v>172</v>
      </c>
      <c r="F7549" t="s">
        <v>14</v>
      </c>
      <c r="G7549" t="s">
        <v>27</v>
      </c>
      <c r="H7549">
        <v>0</v>
      </c>
      <c r="I7549" t="s">
        <v>27</v>
      </c>
    </row>
    <row r="7550" spans="1:9" x14ac:dyDescent="0.2">
      <c r="A7550" t="str">
        <f t="shared" si="364"/>
        <v>42614Haapiti18173Autres</v>
      </c>
      <c r="B7550" s="1">
        <v>42614</v>
      </c>
      <c r="C7550" t="s">
        <v>25</v>
      </c>
      <c r="D7550" s="19">
        <v>18</v>
      </c>
      <c r="E7550">
        <v>173</v>
      </c>
      <c r="F7550" t="s">
        <v>14</v>
      </c>
      <c r="G7550" t="s">
        <v>27</v>
      </c>
      <c r="H7550">
        <v>0</v>
      </c>
      <c r="I7550" t="s">
        <v>27</v>
      </c>
    </row>
    <row r="7551" spans="1:9" x14ac:dyDescent="0.2">
      <c r="A7551" t="str">
        <f t="shared" ref="A7551:A7614" si="365">B7551 &amp; C7551&amp; D7551&amp; E7551 &amp; F7551 &amp;G7551</f>
        <v>42614Haapiti18174Autres</v>
      </c>
      <c r="B7551" s="1">
        <v>42614</v>
      </c>
      <c r="C7551" t="s">
        <v>25</v>
      </c>
      <c r="D7551" s="19">
        <v>18</v>
      </c>
      <c r="E7551">
        <v>174</v>
      </c>
      <c r="F7551" t="s">
        <v>14</v>
      </c>
      <c r="G7551" t="s">
        <v>27</v>
      </c>
      <c r="H7551">
        <v>0</v>
      </c>
      <c r="I7551" t="s">
        <v>27</v>
      </c>
    </row>
    <row r="7552" spans="1:9" x14ac:dyDescent="0.2">
      <c r="A7552" t="str">
        <f t="shared" si="365"/>
        <v>42614Haapiti18175Autres</v>
      </c>
      <c r="B7552" s="1">
        <v>42614</v>
      </c>
      <c r="C7552" t="s">
        <v>25</v>
      </c>
      <c r="D7552" s="19">
        <v>18</v>
      </c>
      <c r="E7552">
        <v>175</v>
      </c>
      <c r="F7552" t="s">
        <v>14</v>
      </c>
      <c r="G7552" t="s">
        <v>27</v>
      </c>
      <c r="H7552">
        <v>0</v>
      </c>
      <c r="I7552" t="s">
        <v>27</v>
      </c>
    </row>
    <row r="7553" spans="1:9" x14ac:dyDescent="0.2">
      <c r="A7553" t="str">
        <f t="shared" si="365"/>
        <v>42614Haapiti18176Autres</v>
      </c>
      <c r="B7553" s="1">
        <v>42614</v>
      </c>
      <c r="C7553" t="s">
        <v>25</v>
      </c>
      <c r="D7553" s="19">
        <v>18</v>
      </c>
      <c r="E7553">
        <v>176</v>
      </c>
      <c r="F7553" t="s">
        <v>14</v>
      </c>
      <c r="G7553" t="s">
        <v>27</v>
      </c>
      <c r="H7553">
        <v>0</v>
      </c>
      <c r="I7553" t="s">
        <v>27</v>
      </c>
    </row>
    <row r="7554" spans="1:9" x14ac:dyDescent="0.2">
      <c r="A7554" t="str">
        <f t="shared" si="365"/>
        <v>42614Haapiti18177Autres</v>
      </c>
      <c r="B7554" s="1">
        <v>42614</v>
      </c>
      <c r="C7554" t="s">
        <v>25</v>
      </c>
      <c r="D7554" s="19">
        <v>18</v>
      </c>
      <c r="E7554">
        <v>177</v>
      </c>
      <c r="F7554" t="s">
        <v>14</v>
      </c>
      <c r="G7554" t="s">
        <v>27</v>
      </c>
      <c r="H7554">
        <v>0</v>
      </c>
      <c r="I7554" t="s">
        <v>27</v>
      </c>
    </row>
    <row r="7555" spans="1:9" x14ac:dyDescent="0.2">
      <c r="A7555" t="str">
        <f t="shared" si="365"/>
        <v>42614Haapiti18178Autres</v>
      </c>
      <c r="B7555" s="1">
        <v>42614</v>
      </c>
      <c r="C7555" t="s">
        <v>25</v>
      </c>
      <c r="D7555" s="19">
        <v>18</v>
      </c>
      <c r="E7555">
        <v>178</v>
      </c>
      <c r="F7555" t="s">
        <v>14</v>
      </c>
      <c r="G7555" t="s">
        <v>27</v>
      </c>
      <c r="H7555">
        <v>0</v>
      </c>
      <c r="I7555" t="s">
        <v>27</v>
      </c>
    </row>
    <row r="7556" spans="1:9" x14ac:dyDescent="0.2">
      <c r="A7556" t="str">
        <f t="shared" si="365"/>
        <v>42614Haapiti18179Autres</v>
      </c>
      <c r="B7556" s="1">
        <v>42614</v>
      </c>
      <c r="C7556" t="s">
        <v>25</v>
      </c>
      <c r="D7556" s="19">
        <v>18</v>
      </c>
      <c r="E7556">
        <v>179</v>
      </c>
      <c r="F7556" t="s">
        <v>14</v>
      </c>
      <c r="G7556" t="s">
        <v>27</v>
      </c>
      <c r="H7556">
        <v>0</v>
      </c>
      <c r="I7556" t="s">
        <v>27</v>
      </c>
    </row>
    <row r="7557" spans="1:9" x14ac:dyDescent="0.2">
      <c r="A7557" t="str">
        <f t="shared" si="365"/>
        <v>42614Haapiti18180Autres</v>
      </c>
      <c r="B7557" s="1">
        <v>42614</v>
      </c>
      <c r="C7557" t="s">
        <v>25</v>
      </c>
      <c r="D7557" s="19">
        <v>18</v>
      </c>
      <c r="E7557">
        <v>180</v>
      </c>
      <c r="F7557" t="s">
        <v>14</v>
      </c>
      <c r="G7557" t="s">
        <v>27</v>
      </c>
      <c r="H7557">
        <v>0</v>
      </c>
      <c r="I7557" t="s">
        <v>27</v>
      </c>
    </row>
    <row r="7558" spans="1:9" x14ac:dyDescent="0.2">
      <c r="A7558" t="str">
        <f t="shared" si="365"/>
        <v>42705Vaipahu61PocilloporidaeDessous</v>
      </c>
      <c r="B7558" s="1">
        <v>42705</v>
      </c>
      <c r="C7558" t="s">
        <v>23</v>
      </c>
      <c r="D7558" s="19">
        <v>6</v>
      </c>
      <c r="E7558">
        <v>1</v>
      </c>
      <c r="F7558" t="s">
        <v>10</v>
      </c>
      <c r="G7558" t="s">
        <v>8</v>
      </c>
      <c r="H7558">
        <v>1</v>
      </c>
      <c r="I7558" t="s">
        <v>27</v>
      </c>
    </row>
    <row r="7559" spans="1:9" x14ac:dyDescent="0.2">
      <c r="A7559" t="str">
        <f t="shared" si="365"/>
        <v>42705Vaipahu61Pocilloporidaedessus</v>
      </c>
      <c r="B7559" s="1">
        <v>42705</v>
      </c>
      <c r="C7559" t="s">
        <v>23</v>
      </c>
      <c r="D7559" s="19">
        <v>6</v>
      </c>
      <c r="E7559">
        <v>1</v>
      </c>
      <c r="F7559" t="s">
        <v>10</v>
      </c>
      <c r="G7559" t="s">
        <v>36</v>
      </c>
      <c r="H7559">
        <v>1</v>
      </c>
      <c r="I7559" t="s">
        <v>27</v>
      </c>
    </row>
    <row r="7560" spans="1:9" x14ac:dyDescent="0.2">
      <c r="A7560" t="str">
        <f t="shared" si="365"/>
        <v>42705Vaipahu62Autres</v>
      </c>
      <c r="B7560" s="1">
        <v>42705</v>
      </c>
      <c r="C7560" t="s">
        <v>23</v>
      </c>
      <c r="D7560" s="19">
        <v>6</v>
      </c>
      <c r="E7560">
        <v>2</v>
      </c>
      <c r="F7560" t="s">
        <v>14</v>
      </c>
      <c r="G7560" t="s">
        <v>27</v>
      </c>
      <c r="H7560">
        <v>0</v>
      </c>
      <c r="I7560" t="s">
        <v>27</v>
      </c>
    </row>
    <row r="7561" spans="1:9" x14ac:dyDescent="0.2">
      <c r="A7561" t="str">
        <f t="shared" si="365"/>
        <v>42705Vaipahu63Autres</v>
      </c>
      <c r="B7561" s="1">
        <v>42705</v>
      </c>
      <c r="C7561" t="s">
        <v>23</v>
      </c>
      <c r="D7561" s="19">
        <v>6</v>
      </c>
      <c r="E7561">
        <v>3</v>
      </c>
      <c r="F7561" t="s">
        <v>14</v>
      </c>
      <c r="G7561" t="s">
        <v>27</v>
      </c>
      <c r="H7561">
        <v>0</v>
      </c>
      <c r="I7561" t="s">
        <v>27</v>
      </c>
    </row>
    <row r="7562" spans="1:9" x14ac:dyDescent="0.2">
      <c r="A7562" t="str">
        <f t="shared" si="365"/>
        <v>42705Vaipahu64Autres</v>
      </c>
      <c r="B7562" s="1">
        <v>42705</v>
      </c>
      <c r="C7562" t="s">
        <v>23</v>
      </c>
      <c r="D7562" s="19">
        <v>6</v>
      </c>
      <c r="E7562">
        <v>4</v>
      </c>
      <c r="F7562" t="s">
        <v>14</v>
      </c>
      <c r="G7562" t="s">
        <v>27</v>
      </c>
      <c r="H7562">
        <v>0</v>
      </c>
      <c r="I7562" t="s">
        <v>27</v>
      </c>
    </row>
    <row r="7563" spans="1:9" x14ac:dyDescent="0.2">
      <c r="A7563" t="str">
        <f t="shared" si="365"/>
        <v>42705Vaipahu65Autres</v>
      </c>
      <c r="B7563" s="1">
        <v>42705</v>
      </c>
      <c r="C7563" t="s">
        <v>23</v>
      </c>
      <c r="D7563" s="19">
        <v>6</v>
      </c>
      <c r="E7563">
        <v>5</v>
      </c>
      <c r="F7563" t="s">
        <v>14</v>
      </c>
      <c r="G7563" t="s">
        <v>27</v>
      </c>
      <c r="H7563">
        <v>0</v>
      </c>
      <c r="I7563" t="s">
        <v>27</v>
      </c>
    </row>
    <row r="7564" spans="1:9" x14ac:dyDescent="0.2">
      <c r="A7564" t="str">
        <f t="shared" si="365"/>
        <v>42705Vaipahu66CassésDessous</v>
      </c>
      <c r="B7564" s="1">
        <v>42705</v>
      </c>
      <c r="C7564" t="s">
        <v>23</v>
      </c>
      <c r="D7564" s="19">
        <v>6</v>
      </c>
      <c r="E7564">
        <v>6</v>
      </c>
      <c r="F7564" t="s">
        <v>12</v>
      </c>
      <c r="G7564" t="s">
        <v>8</v>
      </c>
      <c r="H7564">
        <v>1</v>
      </c>
      <c r="I7564" t="s">
        <v>27</v>
      </c>
    </row>
    <row r="7565" spans="1:9" x14ac:dyDescent="0.2">
      <c r="A7565" t="str">
        <f t="shared" si="365"/>
        <v>42705Vaipahu66PocilloporidaeDessous</v>
      </c>
      <c r="B7565" s="1">
        <v>42705</v>
      </c>
      <c r="C7565" t="s">
        <v>23</v>
      </c>
      <c r="D7565" s="19">
        <v>6</v>
      </c>
      <c r="E7565">
        <v>6</v>
      </c>
      <c r="F7565" t="s">
        <v>10</v>
      </c>
      <c r="G7565" t="s">
        <v>8</v>
      </c>
      <c r="H7565">
        <v>1</v>
      </c>
      <c r="I7565" t="s">
        <v>27</v>
      </c>
    </row>
    <row r="7566" spans="1:9" x14ac:dyDescent="0.2">
      <c r="A7566" t="str">
        <f t="shared" si="365"/>
        <v>42705Vaipahu67Autres</v>
      </c>
      <c r="B7566" s="1">
        <v>42705</v>
      </c>
      <c r="C7566" t="s">
        <v>23</v>
      </c>
      <c r="D7566" s="19">
        <v>6</v>
      </c>
      <c r="E7566">
        <v>7</v>
      </c>
      <c r="F7566" t="s">
        <v>14</v>
      </c>
      <c r="G7566" t="s">
        <v>27</v>
      </c>
      <c r="H7566">
        <v>0</v>
      </c>
      <c r="I7566" t="s">
        <v>27</v>
      </c>
    </row>
    <row r="7567" spans="1:9" x14ac:dyDescent="0.2">
      <c r="A7567" t="str">
        <f t="shared" si="365"/>
        <v>42705Vaipahu68Autres</v>
      </c>
      <c r="B7567" s="1">
        <v>42705</v>
      </c>
      <c r="C7567" t="s">
        <v>23</v>
      </c>
      <c r="D7567" s="19">
        <v>6</v>
      </c>
      <c r="E7567">
        <v>8</v>
      </c>
      <c r="F7567" t="s">
        <v>14</v>
      </c>
      <c r="G7567" t="s">
        <v>27</v>
      </c>
      <c r="H7567">
        <v>0</v>
      </c>
      <c r="I7567" t="s">
        <v>27</v>
      </c>
    </row>
    <row r="7568" spans="1:9" x14ac:dyDescent="0.2">
      <c r="A7568" t="str">
        <f t="shared" si="365"/>
        <v>42705Vaipahu69CassésBords</v>
      </c>
      <c r="B7568" s="1">
        <v>42705</v>
      </c>
      <c r="C7568" t="s">
        <v>23</v>
      </c>
      <c r="D7568" s="19">
        <v>6</v>
      </c>
      <c r="E7568">
        <v>9</v>
      </c>
      <c r="F7568" t="s">
        <v>12</v>
      </c>
      <c r="G7568" t="s">
        <v>13</v>
      </c>
      <c r="H7568">
        <v>1</v>
      </c>
      <c r="I7568" t="s">
        <v>27</v>
      </c>
    </row>
    <row r="7569" spans="1:9" x14ac:dyDescent="0.2">
      <c r="A7569" t="str">
        <f t="shared" si="365"/>
        <v>42705Vaipahu69PocilloporidaeBords</v>
      </c>
      <c r="B7569" s="1">
        <v>42705</v>
      </c>
      <c r="C7569" t="s">
        <v>23</v>
      </c>
      <c r="D7569" s="19">
        <v>6</v>
      </c>
      <c r="E7569">
        <v>9</v>
      </c>
      <c r="F7569" t="s">
        <v>10</v>
      </c>
      <c r="G7569" t="s">
        <v>13</v>
      </c>
      <c r="H7569">
        <v>1</v>
      </c>
      <c r="I7569" t="s">
        <v>27</v>
      </c>
    </row>
    <row r="7570" spans="1:9" x14ac:dyDescent="0.2">
      <c r="A7570" t="str">
        <f t="shared" si="365"/>
        <v>42705Vaipahu69PocilloporidaeDessous</v>
      </c>
      <c r="B7570" s="1">
        <v>42705</v>
      </c>
      <c r="C7570" t="s">
        <v>23</v>
      </c>
      <c r="D7570" s="19">
        <v>6</v>
      </c>
      <c r="E7570">
        <v>9</v>
      </c>
      <c r="F7570" t="s">
        <v>10</v>
      </c>
      <c r="G7570" t="s">
        <v>8</v>
      </c>
      <c r="H7570">
        <v>5</v>
      </c>
      <c r="I7570" t="s">
        <v>27</v>
      </c>
    </row>
    <row r="7571" spans="1:9" x14ac:dyDescent="0.2">
      <c r="A7571" t="str">
        <f t="shared" si="365"/>
        <v>42705Vaipahu69PoritidaeDessous</v>
      </c>
      <c r="B7571" s="1">
        <v>42705</v>
      </c>
      <c r="C7571" t="s">
        <v>23</v>
      </c>
      <c r="D7571" s="19">
        <v>6</v>
      </c>
      <c r="E7571">
        <v>9</v>
      </c>
      <c r="F7571" t="s">
        <v>7</v>
      </c>
      <c r="G7571" t="s">
        <v>8</v>
      </c>
      <c r="H7571">
        <v>1</v>
      </c>
      <c r="I7571" t="s">
        <v>27</v>
      </c>
    </row>
    <row r="7572" spans="1:9" x14ac:dyDescent="0.2">
      <c r="A7572" t="str">
        <f t="shared" si="365"/>
        <v>42705Vaipahu610PocilloporidaeBords</v>
      </c>
      <c r="B7572" s="1">
        <v>42705</v>
      </c>
      <c r="C7572" t="s">
        <v>23</v>
      </c>
      <c r="D7572" s="19">
        <v>6</v>
      </c>
      <c r="E7572">
        <v>10</v>
      </c>
      <c r="F7572" t="s">
        <v>10</v>
      </c>
      <c r="G7572" t="s">
        <v>13</v>
      </c>
      <c r="H7572">
        <v>1</v>
      </c>
      <c r="I7572" t="s">
        <v>27</v>
      </c>
    </row>
    <row r="7573" spans="1:9" x14ac:dyDescent="0.2">
      <c r="A7573" t="str">
        <f t="shared" si="365"/>
        <v>42705Vaipahu610PocilloporidaeDessous</v>
      </c>
      <c r="B7573" s="1">
        <v>42705</v>
      </c>
      <c r="C7573" t="s">
        <v>23</v>
      </c>
      <c r="D7573" s="19">
        <v>6</v>
      </c>
      <c r="E7573">
        <v>10</v>
      </c>
      <c r="F7573" t="s">
        <v>10</v>
      </c>
      <c r="G7573" t="s">
        <v>8</v>
      </c>
      <c r="H7573">
        <v>1</v>
      </c>
      <c r="I7573" t="s">
        <v>27</v>
      </c>
    </row>
    <row r="7574" spans="1:9" x14ac:dyDescent="0.2">
      <c r="A7574" t="str">
        <f t="shared" si="365"/>
        <v>42705Vaipahu611Autres</v>
      </c>
      <c r="B7574" s="1">
        <v>42705</v>
      </c>
      <c r="C7574" t="s">
        <v>23</v>
      </c>
      <c r="D7574" s="19">
        <v>6</v>
      </c>
      <c r="E7574">
        <v>11</v>
      </c>
      <c r="F7574" t="s">
        <v>14</v>
      </c>
      <c r="G7574" t="s">
        <v>27</v>
      </c>
      <c r="H7574">
        <v>0</v>
      </c>
      <c r="I7574" t="s">
        <v>27</v>
      </c>
    </row>
    <row r="7575" spans="1:9" x14ac:dyDescent="0.2">
      <c r="A7575" t="str">
        <f t="shared" si="365"/>
        <v>42705Vaipahu612PocilloporidaeBords</v>
      </c>
      <c r="B7575" s="1">
        <v>42705</v>
      </c>
      <c r="C7575" t="s">
        <v>23</v>
      </c>
      <c r="D7575" s="19">
        <v>6</v>
      </c>
      <c r="E7575">
        <v>12</v>
      </c>
      <c r="F7575" t="s">
        <v>10</v>
      </c>
      <c r="G7575" t="s">
        <v>13</v>
      </c>
      <c r="H7575">
        <v>1</v>
      </c>
      <c r="I7575" t="s">
        <v>27</v>
      </c>
    </row>
    <row r="7576" spans="1:9" x14ac:dyDescent="0.2">
      <c r="A7576" t="str">
        <f t="shared" si="365"/>
        <v>42705Vaipahu613Autres</v>
      </c>
      <c r="B7576" s="1">
        <v>42705</v>
      </c>
      <c r="C7576" t="s">
        <v>23</v>
      </c>
      <c r="D7576" s="19">
        <v>6</v>
      </c>
      <c r="E7576">
        <v>13</v>
      </c>
      <c r="F7576" t="s">
        <v>14</v>
      </c>
      <c r="G7576" t="s">
        <v>27</v>
      </c>
      <c r="H7576">
        <v>0</v>
      </c>
      <c r="I7576" t="s">
        <v>27</v>
      </c>
    </row>
    <row r="7577" spans="1:9" x14ac:dyDescent="0.2">
      <c r="A7577" t="str">
        <f t="shared" si="365"/>
        <v>42705Vaipahu614PocilloporidaeBords</v>
      </c>
      <c r="B7577" s="1">
        <v>42705</v>
      </c>
      <c r="C7577" t="s">
        <v>23</v>
      </c>
      <c r="D7577" s="19">
        <v>6</v>
      </c>
      <c r="E7577">
        <v>14</v>
      </c>
      <c r="F7577" t="s">
        <v>10</v>
      </c>
      <c r="G7577" t="s">
        <v>13</v>
      </c>
      <c r="H7577">
        <v>5</v>
      </c>
      <c r="I7577" t="s">
        <v>27</v>
      </c>
    </row>
    <row r="7578" spans="1:9" x14ac:dyDescent="0.2">
      <c r="A7578" t="str">
        <f t="shared" si="365"/>
        <v>42705Vaipahu614PocilloporidaeDessous</v>
      </c>
      <c r="B7578" s="1">
        <v>42705</v>
      </c>
      <c r="C7578" t="s">
        <v>23</v>
      </c>
      <c r="D7578" s="19">
        <v>6</v>
      </c>
      <c r="E7578">
        <v>14</v>
      </c>
      <c r="F7578" t="s">
        <v>10</v>
      </c>
      <c r="G7578" t="s">
        <v>8</v>
      </c>
      <c r="H7578">
        <v>1</v>
      </c>
      <c r="I7578" t="s">
        <v>27</v>
      </c>
    </row>
    <row r="7579" spans="1:9" x14ac:dyDescent="0.2">
      <c r="A7579" t="str">
        <f t="shared" si="365"/>
        <v>42705Vaipahu615PocilloporidaeBords</v>
      </c>
      <c r="B7579" s="1">
        <v>42705</v>
      </c>
      <c r="C7579" t="s">
        <v>23</v>
      </c>
      <c r="D7579" s="19">
        <v>6</v>
      </c>
      <c r="E7579">
        <v>15</v>
      </c>
      <c r="F7579" t="s">
        <v>10</v>
      </c>
      <c r="G7579" t="s">
        <v>13</v>
      </c>
      <c r="H7579">
        <v>1</v>
      </c>
      <c r="I7579" t="s">
        <v>27</v>
      </c>
    </row>
    <row r="7580" spans="1:9" x14ac:dyDescent="0.2">
      <c r="A7580" t="str">
        <f t="shared" si="365"/>
        <v>42705Vaipahu616Autres</v>
      </c>
      <c r="B7580" s="1">
        <v>42705</v>
      </c>
      <c r="C7580" t="s">
        <v>23</v>
      </c>
      <c r="D7580" s="19">
        <v>6</v>
      </c>
      <c r="E7580">
        <v>16</v>
      </c>
      <c r="F7580" t="s">
        <v>14</v>
      </c>
      <c r="G7580" t="s">
        <v>27</v>
      </c>
      <c r="H7580">
        <v>0</v>
      </c>
      <c r="I7580" t="s">
        <v>27</v>
      </c>
    </row>
    <row r="7581" spans="1:9" x14ac:dyDescent="0.2">
      <c r="A7581" t="str">
        <f t="shared" si="365"/>
        <v>42705Vaipahu617Autres</v>
      </c>
      <c r="B7581" s="1">
        <v>42705</v>
      </c>
      <c r="C7581" t="s">
        <v>23</v>
      </c>
      <c r="D7581" s="19">
        <v>6</v>
      </c>
      <c r="E7581">
        <v>17</v>
      </c>
      <c r="F7581" t="s">
        <v>14</v>
      </c>
      <c r="G7581" t="s">
        <v>27</v>
      </c>
      <c r="H7581">
        <v>0</v>
      </c>
      <c r="I7581" t="s">
        <v>27</v>
      </c>
    </row>
    <row r="7582" spans="1:9" x14ac:dyDescent="0.2">
      <c r="A7582" t="str">
        <f t="shared" si="365"/>
        <v>42705Vaipahu618PocilloporidaeDessous</v>
      </c>
      <c r="B7582" s="1">
        <v>42705</v>
      </c>
      <c r="C7582" t="s">
        <v>23</v>
      </c>
      <c r="D7582" s="19">
        <v>6</v>
      </c>
      <c r="E7582">
        <v>18</v>
      </c>
      <c r="F7582" t="s">
        <v>10</v>
      </c>
      <c r="G7582" t="s">
        <v>8</v>
      </c>
      <c r="H7582">
        <v>1</v>
      </c>
      <c r="I7582" t="s">
        <v>27</v>
      </c>
    </row>
    <row r="7583" spans="1:9" x14ac:dyDescent="0.2">
      <c r="A7583" t="str">
        <f t="shared" si="365"/>
        <v>42705Vaipahu619Autres</v>
      </c>
      <c r="B7583" s="1">
        <v>42705</v>
      </c>
      <c r="C7583" t="s">
        <v>23</v>
      </c>
      <c r="D7583" s="19">
        <v>6</v>
      </c>
      <c r="E7583">
        <v>19</v>
      </c>
      <c r="F7583" t="s">
        <v>14</v>
      </c>
      <c r="G7583" t="s">
        <v>27</v>
      </c>
      <c r="H7583">
        <v>0</v>
      </c>
      <c r="I7583" t="s">
        <v>27</v>
      </c>
    </row>
    <row r="7584" spans="1:9" x14ac:dyDescent="0.2">
      <c r="A7584" t="str">
        <f t="shared" si="365"/>
        <v>42705Vaipahu620Autres</v>
      </c>
      <c r="B7584" s="1">
        <v>42705</v>
      </c>
      <c r="C7584" t="s">
        <v>23</v>
      </c>
      <c r="D7584" s="19">
        <v>6</v>
      </c>
      <c r="E7584">
        <v>20</v>
      </c>
      <c r="F7584" t="s">
        <v>14</v>
      </c>
      <c r="G7584" t="s">
        <v>27</v>
      </c>
      <c r="H7584">
        <v>0</v>
      </c>
      <c r="I7584" t="s">
        <v>27</v>
      </c>
    </row>
    <row r="7585" spans="1:9" x14ac:dyDescent="0.2">
      <c r="A7585" t="str">
        <f t="shared" si="365"/>
        <v>42705Vaipahu1221Autres</v>
      </c>
      <c r="B7585" s="1">
        <v>42705</v>
      </c>
      <c r="C7585" t="s">
        <v>23</v>
      </c>
      <c r="D7585" s="19">
        <v>12</v>
      </c>
      <c r="E7585">
        <v>21</v>
      </c>
      <c r="F7585" t="s">
        <v>14</v>
      </c>
      <c r="G7585" t="s">
        <v>27</v>
      </c>
      <c r="H7585">
        <v>0</v>
      </c>
      <c r="I7585" t="s">
        <v>27</v>
      </c>
    </row>
    <row r="7586" spans="1:9" x14ac:dyDescent="0.2">
      <c r="A7586" t="str">
        <f t="shared" si="365"/>
        <v>42705Vaipahu1222CassésDessous</v>
      </c>
      <c r="B7586" s="1">
        <v>42705</v>
      </c>
      <c r="C7586" t="s">
        <v>23</v>
      </c>
      <c r="D7586" s="19">
        <v>12</v>
      </c>
      <c r="E7586">
        <v>22</v>
      </c>
      <c r="F7586" t="s">
        <v>12</v>
      </c>
      <c r="G7586" t="s">
        <v>8</v>
      </c>
      <c r="H7586">
        <v>2</v>
      </c>
      <c r="I7586" t="s">
        <v>27</v>
      </c>
    </row>
    <row r="7587" spans="1:9" x14ac:dyDescent="0.2">
      <c r="A7587" t="str">
        <f t="shared" si="365"/>
        <v>42705Vaipahu1222PocilloporidaeBords</v>
      </c>
      <c r="B7587" s="1">
        <v>42705</v>
      </c>
      <c r="C7587" t="s">
        <v>23</v>
      </c>
      <c r="D7587" s="19">
        <v>12</v>
      </c>
      <c r="E7587">
        <v>22</v>
      </c>
      <c r="F7587" t="s">
        <v>10</v>
      </c>
      <c r="G7587" t="s">
        <v>13</v>
      </c>
      <c r="H7587">
        <v>1</v>
      </c>
      <c r="I7587" t="s">
        <v>27</v>
      </c>
    </row>
    <row r="7588" spans="1:9" x14ac:dyDescent="0.2">
      <c r="A7588" t="str">
        <f t="shared" si="365"/>
        <v>42705Vaipahu1222PocilloporidaeDessous</v>
      </c>
      <c r="B7588" s="1">
        <v>42705</v>
      </c>
      <c r="C7588" t="s">
        <v>23</v>
      </c>
      <c r="D7588" s="19">
        <v>12</v>
      </c>
      <c r="E7588">
        <v>22</v>
      </c>
      <c r="F7588" t="s">
        <v>10</v>
      </c>
      <c r="G7588" t="s">
        <v>8</v>
      </c>
      <c r="H7588">
        <v>1</v>
      </c>
      <c r="I7588" t="s">
        <v>27</v>
      </c>
    </row>
    <row r="7589" spans="1:9" x14ac:dyDescent="0.2">
      <c r="A7589" t="str">
        <f t="shared" si="365"/>
        <v>42705Vaipahu1223Autres</v>
      </c>
      <c r="B7589" s="1">
        <v>42705</v>
      </c>
      <c r="C7589" t="s">
        <v>23</v>
      </c>
      <c r="D7589" s="19">
        <v>12</v>
      </c>
      <c r="E7589">
        <v>23</v>
      </c>
      <c r="F7589" t="s">
        <v>14</v>
      </c>
      <c r="G7589" t="s">
        <v>27</v>
      </c>
      <c r="H7589">
        <v>0</v>
      </c>
      <c r="I7589" t="s">
        <v>27</v>
      </c>
    </row>
    <row r="7590" spans="1:9" x14ac:dyDescent="0.2">
      <c r="A7590" t="str">
        <f t="shared" si="365"/>
        <v>42705Vaipahu1224PocilloporidaeDessous</v>
      </c>
      <c r="B7590" s="1">
        <v>42705</v>
      </c>
      <c r="C7590" t="s">
        <v>23</v>
      </c>
      <c r="D7590" s="19">
        <v>12</v>
      </c>
      <c r="E7590">
        <v>24</v>
      </c>
      <c r="F7590" t="s">
        <v>10</v>
      </c>
      <c r="G7590" t="s">
        <v>8</v>
      </c>
      <c r="H7590">
        <v>2</v>
      </c>
      <c r="I7590" t="s">
        <v>27</v>
      </c>
    </row>
    <row r="7591" spans="1:9" x14ac:dyDescent="0.2">
      <c r="A7591" t="str">
        <f t="shared" si="365"/>
        <v>42705Vaipahu1225Autres</v>
      </c>
      <c r="B7591" s="1">
        <v>42705</v>
      </c>
      <c r="C7591" t="s">
        <v>23</v>
      </c>
      <c r="D7591" s="19">
        <v>12</v>
      </c>
      <c r="E7591">
        <v>25</v>
      </c>
      <c r="F7591" t="s">
        <v>14</v>
      </c>
      <c r="G7591" t="s">
        <v>27</v>
      </c>
      <c r="H7591">
        <v>0</v>
      </c>
      <c r="I7591" t="s">
        <v>27</v>
      </c>
    </row>
    <row r="7592" spans="1:9" x14ac:dyDescent="0.2">
      <c r="A7592" t="str">
        <f t="shared" si="365"/>
        <v>42705Vaipahu1226Autres</v>
      </c>
      <c r="B7592" s="1">
        <v>42705</v>
      </c>
      <c r="C7592" t="s">
        <v>23</v>
      </c>
      <c r="D7592" s="19">
        <v>12</v>
      </c>
      <c r="E7592">
        <v>26</v>
      </c>
      <c r="F7592" t="s">
        <v>14</v>
      </c>
      <c r="G7592" t="s">
        <v>27</v>
      </c>
      <c r="H7592">
        <v>0</v>
      </c>
      <c r="I7592" t="s">
        <v>27</v>
      </c>
    </row>
    <row r="7593" spans="1:9" x14ac:dyDescent="0.2">
      <c r="A7593" t="str">
        <f t="shared" si="365"/>
        <v>42705Vaipahu1227PocilloporidaeBords</v>
      </c>
      <c r="B7593" s="1">
        <v>42705</v>
      </c>
      <c r="C7593" t="s">
        <v>23</v>
      </c>
      <c r="D7593" s="19">
        <v>12</v>
      </c>
      <c r="E7593">
        <v>27</v>
      </c>
      <c r="F7593" t="s">
        <v>10</v>
      </c>
      <c r="G7593" t="s">
        <v>13</v>
      </c>
      <c r="H7593">
        <v>1</v>
      </c>
      <c r="I7593" t="s">
        <v>27</v>
      </c>
    </row>
    <row r="7594" spans="1:9" x14ac:dyDescent="0.2">
      <c r="A7594" t="str">
        <f t="shared" si="365"/>
        <v>42705Vaipahu1228Autres</v>
      </c>
      <c r="B7594" s="1">
        <v>42705</v>
      </c>
      <c r="C7594" t="s">
        <v>23</v>
      </c>
      <c r="D7594" s="19">
        <v>12</v>
      </c>
      <c r="E7594">
        <v>28</v>
      </c>
      <c r="F7594" t="s">
        <v>14</v>
      </c>
      <c r="G7594" t="s">
        <v>27</v>
      </c>
      <c r="H7594">
        <v>0</v>
      </c>
      <c r="I7594" t="s">
        <v>27</v>
      </c>
    </row>
    <row r="7595" spans="1:9" x14ac:dyDescent="0.2">
      <c r="A7595" t="str">
        <f t="shared" si="365"/>
        <v>42705Vaipahu1229Autres</v>
      </c>
      <c r="B7595" s="1">
        <v>42705</v>
      </c>
      <c r="C7595" t="s">
        <v>23</v>
      </c>
      <c r="D7595" s="19">
        <v>12</v>
      </c>
      <c r="E7595">
        <v>29</v>
      </c>
      <c r="F7595" t="s">
        <v>14</v>
      </c>
      <c r="G7595" t="s">
        <v>27</v>
      </c>
      <c r="H7595">
        <v>0</v>
      </c>
      <c r="I7595" t="s">
        <v>27</v>
      </c>
    </row>
    <row r="7596" spans="1:9" x14ac:dyDescent="0.2">
      <c r="A7596" t="str">
        <f t="shared" si="365"/>
        <v>42705Vaipahu1230Autres</v>
      </c>
      <c r="B7596" s="1">
        <v>42705</v>
      </c>
      <c r="C7596" t="s">
        <v>23</v>
      </c>
      <c r="D7596" s="19">
        <v>12</v>
      </c>
      <c r="E7596">
        <v>30</v>
      </c>
      <c r="F7596" t="s">
        <v>14</v>
      </c>
      <c r="G7596" t="s">
        <v>27</v>
      </c>
      <c r="H7596">
        <v>0</v>
      </c>
      <c r="I7596" t="s">
        <v>27</v>
      </c>
    </row>
    <row r="7597" spans="1:9" x14ac:dyDescent="0.2">
      <c r="A7597" t="str">
        <f t="shared" si="365"/>
        <v>42705Vaipahu1231PoritidaeBords</v>
      </c>
      <c r="B7597" s="1">
        <v>42705</v>
      </c>
      <c r="C7597" t="s">
        <v>23</v>
      </c>
      <c r="D7597" s="19">
        <v>12</v>
      </c>
      <c r="E7597">
        <v>31</v>
      </c>
      <c r="F7597" t="s">
        <v>7</v>
      </c>
      <c r="G7597" t="s">
        <v>13</v>
      </c>
      <c r="H7597">
        <v>1</v>
      </c>
      <c r="I7597" t="s">
        <v>27</v>
      </c>
    </row>
    <row r="7598" spans="1:9" x14ac:dyDescent="0.2">
      <c r="A7598" t="str">
        <f t="shared" si="365"/>
        <v>42705Vaipahu1232Autres</v>
      </c>
      <c r="B7598" s="1">
        <v>42705</v>
      </c>
      <c r="C7598" t="s">
        <v>23</v>
      </c>
      <c r="D7598" s="19">
        <v>12</v>
      </c>
      <c r="E7598">
        <v>32</v>
      </c>
      <c r="F7598" t="s">
        <v>14</v>
      </c>
      <c r="G7598" t="s">
        <v>27</v>
      </c>
      <c r="H7598">
        <v>0</v>
      </c>
      <c r="I7598" t="s">
        <v>27</v>
      </c>
    </row>
    <row r="7599" spans="1:9" x14ac:dyDescent="0.2">
      <c r="A7599" t="str">
        <f t="shared" si="365"/>
        <v>42705Vaipahu1233PocilloporidaeDessous</v>
      </c>
      <c r="B7599" s="1">
        <v>42705</v>
      </c>
      <c r="C7599" t="s">
        <v>23</v>
      </c>
      <c r="D7599" s="19">
        <v>12</v>
      </c>
      <c r="E7599">
        <v>33</v>
      </c>
      <c r="F7599" t="s">
        <v>10</v>
      </c>
      <c r="G7599" t="s">
        <v>8</v>
      </c>
      <c r="H7599">
        <v>1</v>
      </c>
      <c r="I7599" t="s">
        <v>27</v>
      </c>
    </row>
    <row r="7600" spans="1:9" x14ac:dyDescent="0.2">
      <c r="A7600" t="str">
        <f t="shared" si="365"/>
        <v>42705Vaipahu1234Autres</v>
      </c>
      <c r="B7600" s="1">
        <v>42705</v>
      </c>
      <c r="C7600" t="s">
        <v>23</v>
      </c>
      <c r="D7600" s="19">
        <v>12</v>
      </c>
      <c r="E7600">
        <v>34</v>
      </c>
      <c r="F7600" t="s">
        <v>14</v>
      </c>
      <c r="G7600" t="s">
        <v>27</v>
      </c>
      <c r="H7600">
        <v>0</v>
      </c>
      <c r="I7600" t="s">
        <v>27</v>
      </c>
    </row>
    <row r="7601" spans="1:9" x14ac:dyDescent="0.2">
      <c r="A7601" t="str">
        <f t="shared" si="365"/>
        <v>42705Vaipahu1235CassésBords</v>
      </c>
      <c r="B7601" s="1">
        <v>42705</v>
      </c>
      <c r="C7601" t="s">
        <v>23</v>
      </c>
      <c r="D7601" s="19">
        <v>12</v>
      </c>
      <c r="E7601">
        <v>35</v>
      </c>
      <c r="F7601" t="s">
        <v>12</v>
      </c>
      <c r="G7601" t="s">
        <v>13</v>
      </c>
      <c r="H7601">
        <v>1</v>
      </c>
      <c r="I7601" t="s">
        <v>27</v>
      </c>
    </row>
    <row r="7602" spans="1:9" x14ac:dyDescent="0.2">
      <c r="A7602" t="str">
        <f t="shared" si="365"/>
        <v>42705Vaipahu1235PocilloporidaeBords</v>
      </c>
      <c r="B7602" s="1">
        <v>42705</v>
      </c>
      <c r="C7602" t="s">
        <v>23</v>
      </c>
      <c r="D7602" s="19">
        <v>12</v>
      </c>
      <c r="E7602">
        <v>35</v>
      </c>
      <c r="F7602" t="s">
        <v>10</v>
      </c>
      <c r="G7602" t="s">
        <v>13</v>
      </c>
      <c r="H7602">
        <v>2</v>
      </c>
      <c r="I7602" t="s">
        <v>27</v>
      </c>
    </row>
    <row r="7603" spans="1:9" x14ac:dyDescent="0.2">
      <c r="A7603" t="str">
        <f t="shared" si="365"/>
        <v>42705Vaipahu1236PocilloporidaeDessous</v>
      </c>
      <c r="B7603" s="1">
        <v>42705</v>
      </c>
      <c r="C7603" t="s">
        <v>23</v>
      </c>
      <c r="D7603" s="19">
        <v>12</v>
      </c>
      <c r="E7603">
        <v>36</v>
      </c>
      <c r="F7603" t="s">
        <v>10</v>
      </c>
      <c r="G7603" t="s">
        <v>8</v>
      </c>
      <c r="H7603">
        <v>2</v>
      </c>
      <c r="I7603" t="s">
        <v>27</v>
      </c>
    </row>
    <row r="7604" spans="1:9" x14ac:dyDescent="0.2">
      <c r="A7604" t="str">
        <f t="shared" si="365"/>
        <v>42705Vaipahu1237Autres</v>
      </c>
      <c r="B7604" s="1">
        <v>42705</v>
      </c>
      <c r="C7604" t="s">
        <v>23</v>
      </c>
      <c r="D7604" s="19">
        <v>12</v>
      </c>
      <c r="E7604">
        <v>37</v>
      </c>
      <c r="F7604" t="s">
        <v>14</v>
      </c>
      <c r="G7604" t="s">
        <v>27</v>
      </c>
      <c r="H7604">
        <v>0</v>
      </c>
      <c r="I7604" t="s">
        <v>27</v>
      </c>
    </row>
    <row r="7605" spans="1:9" x14ac:dyDescent="0.2">
      <c r="A7605" t="str">
        <f t="shared" si="365"/>
        <v>42705Vaipahu1238Autres</v>
      </c>
      <c r="B7605" s="1">
        <v>42705</v>
      </c>
      <c r="C7605" t="s">
        <v>23</v>
      </c>
      <c r="D7605" s="19">
        <v>12</v>
      </c>
      <c r="E7605">
        <v>38</v>
      </c>
      <c r="F7605" t="s">
        <v>14</v>
      </c>
      <c r="G7605" t="s">
        <v>27</v>
      </c>
      <c r="H7605">
        <v>0</v>
      </c>
      <c r="I7605" t="s">
        <v>27</v>
      </c>
    </row>
    <row r="7606" spans="1:9" x14ac:dyDescent="0.2">
      <c r="A7606" t="str">
        <f t="shared" si="365"/>
        <v>42705Vaipahu1239AcroporidaeDessous</v>
      </c>
      <c r="B7606" s="1">
        <v>42705</v>
      </c>
      <c r="C7606" t="s">
        <v>23</v>
      </c>
      <c r="D7606" s="19">
        <v>12</v>
      </c>
      <c r="E7606">
        <v>39</v>
      </c>
      <c r="F7606" t="s">
        <v>17</v>
      </c>
      <c r="G7606" t="s">
        <v>8</v>
      </c>
      <c r="H7606">
        <v>2</v>
      </c>
      <c r="I7606" t="s">
        <v>27</v>
      </c>
    </row>
    <row r="7607" spans="1:9" x14ac:dyDescent="0.2">
      <c r="A7607" t="str">
        <f t="shared" si="365"/>
        <v>42705Vaipahu1239PocilloporidaeDessous</v>
      </c>
      <c r="B7607" s="1">
        <v>42705</v>
      </c>
      <c r="C7607" t="s">
        <v>23</v>
      </c>
      <c r="D7607" s="19">
        <v>12</v>
      </c>
      <c r="E7607">
        <v>39</v>
      </c>
      <c r="F7607" t="s">
        <v>10</v>
      </c>
      <c r="G7607" t="s">
        <v>8</v>
      </c>
      <c r="H7607">
        <v>1</v>
      </c>
      <c r="I7607" t="s">
        <v>27</v>
      </c>
    </row>
    <row r="7608" spans="1:9" x14ac:dyDescent="0.2">
      <c r="A7608" t="str">
        <f t="shared" si="365"/>
        <v>42705Vaipahu1240Autres</v>
      </c>
      <c r="B7608" s="1">
        <v>42705</v>
      </c>
      <c r="C7608" t="s">
        <v>23</v>
      </c>
      <c r="D7608" s="19">
        <v>12</v>
      </c>
      <c r="E7608">
        <v>40</v>
      </c>
      <c r="F7608" t="s">
        <v>14</v>
      </c>
      <c r="G7608" t="s">
        <v>27</v>
      </c>
      <c r="H7608">
        <v>0</v>
      </c>
      <c r="I7608" t="s">
        <v>27</v>
      </c>
    </row>
    <row r="7609" spans="1:9" x14ac:dyDescent="0.2">
      <c r="A7609" t="str">
        <f t="shared" si="365"/>
        <v>42705Vaipahu1841Autres</v>
      </c>
      <c r="B7609" s="1">
        <v>42705</v>
      </c>
      <c r="C7609" t="s">
        <v>23</v>
      </c>
      <c r="D7609" s="19">
        <v>18</v>
      </c>
      <c r="E7609">
        <v>41</v>
      </c>
      <c r="F7609" t="s">
        <v>14</v>
      </c>
      <c r="G7609" t="s">
        <v>27</v>
      </c>
      <c r="H7609">
        <v>0</v>
      </c>
      <c r="I7609" t="s">
        <v>27</v>
      </c>
    </row>
    <row r="7610" spans="1:9" x14ac:dyDescent="0.2">
      <c r="A7610" t="str">
        <f t="shared" si="365"/>
        <v>42705Vaipahu1842Autres</v>
      </c>
      <c r="B7610" s="1">
        <v>42705</v>
      </c>
      <c r="C7610" t="s">
        <v>23</v>
      </c>
      <c r="D7610" s="19">
        <v>18</v>
      </c>
      <c r="E7610">
        <v>42</v>
      </c>
      <c r="F7610" t="s">
        <v>14</v>
      </c>
      <c r="G7610" t="s">
        <v>27</v>
      </c>
      <c r="H7610">
        <v>0</v>
      </c>
      <c r="I7610" t="s">
        <v>27</v>
      </c>
    </row>
    <row r="7611" spans="1:9" x14ac:dyDescent="0.2">
      <c r="A7611" t="str">
        <f t="shared" si="365"/>
        <v>42705Vaipahu1843</v>
      </c>
      <c r="B7611" s="1">
        <v>42705</v>
      </c>
      <c r="C7611" t="s">
        <v>23</v>
      </c>
      <c r="D7611" s="19">
        <v>18</v>
      </c>
      <c r="E7611">
        <v>43</v>
      </c>
      <c r="F7611" t="s">
        <v>27</v>
      </c>
      <c r="G7611" t="s">
        <v>27</v>
      </c>
      <c r="H7611" t="s">
        <v>27</v>
      </c>
      <c r="I7611" t="s">
        <v>31</v>
      </c>
    </row>
    <row r="7612" spans="1:9" x14ac:dyDescent="0.2">
      <c r="A7612" t="str">
        <f t="shared" si="365"/>
        <v>42705Vaipahu1844Autres</v>
      </c>
      <c r="B7612" s="1">
        <v>42705</v>
      </c>
      <c r="C7612" t="s">
        <v>23</v>
      </c>
      <c r="D7612" s="19">
        <v>18</v>
      </c>
      <c r="E7612">
        <v>44</v>
      </c>
      <c r="F7612" t="s">
        <v>14</v>
      </c>
      <c r="G7612" t="s">
        <v>27</v>
      </c>
      <c r="H7612">
        <v>0</v>
      </c>
      <c r="I7612" t="s">
        <v>27</v>
      </c>
    </row>
    <row r="7613" spans="1:9" x14ac:dyDescent="0.2">
      <c r="A7613" t="str">
        <f t="shared" si="365"/>
        <v>42705Vaipahu1845Autres</v>
      </c>
      <c r="B7613" s="1">
        <v>42705</v>
      </c>
      <c r="C7613" t="s">
        <v>23</v>
      </c>
      <c r="D7613" s="19">
        <v>18</v>
      </c>
      <c r="E7613">
        <v>45</v>
      </c>
      <c r="F7613" t="s">
        <v>14</v>
      </c>
      <c r="G7613" t="s">
        <v>27</v>
      </c>
      <c r="H7613">
        <v>0</v>
      </c>
      <c r="I7613" t="s">
        <v>27</v>
      </c>
    </row>
    <row r="7614" spans="1:9" x14ac:dyDescent="0.2">
      <c r="A7614" t="str">
        <f t="shared" si="365"/>
        <v>42705Vaipahu1846AcroporidaeDessous</v>
      </c>
      <c r="B7614" s="1">
        <v>42705</v>
      </c>
      <c r="C7614" t="s">
        <v>23</v>
      </c>
      <c r="D7614" s="19">
        <v>18</v>
      </c>
      <c r="E7614">
        <v>46</v>
      </c>
      <c r="F7614" t="s">
        <v>17</v>
      </c>
      <c r="G7614" t="s">
        <v>8</v>
      </c>
      <c r="H7614">
        <v>1</v>
      </c>
      <c r="I7614" t="s">
        <v>27</v>
      </c>
    </row>
    <row r="7615" spans="1:9" x14ac:dyDescent="0.2">
      <c r="A7615" t="str">
        <f t="shared" ref="A7615:A7678" si="366">B7615 &amp; C7615&amp; D7615&amp; E7615 &amp; F7615 &amp;G7615</f>
        <v>42705Vaipahu1846PocilloporidaeDessous</v>
      </c>
      <c r="B7615" s="1">
        <v>42705</v>
      </c>
      <c r="C7615" t="s">
        <v>23</v>
      </c>
      <c r="D7615" s="19">
        <v>18</v>
      </c>
      <c r="E7615">
        <v>46</v>
      </c>
      <c r="F7615" t="s">
        <v>10</v>
      </c>
      <c r="G7615" t="s">
        <v>8</v>
      </c>
      <c r="H7615">
        <v>2</v>
      </c>
      <c r="I7615" t="s">
        <v>27</v>
      </c>
    </row>
    <row r="7616" spans="1:9" x14ac:dyDescent="0.2">
      <c r="A7616" t="str">
        <f t="shared" si="366"/>
        <v>42705Vaipahu1847PocilloporidaeDessous</v>
      </c>
      <c r="B7616" s="1">
        <v>42705</v>
      </c>
      <c r="C7616" t="s">
        <v>23</v>
      </c>
      <c r="D7616" s="19">
        <v>18</v>
      </c>
      <c r="E7616">
        <v>47</v>
      </c>
      <c r="F7616" t="s">
        <v>10</v>
      </c>
      <c r="G7616" t="s">
        <v>8</v>
      </c>
      <c r="H7616">
        <v>2</v>
      </c>
      <c r="I7616" t="s">
        <v>27</v>
      </c>
    </row>
    <row r="7617" spans="1:9" x14ac:dyDescent="0.2">
      <c r="A7617" t="str">
        <f t="shared" si="366"/>
        <v>42705Vaipahu1848PocilloporidaeDessous</v>
      </c>
      <c r="B7617" s="1">
        <v>42705</v>
      </c>
      <c r="C7617" t="s">
        <v>23</v>
      </c>
      <c r="D7617" s="19">
        <v>18</v>
      </c>
      <c r="E7617">
        <v>48</v>
      </c>
      <c r="F7617" t="s">
        <v>10</v>
      </c>
      <c r="G7617" t="s">
        <v>8</v>
      </c>
      <c r="H7617">
        <v>1</v>
      </c>
      <c r="I7617" t="s">
        <v>27</v>
      </c>
    </row>
    <row r="7618" spans="1:9" x14ac:dyDescent="0.2">
      <c r="A7618" t="str">
        <f t="shared" si="366"/>
        <v>42705Vaipahu1849Autres</v>
      </c>
      <c r="B7618" s="1">
        <v>42705</v>
      </c>
      <c r="C7618" t="s">
        <v>23</v>
      </c>
      <c r="D7618" s="19">
        <v>18</v>
      </c>
      <c r="E7618">
        <v>49</v>
      </c>
      <c r="F7618" t="s">
        <v>14</v>
      </c>
      <c r="G7618" t="s">
        <v>27</v>
      </c>
      <c r="H7618">
        <v>0</v>
      </c>
      <c r="I7618" t="s">
        <v>27</v>
      </c>
    </row>
    <row r="7619" spans="1:9" x14ac:dyDescent="0.2">
      <c r="A7619" t="str">
        <f t="shared" si="366"/>
        <v>42705Vaipahu1850Autres</v>
      </c>
      <c r="B7619" s="1">
        <v>42705</v>
      </c>
      <c r="C7619" t="s">
        <v>23</v>
      </c>
      <c r="D7619" s="19">
        <v>18</v>
      </c>
      <c r="E7619">
        <v>50</v>
      </c>
      <c r="F7619" t="s">
        <v>14</v>
      </c>
      <c r="G7619" t="s">
        <v>27</v>
      </c>
      <c r="H7619">
        <v>0</v>
      </c>
      <c r="I7619" t="s">
        <v>27</v>
      </c>
    </row>
    <row r="7620" spans="1:9" x14ac:dyDescent="0.2">
      <c r="A7620" t="str">
        <f t="shared" si="366"/>
        <v>42705Vaipahu1851PoritidaeBords</v>
      </c>
      <c r="B7620" s="1">
        <v>42705</v>
      </c>
      <c r="C7620" t="s">
        <v>23</v>
      </c>
      <c r="D7620" s="19">
        <v>18</v>
      </c>
      <c r="E7620">
        <v>51</v>
      </c>
      <c r="F7620" t="s">
        <v>7</v>
      </c>
      <c r="G7620" t="s">
        <v>13</v>
      </c>
      <c r="H7620">
        <v>1</v>
      </c>
      <c r="I7620" t="s">
        <v>27</v>
      </c>
    </row>
    <row r="7621" spans="1:9" x14ac:dyDescent="0.2">
      <c r="A7621" t="str">
        <f t="shared" si="366"/>
        <v>42705Vaipahu1852Autres</v>
      </c>
      <c r="B7621" s="1">
        <v>42705</v>
      </c>
      <c r="C7621" t="s">
        <v>23</v>
      </c>
      <c r="D7621" s="19">
        <v>18</v>
      </c>
      <c r="E7621">
        <v>52</v>
      </c>
      <c r="F7621" t="s">
        <v>14</v>
      </c>
      <c r="G7621" t="s">
        <v>27</v>
      </c>
      <c r="H7621">
        <v>0</v>
      </c>
      <c r="I7621" t="s">
        <v>27</v>
      </c>
    </row>
    <row r="7622" spans="1:9" x14ac:dyDescent="0.2">
      <c r="A7622" t="str">
        <f t="shared" si="366"/>
        <v>42705Vaipahu1853CassésDessous</v>
      </c>
      <c r="B7622" s="1">
        <v>42705</v>
      </c>
      <c r="C7622" t="s">
        <v>23</v>
      </c>
      <c r="D7622" s="19">
        <v>18</v>
      </c>
      <c r="E7622">
        <v>53</v>
      </c>
      <c r="F7622" t="s">
        <v>12</v>
      </c>
      <c r="G7622" t="s">
        <v>8</v>
      </c>
      <c r="H7622">
        <v>1</v>
      </c>
      <c r="I7622" t="s">
        <v>27</v>
      </c>
    </row>
    <row r="7623" spans="1:9" x14ac:dyDescent="0.2">
      <c r="A7623" t="str">
        <f t="shared" si="366"/>
        <v>42705Vaipahu1854CassésBords</v>
      </c>
      <c r="B7623" s="1">
        <v>42705</v>
      </c>
      <c r="C7623" t="s">
        <v>23</v>
      </c>
      <c r="D7623" s="19">
        <v>18</v>
      </c>
      <c r="E7623">
        <v>54</v>
      </c>
      <c r="F7623" t="s">
        <v>12</v>
      </c>
      <c r="G7623" t="s">
        <v>13</v>
      </c>
      <c r="H7623">
        <v>1</v>
      </c>
      <c r="I7623" t="s">
        <v>27</v>
      </c>
    </row>
    <row r="7624" spans="1:9" x14ac:dyDescent="0.2">
      <c r="A7624" t="str">
        <f t="shared" si="366"/>
        <v>42705Vaipahu1854PocilloporidaeDessous</v>
      </c>
      <c r="B7624" s="1">
        <v>42705</v>
      </c>
      <c r="C7624" t="s">
        <v>23</v>
      </c>
      <c r="D7624" s="19">
        <v>18</v>
      </c>
      <c r="E7624">
        <v>54</v>
      </c>
      <c r="F7624" t="s">
        <v>10</v>
      </c>
      <c r="G7624" t="s">
        <v>8</v>
      </c>
      <c r="H7624">
        <v>2</v>
      </c>
      <c r="I7624" t="s">
        <v>27</v>
      </c>
    </row>
    <row r="7625" spans="1:9" x14ac:dyDescent="0.2">
      <c r="A7625" t="str">
        <f t="shared" si="366"/>
        <v>42705Vaipahu1855PocilloporidaeDessous</v>
      </c>
      <c r="B7625" s="1">
        <v>42705</v>
      </c>
      <c r="C7625" t="s">
        <v>23</v>
      </c>
      <c r="D7625" s="19">
        <v>18</v>
      </c>
      <c r="E7625">
        <v>55</v>
      </c>
      <c r="F7625" t="s">
        <v>10</v>
      </c>
      <c r="G7625" t="s">
        <v>8</v>
      </c>
      <c r="H7625">
        <v>2</v>
      </c>
      <c r="I7625" t="s">
        <v>27</v>
      </c>
    </row>
    <row r="7626" spans="1:9" x14ac:dyDescent="0.2">
      <c r="A7626" t="str">
        <f t="shared" si="366"/>
        <v>42705Vaipahu1856PocilloporidaeDessous</v>
      </c>
      <c r="B7626" s="1">
        <v>42705</v>
      </c>
      <c r="C7626" t="s">
        <v>23</v>
      </c>
      <c r="D7626" s="19">
        <v>18</v>
      </c>
      <c r="E7626">
        <v>56</v>
      </c>
      <c r="F7626" t="s">
        <v>10</v>
      </c>
      <c r="G7626" t="s">
        <v>8</v>
      </c>
      <c r="H7626">
        <v>1</v>
      </c>
      <c r="I7626" t="s">
        <v>27</v>
      </c>
    </row>
    <row r="7627" spans="1:9" x14ac:dyDescent="0.2">
      <c r="A7627" t="str">
        <f t="shared" si="366"/>
        <v>42705Vaipahu1857CassésDessous</v>
      </c>
      <c r="B7627" s="1">
        <v>42705</v>
      </c>
      <c r="C7627" t="s">
        <v>23</v>
      </c>
      <c r="D7627" s="19">
        <v>18</v>
      </c>
      <c r="E7627">
        <v>57</v>
      </c>
      <c r="F7627" t="s">
        <v>12</v>
      </c>
      <c r="G7627" t="s">
        <v>8</v>
      </c>
      <c r="H7627">
        <v>1</v>
      </c>
      <c r="I7627" t="s">
        <v>27</v>
      </c>
    </row>
    <row r="7628" spans="1:9" x14ac:dyDescent="0.2">
      <c r="A7628" t="str">
        <f t="shared" si="366"/>
        <v>42705Vaipahu1858PocilloporidaeDessous</v>
      </c>
      <c r="B7628" s="1">
        <v>42705</v>
      </c>
      <c r="C7628" t="s">
        <v>23</v>
      </c>
      <c r="D7628" s="19">
        <v>18</v>
      </c>
      <c r="E7628">
        <v>58</v>
      </c>
      <c r="F7628" t="s">
        <v>10</v>
      </c>
      <c r="G7628" t="s">
        <v>8</v>
      </c>
      <c r="H7628">
        <v>1</v>
      </c>
      <c r="I7628" t="s">
        <v>27</v>
      </c>
    </row>
    <row r="7629" spans="1:9" x14ac:dyDescent="0.2">
      <c r="A7629" t="str">
        <f t="shared" si="366"/>
        <v>42705Vaipahu1859Autres</v>
      </c>
      <c r="B7629" s="1">
        <v>42705</v>
      </c>
      <c r="C7629" t="s">
        <v>23</v>
      </c>
      <c r="D7629" s="19">
        <v>18</v>
      </c>
      <c r="E7629">
        <v>59</v>
      </c>
      <c r="F7629" t="s">
        <v>14</v>
      </c>
      <c r="G7629" t="s">
        <v>27</v>
      </c>
      <c r="H7629">
        <v>0</v>
      </c>
      <c r="I7629" t="s">
        <v>27</v>
      </c>
    </row>
    <row r="7630" spans="1:9" x14ac:dyDescent="0.2">
      <c r="A7630" t="str">
        <f t="shared" si="366"/>
        <v>42705Vaipahu1860CassésBords</v>
      </c>
      <c r="B7630" s="1">
        <v>42705</v>
      </c>
      <c r="C7630" t="s">
        <v>23</v>
      </c>
      <c r="D7630" s="19">
        <v>18</v>
      </c>
      <c r="E7630">
        <v>60</v>
      </c>
      <c r="F7630" t="s">
        <v>12</v>
      </c>
      <c r="G7630" t="s">
        <v>13</v>
      </c>
      <c r="H7630">
        <v>1</v>
      </c>
    </row>
    <row r="7631" spans="1:9" x14ac:dyDescent="0.2">
      <c r="A7631" t="str">
        <f t="shared" si="366"/>
        <v>42705Tiahura661PocilloporidaeBords</v>
      </c>
      <c r="B7631" s="1">
        <v>42705</v>
      </c>
      <c r="C7631" t="s">
        <v>24</v>
      </c>
      <c r="D7631" s="19">
        <v>6</v>
      </c>
      <c r="E7631">
        <v>61</v>
      </c>
      <c r="F7631" t="s">
        <v>10</v>
      </c>
      <c r="G7631" t="s">
        <v>13</v>
      </c>
      <c r="H7631">
        <v>2</v>
      </c>
      <c r="I7631" t="s">
        <v>27</v>
      </c>
    </row>
    <row r="7632" spans="1:9" x14ac:dyDescent="0.2">
      <c r="A7632" t="str">
        <f t="shared" si="366"/>
        <v>42705Tiahura662PocilloporidaeBords</v>
      </c>
      <c r="B7632" s="1">
        <v>42705</v>
      </c>
      <c r="C7632" t="s">
        <v>24</v>
      </c>
      <c r="D7632" s="19">
        <v>6</v>
      </c>
      <c r="E7632">
        <v>62</v>
      </c>
      <c r="F7632" t="s">
        <v>10</v>
      </c>
      <c r="G7632" t="s">
        <v>13</v>
      </c>
      <c r="H7632">
        <v>2</v>
      </c>
      <c r="I7632" t="s">
        <v>27</v>
      </c>
    </row>
    <row r="7633" spans="1:9" x14ac:dyDescent="0.2">
      <c r="A7633" t="str">
        <f t="shared" si="366"/>
        <v>42705Tiahura662PocilloporidaeDessous</v>
      </c>
      <c r="B7633" s="1">
        <v>42705</v>
      </c>
      <c r="C7633" t="s">
        <v>24</v>
      </c>
      <c r="D7633" s="19">
        <v>6</v>
      </c>
      <c r="E7633">
        <v>62</v>
      </c>
      <c r="F7633" t="s">
        <v>10</v>
      </c>
      <c r="G7633" t="s">
        <v>8</v>
      </c>
      <c r="H7633">
        <v>2</v>
      </c>
      <c r="I7633" t="s">
        <v>27</v>
      </c>
    </row>
    <row r="7634" spans="1:9" x14ac:dyDescent="0.2">
      <c r="A7634" t="str">
        <f t="shared" si="366"/>
        <v>42705Tiahura663PocilloporidaeBords</v>
      </c>
      <c r="B7634" s="1">
        <v>42705</v>
      </c>
      <c r="C7634" t="s">
        <v>24</v>
      </c>
      <c r="D7634" s="19">
        <v>6</v>
      </c>
      <c r="E7634">
        <v>63</v>
      </c>
      <c r="F7634" t="s">
        <v>10</v>
      </c>
      <c r="G7634" t="s">
        <v>13</v>
      </c>
      <c r="H7634">
        <v>1</v>
      </c>
      <c r="I7634" t="s">
        <v>27</v>
      </c>
    </row>
    <row r="7635" spans="1:9" x14ac:dyDescent="0.2">
      <c r="A7635" t="str">
        <f t="shared" si="366"/>
        <v>42705Tiahura664PocilloporidaeDessous</v>
      </c>
      <c r="B7635" s="1">
        <v>42705</v>
      </c>
      <c r="C7635" t="s">
        <v>24</v>
      </c>
      <c r="D7635" s="19">
        <v>6</v>
      </c>
      <c r="E7635">
        <v>64</v>
      </c>
      <c r="F7635" t="s">
        <v>10</v>
      </c>
      <c r="G7635" t="s">
        <v>8</v>
      </c>
      <c r="H7635">
        <v>1</v>
      </c>
      <c r="I7635" t="s">
        <v>27</v>
      </c>
    </row>
    <row r="7636" spans="1:9" x14ac:dyDescent="0.2">
      <c r="A7636" t="str">
        <f t="shared" si="366"/>
        <v>42705Tiahura665CassésBords</v>
      </c>
      <c r="B7636" s="1">
        <v>42705</v>
      </c>
      <c r="C7636" t="s">
        <v>24</v>
      </c>
      <c r="D7636" s="19">
        <v>6</v>
      </c>
      <c r="E7636">
        <v>65</v>
      </c>
      <c r="F7636" t="s">
        <v>12</v>
      </c>
      <c r="G7636" t="s">
        <v>13</v>
      </c>
      <c r="H7636">
        <v>2</v>
      </c>
      <c r="I7636" t="s">
        <v>27</v>
      </c>
    </row>
    <row r="7637" spans="1:9" x14ac:dyDescent="0.2">
      <c r="A7637" t="str">
        <f t="shared" si="366"/>
        <v>42705Tiahura665PocilloporidaeDessous</v>
      </c>
      <c r="B7637" s="1">
        <v>42705</v>
      </c>
      <c r="C7637" t="s">
        <v>24</v>
      </c>
      <c r="D7637" s="19">
        <v>6</v>
      </c>
      <c r="E7637">
        <v>65</v>
      </c>
      <c r="F7637" t="s">
        <v>10</v>
      </c>
      <c r="G7637" t="s">
        <v>8</v>
      </c>
      <c r="H7637">
        <v>1</v>
      </c>
      <c r="I7637" t="s">
        <v>27</v>
      </c>
    </row>
    <row r="7638" spans="1:9" x14ac:dyDescent="0.2">
      <c r="A7638" t="str">
        <f t="shared" si="366"/>
        <v>42705Tiahura666PocilloporidaeBords</v>
      </c>
      <c r="B7638" s="1">
        <v>42705</v>
      </c>
      <c r="C7638" t="s">
        <v>24</v>
      </c>
      <c r="D7638" s="19">
        <v>6</v>
      </c>
      <c r="E7638">
        <v>66</v>
      </c>
      <c r="F7638" t="s">
        <v>10</v>
      </c>
      <c r="G7638" t="s">
        <v>13</v>
      </c>
      <c r="H7638">
        <v>1</v>
      </c>
      <c r="I7638" t="s">
        <v>27</v>
      </c>
    </row>
    <row r="7639" spans="1:9" x14ac:dyDescent="0.2">
      <c r="A7639" t="str">
        <f t="shared" si="366"/>
        <v>42705Tiahura666PocilloporidaeDessous</v>
      </c>
      <c r="B7639" s="1">
        <v>42705</v>
      </c>
      <c r="C7639" t="s">
        <v>24</v>
      </c>
      <c r="D7639" s="19">
        <v>6</v>
      </c>
      <c r="E7639">
        <v>66</v>
      </c>
      <c r="F7639" t="s">
        <v>10</v>
      </c>
      <c r="G7639" t="s">
        <v>8</v>
      </c>
      <c r="H7639">
        <v>1</v>
      </c>
      <c r="I7639" t="s">
        <v>27</v>
      </c>
    </row>
    <row r="7640" spans="1:9" x14ac:dyDescent="0.2">
      <c r="A7640" t="str">
        <f t="shared" si="366"/>
        <v>42705Tiahura667Autres</v>
      </c>
      <c r="B7640" s="1">
        <v>42705</v>
      </c>
      <c r="C7640" t="s">
        <v>24</v>
      </c>
      <c r="D7640" s="19">
        <v>6</v>
      </c>
      <c r="E7640">
        <v>67</v>
      </c>
      <c r="F7640" t="s">
        <v>14</v>
      </c>
      <c r="G7640" t="s">
        <v>27</v>
      </c>
      <c r="H7640">
        <v>0</v>
      </c>
      <c r="I7640" t="s">
        <v>27</v>
      </c>
    </row>
    <row r="7641" spans="1:9" x14ac:dyDescent="0.2">
      <c r="A7641" t="str">
        <f t="shared" si="366"/>
        <v>42705Tiahura668Autres</v>
      </c>
      <c r="B7641" s="1">
        <v>42705</v>
      </c>
      <c r="C7641" t="s">
        <v>24</v>
      </c>
      <c r="D7641" s="19">
        <v>6</v>
      </c>
      <c r="E7641">
        <v>68</v>
      </c>
      <c r="F7641" t="s">
        <v>14</v>
      </c>
      <c r="G7641" t="s">
        <v>27</v>
      </c>
      <c r="H7641">
        <v>0</v>
      </c>
      <c r="I7641" t="s">
        <v>27</v>
      </c>
    </row>
    <row r="7642" spans="1:9" x14ac:dyDescent="0.2">
      <c r="A7642" t="str">
        <f t="shared" si="366"/>
        <v>42705Tiahura669Autres</v>
      </c>
      <c r="B7642" s="1">
        <v>42705</v>
      </c>
      <c r="C7642" t="s">
        <v>24</v>
      </c>
      <c r="D7642" s="19">
        <v>6</v>
      </c>
      <c r="E7642">
        <v>69</v>
      </c>
      <c r="F7642" t="s">
        <v>14</v>
      </c>
      <c r="G7642" t="s">
        <v>27</v>
      </c>
      <c r="H7642">
        <v>0</v>
      </c>
      <c r="I7642" t="s">
        <v>27</v>
      </c>
    </row>
    <row r="7643" spans="1:9" x14ac:dyDescent="0.2">
      <c r="A7643" t="str">
        <f t="shared" si="366"/>
        <v>42705Tiahura670AcroporidaeBords</v>
      </c>
      <c r="B7643" s="1">
        <v>42705</v>
      </c>
      <c r="C7643" t="s">
        <v>24</v>
      </c>
      <c r="D7643" s="19">
        <v>6</v>
      </c>
      <c r="E7643">
        <v>70</v>
      </c>
      <c r="F7643" t="s">
        <v>17</v>
      </c>
      <c r="G7643" t="s">
        <v>13</v>
      </c>
      <c r="H7643">
        <v>1</v>
      </c>
      <c r="I7643" t="s">
        <v>27</v>
      </c>
    </row>
    <row r="7644" spans="1:9" x14ac:dyDescent="0.2">
      <c r="A7644" t="str">
        <f t="shared" si="366"/>
        <v>42705Tiahura670PocilloporidaeDessous</v>
      </c>
      <c r="B7644" s="1">
        <v>42705</v>
      </c>
      <c r="C7644" t="s">
        <v>24</v>
      </c>
      <c r="D7644" s="19">
        <v>6</v>
      </c>
      <c r="E7644">
        <v>70</v>
      </c>
      <c r="F7644" t="s">
        <v>10</v>
      </c>
      <c r="G7644" t="s">
        <v>8</v>
      </c>
      <c r="H7644">
        <v>1</v>
      </c>
      <c r="I7644" t="s">
        <v>27</v>
      </c>
    </row>
    <row r="7645" spans="1:9" x14ac:dyDescent="0.2">
      <c r="A7645" t="str">
        <f t="shared" si="366"/>
        <v>42705Tiahura671Autres</v>
      </c>
      <c r="B7645" s="1">
        <v>42705</v>
      </c>
      <c r="C7645" t="s">
        <v>24</v>
      </c>
      <c r="D7645" s="19">
        <v>6</v>
      </c>
      <c r="E7645">
        <v>71</v>
      </c>
      <c r="F7645" t="s">
        <v>14</v>
      </c>
      <c r="G7645" t="s">
        <v>27</v>
      </c>
      <c r="H7645">
        <v>0</v>
      </c>
      <c r="I7645" t="s">
        <v>27</v>
      </c>
    </row>
    <row r="7646" spans="1:9" x14ac:dyDescent="0.2">
      <c r="A7646" t="str">
        <f t="shared" si="366"/>
        <v>42705Tiahura672PocilloporidaeBords</v>
      </c>
      <c r="B7646" s="1">
        <v>42705</v>
      </c>
      <c r="C7646" t="s">
        <v>24</v>
      </c>
      <c r="D7646" s="19">
        <v>6</v>
      </c>
      <c r="E7646">
        <v>72</v>
      </c>
      <c r="F7646" t="s">
        <v>10</v>
      </c>
      <c r="G7646" t="s">
        <v>13</v>
      </c>
      <c r="H7646">
        <v>1</v>
      </c>
      <c r="I7646" t="s">
        <v>27</v>
      </c>
    </row>
    <row r="7647" spans="1:9" x14ac:dyDescent="0.2">
      <c r="A7647" t="str">
        <f t="shared" si="366"/>
        <v>42705Tiahura673PocilloporidaeBords</v>
      </c>
      <c r="B7647" s="1">
        <v>42705</v>
      </c>
      <c r="C7647" t="s">
        <v>24</v>
      </c>
      <c r="D7647" s="19">
        <v>6</v>
      </c>
      <c r="E7647">
        <v>73</v>
      </c>
      <c r="F7647" t="s">
        <v>10</v>
      </c>
      <c r="G7647" t="s">
        <v>13</v>
      </c>
      <c r="H7647">
        <v>3</v>
      </c>
      <c r="I7647" t="s">
        <v>27</v>
      </c>
    </row>
    <row r="7648" spans="1:9" x14ac:dyDescent="0.2">
      <c r="A7648" t="str">
        <f t="shared" si="366"/>
        <v>42705Tiahura674Autres</v>
      </c>
      <c r="B7648" s="1">
        <v>42705</v>
      </c>
      <c r="C7648" t="s">
        <v>24</v>
      </c>
      <c r="D7648" s="19">
        <v>6</v>
      </c>
      <c r="E7648">
        <v>74</v>
      </c>
      <c r="F7648" t="s">
        <v>14</v>
      </c>
      <c r="G7648" t="s">
        <v>27</v>
      </c>
      <c r="H7648">
        <v>0</v>
      </c>
      <c r="I7648" t="s">
        <v>27</v>
      </c>
    </row>
    <row r="7649" spans="1:9" x14ac:dyDescent="0.2">
      <c r="A7649" t="str">
        <f t="shared" si="366"/>
        <v>42705Tiahura675Autres</v>
      </c>
      <c r="B7649" s="1">
        <v>42705</v>
      </c>
      <c r="C7649" t="s">
        <v>24</v>
      </c>
      <c r="D7649" s="19">
        <v>6</v>
      </c>
      <c r="E7649">
        <v>75</v>
      </c>
      <c r="F7649" t="s">
        <v>14</v>
      </c>
      <c r="G7649" t="s">
        <v>27</v>
      </c>
      <c r="H7649">
        <v>0</v>
      </c>
      <c r="I7649" t="s">
        <v>27</v>
      </c>
    </row>
    <row r="7650" spans="1:9" x14ac:dyDescent="0.2">
      <c r="A7650" t="str">
        <f t="shared" si="366"/>
        <v>42705Tiahura676Autres</v>
      </c>
      <c r="B7650" s="1">
        <v>42705</v>
      </c>
      <c r="C7650" t="s">
        <v>24</v>
      </c>
      <c r="D7650" s="19">
        <v>6</v>
      </c>
      <c r="E7650">
        <v>76</v>
      </c>
      <c r="F7650" t="s">
        <v>14</v>
      </c>
      <c r="G7650" t="s">
        <v>27</v>
      </c>
      <c r="H7650">
        <v>0</v>
      </c>
      <c r="I7650" t="s">
        <v>27</v>
      </c>
    </row>
    <row r="7651" spans="1:9" x14ac:dyDescent="0.2">
      <c r="A7651" t="str">
        <f t="shared" si="366"/>
        <v>42705Tiahura677Autres</v>
      </c>
      <c r="B7651" s="1">
        <v>42705</v>
      </c>
      <c r="C7651" t="s">
        <v>24</v>
      </c>
      <c r="D7651" s="19">
        <v>6</v>
      </c>
      <c r="E7651">
        <v>77</v>
      </c>
      <c r="F7651" t="s">
        <v>14</v>
      </c>
      <c r="G7651" t="s">
        <v>27</v>
      </c>
      <c r="H7651">
        <v>0</v>
      </c>
      <c r="I7651" t="s">
        <v>27</v>
      </c>
    </row>
    <row r="7652" spans="1:9" x14ac:dyDescent="0.2">
      <c r="A7652" t="str">
        <f t="shared" si="366"/>
        <v>42705Tiahura678CassésBords</v>
      </c>
      <c r="B7652" s="1">
        <v>42705</v>
      </c>
      <c r="C7652" t="s">
        <v>24</v>
      </c>
      <c r="D7652" s="19">
        <v>6</v>
      </c>
      <c r="E7652">
        <v>78</v>
      </c>
      <c r="F7652" t="s">
        <v>12</v>
      </c>
      <c r="G7652" t="s">
        <v>13</v>
      </c>
      <c r="H7652">
        <v>1</v>
      </c>
      <c r="I7652" t="s">
        <v>27</v>
      </c>
    </row>
    <row r="7653" spans="1:9" x14ac:dyDescent="0.2">
      <c r="A7653" t="str">
        <f t="shared" si="366"/>
        <v>42705Tiahura678PocilloporidaeBords</v>
      </c>
      <c r="B7653" s="1">
        <v>42705</v>
      </c>
      <c r="C7653" t="s">
        <v>24</v>
      </c>
      <c r="D7653" s="19">
        <v>6</v>
      </c>
      <c r="E7653">
        <v>78</v>
      </c>
      <c r="F7653" t="s">
        <v>10</v>
      </c>
      <c r="G7653" t="s">
        <v>13</v>
      </c>
      <c r="H7653">
        <v>1</v>
      </c>
      <c r="I7653" t="s">
        <v>27</v>
      </c>
    </row>
    <row r="7654" spans="1:9" x14ac:dyDescent="0.2">
      <c r="A7654" t="str">
        <f t="shared" si="366"/>
        <v>42705Tiahura679PocilloporidaeDessous</v>
      </c>
      <c r="B7654" s="1">
        <v>42705</v>
      </c>
      <c r="C7654" t="s">
        <v>24</v>
      </c>
      <c r="D7654" s="19">
        <v>6</v>
      </c>
      <c r="E7654">
        <v>79</v>
      </c>
      <c r="F7654" t="s">
        <v>10</v>
      </c>
      <c r="G7654" t="s">
        <v>8</v>
      </c>
      <c r="H7654">
        <v>1</v>
      </c>
      <c r="I7654" t="s">
        <v>27</v>
      </c>
    </row>
    <row r="7655" spans="1:9" x14ac:dyDescent="0.2">
      <c r="A7655" t="str">
        <f t="shared" si="366"/>
        <v>42705Tiahura680PocilloporidaeBords</v>
      </c>
      <c r="B7655" s="1">
        <v>42705</v>
      </c>
      <c r="C7655" t="s">
        <v>24</v>
      </c>
      <c r="D7655" s="19">
        <v>6</v>
      </c>
      <c r="E7655">
        <v>80</v>
      </c>
      <c r="F7655" t="s">
        <v>10</v>
      </c>
      <c r="G7655" t="s">
        <v>13</v>
      </c>
      <c r="H7655">
        <v>2</v>
      </c>
      <c r="I7655" t="s">
        <v>27</v>
      </c>
    </row>
    <row r="7656" spans="1:9" x14ac:dyDescent="0.2">
      <c r="A7656" t="str">
        <f t="shared" si="366"/>
        <v>42705Tiahura1281Autres</v>
      </c>
      <c r="B7656" s="1">
        <v>42705</v>
      </c>
      <c r="C7656" t="s">
        <v>24</v>
      </c>
      <c r="D7656" s="19">
        <v>12</v>
      </c>
      <c r="E7656">
        <v>81</v>
      </c>
      <c r="F7656" t="s">
        <v>14</v>
      </c>
      <c r="G7656" t="s">
        <v>27</v>
      </c>
      <c r="H7656">
        <v>0</v>
      </c>
      <c r="I7656" t="s">
        <v>27</v>
      </c>
    </row>
    <row r="7657" spans="1:9" x14ac:dyDescent="0.2">
      <c r="A7657" t="str">
        <f t="shared" si="366"/>
        <v>42705Tiahura1282Autres</v>
      </c>
      <c r="B7657" s="1">
        <v>42705</v>
      </c>
      <c r="C7657" t="s">
        <v>24</v>
      </c>
      <c r="D7657" s="19">
        <v>12</v>
      </c>
      <c r="E7657">
        <v>82</v>
      </c>
      <c r="F7657" t="s">
        <v>14</v>
      </c>
      <c r="G7657" t="s">
        <v>27</v>
      </c>
      <c r="H7657">
        <v>0</v>
      </c>
      <c r="I7657" t="s">
        <v>27</v>
      </c>
    </row>
    <row r="7658" spans="1:9" x14ac:dyDescent="0.2">
      <c r="A7658" t="str">
        <f t="shared" si="366"/>
        <v>42705Tiahura1283Autres</v>
      </c>
      <c r="B7658" s="1">
        <v>42705</v>
      </c>
      <c r="C7658" t="s">
        <v>24</v>
      </c>
      <c r="D7658" s="19">
        <v>12</v>
      </c>
      <c r="E7658">
        <v>83</v>
      </c>
      <c r="F7658" t="s">
        <v>14</v>
      </c>
      <c r="G7658" t="s">
        <v>27</v>
      </c>
      <c r="H7658">
        <v>0</v>
      </c>
      <c r="I7658" t="s">
        <v>27</v>
      </c>
    </row>
    <row r="7659" spans="1:9" x14ac:dyDescent="0.2">
      <c r="A7659" t="str">
        <f t="shared" si="366"/>
        <v>42705Tiahura1284PocilloporidaeBords</v>
      </c>
      <c r="B7659" s="1">
        <v>42705</v>
      </c>
      <c r="C7659" t="s">
        <v>24</v>
      </c>
      <c r="D7659" s="19">
        <v>12</v>
      </c>
      <c r="E7659">
        <v>84</v>
      </c>
      <c r="F7659" t="s">
        <v>10</v>
      </c>
      <c r="G7659" t="s">
        <v>13</v>
      </c>
      <c r="H7659">
        <v>1</v>
      </c>
      <c r="I7659" t="s">
        <v>27</v>
      </c>
    </row>
    <row r="7660" spans="1:9" x14ac:dyDescent="0.2">
      <c r="A7660" t="str">
        <f t="shared" si="366"/>
        <v>42705Tiahura1285Autres</v>
      </c>
      <c r="B7660" s="1">
        <v>42705</v>
      </c>
      <c r="C7660" t="s">
        <v>24</v>
      </c>
      <c r="D7660" s="19">
        <v>12</v>
      </c>
      <c r="E7660">
        <v>85</v>
      </c>
      <c r="F7660" t="s">
        <v>14</v>
      </c>
      <c r="G7660" t="s">
        <v>27</v>
      </c>
      <c r="H7660">
        <v>0</v>
      </c>
      <c r="I7660" t="s">
        <v>27</v>
      </c>
    </row>
    <row r="7661" spans="1:9" x14ac:dyDescent="0.2">
      <c r="A7661" t="str">
        <f t="shared" si="366"/>
        <v>42705Tiahura1286Autres</v>
      </c>
      <c r="B7661" s="1">
        <v>42705</v>
      </c>
      <c r="C7661" t="s">
        <v>24</v>
      </c>
      <c r="D7661" s="19">
        <v>12</v>
      </c>
      <c r="E7661">
        <v>86</v>
      </c>
      <c r="F7661" t="s">
        <v>14</v>
      </c>
      <c r="G7661" t="s">
        <v>27</v>
      </c>
      <c r="H7661">
        <v>0</v>
      </c>
      <c r="I7661" t="s">
        <v>27</v>
      </c>
    </row>
    <row r="7662" spans="1:9" x14ac:dyDescent="0.2">
      <c r="A7662" t="str">
        <f t="shared" si="366"/>
        <v>42705Tiahura1287PocilloporidaeDessous</v>
      </c>
      <c r="B7662" s="1">
        <v>42705</v>
      </c>
      <c r="C7662" t="s">
        <v>24</v>
      </c>
      <c r="D7662" s="19">
        <v>12</v>
      </c>
      <c r="E7662">
        <v>87</v>
      </c>
      <c r="F7662" t="s">
        <v>10</v>
      </c>
      <c r="G7662" t="s">
        <v>8</v>
      </c>
      <c r="H7662">
        <v>2</v>
      </c>
      <c r="I7662" t="s">
        <v>27</v>
      </c>
    </row>
    <row r="7663" spans="1:9" x14ac:dyDescent="0.2">
      <c r="A7663" t="str">
        <f t="shared" si="366"/>
        <v>42705Tiahura1287PoritidaeDessous</v>
      </c>
      <c r="B7663" s="1">
        <v>42705</v>
      </c>
      <c r="C7663" t="s">
        <v>24</v>
      </c>
      <c r="D7663" s="19">
        <v>12</v>
      </c>
      <c r="E7663">
        <v>87</v>
      </c>
      <c r="F7663" t="s">
        <v>7</v>
      </c>
      <c r="G7663" t="s">
        <v>8</v>
      </c>
      <c r="H7663">
        <v>2</v>
      </c>
      <c r="I7663" t="s">
        <v>27</v>
      </c>
    </row>
    <row r="7664" spans="1:9" x14ac:dyDescent="0.2">
      <c r="A7664" t="str">
        <f t="shared" si="366"/>
        <v>42705Tiahura1288PoritidaeDessous</v>
      </c>
      <c r="B7664" s="1">
        <v>42705</v>
      </c>
      <c r="C7664" t="s">
        <v>24</v>
      </c>
      <c r="D7664" s="19">
        <v>12</v>
      </c>
      <c r="E7664">
        <v>88</v>
      </c>
      <c r="F7664" t="s">
        <v>7</v>
      </c>
      <c r="G7664" t="s">
        <v>8</v>
      </c>
      <c r="H7664">
        <v>2</v>
      </c>
      <c r="I7664" t="s">
        <v>27</v>
      </c>
    </row>
    <row r="7665" spans="1:9" x14ac:dyDescent="0.2">
      <c r="A7665" t="str">
        <f t="shared" si="366"/>
        <v>42705Tiahura1289Autres</v>
      </c>
      <c r="B7665" s="1">
        <v>42705</v>
      </c>
      <c r="C7665" t="s">
        <v>24</v>
      </c>
      <c r="D7665" s="19">
        <v>12</v>
      </c>
      <c r="E7665">
        <v>89</v>
      </c>
      <c r="F7665" t="s">
        <v>14</v>
      </c>
      <c r="G7665" t="s">
        <v>27</v>
      </c>
      <c r="H7665">
        <v>0</v>
      </c>
      <c r="I7665" t="s">
        <v>27</v>
      </c>
    </row>
    <row r="7666" spans="1:9" x14ac:dyDescent="0.2">
      <c r="A7666" t="str">
        <f t="shared" si="366"/>
        <v>42705Tiahura1290Autres</v>
      </c>
      <c r="B7666" s="1">
        <v>42705</v>
      </c>
      <c r="C7666" t="s">
        <v>24</v>
      </c>
      <c r="D7666" s="19">
        <v>12</v>
      </c>
      <c r="E7666">
        <v>90</v>
      </c>
      <c r="F7666" t="s">
        <v>14</v>
      </c>
      <c r="G7666" t="s">
        <v>27</v>
      </c>
      <c r="H7666">
        <v>0</v>
      </c>
      <c r="I7666" t="s">
        <v>27</v>
      </c>
    </row>
    <row r="7667" spans="1:9" x14ac:dyDescent="0.2">
      <c r="A7667" t="str">
        <f t="shared" si="366"/>
        <v>42705Tiahura1291Autres</v>
      </c>
      <c r="B7667" s="1">
        <v>42705</v>
      </c>
      <c r="C7667" t="s">
        <v>24</v>
      </c>
      <c r="D7667" s="19">
        <v>12</v>
      </c>
      <c r="E7667">
        <v>91</v>
      </c>
      <c r="F7667" t="s">
        <v>14</v>
      </c>
      <c r="G7667" t="s">
        <v>27</v>
      </c>
      <c r="H7667">
        <v>0</v>
      </c>
      <c r="I7667" t="s">
        <v>27</v>
      </c>
    </row>
    <row r="7668" spans="1:9" x14ac:dyDescent="0.2">
      <c r="A7668" t="str">
        <f t="shared" si="366"/>
        <v>42705Tiahura1292PocilloporidaeDessous</v>
      </c>
      <c r="B7668" s="1">
        <v>42705</v>
      </c>
      <c r="C7668" t="s">
        <v>24</v>
      </c>
      <c r="D7668" s="19">
        <v>12</v>
      </c>
      <c r="E7668">
        <v>92</v>
      </c>
      <c r="F7668" t="s">
        <v>10</v>
      </c>
      <c r="G7668" t="s">
        <v>8</v>
      </c>
      <c r="H7668">
        <v>1</v>
      </c>
      <c r="I7668" t="s">
        <v>27</v>
      </c>
    </row>
    <row r="7669" spans="1:9" x14ac:dyDescent="0.2">
      <c r="A7669" t="str">
        <f t="shared" si="366"/>
        <v>42705Tiahura1292PocilloporidaeDessus</v>
      </c>
      <c r="B7669" s="1">
        <v>42705</v>
      </c>
      <c r="C7669" t="s">
        <v>24</v>
      </c>
      <c r="D7669" s="19">
        <v>12</v>
      </c>
      <c r="E7669">
        <v>92</v>
      </c>
      <c r="F7669" t="s">
        <v>10</v>
      </c>
      <c r="G7669" t="s">
        <v>11</v>
      </c>
      <c r="H7669">
        <v>2</v>
      </c>
      <c r="I7669" t="s">
        <v>27</v>
      </c>
    </row>
    <row r="7670" spans="1:9" x14ac:dyDescent="0.2">
      <c r="A7670" t="str">
        <f t="shared" si="366"/>
        <v>42705Tiahura1293PocilloporidaeDessous</v>
      </c>
      <c r="B7670" s="1">
        <v>42705</v>
      </c>
      <c r="C7670" t="s">
        <v>24</v>
      </c>
      <c r="D7670" s="19">
        <v>12</v>
      </c>
      <c r="E7670">
        <v>93</v>
      </c>
      <c r="F7670" t="s">
        <v>10</v>
      </c>
      <c r="G7670" t="s">
        <v>8</v>
      </c>
      <c r="H7670">
        <v>1</v>
      </c>
      <c r="I7670" t="s">
        <v>27</v>
      </c>
    </row>
    <row r="7671" spans="1:9" x14ac:dyDescent="0.2">
      <c r="A7671" t="str">
        <f t="shared" si="366"/>
        <v>42705Tiahura1294Autres</v>
      </c>
      <c r="B7671" s="1">
        <v>42705</v>
      </c>
      <c r="C7671" t="s">
        <v>24</v>
      </c>
      <c r="D7671" s="19">
        <v>12</v>
      </c>
      <c r="E7671">
        <v>94</v>
      </c>
      <c r="F7671" t="s">
        <v>14</v>
      </c>
      <c r="G7671" t="s">
        <v>27</v>
      </c>
      <c r="H7671">
        <v>0</v>
      </c>
      <c r="I7671" t="s">
        <v>27</v>
      </c>
    </row>
    <row r="7672" spans="1:9" x14ac:dyDescent="0.2">
      <c r="A7672" t="str">
        <f t="shared" si="366"/>
        <v>42705Tiahura1295CassésDessous</v>
      </c>
      <c r="B7672" s="1">
        <v>42705</v>
      </c>
      <c r="C7672" t="s">
        <v>24</v>
      </c>
      <c r="D7672" s="19">
        <v>12</v>
      </c>
      <c r="E7672">
        <v>95</v>
      </c>
      <c r="F7672" t="s">
        <v>12</v>
      </c>
      <c r="G7672" t="s">
        <v>8</v>
      </c>
      <c r="H7672">
        <v>1</v>
      </c>
      <c r="I7672" t="s">
        <v>27</v>
      </c>
    </row>
    <row r="7673" spans="1:9" x14ac:dyDescent="0.2">
      <c r="A7673" t="str">
        <f t="shared" si="366"/>
        <v>42705Tiahura1296Autres</v>
      </c>
      <c r="B7673" s="1">
        <v>42705</v>
      </c>
      <c r="C7673" t="s">
        <v>24</v>
      </c>
      <c r="D7673" s="19">
        <v>12</v>
      </c>
      <c r="E7673">
        <v>96</v>
      </c>
      <c r="F7673" t="s">
        <v>14</v>
      </c>
      <c r="G7673" t="s">
        <v>27</v>
      </c>
      <c r="H7673">
        <v>0</v>
      </c>
      <c r="I7673" t="s">
        <v>27</v>
      </c>
    </row>
    <row r="7674" spans="1:9" x14ac:dyDescent="0.2">
      <c r="A7674" t="str">
        <f t="shared" si="366"/>
        <v>42705Tiahura1297PocilloporidaeBords</v>
      </c>
      <c r="B7674" s="1">
        <v>42705</v>
      </c>
      <c r="C7674" t="s">
        <v>24</v>
      </c>
      <c r="D7674" s="19">
        <v>12</v>
      </c>
      <c r="E7674">
        <v>97</v>
      </c>
      <c r="F7674" t="s">
        <v>10</v>
      </c>
      <c r="G7674" t="s">
        <v>13</v>
      </c>
      <c r="H7674">
        <v>1</v>
      </c>
      <c r="I7674" t="s">
        <v>27</v>
      </c>
    </row>
    <row r="7675" spans="1:9" x14ac:dyDescent="0.2">
      <c r="A7675" t="str">
        <f t="shared" si="366"/>
        <v>42705Tiahura1297PocilloporidaeDessus</v>
      </c>
      <c r="B7675" s="1">
        <v>42705</v>
      </c>
      <c r="C7675" t="s">
        <v>24</v>
      </c>
      <c r="D7675" s="19">
        <v>12</v>
      </c>
      <c r="E7675">
        <v>97</v>
      </c>
      <c r="F7675" t="s">
        <v>10</v>
      </c>
      <c r="G7675" t="s">
        <v>11</v>
      </c>
      <c r="H7675">
        <v>1</v>
      </c>
      <c r="I7675" t="s">
        <v>27</v>
      </c>
    </row>
    <row r="7676" spans="1:9" x14ac:dyDescent="0.2">
      <c r="A7676" t="str">
        <f t="shared" si="366"/>
        <v>42705Tiahura1298PocilloporidaeBords</v>
      </c>
      <c r="B7676" s="1">
        <v>42705</v>
      </c>
      <c r="C7676" t="s">
        <v>24</v>
      </c>
      <c r="D7676" s="19">
        <v>12</v>
      </c>
      <c r="E7676">
        <v>98</v>
      </c>
      <c r="F7676" t="s">
        <v>10</v>
      </c>
      <c r="G7676" t="s">
        <v>13</v>
      </c>
      <c r="H7676">
        <v>1</v>
      </c>
      <c r="I7676" t="s">
        <v>27</v>
      </c>
    </row>
    <row r="7677" spans="1:9" x14ac:dyDescent="0.2">
      <c r="A7677" t="str">
        <f t="shared" si="366"/>
        <v>42705Tiahura1298PocilloporidaeDessous</v>
      </c>
      <c r="B7677" s="1">
        <v>42705</v>
      </c>
      <c r="C7677" t="s">
        <v>24</v>
      </c>
      <c r="D7677" s="19">
        <v>12</v>
      </c>
      <c r="E7677">
        <v>98</v>
      </c>
      <c r="F7677" t="s">
        <v>10</v>
      </c>
      <c r="G7677" t="s">
        <v>8</v>
      </c>
      <c r="H7677">
        <v>1</v>
      </c>
      <c r="I7677" t="s">
        <v>27</v>
      </c>
    </row>
    <row r="7678" spans="1:9" x14ac:dyDescent="0.2">
      <c r="A7678" t="str">
        <f t="shared" si="366"/>
        <v>42705Tiahura1299PocilloporidaeBords</v>
      </c>
      <c r="B7678" s="1">
        <v>42705</v>
      </c>
      <c r="C7678" t="s">
        <v>24</v>
      </c>
      <c r="D7678" s="19">
        <v>12</v>
      </c>
      <c r="E7678">
        <v>99</v>
      </c>
      <c r="F7678" t="s">
        <v>10</v>
      </c>
      <c r="G7678" t="s">
        <v>13</v>
      </c>
      <c r="H7678">
        <v>2</v>
      </c>
      <c r="I7678" t="s">
        <v>27</v>
      </c>
    </row>
    <row r="7679" spans="1:9" x14ac:dyDescent="0.2">
      <c r="A7679" t="str">
        <f t="shared" ref="A7679:A7742" si="367">B7679 &amp; C7679&amp; D7679&amp; E7679 &amp; F7679 &amp;G7679</f>
        <v>42705Tiahura1299PoritidaeBords</v>
      </c>
      <c r="B7679" s="1">
        <v>42705</v>
      </c>
      <c r="C7679" t="s">
        <v>24</v>
      </c>
      <c r="D7679" s="19">
        <v>12</v>
      </c>
      <c r="E7679">
        <v>99</v>
      </c>
      <c r="F7679" t="s">
        <v>7</v>
      </c>
      <c r="G7679" t="s">
        <v>13</v>
      </c>
      <c r="H7679">
        <v>2</v>
      </c>
      <c r="I7679" t="s">
        <v>27</v>
      </c>
    </row>
    <row r="7680" spans="1:9" x14ac:dyDescent="0.2">
      <c r="A7680" t="str">
        <f t="shared" si="367"/>
        <v>42705Tiahura12100PocilloporidaeDessous</v>
      </c>
      <c r="B7680" s="1">
        <v>42705</v>
      </c>
      <c r="C7680" t="s">
        <v>24</v>
      </c>
      <c r="D7680" s="19">
        <v>12</v>
      </c>
      <c r="E7680">
        <v>100</v>
      </c>
      <c r="F7680" t="s">
        <v>10</v>
      </c>
      <c r="G7680" t="s">
        <v>8</v>
      </c>
      <c r="H7680">
        <v>1</v>
      </c>
      <c r="I7680" t="s">
        <v>27</v>
      </c>
    </row>
    <row r="7681" spans="1:9" x14ac:dyDescent="0.2">
      <c r="A7681" t="str">
        <f t="shared" si="367"/>
        <v>42705Tiahura18101Autres</v>
      </c>
      <c r="B7681" s="1">
        <v>42705</v>
      </c>
      <c r="C7681" t="s">
        <v>24</v>
      </c>
      <c r="D7681" s="19">
        <v>18</v>
      </c>
      <c r="E7681">
        <v>101</v>
      </c>
      <c r="F7681" t="s">
        <v>14</v>
      </c>
      <c r="G7681" t="s">
        <v>27</v>
      </c>
      <c r="H7681">
        <v>0</v>
      </c>
      <c r="I7681" t="s">
        <v>27</v>
      </c>
    </row>
    <row r="7682" spans="1:9" x14ac:dyDescent="0.2">
      <c r="A7682" t="str">
        <f t="shared" si="367"/>
        <v>42705Tiahura18102Autres</v>
      </c>
      <c r="B7682" s="1">
        <v>42705</v>
      </c>
      <c r="C7682" t="s">
        <v>24</v>
      </c>
      <c r="D7682" s="19">
        <v>18</v>
      </c>
      <c r="E7682">
        <v>102</v>
      </c>
      <c r="F7682" t="s">
        <v>14</v>
      </c>
      <c r="G7682" t="s">
        <v>27</v>
      </c>
      <c r="H7682">
        <v>0</v>
      </c>
      <c r="I7682" t="s">
        <v>27</v>
      </c>
    </row>
    <row r="7683" spans="1:9" x14ac:dyDescent="0.2">
      <c r="A7683" t="str">
        <f t="shared" si="367"/>
        <v>42705Tiahura18103Autres</v>
      </c>
      <c r="B7683" s="1">
        <v>42705</v>
      </c>
      <c r="C7683" t="s">
        <v>24</v>
      </c>
      <c r="D7683" s="19">
        <v>18</v>
      </c>
      <c r="E7683">
        <v>103</v>
      </c>
      <c r="F7683" t="s">
        <v>14</v>
      </c>
      <c r="G7683" t="s">
        <v>27</v>
      </c>
      <c r="H7683">
        <v>0</v>
      </c>
      <c r="I7683" t="s">
        <v>27</v>
      </c>
    </row>
    <row r="7684" spans="1:9" x14ac:dyDescent="0.2">
      <c r="A7684" t="str">
        <f t="shared" si="367"/>
        <v>42705Tiahura18104Autres</v>
      </c>
      <c r="B7684" s="1">
        <v>42705</v>
      </c>
      <c r="C7684" t="s">
        <v>24</v>
      </c>
      <c r="D7684" s="19">
        <v>18</v>
      </c>
      <c r="E7684">
        <v>104</v>
      </c>
      <c r="F7684" t="s">
        <v>14</v>
      </c>
      <c r="G7684" t="s">
        <v>27</v>
      </c>
      <c r="H7684">
        <v>0</v>
      </c>
      <c r="I7684" t="s">
        <v>27</v>
      </c>
    </row>
    <row r="7685" spans="1:9" x14ac:dyDescent="0.2">
      <c r="A7685" t="str">
        <f t="shared" si="367"/>
        <v>42705Tiahura18105Autres</v>
      </c>
      <c r="B7685" s="1">
        <v>42705</v>
      </c>
      <c r="C7685" t="s">
        <v>24</v>
      </c>
      <c r="D7685" s="19">
        <v>18</v>
      </c>
      <c r="E7685">
        <v>105</v>
      </c>
      <c r="F7685" t="s">
        <v>14</v>
      </c>
      <c r="G7685" t="s">
        <v>27</v>
      </c>
      <c r="H7685">
        <v>0</v>
      </c>
      <c r="I7685" t="s">
        <v>27</v>
      </c>
    </row>
    <row r="7686" spans="1:9" x14ac:dyDescent="0.2">
      <c r="A7686" t="str">
        <f t="shared" si="367"/>
        <v>42705Tiahura18106PocilloporidaeDessous</v>
      </c>
      <c r="B7686" s="1">
        <v>42705</v>
      </c>
      <c r="C7686" t="s">
        <v>24</v>
      </c>
      <c r="D7686" s="19">
        <v>18</v>
      </c>
      <c r="E7686">
        <v>106</v>
      </c>
      <c r="F7686" t="s">
        <v>10</v>
      </c>
      <c r="G7686" t="s">
        <v>8</v>
      </c>
      <c r="H7686">
        <v>1</v>
      </c>
      <c r="I7686" t="s">
        <v>27</v>
      </c>
    </row>
    <row r="7687" spans="1:9" x14ac:dyDescent="0.2">
      <c r="A7687" t="str">
        <f t="shared" si="367"/>
        <v>42705Tiahura18107Autres</v>
      </c>
      <c r="B7687" s="1">
        <v>42705</v>
      </c>
      <c r="C7687" t="s">
        <v>24</v>
      </c>
      <c r="D7687" s="19">
        <v>18</v>
      </c>
      <c r="E7687">
        <v>107</v>
      </c>
      <c r="F7687" t="s">
        <v>14</v>
      </c>
      <c r="G7687" t="s">
        <v>27</v>
      </c>
      <c r="H7687">
        <v>0</v>
      </c>
      <c r="I7687" t="s">
        <v>27</v>
      </c>
    </row>
    <row r="7688" spans="1:9" x14ac:dyDescent="0.2">
      <c r="A7688" t="str">
        <f t="shared" si="367"/>
        <v>42705Tiahura18108PocilloporidaeBords</v>
      </c>
      <c r="B7688" s="1">
        <v>42705</v>
      </c>
      <c r="C7688" t="s">
        <v>24</v>
      </c>
      <c r="D7688" s="19">
        <v>18</v>
      </c>
      <c r="E7688">
        <v>108</v>
      </c>
      <c r="F7688" t="s">
        <v>10</v>
      </c>
      <c r="G7688" t="s">
        <v>13</v>
      </c>
      <c r="H7688">
        <v>2</v>
      </c>
      <c r="I7688" t="s">
        <v>27</v>
      </c>
    </row>
    <row r="7689" spans="1:9" x14ac:dyDescent="0.2">
      <c r="A7689" t="str">
        <f t="shared" si="367"/>
        <v>42705Tiahura18109Autres</v>
      </c>
      <c r="B7689" s="1">
        <v>42705</v>
      </c>
      <c r="C7689" t="s">
        <v>24</v>
      </c>
      <c r="D7689" s="19">
        <v>18</v>
      </c>
      <c r="E7689">
        <v>109</v>
      </c>
      <c r="F7689" t="s">
        <v>14</v>
      </c>
      <c r="G7689" t="s">
        <v>27</v>
      </c>
      <c r="H7689">
        <v>0</v>
      </c>
      <c r="I7689" t="s">
        <v>27</v>
      </c>
    </row>
    <row r="7690" spans="1:9" x14ac:dyDescent="0.2">
      <c r="A7690" t="str">
        <f t="shared" si="367"/>
        <v>42705Tiahura18110PocilloporidaeBords</v>
      </c>
      <c r="B7690" s="1">
        <v>42705</v>
      </c>
      <c r="C7690" t="s">
        <v>24</v>
      </c>
      <c r="D7690" s="19">
        <v>18</v>
      </c>
      <c r="E7690">
        <v>110</v>
      </c>
      <c r="F7690" t="s">
        <v>10</v>
      </c>
      <c r="G7690" t="s">
        <v>13</v>
      </c>
      <c r="H7690">
        <v>1</v>
      </c>
      <c r="I7690" t="s">
        <v>27</v>
      </c>
    </row>
    <row r="7691" spans="1:9" x14ac:dyDescent="0.2">
      <c r="A7691" t="str">
        <f t="shared" si="367"/>
        <v>42705Tiahura18110PocilloporidaeDessous</v>
      </c>
      <c r="B7691" s="1">
        <v>42705</v>
      </c>
      <c r="C7691" t="s">
        <v>24</v>
      </c>
      <c r="D7691" s="19">
        <v>18</v>
      </c>
      <c r="E7691">
        <v>110</v>
      </c>
      <c r="F7691" t="s">
        <v>10</v>
      </c>
      <c r="G7691" t="s">
        <v>8</v>
      </c>
      <c r="H7691">
        <v>1</v>
      </c>
      <c r="I7691" t="s">
        <v>27</v>
      </c>
    </row>
    <row r="7692" spans="1:9" x14ac:dyDescent="0.2">
      <c r="A7692" t="str">
        <f t="shared" si="367"/>
        <v>42705Tiahura18111PocilloporidaeBords</v>
      </c>
      <c r="B7692" s="1">
        <v>42705</v>
      </c>
      <c r="C7692" t="s">
        <v>24</v>
      </c>
      <c r="D7692" s="19">
        <v>18</v>
      </c>
      <c r="E7692">
        <v>111</v>
      </c>
      <c r="F7692" t="s">
        <v>10</v>
      </c>
      <c r="G7692" t="s">
        <v>13</v>
      </c>
      <c r="H7692">
        <v>1</v>
      </c>
      <c r="I7692" t="s">
        <v>27</v>
      </c>
    </row>
    <row r="7693" spans="1:9" x14ac:dyDescent="0.2">
      <c r="A7693" t="str">
        <f t="shared" si="367"/>
        <v>42705Tiahura18112Autres</v>
      </c>
      <c r="B7693" s="1">
        <v>42705</v>
      </c>
      <c r="C7693" t="s">
        <v>24</v>
      </c>
      <c r="D7693" s="19">
        <v>18</v>
      </c>
      <c r="E7693">
        <v>112</v>
      </c>
      <c r="F7693" t="s">
        <v>14</v>
      </c>
      <c r="G7693" t="s">
        <v>27</v>
      </c>
      <c r="H7693">
        <v>0</v>
      </c>
      <c r="I7693" t="s">
        <v>27</v>
      </c>
    </row>
    <row r="7694" spans="1:9" x14ac:dyDescent="0.2">
      <c r="A7694" t="str">
        <f t="shared" si="367"/>
        <v>42705Tiahura18113Autres</v>
      </c>
      <c r="B7694" s="1">
        <v>42705</v>
      </c>
      <c r="C7694" t="s">
        <v>24</v>
      </c>
      <c r="D7694" s="19">
        <v>18</v>
      </c>
      <c r="E7694">
        <v>113</v>
      </c>
      <c r="F7694" t="s">
        <v>14</v>
      </c>
      <c r="G7694" t="s">
        <v>27</v>
      </c>
      <c r="H7694">
        <v>0</v>
      </c>
      <c r="I7694" t="s">
        <v>27</v>
      </c>
    </row>
    <row r="7695" spans="1:9" x14ac:dyDescent="0.2">
      <c r="A7695" t="str">
        <f t="shared" si="367"/>
        <v>42705Tiahura18114PoritidaeBords</v>
      </c>
      <c r="B7695" s="1">
        <v>42705</v>
      </c>
      <c r="C7695" t="s">
        <v>24</v>
      </c>
      <c r="D7695" s="19">
        <v>18</v>
      </c>
      <c r="E7695">
        <v>114</v>
      </c>
      <c r="F7695" t="s">
        <v>7</v>
      </c>
      <c r="G7695" t="s">
        <v>13</v>
      </c>
      <c r="H7695">
        <v>1</v>
      </c>
      <c r="I7695" t="s">
        <v>27</v>
      </c>
    </row>
    <row r="7696" spans="1:9" x14ac:dyDescent="0.2">
      <c r="A7696" t="str">
        <f t="shared" si="367"/>
        <v>42705Tiahura18115PocilloporidaeBords</v>
      </c>
      <c r="B7696" s="1">
        <v>42705</v>
      </c>
      <c r="C7696" t="s">
        <v>24</v>
      </c>
      <c r="D7696" s="19">
        <v>18</v>
      </c>
      <c r="E7696">
        <v>115</v>
      </c>
      <c r="F7696" t="s">
        <v>10</v>
      </c>
      <c r="G7696" t="s">
        <v>13</v>
      </c>
      <c r="H7696">
        <v>1</v>
      </c>
      <c r="I7696" t="s">
        <v>27</v>
      </c>
    </row>
    <row r="7697" spans="1:9" x14ac:dyDescent="0.2">
      <c r="A7697" t="str">
        <f t="shared" si="367"/>
        <v>42705Tiahura18115PoritidaeBords</v>
      </c>
      <c r="B7697" s="1">
        <v>42705</v>
      </c>
      <c r="C7697" t="s">
        <v>24</v>
      </c>
      <c r="D7697" s="19">
        <v>18</v>
      </c>
      <c r="E7697">
        <v>115</v>
      </c>
      <c r="F7697" t="s">
        <v>7</v>
      </c>
      <c r="G7697" t="s">
        <v>13</v>
      </c>
      <c r="H7697">
        <v>1</v>
      </c>
      <c r="I7697" t="s">
        <v>27</v>
      </c>
    </row>
    <row r="7698" spans="1:9" x14ac:dyDescent="0.2">
      <c r="A7698" t="str">
        <f t="shared" si="367"/>
        <v>42705Tiahura18115PoritidaeDessous</v>
      </c>
      <c r="B7698" s="1">
        <v>42705</v>
      </c>
      <c r="C7698" t="s">
        <v>24</v>
      </c>
      <c r="D7698" s="19">
        <v>18</v>
      </c>
      <c r="E7698">
        <v>115</v>
      </c>
      <c r="F7698" t="s">
        <v>7</v>
      </c>
      <c r="G7698" t="s">
        <v>8</v>
      </c>
      <c r="H7698">
        <v>1</v>
      </c>
      <c r="I7698" t="s">
        <v>27</v>
      </c>
    </row>
    <row r="7699" spans="1:9" x14ac:dyDescent="0.2">
      <c r="A7699" t="str">
        <f t="shared" si="367"/>
        <v>42705Tiahura18116PoritidaeBords</v>
      </c>
      <c r="B7699" s="1">
        <v>42705</v>
      </c>
      <c r="C7699" t="s">
        <v>24</v>
      </c>
      <c r="D7699" s="19">
        <v>18</v>
      </c>
      <c r="E7699">
        <v>116</v>
      </c>
      <c r="F7699" t="s">
        <v>7</v>
      </c>
      <c r="G7699" t="s">
        <v>13</v>
      </c>
      <c r="H7699">
        <v>4</v>
      </c>
      <c r="I7699" t="s">
        <v>27</v>
      </c>
    </row>
    <row r="7700" spans="1:9" x14ac:dyDescent="0.2">
      <c r="A7700" t="str">
        <f t="shared" si="367"/>
        <v>42705Tiahura18117Autres</v>
      </c>
      <c r="B7700" s="1">
        <v>42705</v>
      </c>
      <c r="C7700" t="s">
        <v>24</v>
      </c>
      <c r="D7700" s="19">
        <v>18</v>
      </c>
      <c r="E7700">
        <v>117</v>
      </c>
      <c r="F7700" t="s">
        <v>14</v>
      </c>
      <c r="G7700" t="s">
        <v>27</v>
      </c>
      <c r="H7700">
        <v>0</v>
      </c>
      <c r="I7700" t="s">
        <v>27</v>
      </c>
    </row>
    <row r="7701" spans="1:9" x14ac:dyDescent="0.2">
      <c r="A7701" t="str">
        <f t="shared" si="367"/>
        <v>42705Tiahura18118Autres</v>
      </c>
      <c r="B7701" s="1">
        <v>42705</v>
      </c>
      <c r="C7701" t="s">
        <v>24</v>
      </c>
      <c r="D7701" s="19">
        <v>18</v>
      </c>
      <c r="E7701">
        <v>118</v>
      </c>
      <c r="F7701" t="s">
        <v>14</v>
      </c>
      <c r="G7701" t="s">
        <v>27</v>
      </c>
      <c r="H7701">
        <v>0</v>
      </c>
      <c r="I7701" t="s">
        <v>27</v>
      </c>
    </row>
    <row r="7702" spans="1:9" x14ac:dyDescent="0.2">
      <c r="A7702" t="str">
        <f t="shared" si="367"/>
        <v>42705Tiahura18119Autres</v>
      </c>
      <c r="B7702" s="1">
        <v>42705</v>
      </c>
      <c r="C7702" t="s">
        <v>24</v>
      </c>
      <c r="D7702" s="19">
        <v>18</v>
      </c>
      <c r="E7702">
        <v>119</v>
      </c>
      <c r="F7702" t="s">
        <v>14</v>
      </c>
      <c r="G7702" t="s">
        <v>27</v>
      </c>
      <c r="H7702">
        <v>0</v>
      </c>
      <c r="I7702" t="s">
        <v>27</v>
      </c>
    </row>
    <row r="7703" spans="1:9" x14ac:dyDescent="0.2">
      <c r="A7703" t="str">
        <f t="shared" si="367"/>
        <v>42705Tiahura18120Autres</v>
      </c>
      <c r="B7703" s="1">
        <v>42705</v>
      </c>
      <c r="C7703" t="s">
        <v>24</v>
      </c>
      <c r="D7703" s="19">
        <v>18</v>
      </c>
      <c r="E7703">
        <v>120</v>
      </c>
      <c r="F7703" t="s">
        <v>14</v>
      </c>
      <c r="G7703" t="s">
        <v>27</v>
      </c>
      <c r="H7703">
        <v>0</v>
      </c>
      <c r="I7703" t="s">
        <v>27</v>
      </c>
    </row>
    <row r="7704" spans="1:9" x14ac:dyDescent="0.2">
      <c r="A7704" t="str">
        <f t="shared" si="367"/>
        <v>42705Haapiti6121Autres</v>
      </c>
      <c r="B7704" s="1">
        <v>42705</v>
      </c>
      <c r="C7704" t="s">
        <v>25</v>
      </c>
      <c r="D7704" s="19">
        <v>6</v>
      </c>
      <c r="E7704">
        <v>121</v>
      </c>
      <c r="F7704" t="s">
        <v>14</v>
      </c>
      <c r="G7704" t="s">
        <v>27</v>
      </c>
      <c r="H7704">
        <v>0</v>
      </c>
      <c r="I7704" t="s">
        <v>27</v>
      </c>
    </row>
    <row r="7705" spans="1:9" x14ac:dyDescent="0.2">
      <c r="A7705" t="str">
        <f t="shared" si="367"/>
        <v>42705Haapiti6122Autres</v>
      </c>
      <c r="B7705" s="1">
        <v>42705</v>
      </c>
      <c r="C7705" t="s">
        <v>25</v>
      </c>
      <c r="D7705" s="19">
        <v>6</v>
      </c>
      <c r="E7705">
        <v>122</v>
      </c>
      <c r="F7705" t="s">
        <v>14</v>
      </c>
      <c r="G7705" t="s">
        <v>27</v>
      </c>
      <c r="H7705">
        <v>0</v>
      </c>
      <c r="I7705" t="s">
        <v>27</v>
      </c>
    </row>
    <row r="7706" spans="1:9" x14ac:dyDescent="0.2">
      <c r="A7706" t="str">
        <f t="shared" si="367"/>
        <v>42705Haapiti6123Autres</v>
      </c>
      <c r="B7706" s="1">
        <v>42705</v>
      </c>
      <c r="C7706" t="s">
        <v>25</v>
      </c>
      <c r="D7706" s="19">
        <v>6</v>
      </c>
      <c r="E7706">
        <v>123</v>
      </c>
      <c r="F7706" t="s">
        <v>14</v>
      </c>
      <c r="G7706" t="s">
        <v>27</v>
      </c>
      <c r="H7706">
        <v>0</v>
      </c>
      <c r="I7706" t="s">
        <v>27</v>
      </c>
    </row>
    <row r="7707" spans="1:9" x14ac:dyDescent="0.2">
      <c r="A7707" t="str">
        <f t="shared" si="367"/>
        <v>42705Haapiti6124Autres</v>
      </c>
      <c r="B7707" s="1">
        <v>42705</v>
      </c>
      <c r="C7707" t="s">
        <v>25</v>
      </c>
      <c r="D7707" s="19">
        <v>6</v>
      </c>
      <c r="E7707">
        <v>124</v>
      </c>
      <c r="F7707" t="s">
        <v>14</v>
      </c>
      <c r="G7707" t="s">
        <v>27</v>
      </c>
      <c r="H7707">
        <v>0</v>
      </c>
      <c r="I7707" t="s">
        <v>27</v>
      </c>
    </row>
    <row r="7708" spans="1:9" x14ac:dyDescent="0.2">
      <c r="A7708" t="str">
        <f t="shared" si="367"/>
        <v>42705Haapiti6125Autres</v>
      </c>
      <c r="B7708" s="1">
        <v>42705</v>
      </c>
      <c r="C7708" t="s">
        <v>25</v>
      </c>
      <c r="D7708" s="19">
        <v>6</v>
      </c>
      <c r="E7708">
        <v>125</v>
      </c>
      <c r="F7708" t="s">
        <v>14</v>
      </c>
      <c r="G7708" t="s">
        <v>27</v>
      </c>
      <c r="H7708">
        <v>0</v>
      </c>
      <c r="I7708" t="s">
        <v>27</v>
      </c>
    </row>
    <row r="7709" spans="1:9" x14ac:dyDescent="0.2">
      <c r="A7709" t="str">
        <f t="shared" si="367"/>
        <v>42705Haapiti6126Autres</v>
      </c>
      <c r="B7709" s="1">
        <v>42705</v>
      </c>
      <c r="C7709" t="s">
        <v>25</v>
      </c>
      <c r="D7709" s="19">
        <v>6</v>
      </c>
      <c r="E7709">
        <v>126</v>
      </c>
      <c r="F7709" t="s">
        <v>14</v>
      </c>
      <c r="G7709" t="s">
        <v>27</v>
      </c>
      <c r="H7709">
        <v>0</v>
      </c>
      <c r="I7709" t="s">
        <v>27</v>
      </c>
    </row>
    <row r="7710" spans="1:9" x14ac:dyDescent="0.2">
      <c r="A7710" t="str">
        <f t="shared" si="367"/>
        <v>42705Haapiti6127Autres</v>
      </c>
      <c r="B7710" s="1">
        <v>42705</v>
      </c>
      <c r="C7710" t="s">
        <v>25</v>
      </c>
      <c r="D7710" s="19">
        <v>6</v>
      </c>
      <c r="E7710">
        <v>127</v>
      </c>
      <c r="F7710" t="s">
        <v>14</v>
      </c>
      <c r="G7710" t="s">
        <v>27</v>
      </c>
      <c r="H7710">
        <v>0</v>
      </c>
      <c r="I7710" t="s">
        <v>27</v>
      </c>
    </row>
    <row r="7711" spans="1:9" x14ac:dyDescent="0.2">
      <c r="A7711" t="str">
        <f t="shared" si="367"/>
        <v>42705Haapiti6128Autres</v>
      </c>
      <c r="B7711" s="1">
        <v>42705</v>
      </c>
      <c r="C7711" t="s">
        <v>25</v>
      </c>
      <c r="D7711" s="19">
        <v>6</v>
      </c>
      <c r="E7711">
        <v>128</v>
      </c>
      <c r="F7711" t="s">
        <v>14</v>
      </c>
      <c r="G7711" t="s">
        <v>27</v>
      </c>
      <c r="H7711">
        <v>0</v>
      </c>
      <c r="I7711" t="s">
        <v>27</v>
      </c>
    </row>
    <row r="7712" spans="1:9" x14ac:dyDescent="0.2">
      <c r="A7712" t="str">
        <f t="shared" si="367"/>
        <v>42705Haapiti6129Autres</v>
      </c>
      <c r="B7712" s="1">
        <v>42705</v>
      </c>
      <c r="C7712" t="s">
        <v>25</v>
      </c>
      <c r="D7712" s="19">
        <v>6</v>
      </c>
      <c r="E7712">
        <v>129</v>
      </c>
      <c r="F7712" t="s">
        <v>14</v>
      </c>
      <c r="G7712" t="s">
        <v>27</v>
      </c>
      <c r="H7712">
        <v>0</v>
      </c>
      <c r="I7712" t="s">
        <v>27</v>
      </c>
    </row>
    <row r="7713" spans="1:9" x14ac:dyDescent="0.2">
      <c r="A7713" t="str">
        <f t="shared" si="367"/>
        <v>42705Haapiti6130Autres</v>
      </c>
      <c r="B7713" s="1">
        <v>42705</v>
      </c>
      <c r="C7713" t="s">
        <v>25</v>
      </c>
      <c r="D7713" s="19">
        <v>6</v>
      </c>
      <c r="E7713">
        <v>130</v>
      </c>
      <c r="F7713" t="s">
        <v>14</v>
      </c>
      <c r="G7713" t="s">
        <v>27</v>
      </c>
      <c r="H7713">
        <v>0</v>
      </c>
      <c r="I7713" t="s">
        <v>27</v>
      </c>
    </row>
    <row r="7714" spans="1:9" x14ac:dyDescent="0.2">
      <c r="A7714" t="str">
        <f t="shared" si="367"/>
        <v>42705Haapiti6131PocilloporidaeDessous</v>
      </c>
      <c r="B7714" s="1">
        <v>42705</v>
      </c>
      <c r="C7714" t="s">
        <v>25</v>
      </c>
      <c r="D7714" s="19">
        <v>6</v>
      </c>
      <c r="E7714">
        <v>131</v>
      </c>
      <c r="F7714" t="s">
        <v>10</v>
      </c>
      <c r="G7714" t="s">
        <v>8</v>
      </c>
      <c r="H7714">
        <v>1</v>
      </c>
      <c r="I7714" t="s">
        <v>27</v>
      </c>
    </row>
    <row r="7715" spans="1:9" x14ac:dyDescent="0.2">
      <c r="A7715" t="str">
        <f t="shared" si="367"/>
        <v>42705Haapiti6132Autres</v>
      </c>
      <c r="B7715" s="1">
        <v>42705</v>
      </c>
      <c r="C7715" t="s">
        <v>25</v>
      </c>
      <c r="D7715" s="19">
        <v>6</v>
      </c>
      <c r="E7715">
        <v>132</v>
      </c>
      <c r="F7715" t="s">
        <v>14</v>
      </c>
      <c r="G7715" t="s">
        <v>27</v>
      </c>
      <c r="H7715">
        <v>0</v>
      </c>
      <c r="I7715" t="s">
        <v>27</v>
      </c>
    </row>
    <row r="7716" spans="1:9" x14ac:dyDescent="0.2">
      <c r="A7716" t="str">
        <f t="shared" si="367"/>
        <v>42705Haapiti6133Autres</v>
      </c>
      <c r="B7716" s="1">
        <v>42705</v>
      </c>
      <c r="C7716" t="s">
        <v>25</v>
      </c>
      <c r="D7716" s="19">
        <v>6</v>
      </c>
      <c r="E7716">
        <v>133</v>
      </c>
      <c r="F7716" t="s">
        <v>14</v>
      </c>
      <c r="G7716" t="s">
        <v>27</v>
      </c>
      <c r="H7716">
        <v>0</v>
      </c>
      <c r="I7716" t="s">
        <v>27</v>
      </c>
    </row>
    <row r="7717" spans="1:9" x14ac:dyDescent="0.2">
      <c r="A7717" t="str">
        <f t="shared" si="367"/>
        <v>42705Haapiti6134Autres</v>
      </c>
      <c r="B7717" s="1">
        <v>42705</v>
      </c>
      <c r="C7717" t="s">
        <v>25</v>
      </c>
      <c r="D7717" s="19">
        <v>6</v>
      </c>
      <c r="E7717">
        <v>134</v>
      </c>
      <c r="F7717" t="s">
        <v>14</v>
      </c>
      <c r="G7717" t="s">
        <v>27</v>
      </c>
      <c r="H7717">
        <v>0</v>
      </c>
      <c r="I7717" t="s">
        <v>27</v>
      </c>
    </row>
    <row r="7718" spans="1:9" x14ac:dyDescent="0.2">
      <c r="A7718" t="str">
        <f t="shared" si="367"/>
        <v>42705Haapiti6135Autres</v>
      </c>
      <c r="B7718" s="1">
        <v>42705</v>
      </c>
      <c r="C7718" t="s">
        <v>25</v>
      </c>
      <c r="D7718" s="19">
        <v>6</v>
      </c>
      <c r="E7718">
        <v>135</v>
      </c>
      <c r="F7718" t="s">
        <v>14</v>
      </c>
      <c r="G7718" t="s">
        <v>27</v>
      </c>
      <c r="H7718">
        <v>0</v>
      </c>
      <c r="I7718" t="s">
        <v>27</v>
      </c>
    </row>
    <row r="7719" spans="1:9" x14ac:dyDescent="0.2">
      <c r="A7719" t="str">
        <f t="shared" si="367"/>
        <v>42705Haapiti6136Autres</v>
      </c>
      <c r="B7719" s="1">
        <v>42705</v>
      </c>
      <c r="C7719" t="s">
        <v>25</v>
      </c>
      <c r="D7719" s="19">
        <v>6</v>
      </c>
      <c r="E7719">
        <v>136</v>
      </c>
      <c r="F7719" t="s">
        <v>14</v>
      </c>
      <c r="G7719" t="s">
        <v>27</v>
      </c>
      <c r="H7719">
        <v>0</v>
      </c>
      <c r="I7719" t="s">
        <v>27</v>
      </c>
    </row>
    <row r="7720" spans="1:9" x14ac:dyDescent="0.2">
      <c r="A7720" t="str">
        <f t="shared" si="367"/>
        <v>42705Haapiti6137Autres</v>
      </c>
      <c r="B7720" s="1">
        <v>42705</v>
      </c>
      <c r="C7720" t="s">
        <v>25</v>
      </c>
      <c r="D7720" s="19">
        <v>6</v>
      </c>
      <c r="E7720">
        <v>137</v>
      </c>
      <c r="F7720" t="s">
        <v>14</v>
      </c>
      <c r="G7720" t="s">
        <v>27</v>
      </c>
      <c r="H7720">
        <v>0</v>
      </c>
      <c r="I7720" t="s">
        <v>27</v>
      </c>
    </row>
    <row r="7721" spans="1:9" x14ac:dyDescent="0.2">
      <c r="A7721" t="str">
        <f t="shared" si="367"/>
        <v>42705Haapiti6138Autres</v>
      </c>
      <c r="B7721" s="1">
        <v>42705</v>
      </c>
      <c r="C7721" t="s">
        <v>25</v>
      </c>
      <c r="D7721" s="19">
        <v>6</v>
      </c>
      <c r="E7721">
        <v>138</v>
      </c>
      <c r="F7721" t="s">
        <v>14</v>
      </c>
      <c r="G7721" t="s">
        <v>27</v>
      </c>
      <c r="H7721">
        <v>0</v>
      </c>
      <c r="I7721" t="s">
        <v>27</v>
      </c>
    </row>
    <row r="7722" spans="1:9" x14ac:dyDescent="0.2">
      <c r="A7722" t="str">
        <f t="shared" si="367"/>
        <v>42705Haapiti6139Autres</v>
      </c>
      <c r="B7722" s="1">
        <v>42705</v>
      </c>
      <c r="C7722" t="s">
        <v>25</v>
      </c>
      <c r="D7722" s="19">
        <v>6</v>
      </c>
      <c r="E7722">
        <v>139</v>
      </c>
      <c r="F7722" t="s">
        <v>14</v>
      </c>
      <c r="G7722" t="s">
        <v>27</v>
      </c>
      <c r="H7722">
        <v>0</v>
      </c>
      <c r="I7722" t="s">
        <v>27</v>
      </c>
    </row>
    <row r="7723" spans="1:9" x14ac:dyDescent="0.2">
      <c r="A7723" t="str">
        <f t="shared" si="367"/>
        <v>42705Haapiti6140Autres</v>
      </c>
      <c r="B7723" s="1">
        <v>42705</v>
      </c>
      <c r="C7723" t="s">
        <v>25</v>
      </c>
      <c r="D7723" s="19">
        <v>6</v>
      </c>
      <c r="E7723">
        <v>140</v>
      </c>
      <c r="F7723" t="s">
        <v>14</v>
      </c>
      <c r="G7723" t="s">
        <v>27</v>
      </c>
      <c r="H7723">
        <v>0</v>
      </c>
      <c r="I7723" t="s">
        <v>27</v>
      </c>
    </row>
    <row r="7724" spans="1:9" x14ac:dyDescent="0.2">
      <c r="A7724" t="str">
        <f t="shared" si="367"/>
        <v>42705Haapiti12141Autres</v>
      </c>
      <c r="B7724" s="1">
        <v>42705</v>
      </c>
      <c r="C7724" t="s">
        <v>25</v>
      </c>
      <c r="D7724" s="19">
        <v>12</v>
      </c>
      <c r="E7724">
        <v>141</v>
      </c>
      <c r="F7724" t="s">
        <v>14</v>
      </c>
      <c r="G7724" t="s">
        <v>27</v>
      </c>
      <c r="H7724">
        <v>0</v>
      </c>
      <c r="I7724" t="s">
        <v>27</v>
      </c>
    </row>
    <row r="7725" spans="1:9" x14ac:dyDescent="0.2">
      <c r="A7725" t="str">
        <f t="shared" si="367"/>
        <v>42705Haapiti12142Autres</v>
      </c>
      <c r="B7725" s="1">
        <v>42705</v>
      </c>
      <c r="C7725" t="s">
        <v>25</v>
      </c>
      <c r="D7725" s="19">
        <v>12</v>
      </c>
      <c r="E7725">
        <v>142</v>
      </c>
      <c r="F7725" t="s">
        <v>14</v>
      </c>
      <c r="G7725" t="s">
        <v>27</v>
      </c>
      <c r="H7725">
        <v>0</v>
      </c>
      <c r="I7725" t="s">
        <v>27</v>
      </c>
    </row>
    <row r="7726" spans="1:9" x14ac:dyDescent="0.2">
      <c r="A7726" t="str">
        <f t="shared" si="367"/>
        <v>42705Haapiti12143Autres</v>
      </c>
      <c r="B7726" s="1">
        <v>42705</v>
      </c>
      <c r="C7726" t="s">
        <v>25</v>
      </c>
      <c r="D7726" s="19">
        <v>12</v>
      </c>
      <c r="E7726">
        <v>143</v>
      </c>
      <c r="F7726" t="s">
        <v>14</v>
      </c>
      <c r="G7726" t="s">
        <v>27</v>
      </c>
      <c r="H7726">
        <v>0</v>
      </c>
      <c r="I7726" t="s">
        <v>27</v>
      </c>
    </row>
    <row r="7727" spans="1:9" x14ac:dyDescent="0.2">
      <c r="A7727" t="str">
        <f t="shared" si="367"/>
        <v>42705Haapiti12144Autres</v>
      </c>
      <c r="B7727" s="1">
        <v>42705</v>
      </c>
      <c r="C7727" t="s">
        <v>25</v>
      </c>
      <c r="D7727" s="19">
        <v>12</v>
      </c>
      <c r="E7727">
        <v>144</v>
      </c>
      <c r="F7727" t="s">
        <v>14</v>
      </c>
      <c r="G7727" t="s">
        <v>27</v>
      </c>
      <c r="H7727">
        <v>0</v>
      </c>
      <c r="I7727" t="s">
        <v>27</v>
      </c>
    </row>
    <row r="7728" spans="1:9" x14ac:dyDescent="0.2">
      <c r="A7728" t="str">
        <f t="shared" si="367"/>
        <v>42705Haapiti12145Autres</v>
      </c>
      <c r="B7728" s="1">
        <v>42705</v>
      </c>
      <c r="C7728" t="s">
        <v>25</v>
      </c>
      <c r="D7728" s="19">
        <v>12</v>
      </c>
      <c r="E7728">
        <v>145</v>
      </c>
      <c r="F7728" t="s">
        <v>14</v>
      </c>
      <c r="G7728" t="s">
        <v>27</v>
      </c>
      <c r="H7728">
        <v>0</v>
      </c>
      <c r="I7728" t="s">
        <v>27</v>
      </c>
    </row>
    <row r="7729" spans="1:9" x14ac:dyDescent="0.2">
      <c r="A7729" t="str">
        <f t="shared" si="367"/>
        <v>42705Haapiti12146Autres</v>
      </c>
      <c r="B7729" s="1">
        <v>42705</v>
      </c>
      <c r="C7729" t="s">
        <v>25</v>
      </c>
      <c r="D7729" s="19">
        <v>12</v>
      </c>
      <c r="E7729">
        <v>146</v>
      </c>
      <c r="F7729" t="s">
        <v>14</v>
      </c>
      <c r="G7729" t="s">
        <v>27</v>
      </c>
      <c r="H7729">
        <v>0</v>
      </c>
      <c r="I7729" t="s">
        <v>27</v>
      </c>
    </row>
    <row r="7730" spans="1:9" x14ac:dyDescent="0.2">
      <c r="A7730" t="str">
        <f t="shared" si="367"/>
        <v>42705Haapiti12147Autres</v>
      </c>
      <c r="B7730" s="1">
        <v>42705</v>
      </c>
      <c r="C7730" t="s">
        <v>25</v>
      </c>
      <c r="D7730" s="19">
        <v>12</v>
      </c>
      <c r="E7730">
        <v>147</v>
      </c>
      <c r="F7730" t="s">
        <v>14</v>
      </c>
      <c r="G7730" t="s">
        <v>27</v>
      </c>
      <c r="H7730">
        <v>0</v>
      </c>
      <c r="I7730" t="s">
        <v>27</v>
      </c>
    </row>
    <row r="7731" spans="1:9" x14ac:dyDescent="0.2">
      <c r="A7731" t="str">
        <f t="shared" si="367"/>
        <v>42705Haapiti12148Autres</v>
      </c>
      <c r="B7731" s="1">
        <v>42705</v>
      </c>
      <c r="C7731" t="s">
        <v>25</v>
      </c>
      <c r="D7731" s="19">
        <v>12</v>
      </c>
      <c r="E7731">
        <v>148</v>
      </c>
      <c r="F7731" t="s">
        <v>14</v>
      </c>
      <c r="G7731" t="s">
        <v>27</v>
      </c>
      <c r="H7731">
        <v>0</v>
      </c>
      <c r="I7731" t="s">
        <v>27</v>
      </c>
    </row>
    <row r="7732" spans="1:9" x14ac:dyDescent="0.2">
      <c r="A7732" t="str">
        <f t="shared" si="367"/>
        <v>42705Haapiti12149Autres</v>
      </c>
      <c r="B7732" s="1">
        <v>42705</v>
      </c>
      <c r="C7732" t="s">
        <v>25</v>
      </c>
      <c r="D7732" s="19">
        <v>12</v>
      </c>
      <c r="E7732">
        <v>149</v>
      </c>
      <c r="F7732" t="s">
        <v>14</v>
      </c>
      <c r="G7732" t="s">
        <v>27</v>
      </c>
      <c r="H7732">
        <v>0</v>
      </c>
      <c r="I7732" t="s">
        <v>27</v>
      </c>
    </row>
    <row r="7733" spans="1:9" x14ac:dyDescent="0.2">
      <c r="A7733" t="str">
        <f t="shared" si="367"/>
        <v>42705Haapiti12150Autres</v>
      </c>
      <c r="B7733" s="1">
        <v>42705</v>
      </c>
      <c r="C7733" t="s">
        <v>25</v>
      </c>
      <c r="D7733" s="19">
        <v>12</v>
      </c>
      <c r="E7733">
        <v>150</v>
      </c>
      <c r="F7733" t="s">
        <v>14</v>
      </c>
      <c r="G7733" t="s">
        <v>27</v>
      </c>
      <c r="H7733">
        <v>0</v>
      </c>
      <c r="I7733" t="s">
        <v>27</v>
      </c>
    </row>
    <row r="7734" spans="1:9" x14ac:dyDescent="0.2">
      <c r="A7734" t="str">
        <f t="shared" si="367"/>
        <v>42705Haapiti12151Autres</v>
      </c>
      <c r="B7734" s="1">
        <v>42705</v>
      </c>
      <c r="C7734" t="s">
        <v>25</v>
      </c>
      <c r="D7734" s="19">
        <v>12</v>
      </c>
      <c r="E7734">
        <v>151</v>
      </c>
      <c r="F7734" t="s">
        <v>14</v>
      </c>
      <c r="G7734" t="s">
        <v>27</v>
      </c>
      <c r="H7734">
        <v>0</v>
      </c>
      <c r="I7734" t="s">
        <v>27</v>
      </c>
    </row>
    <row r="7735" spans="1:9" x14ac:dyDescent="0.2">
      <c r="A7735" t="str">
        <f t="shared" si="367"/>
        <v>42705Haapiti12152Autres</v>
      </c>
      <c r="B7735" s="1">
        <v>42705</v>
      </c>
      <c r="C7735" t="s">
        <v>25</v>
      </c>
      <c r="D7735" s="19">
        <v>12</v>
      </c>
      <c r="E7735">
        <v>152</v>
      </c>
      <c r="F7735" t="s">
        <v>14</v>
      </c>
      <c r="G7735" t="s">
        <v>27</v>
      </c>
      <c r="H7735">
        <v>0</v>
      </c>
      <c r="I7735" t="s">
        <v>27</v>
      </c>
    </row>
    <row r="7736" spans="1:9" x14ac:dyDescent="0.2">
      <c r="A7736" t="str">
        <f t="shared" si="367"/>
        <v>42705Haapiti12153Autres</v>
      </c>
      <c r="B7736" s="1">
        <v>42705</v>
      </c>
      <c r="C7736" t="s">
        <v>25</v>
      </c>
      <c r="D7736" s="19">
        <v>12</v>
      </c>
      <c r="E7736">
        <v>153</v>
      </c>
      <c r="F7736" t="s">
        <v>14</v>
      </c>
      <c r="G7736" t="s">
        <v>27</v>
      </c>
      <c r="H7736">
        <v>0</v>
      </c>
      <c r="I7736" t="s">
        <v>27</v>
      </c>
    </row>
    <row r="7737" spans="1:9" x14ac:dyDescent="0.2">
      <c r="A7737" t="str">
        <f t="shared" si="367"/>
        <v>42705Haapiti12154PocilloporidaeDessous</v>
      </c>
      <c r="B7737" s="1">
        <v>42705</v>
      </c>
      <c r="C7737" t="s">
        <v>25</v>
      </c>
      <c r="D7737" s="19">
        <v>12</v>
      </c>
      <c r="E7737">
        <v>154</v>
      </c>
      <c r="F7737" t="s">
        <v>10</v>
      </c>
      <c r="G7737" t="s">
        <v>8</v>
      </c>
      <c r="H7737">
        <v>1</v>
      </c>
      <c r="I7737" t="s">
        <v>27</v>
      </c>
    </row>
    <row r="7738" spans="1:9" x14ac:dyDescent="0.2">
      <c r="A7738" t="str">
        <f t="shared" si="367"/>
        <v>42705Haapiti12155Autres</v>
      </c>
      <c r="B7738" s="1">
        <v>42705</v>
      </c>
      <c r="C7738" t="s">
        <v>25</v>
      </c>
      <c r="D7738" s="19">
        <v>12</v>
      </c>
      <c r="E7738">
        <v>155</v>
      </c>
      <c r="F7738" t="s">
        <v>14</v>
      </c>
      <c r="G7738" t="s">
        <v>27</v>
      </c>
      <c r="H7738">
        <v>0</v>
      </c>
      <c r="I7738" t="s">
        <v>27</v>
      </c>
    </row>
    <row r="7739" spans="1:9" x14ac:dyDescent="0.2">
      <c r="A7739" t="str">
        <f t="shared" si="367"/>
        <v>42705Haapiti12156Autres</v>
      </c>
      <c r="B7739" s="1">
        <v>42705</v>
      </c>
      <c r="C7739" t="s">
        <v>25</v>
      </c>
      <c r="D7739" s="19">
        <v>12</v>
      </c>
      <c r="E7739">
        <v>156</v>
      </c>
      <c r="F7739" t="s">
        <v>14</v>
      </c>
      <c r="G7739" t="s">
        <v>27</v>
      </c>
      <c r="H7739">
        <v>0</v>
      </c>
      <c r="I7739" t="s">
        <v>27</v>
      </c>
    </row>
    <row r="7740" spans="1:9" x14ac:dyDescent="0.2">
      <c r="A7740" t="str">
        <f t="shared" si="367"/>
        <v>42705Haapiti12157PocilloporidaeDessous</v>
      </c>
      <c r="B7740" s="1">
        <v>42705</v>
      </c>
      <c r="C7740" t="s">
        <v>25</v>
      </c>
      <c r="D7740" s="19">
        <v>12</v>
      </c>
      <c r="E7740">
        <v>157</v>
      </c>
      <c r="F7740" t="s">
        <v>10</v>
      </c>
      <c r="G7740" t="s">
        <v>8</v>
      </c>
      <c r="H7740">
        <v>2</v>
      </c>
      <c r="I7740" t="s">
        <v>27</v>
      </c>
    </row>
    <row r="7741" spans="1:9" x14ac:dyDescent="0.2">
      <c r="A7741" t="str">
        <f t="shared" si="367"/>
        <v>42705Haapiti12158PocilloporidaeDessous</v>
      </c>
      <c r="B7741" s="1">
        <v>42705</v>
      </c>
      <c r="C7741" t="s">
        <v>25</v>
      </c>
      <c r="D7741" s="19">
        <v>12</v>
      </c>
      <c r="E7741">
        <v>158</v>
      </c>
      <c r="F7741" t="s">
        <v>10</v>
      </c>
      <c r="G7741" t="s">
        <v>8</v>
      </c>
      <c r="H7741">
        <v>2</v>
      </c>
      <c r="I7741" t="s">
        <v>27</v>
      </c>
    </row>
    <row r="7742" spans="1:9" x14ac:dyDescent="0.2">
      <c r="A7742" t="str">
        <f t="shared" si="367"/>
        <v>42705Haapiti12159Autres</v>
      </c>
      <c r="B7742" s="1">
        <v>42705</v>
      </c>
      <c r="C7742" t="s">
        <v>25</v>
      </c>
      <c r="D7742" s="19">
        <v>12</v>
      </c>
      <c r="E7742">
        <v>159</v>
      </c>
      <c r="F7742" t="s">
        <v>14</v>
      </c>
      <c r="G7742" t="s">
        <v>27</v>
      </c>
      <c r="H7742">
        <v>0</v>
      </c>
      <c r="I7742" t="s">
        <v>27</v>
      </c>
    </row>
    <row r="7743" spans="1:9" x14ac:dyDescent="0.2">
      <c r="A7743" t="str">
        <f t="shared" ref="A7743:A7806" si="368">B7743 &amp; C7743&amp; D7743&amp; E7743 &amp; F7743 &amp;G7743</f>
        <v>42705Haapiti12160PocilloporidaeDessous</v>
      </c>
      <c r="B7743" s="1">
        <v>42705</v>
      </c>
      <c r="C7743" t="s">
        <v>25</v>
      </c>
      <c r="D7743" s="19">
        <v>12</v>
      </c>
      <c r="E7743">
        <v>160</v>
      </c>
      <c r="F7743" t="s">
        <v>10</v>
      </c>
      <c r="G7743" t="s">
        <v>8</v>
      </c>
      <c r="H7743">
        <v>2</v>
      </c>
      <c r="I7743" t="s">
        <v>27</v>
      </c>
    </row>
    <row r="7744" spans="1:9" x14ac:dyDescent="0.2">
      <c r="A7744" t="str">
        <f t="shared" si="368"/>
        <v>42705Haapiti18161Autres</v>
      </c>
      <c r="B7744" s="1">
        <v>42705</v>
      </c>
      <c r="C7744" t="s">
        <v>25</v>
      </c>
      <c r="D7744" s="19">
        <v>18</v>
      </c>
      <c r="E7744">
        <v>161</v>
      </c>
      <c r="F7744" t="s">
        <v>14</v>
      </c>
      <c r="G7744" t="s">
        <v>27</v>
      </c>
      <c r="H7744">
        <v>0</v>
      </c>
      <c r="I7744" t="s">
        <v>27</v>
      </c>
    </row>
    <row r="7745" spans="1:9" x14ac:dyDescent="0.2">
      <c r="A7745" t="str">
        <f t="shared" si="368"/>
        <v>42705Haapiti18162Autres</v>
      </c>
      <c r="B7745" s="1">
        <v>42705</v>
      </c>
      <c r="C7745" t="s">
        <v>25</v>
      </c>
      <c r="D7745" s="19">
        <v>18</v>
      </c>
      <c r="E7745">
        <v>162</v>
      </c>
      <c r="F7745" t="s">
        <v>14</v>
      </c>
      <c r="G7745" t="s">
        <v>27</v>
      </c>
      <c r="H7745">
        <v>0</v>
      </c>
      <c r="I7745" t="s">
        <v>27</v>
      </c>
    </row>
    <row r="7746" spans="1:9" x14ac:dyDescent="0.2">
      <c r="A7746" t="str">
        <f t="shared" si="368"/>
        <v>42705Haapiti18163Autres</v>
      </c>
      <c r="B7746" s="1">
        <v>42705</v>
      </c>
      <c r="C7746" t="s">
        <v>25</v>
      </c>
      <c r="D7746" s="19">
        <v>18</v>
      </c>
      <c r="E7746">
        <v>163</v>
      </c>
      <c r="F7746" t="s">
        <v>14</v>
      </c>
      <c r="G7746" t="s">
        <v>27</v>
      </c>
      <c r="H7746">
        <v>0</v>
      </c>
      <c r="I7746" t="s">
        <v>27</v>
      </c>
    </row>
    <row r="7747" spans="1:9" x14ac:dyDescent="0.2">
      <c r="A7747" t="str">
        <f t="shared" si="368"/>
        <v>42705Haapiti18164PocilloporidaeDessous</v>
      </c>
      <c r="B7747" s="1">
        <v>42705</v>
      </c>
      <c r="C7747" t="s">
        <v>25</v>
      </c>
      <c r="D7747" s="19">
        <v>18</v>
      </c>
      <c r="E7747">
        <v>164</v>
      </c>
      <c r="F7747" t="s">
        <v>10</v>
      </c>
      <c r="G7747" t="s">
        <v>8</v>
      </c>
      <c r="H7747">
        <v>1</v>
      </c>
      <c r="I7747" t="s">
        <v>27</v>
      </c>
    </row>
    <row r="7748" spans="1:9" x14ac:dyDescent="0.2">
      <c r="A7748" t="str">
        <f t="shared" si="368"/>
        <v>42705Haapiti18165PocilloporidaeBords</v>
      </c>
      <c r="B7748" s="1">
        <v>42705</v>
      </c>
      <c r="C7748" t="s">
        <v>25</v>
      </c>
      <c r="D7748" s="19">
        <v>18</v>
      </c>
      <c r="E7748">
        <v>165</v>
      </c>
      <c r="F7748" t="s">
        <v>10</v>
      </c>
      <c r="G7748" t="s">
        <v>13</v>
      </c>
      <c r="H7748">
        <v>1</v>
      </c>
      <c r="I7748" t="s">
        <v>27</v>
      </c>
    </row>
    <row r="7749" spans="1:9" x14ac:dyDescent="0.2">
      <c r="A7749" t="str">
        <f t="shared" si="368"/>
        <v>42705Haapiti18166Autres</v>
      </c>
      <c r="B7749" s="1">
        <v>42705</v>
      </c>
      <c r="C7749" t="s">
        <v>25</v>
      </c>
      <c r="D7749" s="19">
        <v>18</v>
      </c>
      <c r="E7749">
        <v>166</v>
      </c>
      <c r="F7749" t="s">
        <v>14</v>
      </c>
      <c r="G7749" t="s">
        <v>27</v>
      </c>
      <c r="H7749">
        <v>0</v>
      </c>
      <c r="I7749" t="s">
        <v>27</v>
      </c>
    </row>
    <row r="7750" spans="1:9" x14ac:dyDescent="0.2">
      <c r="A7750" t="str">
        <f t="shared" si="368"/>
        <v>42705Haapiti18167Autres</v>
      </c>
      <c r="B7750" s="1">
        <v>42705</v>
      </c>
      <c r="C7750" t="s">
        <v>25</v>
      </c>
      <c r="D7750" s="19">
        <v>18</v>
      </c>
      <c r="E7750">
        <v>167</v>
      </c>
      <c r="F7750" t="s">
        <v>14</v>
      </c>
      <c r="G7750" t="s">
        <v>27</v>
      </c>
      <c r="H7750">
        <v>0</v>
      </c>
      <c r="I7750" t="s">
        <v>27</v>
      </c>
    </row>
    <row r="7751" spans="1:9" x14ac:dyDescent="0.2">
      <c r="A7751" t="str">
        <f t="shared" si="368"/>
        <v>42705Haapiti18168Autres</v>
      </c>
      <c r="B7751" s="1">
        <v>42705</v>
      </c>
      <c r="C7751" t="s">
        <v>25</v>
      </c>
      <c r="D7751" s="19">
        <v>18</v>
      </c>
      <c r="E7751">
        <v>168</v>
      </c>
      <c r="F7751" t="s">
        <v>14</v>
      </c>
      <c r="G7751" t="s">
        <v>27</v>
      </c>
      <c r="H7751">
        <v>0</v>
      </c>
      <c r="I7751" t="s">
        <v>27</v>
      </c>
    </row>
    <row r="7752" spans="1:9" x14ac:dyDescent="0.2">
      <c r="A7752" t="str">
        <f t="shared" si="368"/>
        <v>42705Haapiti18169PocilloporidaeBords</v>
      </c>
      <c r="B7752" s="1">
        <v>42705</v>
      </c>
      <c r="C7752" t="s">
        <v>25</v>
      </c>
      <c r="D7752" s="19">
        <v>18</v>
      </c>
      <c r="E7752">
        <v>169</v>
      </c>
      <c r="F7752" t="s">
        <v>10</v>
      </c>
      <c r="G7752" t="s">
        <v>13</v>
      </c>
      <c r="H7752">
        <v>1</v>
      </c>
      <c r="I7752" t="s">
        <v>27</v>
      </c>
    </row>
    <row r="7753" spans="1:9" x14ac:dyDescent="0.2">
      <c r="A7753" t="str">
        <f t="shared" si="368"/>
        <v>42705Haapiti18170PocilloporidaeBords</v>
      </c>
      <c r="B7753" s="1">
        <v>42705</v>
      </c>
      <c r="C7753" t="s">
        <v>25</v>
      </c>
      <c r="D7753" s="19">
        <v>18</v>
      </c>
      <c r="E7753">
        <v>170</v>
      </c>
      <c r="F7753" t="s">
        <v>10</v>
      </c>
      <c r="G7753" t="s">
        <v>13</v>
      </c>
      <c r="H7753">
        <v>1</v>
      </c>
      <c r="I7753" t="s">
        <v>27</v>
      </c>
    </row>
    <row r="7754" spans="1:9" x14ac:dyDescent="0.2">
      <c r="A7754" t="str">
        <f t="shared" si="368"/>
        <v>42705Haapiti18171</v>
      </c>
      <c r="B7754" s="1">
        <v>42705</v>
      </c>
      <c r="C7754" t="s">
        <v>25</v>
      </c>
      <c r="D7754" s="19">
        <v>18</v>
      </c>
      <c r="E7754">
        <v>171</v>
      </c>
      <c r="F7754" t="s">
        <v>27</v>
      </c>
      <c r="G7754" t="s">
        <v>27</v>
      </c>
      <c r="H7754" t="s">
        <v>27</v>
      </c>
      <c r="I7754" t="s">
        <v>31</v>
      </c>
    </row>
    <row r="7755" spans="1:9" x14ac:dyDescent="0.2">
      <c r="A7755" t="str">
        <f t="shared" si="368"/>
        <v>42705Haapiti18172PocilloporidaeDessus</v>
      </c>
      <c r="B7755" s="1">
        <v>42705</v>
      </c>
      <c r="C7755" t="s">
        <v>25</v>
      </c>
      <c r="D7755" s="19">
        <v>18</v>
      </c>
      <c r="E7755">
        <v>172</v>
      </c>
      <c r="F7755" t="s">
        <v>10</v>
      </c>
      <c r="G7755" t="s">
        <v>11</v>
      </c>
      <c r="H7755">
        <v>1</v>
      </c>
      <c r="I7755" t="s">
        <v>27</v>
      </c>
    </row>
    <row r="7756" spans="1:9" x14ac:dyDescent="0.2">
      <c r="A7756" t="str">
        <f t="shared" si="368"/>
        <v>42705Haapiti18173PocilloporidaeDessous</v>
      </c>
      <c r="B7756" s="1">
        <v>42705</v>
      </c>
      <c r="C7756" t="s">
        <v>25</v>
      </c>
      <c r="D7756" s="19">
        <v>18</v>
      </c>
      <c r="E7756">
        <v>173</v>
      </c>
      <c r="F7756" t="s">
        <v>10</v>
      </c>
      <c r="G7756" t="s">
        <v>8</v>
      </c>
      <c r="H7756">
        <v>1</v>
      </c>
      <c r="I7756" t="s">
        <v>27</v>
      </c>
    </row>
    <row r="7757" spans="1:9" x14ac:dyDescent="0.2">
      <c r="A7757" t="str">
        <f t="shared" si="368"/>
        <v>42705Haapiti18174PocilloporidaeDessous</v>
      </c>
      <c r="B7757" s="1">
        <v>42705</v>
      </c>
      <c r="C7757" t="s">
        <v>25</v>
      </c>
      <c r="D7757" s="19">
        <v>18</v>
      </c>
      <c r="E7757">
        <v>174</v>
      </c>
      <c r="F7757" t="s">
        <v>10</v>
      </c>
      <c r="G7757" t="s">
        <v>8</v>
      </c>
      <c r="H7757">
        <v>2</v>
      </c>
      <c r="I7757" t="s">
        <v>27</v>
      </c>
    </row>
    <row r="7758" spans="1:9" x14ac:dyDescent="0.2">
      <c r="A7758" t="str">
        <f t="shared" si="368"/>
        <v>42705Haapiti18174PocilloporidaeDessus</v>
      </c>
      <c r="B7758" s="1">
        <v>42705</v>
      </c>
      <c r="C7758" t="s">
        <v>25</v>
      </c>
      <c r="D7758" s="19">
        <v>18</v>
      </c>
      <c r="E7758">
        <v>174</v>
      </c>
      <c r="F7758" t="s">
        <v>10</v>
      </c>
      <c r="G7758" t="s">
        <v>11</v>
      </c>
      <c r="H7758">
        <v>1</v>
      </c>
      <c r="I7758" t="s">
        <v>27</v>
      </c>
    </row>
    <row r="7759" spans="1:9" x14ac:dyDescent="0.2">
      <c r="A7759" t="str">
        <f t="shared" si="368"/>
        <v>42705Haapiti18175CassésDessous</v>
      </c>
      <c r="B7759" s="1">
        <v>42705</v>
      </c>
      <c r="C7759" t="s">
        <v>25</v>
      </c>
      <c r="D7759" s="19">
        <v>18</v>
      </c>
      <c r="E7759">
        <v>175</v>
      </c>
      <c r="F7759" t="s">
        <v>12</v>
      </c>
      <c r="G7759" t="s">
        <v>8</v>
      </c>
      <c r="H7759">
        <v>1</v>
      </c>
      <c r="I7759" t="s">
        <v>27</v>
      </c>
    </row>
    <row r="7760" spans="1:9" x14ac:dyDescent="0.2">
      <c r="A7760" t="str">
        <f t="shared" si="368"/>
        <v>42705Haapiti18175PocilloporidaeDessous</v>
      </c>
      <c r="B7760" s="1">
        <v>42705</v>
      </c>
      <c r="C7760" t="s">
        <v>25</v>
      </c>
      <c r="D7760" s="19">
        <v>18</v>
      </c>
      <c r="E7760">
        <v>175</v>
      </c>
      <c r="F7760" t="s">
        <v>10</v>
      </c>
      <c r="G7760" t="s">
        <v>8</v>
      </c>
      <c r="H7760">
        <v>3</v>
      </c>
      <c r="I7760" t="s">
        <v>27</v>
      </c>
    </row>
    <row r="7761" spans="1:9" x14ac:dyDescent="0.2">
      <c r="A7761" t="str">
        <f t="shared" si="368"/>
        <v>42705Haapiti18175PocilloporidaeDessus</v>
      </c>
      <c r="B7761" s="1">
        <v>42705</v>
      </c>
      <c r="C7761" t="s">
        <v>25</v>
      </c>
      <c r="D7761" s="19">
        <v>18</v>
      </c>
      <c r="E7761">
        <v>175</v>
      </c>
      <c r="F7761" t="s">
        <v>10</v>
      </c>
      <c r="G7761" t="s">
        <v>11</v>
      </c>
      <c r="H7761">
        <v>1</v>
      </c>
      <c r="I7761" t="s">
        <v>27</v>
      </c>
    </row>
    <row r="7762" spans="1:9" x14ac:dyDescent="0.2">
      <c r="A7762" t="str">
        <f t="shared" si="368"/>
        <v>42705Haapiti18176Autres</v>
      </c>
      <c r="B7762" s="1">
        <v>42705</v>
      </c>
      <c r="C7762" t="s">
        <v>25</v>
      </c>
      <c r="D7762" s="19">
        <v>18</v>
      </c>
      <c r="E7762">
        <v>176</v>
      </c>
      <c r="F7762" t="s">
        <v>14</v>
      </c>
      <c r="G7762" t="s">
        <v>27</v>
      </c>
      <c r="H7762">
        <v>0</v>
      </c>
      <c r="I7762" t="s">
        <v>27</v>
      </c>
    </row>
    <row r="7763" spans="1:9" x14ac:dyDescent="0.2">
      <c r="A7763" t="str">
        <f t="shared" si="368"/>
        <v>42705Haapiti18177PocilloporidaeDessous</v>
      </c>
      <c r="B7763" s="1">
        <v>42705</v>
      </c>
      <c r="C7763" t="s">
        <v>25</v>
      </c>
      <c r="D7763" s="19">
        <v>18</v>
      </c>
      <c r="E7763">
        <v>177</v>
      </c>
      <c r="F7763" t="s">
        <v>10</v>
      </c>
      <c r="G7763" t="s">
        <v>8</v>
      </c>
      <c r="H7763">
        <v>1</v>
      </c>
      <c r="I7763" t="s">
        <v>27</v>
      </c>
    </row>
    <row r="7764" spans="1:9" x14ac:dyDescent="0.2">
      <c r="A7764" t="str">
        <f t="shared" si="368"/>
        <v>42705Haapiti18178Autres</v>
      </c>
      <c r="B7764" s="1">
        <v>42705</v>
      </c>
      <c r="C7764" t="s">
        <v>25</v>
      </c>
      <c r="D7764" s="19">
        <v>18</v>
      </c>
      <c r="E7764">
        <v>178</v>
      </c>
      <c r="F7764" t="s">
        <v>14</v>
      </c>
      <c r="G7764" t="s">
        <v>27</v>
      </c>
      <c r="H7764">
        <v>0</v>
      </c>
      <c r="I7764" t="s">
        <v>27</v>
      </c>
    </row>
    <row r="7765" spans="1:9" x14ac:dyDescent="0.2">
      <c r="A7765" t="str">
        <f t="shared" si="368"/>
        <v>42705Haapiti18179Autres</v>
      </c>
      <c r="B7765" s="1">
        <v>42705</v>
      </c>
      <c r="C7765" t="s">
        <v>25</v>
      </c>
      <c r="D7765" s="19">
        <v>18</v>
      </c>
      <c r="E7765">
        <v>179</v>
      </c>
      <c r="F7765" t="s">
        <v>14</v>
      </c>
      <c r="G7765" t="s">
        <v>27</v>
      </c>
      <c r="H7765">
        <v>0</v>
      </c>
      <c r="I7765" t="s">
        <v>27</v>
      </c>
    </row>
    <row r="7766" spans="1:9" x14ac:dyDescent="0.2">
      <c r="A7766" t="str">
        <f t="shared" si="368"/>
        <v>42705Haapiti18180Autres</v>
      </c>
      <c r="B7766" s="1">
        <v>42705</v>
      </c>
      <c r="C7766" t="s">
        <v>25</v>
      </c>
      <c r="D7766" s="19">
        <v>18</v>
      </c>
      <c r="E7766">
        <v>180</v>
      </c>
      <c r="F7766" t="s">
        <v>14</v>
      </c>
      <c r="G7766" t="s">
        <v>27</v>
      </c>
      <c r="H7766">
        <v>0</v>
      </c>
      <c r="I7766" t="s">
        <v>27</v>
      </c>
    </row>
    <row r="7767" spans="1:9" x14ac:dyDescent="0.2">
      <c r="A7767" t="str">
        <f t="shared" si="368"/>
        <v>42979Vaipahu61Autres</v>
      </c>
      <c r="B7767" s="61">
        <v>42979</v>
      </c>
      <c r="C7767" s="62" t="s">
        <v>23</v>
      </c>
      <c r="D7767" s="63">
        <v>6</v>
      </c>
      <c r="E7767" s="62">
        <v>1</v>
      </c>
      <c r="F7767" s="62" t="s">
        <v>14</v>
      </c>
      <c r="G7767" s="62" t="s">
        <v>27</v>
      </c>
      <c r="H7767" s="62">
        <v>0</v>
      </c>
      <c r="I7767" t="s">
        <v>27</v>
      </c>
    </row>
    <row r="7768" spans="1:9" x14ac:dyDescent="0.2">
      <c r="A7768" t="str">
        <f t="shared" si="368"/>
        <v>42979Vaipahu62Autres</v>
      </c>
      <c r="B7768" s="61">
        <v>42979</v>
      </c>
      <c r="C7768" s="62" t="s">
        <v>23</v>
      </c>
      <c r="D7768" s="63">
        <v>6</v>
      </c>
      <c r="E7768" s="62">
        <v>2</v>
      </c>
      <c r="F7768" s="62" t="s">
        <v>14</v>
      </c>
      <c r="G7768" s="62" t="s">
        <v>27</v>
      </c>
      <c r="H7768" s="62">
        <v>0</v>
      </c>
      <c r="I7768" t="s">
        <v>27</v>
      </c>
    </row>
    <row r="7769" spans="1:9" x14ac:dyDescent="0.2">
      <c r="A7769" t="str">
        <f t="shared" si="368"/>
        <v>42979Vaipahu63Autres</v>
      </c>
      <c r="B7769" s="61">
        <v>42979</v>
      </c>
      <c r="C7769" s="62" t="s">
        <v>23</v>
      </c>
      <c r="D7769" s="63">
        <v>6</v>
      </c>
      <c r="E7769" s="62">
        <v>3</v>
      </c>
      <c r="F7769" s="62" t="s">
        <v>14</v>
      </c>
      <c r="G7769" s="62" t="s">
        <v>27</v>
      </c>
      <c r="H7769" s="62">
        <v>0</v>
      </c>
      <c r="I7769" t="s">
        <v>27</v>
      </c>
    </row>
    <row r="7770" spans="1:9" x14ac:dyDescent="0.2">
      <c r="A7770" t="str">
        <f t="shared" si="368"/>
        <v>42979Vaipahu64Autres</v>
      </c>
      <c r="B7770" s="61">
        <v>42979</v>
      </c>
      <c r="C7770" s="62" t="s">
        <v>23</v>
      </c>
      <c r="D7770" s="63">
        <v>6</v>
      </c>
      <c r="E7770" s="62">
        <v>4</v>
      </c>
      <c r="F7770" s="62" t="s">
        <v>14</v>
      </c>
      <c r="G7770" s="62" t="s">
        <v>27</v>
      </c>
      <c r="H7770" s="62">
        <v>0</v>
      </c>
      <c r="I7770" t="s">
        <v>27</v>
      </c>
    </row>
    <row r="7771" spans="1:9" x14ac:dyDescent="0.2">
      <c r="A7771" t="str">
        <f t="shared" si="368"/>
        <v>42979Vaipahu65Autres</v>
      </c>
      <c r="B7771" s="61">
        <v>42979</v>
      </c>
      <c r="C7771" s="62" t="s">
        <v>23</v>
      </c>
      <c r="D7771" s="63">
        <v>6</v>
      </c>
      <c r="E7771" s="62">
        <v>5</v>
      </c>
      <c r="F7771" s="62" t="s">
        <v>14</v>
      </c>
      <c r="G7771" s="62" t="s">
        <v>27</v>
      </c>
      <c r="H7771" s="62">
        <v>0</v>
      </c>
      <c r="I7771" t="s">
        <v>27</v>
      </c>
    </row>
    <row r="7772" spans="1:9" x14ac:dyDescent="0.2">
      <c r="A7772" t="str">
        <f t="shared" si="368"/>
        <v>42979Vaipahu66PoritidaeDessous</v>
      </c>
      <c r="B7772" s="61">
        <v>42979</v>
      </c>
      <c r="C7772" s="62" t="s">
        <v>23</v>
      </c>
      <c r="D7772" s="63">
        <v>6</v>
      </c>
      <c r="E7772" s="62">
        <v>6</v>
      </c>
      <c r="F7772" s="62" t="s">
        <v>7</v>
      </c>
      <c r="G7772" s="62" t="s">
        <v>8</v>
      </c>
      <c r="H7772" s="62">
        <v>5</v>
      </c>
    </row>
    <row r="7773" spans="1:9" x14ac:dyDescent="0.2">
      <c r="A7773" t="str">
        <f t="shared" si="368"/>
        <v>42979Vaipahu67Autres</v>
      </c>
      <c r="B7773" s="61">
        <v>42979</v>
      </c>
      <c r="C7773" s="62" t="s">
        <v>23</v>
      </c>
      <c r="D7773" s="63">
        <v>6</v>
      </c>
      <c r="E7773" s="62">
        <v>7</v>
      </c>
      <c r="F7773" s="62" t="s">
        <v>14</v>
      </c>
      <c r="G7773" s="62" t="s">
        <v>27</v>
      </c>
      <c r="H7773" s="62">
        <v>0</v>
      </c>
      <c r="I7773" t="s">
        <v>27</v>
      </c>
    </row>
    <row r="7774" spans="1:9" x14ac:dyDescent="0.2">
      <c r="A7774" t="str">
        <f t="shared" si="368"/>
        <v>42979Vaipahu68Autres</v>
      </c>
      <c r="B7774" s="61">
        <v>42979</v>
      </c>
      <c r="C7774" s="62" t="s">
        <v>23</v>
      </c>
      <c r="D7774" s="63">
        <v>6</v>
      </c>
      <c r="E7774" s="62">
        <v>8</v>
      </c>
      <c r="F7774" s="62" t="s">
        <v>14</v>
      </c>
      <c r="G7774" s="62" t="s">
        <v>27</v>
      </c>
      <c r="H7774" s="62">
        <v>0</v>
      </c>
      <c r="I7774" t="s">
        <v>27</v>
      </c>
    </row>
    <row r="7775" spans="1:9" x14ac:dyDescent="0.2">
      <c r="A7775" t="str">
        <f t="shared" si="368"/>
        <v>42979Vaipahu69PoritidaeBords</v>
      </c>
      <c r="B7775" s="61">
        <v>42979</v>
      </c>
      <c r="C7775" s="62" t="s">
        <v>23</v>
      </c>
      <c r="D7775" s="63">
        <v>6</v>
      </c>
      <c r="E7775" s="62">
        <v>9</v>
      </c>
      <c r="F7775" s="62" t="s">
        <v>7</v>
      </c>
      <c r="G7775" s="62" t="s">
        <v>13</v>
      </c>
      <c r="H7775" s="62">
        <v>1</v>
      </c>
    </row>
    <row r="7776" spans="1:9" x14ac:dyDescent="0.2">
      <c r="A7776" t="str">
        <f t="shared" si="368"/>
        <v>42979Vaipahu69PoritidaeDessous</v>
      </c>
      <c r="B7776" s="61">
        <v>42979</v>
      </c>
      <c r="C7776" s="62" t="s">
        <v>23</v>
      </c>
      <c r="D7776" s="63">
        <v>6</v>
      </c>
      <c r="E7776" s="62">
        <v>9</v>
      </c>
      <c r="F7776" s="62" t="s">
        <v>7</v>
      </c>
      <c r="G7776" s="62" t="s">
        <v>8</v>
      </c>
      <c r="H7776" s="62">
        <v>1</v>
      </c>
    </row>
    <row r="7777" spans="1:9" x14ac:dyDescent="0.2">
      <c r="A7777" t="str">
        <f t="shared" si="368"/>
        <v>42979Vaipahu610Autres</v>
      </c>
      <c r="B7777" s="61">
        <v>42979</v>
      </c>
      <c r="C7777" s="62" t="s">
        <v>23</v>
      </c>
      <c r="D7777" s="63">
        <v>6</v>
      </c>
      <c r="E7777" s="62">
        <v>10</v>
      </c>
      <c r="F7777" s="62" t="s">
        <v>14</v>
      </c>
      <c r="G7777" s="62" t="s">
        <v>27</v>
      </c>
      <c r="H7777" s="62">
        <v>0</v>
      </c>
      <c r="I7777" t="s">
        <v>27</v>
      </c>
    </row>
    <row r="7778" spans="1:9" x14ac:dyDescent="0.2">
      <c r="A7778" t="str">
        <f t="shared" si="368"/>
        <v>42979Vaipahu611Autres</v>
      </c>
      <c r="B7778" s="61">
        <v>42979</v>
      </c>
      <c r="C7778" s="62" t="s">
        <v>23</v>
      </c>
      <c r="D7778" s="63">
        <v>6</v>
      </c>
      <c r="E7778" s="62">
        <v>11</v>
      </c>
      <c r="F7778" s="62" t="s">
        <v>14</v>
      </c>
      <c r="G7778" s="62" t="s">
        <v>27</v>
      </c>
      <c r="H7778" s="62">
        <v>0</v>
      </c>
      <c r="I7778" t="s">
        <v>27</v>
      </c>
    </row>
    <row r="7779" spans="1:9" x14ac:dyDescent="0.2">
      <c r="A7779" t="str">
        <f t="shared" si="368"/>
        <v>42979Vaipahu612Autres</v>
      </c>
      <c r="B7779" s="61">
        <v>42979</v>
      </c>
      <c r="C7779" s="62" t="s">
        <v>23</v>
      </c>
      <c r="D7779" s="63">
        <v>6</v>
      </c>
      <c r="E7779" s="62">
        <v>12</v>
      </c>
      <c r="F7779" s="62" t="s">
        <v>14</v>
      </c>
      <c r="G7779" s="62" t="s">
        <v>27</v>
      </c>
      <c r="H7779" s="62">
        <v>0</v>
      </c>
      <c r="I7779" t="s">
        <v>27</v>
      </c>
    </row>
    <row r="7780" spans="1:9" x14ac:dyDescent="0.2">
      <c r="A7780" t="str">
        <f t="shared" si="368"/>
        <v>42979Vaipahu613Autres</v>
      </c>
      <c r="B7780" s="61">
        <v>42979</v>
      </c>
      <c r="C7780" s="62" t="s">
        <v>23</v>
      </c>
      <c r="D7780" s="63">
        <v>6</v>
      </c>
      <c r="E7780" s="62">
        <v>13</v>
      </c>
      <c r="F7780" s="62" t="s">
        <v>14</v>
      </c>
      <c r="G7780" s="62" t="s">
        <v>27</v>
      </c>
      <c r="H7780" s="62">
        <v>0</v>
      </c>
      <c r="I7780" t="s">
        <v>27</v>
      </c>
    </row>
    <row r="7781" spans="1:9" x14ac:dyDescent="0.2">
      <c r="A7781" t="str">
        <f t="shared" si="368"/>
        <v>42979Vaipahu614Autres</v>
      </c>
      <c r="B7781" s="61">
        <v>42979</v>
      </c>
      <c r="C7781" s="62" t="s">
        <v>23</v>
      </c>
      <c r="D7781" s="63">
        <v>6</v>
      </c>
      <c r="E7781" s="62">
        <v>14</v>
      </c>
      <c r="F7781" s="62" t="s">
        <v>14</v>
      </c>
      <c r="G7781" s="62" t="s">
        <v>27</v>
      </c>
      <c r="H7781" s="62">
        <v>0</v>
      </c>
      <c r="I7781" t="s">
        <v>27</v>
      </c>
    </row>
    <row r="7782" spans="1:9" x14ac:dyDescent="0.2">
      <c r="A7782" t="str">
        <f t="shared" si="368"/>
        <v>42979Vaipahu615Autres</v>
      </c>
      <c r="B7782" s="61">
        <v>42979</v>
      </c>
      <c r="C7782" s="62" t="s">
        <v>23</v>
      </c>
      <c r="D7782" s="63">
        <v>6</v>
      </c>
      <c r="E7782" s="62">
        <v>15</v>
      </c>
      <c r="F7782" s="62" t="s">
        <v>14</v>
      </c>
      <c r="G7782" s="62" t="s">
        <v>27</v>
      </c>
      <c r="H7782" s="62">
        <v>0</v>
      </c>
    </row>
    <row r="7783" spans="1:9" x14ac:dyDescent="0.2">
      <c r="A7783" t="str">
        <f t="shared" si="368"/>
        <v>42979Vaipahu616PoritidaeDessous</v>
      </c>
      <c r="B7783" s="61">
        <v>42979</v>
      </c>
      <c r="C7783" s="62" t="s">
        <v>23</v>
      </c>
      <c r="D7783" s="63">
        <v>6</v>
      </c>
      <c r="E7783" s="62">
        <v>16</v>
      </c>
      <c r="F7783" s="62" t="s">
        <v>7</v>
      </c>
      <c r="G7783" s="62" t="s">
        <v>8</v>
      </c>
      <c r="H7783" s="62">
        <v>1</v>
      </c>
    </row>
    <row r="7784" spans="1:9" x14ac:dyDescent="0.2">
      <c r="A7784" t="str">
        <f t="shared" si="368"/>
        <v>42979Vaipahu617Autres</v>
      </c>
      <c r="B7784" s="61">
        <v>42979</v>
      </c>
      <c r="C7784" s="62" t="s">
        <v>23</v>
      </c>
      <c r="D7784" s="63">
        <v>6</v>
      </c>
      <c r="E7784" s="62">
        <v>17</v>
      </c>
      <c r="F7784" s="62" t="s">
        <v>14</v>
      </c>
      <c r="G7784" s="62" t="s">
        <v>27</v>
      </c>
      <c r="H7784" s="62">
        <v>0</v>
      </c>
    </row>
    <row r="7785" spans="1:9" x14ac:dyDescent="0.2">
      <c r="A7785" t="str">
        <f t="shared" si="368"/>
        <v>42979Vaipahu618Autres</v>
      </c>
      <c r="B7785" s="61">
        <v>42979</v>
      </c>
      <c r="C7785" s="62" t="s">
        <v>23</v>
      </c>
      <c r="D7785" s="63">
        <v>6</v>
      </c>
      <c r="E7785" s="62">
        <v>18</v>
      </c>
      <c r="F7785" s="62" t="s">
        <v>14</v>
      </c>
      <c r="G7785" s="62" t="s">
        <v>27</v>
      </c>
      <c r="H7785" s="62">
        <v>0</v>
      </c>
    </row>
    <row r="7786" spans="1:9" x14ac:dyDescent="0.2">
      <c r="A7786" t="str">
        <f t="shared" si="368"/>
        <v>42979Vaipahu619Autres</v>
      </c>
      <c r="B7786" s="61">
        <v>42979</v>
      </c>
      <c r="C7786" s="62" t="s">
        <v>23</v>
      </c>
      <c r="D7786" s="63">
        <v>6</v>
      </c>
      <c r="E7786" s="62">
        <v>19</v>
      </c>
      <c r="F7786" s="62" t="s">
        <v>14</v>
      </c>
      <c r="G7786" s="62" t="s">
        <v>27</v>
      </c>
      <c r="H7786" s="62">
        <v>0</v>
      </c>
    </row>
    <row r="7787" spans="1:9" x14ac:dyDescent="0.2">
      <c r="A7787" t="str">
        <f t="shared" si="368"/>
        <v>42979Vaipahu620Autres</v>
      </c>
      <c r="B7787" s="61">
        <v>42979</v>
      </c>
      <c r="C7787" s="62" t="s">
        <v>23</v>
      </c>
      <c r="D7787" s="63">
        <v>6</v>
      </c>
      <c r="E7787" s="62">
        <v>20</v>
      </c>
      <c r="F7787" s="62" t="s">
        <v>14</v>
      </c>
      <c r="G7787" s="62" t="s">
        <v>27</v>
      </c>
      <c r="H7787" s="62">
        <v>0</v>
      </c>
    </row>
    <row r="7788" spans="1:9" x14ac:dyDescent="0.2">
      <c r="A7788" t="str">
        <f t="shared" si="368"/>
        <v>42979Vaipahu1221PoritidaeDessous</v>
      </c>
      <c r="B7788" s="61">
        <v>42979</v>
      </c>
      <c r="C7788" s="62" t="s">
        <v>23</v>
      </c>
      <c r="D7788" s="63">
        <v>12</v>
      </c>
      <c r="E7788" s="62">
        <v>21</v>
      </c>
      <c r="F7788" s="62" t="s">
        <v>7</v>
      </c>
      <c r="G7788" s="62" t="s">
        <v>8</v>
      </c>
      <c r="H7788" s="62">
        <v>1</v>
      </c>
    </row>
    <row r="7789" spans="1:9" x14ac:dyDescent="0.2">
      <c r="A7789" t="str">
        <f t="shared" si="368"/>
        <v>42979Vaipahu1222Autres</v>
      </c>
      <c r="B7789" s="61">
        <v>42979</v>
      </c>
      <c r="C7789" s="62" t="s">
        <v>23</v>
      </c>
      <c r="D7789" s="63">
        <v>12</v>
      </c>
      <c r="E7789" s="62">
        <v>22</v>
      </c>
      <c r="F7789" s="62" t="s">
        <v>14</v>
      </c>
      <c r="G7789" s="62"/>
      <c r="H7789" s="62">
        <v>0</v>
      </c>
    </row>
    <row r="7790" spans="1:9" x14ac:dyDescent="0.2">
      <c r="A7790" t="str">
        <f t="shared" si="368"/>
        <v>42979Vaipahu1223Autres</v>
      </c>
      <c r="B7790" s="61">
        <v>42979</v>
      </c>
      <c r="C7790" s="62" t="s">
        <v>23</v>
      </c>
      <c r="D7790" s="63">
        <v>12</v>
      </c>
      <c r="E7790" s="62">
        <v>23</v>
      </c>
      <c r="F7790" s="62" t="s">
        <v>14</v>
      </c>
      <c r="G7790" s="62"/>
      <c r="H7790" s="62">
        <v>0</v>
      </c>
    </row>
    <row r="7791" spans="1:9" x14ac:dyDescent="0.2">
      <c r="A7791" t="str">
        <f t="shared" si="368"/>
        <v>42979Vaipahu1224Autres</v>
      </c>
      <c r="B7791" s="61">
        <v>42979</v>
      </c>
      <c r="C7791" s="62" t="s">
        <v>23</v>
      </c>
      <c r="D7791" s="63">
        <v>12</v>
      </c>
      <c r="E7791" s="62">
        <v>24</v>
      </c>
      <c r="F7791" s="62" t="s">
        <v>14</v>
      </c>
      <c r="G7791" s="62"/>
      <c r="H7791" s="62">
        <v>0</v>
      </c>
    </row>
    <row r="7792" spans="1:9" x14ac:dyDescent="0.2">
      <c r="A7792" t="str">
        <f t="shared" si="368"/>
        <v>42979Vaipahu1225Autres</v>
      </c>
      <c r="B7792" s="61">
        <v>42979</v>
      </c>
      <c r="C7792" s="62" t="s">
        <v>23</v>
      </c>
      <c r="D7792" s="63">
        <v>12</v>
      </c>
      <c r="E7792" s="62">
        <v>25</v>
      </c>
      <c r="F7792" s="62" t="s">
        <v>14</v>
      </c>
      <c r="G7792" s="62"/>
      <c r="H7792" s="62">
        <v>0</v>
      </c>
    </row>
    <row r="7793" spans="1:8" x14ac:dyDescent="0.2">
      <c r="A7793" t="str">
        <f t="shared" si="368"/>
        <v>42979Vaipahu1226Autres</v>
      </c>
      <c r="B7793" s="61">
        <v>42979</v>
      </c>
      <c r="C7793" s="62" t="s">
        <v>23</v>
      </c>
      <c r="D7793" s="63">
        <v>12</v>
      </c>
      <c r="E7793" s="62">
        <v>26</v>
      </c>
      <c r="F7793" s="62" t="s">
        <v>14</v>
      </c>
      <c r="G7793" s="62"/>
      <c r="H7793" s="62">
        <v>0</v>
      </c>
    </row>
    <row r="7794" spans="1:8" x14ac:dyDescent="0.2">
      <c r="A7794" t="str">
        <f t="shared" si="368"/>
        <v>42979Vaipahu1227Autres</v>
      </c>
      <c r="B7794" s="61">
        <v>42979</v>
      </c>
      <c r="C7794" s="62" t="s">
        <v>23</v>
      </c>
      <c r="D7794" s="63">
        <v>12</v>
      </c>
      <c r="E7794" s="62">
        <v>27</v>
      </c>
      <c r="F7794" s="62" t="s">
        <v>14</v>
      </c>
      <c r="G7794" s="62"/>
      <c r="H7794" s="62">
        <v>0</v>
      </c>
    </row>
    <row r="7795" spans="1:8" x14ac:dyDescent="0.2">
      <c r="A7795" t="str">
        <f t="shared" si="368"/>
        <v>42979Vaipahu1228Autres</v>
      </c>
      <c r="B7795" s="61">
        <v>42979</v>
      </c>
      <c r="C7795" s="62" t="s">
        <v>23</v>
      </c>
      <c r="D7795" s="63">
        <v>12</v>
      </c>
      <c r="E7795" s="62">
        <v>28</v>
      </c>
      <c r="F7795" s="62" t="s">
        <v>14</v>
      </c>
      <c r="G7795" s="62"/>
      <c r="H7795" s="62">
        <v>0</v>
      </c>
    </row>
    <row r="7796" spans="1:8" x14ac:dyDescent="0.2">
      <c r="A7796" t="str">
        <f t="shared" si="368"/>
        <v>42979Vaipahu1229Autres</v>
      </c>
      <c r="B7796" s="61">
        <v>42979</v>
      </c>
      <c r="C7796" s="62" t="s">
        <v>23</v>
      </c>
      <c r="D7796" s="63">
        <v>12</v>
      </c>
      <c r="E7796" s="62">
        <v>29</v>
      </c>
      <c r="F7796" s="62" t="s">
        <v>14</v>
      </c>
      <c r="G7796" s="62"/>
      <c r="H7796" s="62">
        <v>0</v>
      </c>
    </row>
    <row r="7797" spans="1:8" x14ac:dyDescent="0.2">
      <c r="A7797" t="str">
        <f t="shared" si="368"/>
        <v>42979Vaipahu1230Autres</v>
      </c>
      <c r="B7797" s="61">
        <v>42979</v>
      </c>
      <c r="C7797" s="62" t="s">
        <v>23</v>
      </c>
      <c r="D7797" s="63">
        <v>12</v>
      </c>
      <c r="E7797" s="62">
        <v>30</v>
      </c>
      <c r="F7797" s="62" t="s">
        <v>14</v>
      </c>
      <c r="G7797" s="62"/>
      <c r="H7797" s="62">
        <v>0</v>
      </c>
    </row>
    <row r="7798" spans="1:8" x14ac:dyDescent="0.2">
      <c r="A7798" t="str">
        <f t="shared" si="368"/>
        <v>42979Vaipahu1231Autres</v>
      </c>
      <c r="B7798" s="61">
        <v>42979</v>
      </c>
      <c r="C7798" s="62" t="s">
        <v>23</v>
      </c>
      <c r="D7798" s="63">
        <v>12</v>
      </c>
      <c r="E7798" s="62">
        <v>31</v>
      </c>
      <c r="F7798" s="62" t="s">
        <v>14</v>
      </c>
      <c r="G7798" s="62"/>
      <c r="H7798" s="62">
        <v>0</v>
      </c>
    </row>
    <row r="7799" spans="1:8" x14ac:dyDescent="0.2">
      <c r="A7799" t="str">
        <f t="shared" si="368"/>
        <v>42979Vaipahu1232Autres</v>
      </c>
      <c r="B7799" s="61">
        <v>42979</v>
      </c>
      <c r="C7799" s="62" t="s">
        <v>23</v>
      </c>
      <c r="D7799" s="63">
        <v>12</v>
      </c>
      <c r="E7799" s="62">
        <v>32</v>
      </c>
      <c r="F7799" s="62" t="s">
        <v>14</v>
      </c>
      <c r="G7799" s="62"/>
      <c r="H7799" s="62">
        <v>0</v>
      </c>
    </row>
    <row r="7800" spans="1:8" x14ac:dyDescent="0.2">
      <c r="A7800" t="str">
        <f t="shared" si="368"/>
        <v>42979Vaipahu1233Autres</v>
      </c>
      <c r="B7800" s="61">
        <v>42979</v>
      </c>
      <c r="C7800" s="62" t="s">
        <v>23</v>
      </c>
      <c r="D7800" s="63">
        <v>12</v>
      </c>
      <c r="E7800" s="62">
        <v>33</v>
      </c>
      <c r="F7800" s="62" t="s">
        <v>14</v>
      </c>
      <c r="G7800" s="62"/>
      <c r="H7800" s="62">
        <v>0</v>
      </c>
    </row>
    <row r="7801" spans="1:8" x14ac:dyDescent="0.2">
      <c r="A7801" t="str">
        <f t="shared" si="368"/>
        <v>42979Vaipahu1234Autres</v>
      </c>
      <c r="B7801" s="61">
        <v>42979</v>
      </c>
      <c r="C7801" s="62" t="s">
        <v>23</v>
      </c>
      <c r="D7801" s="63">
        <v>12</v>
      </c>
      <c r="E7801" s="62">
        <v>34</v>
      </c>
      <c r="F7801" s="62" t="s">
        <v>14</v>
      </c>
      <c r="G7801" s="62"/>
      <c r="H7801" s="62">
        <v>0</v>
      </c>
    </row>
    <row r="7802" spans="1:8" x14ac:dyDescent="0.2">
      <c r="A7802" t="str">
        <f t="shared" si="368"/>
        <v>42979Vaipahu1235Autres</v>
      </c>
      <c r="B7802" s="61">
        <v>42979</v>
      </c>
      <c r="C7802" s="62" t="s">
        <v>23</v>
      </c>
      <c r="D7802" s="63">
        <v>12</v>
      </c>
      <c r="E7802" s="62">
        <v>35</v>
      </c>
      <c r="F7802" s="62" t="s">
        <v>14</v>
      </c>
      <c r="G7802" s="62"/>
      <c r="H7802" s="62">
        <v>0</v>
      </c>
    </row>
    <row r="7803" spans="1:8" x14ac:dyDescent="0.2">
      <c r="A7803" t="str">
        <f t="shared" si="368"/>
        <v>42979Vaipahu1236Autres</v>
      </c>
      <c r="B7803" s="61">
        <v>42979</v>
      </c>
      <c r="C7803" s="62" t="s">
        <v>23</v>
      </c>
      <c r="D7803" s="63">
        <v>12</v>
      </c>
      <c r="E7803" s="62">
        <v>36</v>
      </c>
      <c r="F7803" s="62" t="s">
        <v>14</v>
      </c>
      <c r="G7803" s="62"/>
      <c r="H7803" s="62">
        <v>0</v>
      </c>
    </row>
    <row r="7804" spans="1:8" x14ac:dyDescent="0.2">
      <c r="A7804" t="str">
        <f t="shared" si="368"/>
        <v>42979Vaipahu1237Autres</v>
      </c>
      <c r="B7804" s="61">
        <v>42979</v>
      </c>
      <c r="C7804" s="62" t="s">
        <v>23</v>
      </c>
      <c r="D7804" s="63">
        <v>12</v>
      </c>
      <c r="E7804" s="62">
        <v>37</v>
      </c>
      <c r="F7804" s="62" t="s">
        <v>14</v>
      </c>
      <c r="G7804" s="62"/>
      <c r="H7804" s="62">
        <v>0</v>
      </c>
    </row>
    <row r="7805" spans="1:8" x14ac:dyDescent="0.2">
      <c r="A7805" t="str">
        <f t="shared" si="368"/>
        <v>42979Vaipahu1238Autres</v>
      </c>
      <c r="B7805" s="61">
        <v>42979</v>
      </c>
      <c r="C7805" s="62" t="s">
        <v>23</v>
      </c>
      <c r="D7805" s="63">
        <v>12</v>
      </c>
      <c r="E7805" s="62">
        <v>38</v>
      </c>
      <c r="F7805" s="62" t="s">
        <v>14</v>
      </c>
      <c r="G7805" s="62"/>
      <c r="H7805" s="62">
        <v>0</v>
      </c>
    </row>
    <row r="7806" spans="1:8" x14ac:dyDescent="0.2">
      <c r="A7806" t="str">
        <f t="shared" si="368"/>
        <v>42979Vaipahu1239Autres</v>
      </c>
      <c r="B7806" s="61">
        <v>42979</v>
      </c>
      <c r="C7806" s="62" t="s">
        <v>23</v>
      </c>
      <c r="D7806" s="63">
        <v>12</v>
      </c>
      <c r="E7806" s="62">
        <v>39</v>
      </c>
      <c r="F7806" s="62" t="s">
        <v>14</v>
      </c>
      <c r="G7806" s="62"/>
      <c r="H7806" s="62">
        <v>0</v>
      </c>
    </row>
    <row r="7807" spans="1:8" x14ac:dyDescent="0.2">
      <c r="A7807" t="str">
        <f t="shared" ref="A7807:A7870" si="369">B7807 &amp; C7807&amp; D7807&amp; E7807 &amp; F7807 &amp;G7807</f>
        <v>42979Vaipahu1240Autres</v>
      </c>
      <c r="B7807" s="61">
        <v>42979</v>
      </c>
      <c r="C7807" s="62" t="s">
        <v>23</v>
      </c>
      <c r="D7807" s="63">
        <v>12</v>
      </c>
      <c r="E7807" s="62">
        <v>40</v>
      </c>
      <c r="F7807" s="62" t="s">
        <v>14</v>
      </c>
      <c r="G7807" s="62"/>
      <c r="H7807" s="62">
        <v>0</v>
      </c>
    </row>
    <row r="7808" spans="1:8" x14ac:dyDescent="0.2">
      <c r="A7808" t="str">
        <f t="shared" si="369"/>
        <v>42979Vaipahu1841Autres</v>
      </c>
      <c r="B7808" s="61">
        <v>42979</v>
      </c>
      <c r="C7808" s="62" t="s">
        <v>23</v>
      </c>
      <c r="D7808" s="63">
        <v>18</v>
      </c>
      <c r="E7808" s="62">
        <v>41</v>
      </c>
      <c r="F7808" s="62" t="s">
        <v>14</v>
      </c>
      <c r="G7808" s="62"/>
      <c r="H7808" s="62">
        <v>0</v>
      </c>
    </row>
    <row r="7809" spans="1:8" x14ac:dyDescent="0.2">
      <c r="A7809" t="str">
        <f t="shared" si="369"/>
        <v>42979Vaipahu1842Autres</v>
      </c>
      <c r="B7809" s="61">
        <v>42979</v>
      </c>
      <c r="C7809" s="62" t="s">
        <v>23</v>
      </c>
      <c r="D7809" s="63">
        <v>18</v>
      </c>
      <c r="E7809" s="62">
        <v>42</v>
      </c>
      <c r="F7809" s="62" t="s">
        <v>14</v>
      </c>
      <c r="G7809" s="62"/>
      <c r="H7809" s="62">
        <v>0</v>
      </c>
    </row>
    <row r="7810" spans="1:8" x14ac:dyDescent="0.2">
      <c r="A7810" t="str">
        <f t="shared" si="369"/>
        <v>42979Vaipahu1843Autres</v>
      </c>
      <c r="B7810" s="61">
        <v>42979</v>
      </c>
      <c r="C7810" s="62" t="s">
        <v>23</v>
      </c>
      <c r="D7810" s="63">
        <v>18</v>
      </c>
      <c r="E7810" s="62">
        <v>43</v>
      </c>
      <c r="F7810" s="62" t="s">
        <v>14</v>
      </c>
      <c r="G7810" s="62"/>
      <c r="H7810" s="62">
        <v>0</v>
      </c>
    </row>
    <row r="7811" spans="1:8" x14ac:dyDescent="0.2">
      <c r="A7811" t="str">
        <f t="shared" si="369"/>
        <v>42979Vaipahu1844Autres</v>
      </c>
      <c r="B7811" s="61">
        <v>42979</v>
      </c>
      <c r="C7811" s="62" t="s">
        <v>23</v>
      </c>
      <c r="D7811" s="63">
        <v>18</v>
      </c>
      <c r="E7811" s="62">
        <v>44</v>
      </c>
      <c r="F7811" s="62" t="s">
        <v>14</v>
      </c>
      <c r="G7811" s="62"/>
      <c r="H7811" s="62">
        <v>0</v>
      </c>
    </row>
    <row r="7812" spans="1:8" x14ac:dyDescent="0.2">
      <c r="A7812" t="str">
        <f t="shared" si="369"/>
        <v>42979Vaipahu1845Autres</v>
      </c>
      <c r="B7812" s="61">
        <v>42979</v>
      </c>
      <c r="C7812" s="62" t="s">
        <v>23</v>
      </c>
      <c r="D7812" s="63">
        <v>18</v>
      </c>
      <c r="E7812" s="62">
        <v>45</v>
      </c>
      <c r="F7812" s="62" t="s">
        <v>14</v>
      </c>
      <c r="G7812" s="62"/>
      <c r="H7812" s="62">
        <v>0</v>
      </c>
    </row>
    <row r="7813" spans="1:8" x14ac:dyDescent="0.2">
      <c r="A7813" t="str">
        <f t="shared" si="369"/>
        <v>42979Vaipahu1846Autres</v>
      </c>
      <c r="B7813" s="61">
        <v>42979</v>
      </c>
      <c r="C7813" s="62" t="s">
        <v>23</v>
      </c>
      <c r="D7813" s="63">
        <v>18</v>
      </c>
      <c r="E7813" s="62">
        <v>46</v>
      </c>
      <c r="F7813" s="62" t="s">
        <v>14</v>
      </c>
      <c r="G7813" s="62"/>
      <c r="H7813" s="62">
        <v>0</v>
      </c>
    </row>
    <row r="7814" spans="1:8" x14ac:dyDescent="0.2">
      <c r="A7814" t="str">
        <f t="shared" si="369"/>
        <v>42979Vaipahu1847Autres</v>
      </c>
      <c r="B7814" s="61">
        <v>42979</v>
      </c>
      <c r="C7814" s="62" t="s">
        <v>23</v>
      </c>
      <c r="D7814" s="63">
        <v>18</v>
      </c>
      <c r="E7814" s="62">
        <v>47</v>
      </c>
      <c r="F7814" s="62" t="s">
        <v>14</v>
      </c>
      <c r="G7814" s="62"/>
      <c r="H7814" s="62">
        <v>0</v>
      </c>
    </row>
    <row r="7815" spans="1:8" x14ac:dyDescent="0.2">
      <c r="A7815" t="str">
        <f t="shared" si="369"/>
        <v>42979Vaipahu1848Autres</v>
      </c>
      <c r="B7815" s="61">
        <v>42979</v>
      </c>
      <c r="C7815" s="62" t="s">
        <v>23</v>
      </c>
      <c r="D7815" s="63">
        <v>18</v>
      </c>
      <c r="E7815" s="62">
        <v>48</v>
      </c>
      <c r="F7815" s="62" t="s">
        <v>14</v>
      </c>
      <c r="G7815" s="62"/>
      <c r="H7815" s="62">
        <v>0</v>
      </c>
    </row>
    <row r="7816" spans="1:8" x14ac:dyDescent="0.2">
      <c r="A7816" t="str">
        <f t="shared" si="369"/>
        <v>42979Vaipahu1849Autres</v>
      </c>
      <c r="B7816" s="61">
        <v>42979</v>
      </c>
      <c r="C7816" s="62" t="s">
        <v>23</v>
      </c>
      <c r="D7816" s="63">
        <v>18</v>
      </c>
      <c r="E7816" s="62">
        <v>49</v>
      </c>
      <c r="F7816" s="62" t="s">
        <v>14</v>
      </c>
      <c r="G7816" s="62"/>
      <c r="H7816" s="62">
        <v>0</v>
      </c>
    </row>
    <row r="7817" spans="1:8" x14ac:dyDescent="0.2">
      <c r="A7817" t="str">
        <f t="shared" si="369"/>
        <v>42979Vaipahu1850Autres</v>
      </c>
      <c r="B7817" s="61">
        <v>42979</v>
      </c>
      <c r="C7817" s="62" t="s">
        <v>23</v>
      </c>
      <c r="D7817" s="63">
        <v>18</v>
      </c>
      <c r="E7817" s="62">
        <v>50</v>
      </c>
      <c r="F7817" s="62" t="s">
        <v>14</v>
      </c>
      <c r="G7817" s="62"/>
      <c r="H7817" s="62">
        <v>0</v>
      </c>
    </row>
    <row r="7818" spans="1:8" x14ac:dyDescent="0.2">
      <c r="A7818" t="str">
        <f t="shared" si="369"/>
        <v>42979Vaipahu1851Autres</v>
      </c>
      <c r="B7818" s="61">
        <v>42979</v>
      </c>
      <c r="C7818" s="62" t="s">
        <v>23</v>
      </c>
      <c r="D7818" s="63">
        <v>18</v>
      </c>
      <c r="E7818" s="62">
        <v>51</v>
      </c>
      <c r="F7818" s="62" t="s">
        <v>14</v>
      </c>
      <c r="G7818" s="62"/>
      <c r="H7818" s="62">
        <v>0</v>
      </c>
    </row>
    <row r="7819" spans="1:8" x14ac:dyDescent="0.2">
      <c r="A7819" t="str">
        <f t="shared" si="369"/>
        <v>42979Vaipahu1852Autres</v>
      </c>
      <c r="B7819" s="61">
        <v>42979</v>
      </c>
      <c r="C7819" s="62" t="s">
        <v>23</v>
      </c>
      <c r="D7819" s="63">
        <v>18</v>
      </c>
      <c r="E7819" s="62">
        <v>52</v>
      </c>
      <c r="F7819" s="62" t="s">
        <v>14</v>
      </c>
      <c r="G7819" s="62"/>
      <c r="H7819" s="62">
        <v>0</v>
      </c>
    </row>
    <row r="7820" spans="1:8" x14ac:dyDescent="0.2">
      <c r="A7820" t="str">
        <f t="shared" si="369"/>
        <v>42979Vaipahu1853Autres</v>
      </c>
      <c r="B7820" s="61">
        <v>42979</v>
      </c>
      <c r="C7820" s="62" t="s">
        <v>23</v>
      </c>
      <c r="D7820" s="63">
        <v>18</v>
      </c>
      <c r="E7820" s="62">
        <v>53</v>
      </c>
      <c r="F7820" s="62" t="s">
        <v>14</v>
      </c>
      <c r="G7820" s="62"/>
      <c r="H7820" s="62">
        <v>0</v>
      </c>
    </row>
    <row r="7821" spans="1:8" x14ac:dyDescent="0.2">
      <c r="A7821" t="str">
        <f t="shared" si="369"/>
        <v>42979Vaipahu1854Autres</v>
      </c>
      <c r="B7821" s="61">
        <v>42979</v>
      </c>
      <c r="C7821" s="62" t="s">
        <v>23</v>
      </c>
      <c r="D7821" s="63">
        <v>18</v>
      </c>
      <c r="E7821" s="62">
        <v>54</v>
      </c>
      <c r="F7821" s="62" t="s">
        <v>14</v>
      </c>
      <c r="G7821" s="62"/>
      <c r="H7821" s="62">
        <v>0</v>
      </c>
    </row>
    <row r="7822" spans="1:8" x14ac:dyDescent="0.2">
      <c r="A7822" t="str">
        <f t="shared" si="369"/>
        <v>42979Vaipahu1855Autres</v>
      </c>
      <c r="B7822" s="61">
        <v>42979</v>
      </c>
      <c r="C7822" s="62" t="s">
        <v>23</v>
      </c>
      <c r="D7822" s="63">
        <v>18</v>
      </c>
      <c r="E7822" s="62">
        <v>55</v>
      </c>
      <c r="F7822" s="62" t="s">
        <v>14</v>
      </c>
      <c r="G7822" s="62"/>
      <c r="H7822" s="62">
        <v>0</v>
      </c>
    </row>
    <row r="7823" spans="1:8" x14ac:dyDescent="0.2">
      <c r="A7823" t="str">
        <f t="shared" si="369"/>
        <v>42979Vaipahu1856Autres</v>
      </c>
      <c r="B7823" s="61">
        <v>42979</v>
      </c>
      <c r="C7823" s="62" t="s">
        <v>23</v>
      </c>
      <c r="D7823" s="63">
        <v>18</v>
      </c>
      <c r="E7823" s="62">
        <v>56</v>
      </c>
      <c r="F7823" s="62" t="s">
        <v>14</v>
      </c>
      <c r="G7823" s="62"/>
      <c r="H7823" s="62">
        <v>0</v>
      </c>
    </row>
    <row r="7824" spans="1:8" x14ac:dyDescent="0.2">
      <c r="A7824" t="str">
        <f t="shared" si="369"/>
        <v>42979Vaipahu1857Autres</v>
      </c>
      <c r="B7824" s="61">
        <v>42979</v>
      </c>
      <c r="C7824" s="62" t="s">
        <v>23</v>
      </c>
      <c r="D7824" s="63">
        <v>18</v>
      </c>
      <c r="E7824" s="62">
        <v>57</v>
      </c>
      <c r="F7824" s="62" t="s">
        <v>14</v>
      </c>
      <c r="G7824" s="62"/>
      <c r="H7824" s="62">
        <v>0</v>
      </c>
    </row>
    <row r="7825" spans="1:8" x14ac:dyDescent="0.2">
      <c r="A7825" t="str">
        <f t="shared" si="369"/>
        <v>42979Vaipahu1858Autres</v>
      </c>
      <c r="B7825" s="61">
        <v>42979</v>
      </c>
      <c r="C7825" s="62" t="s">
        <v>23</v>
      </c>
      <c r="D7825" s="63">
        <v>18</v>
      </c>
      <c r="E7825" s="62">
        <v>58</v>
      </c>
      <c r="F7825" s="62" t="s">
        <v>14</v>
      </c>
      <c r="G7825" s="62"/>
      <c r="H7825" s="62">
        <v>0</v>
      </c>
    </row>
    <row r="7826" spans="1:8" x14ac:dyDescent="0.2">
      <c r="A7826" t="str">
        <f t="shared" si="369"/>
        <v>42979Vaipahu1859Autres</v>
      </c>
      <c r="B7826" s="61">
        <v>42979</v>
      </c>
      <c r="C7826" s="62" t="s">
        <v>23</v>
      </c>
      <c r="D7826" s="63">
        <v>18</v>
      </c>
      <c r="E7826" s="62">
        <v>59</v>
      </c>
      <c r="F7826" s="62" t="s">
        <v>14</v>
      </c>
      <c r="G7826" s="62"/>
      <c r="H7826" s="62">
        <v>0</v>
      </c>
    </row>
    <row r="7827" spans="1:8" x14ac:dyDescent="0.2">
      <c r="A7827" t="str">
        <f t="shared" si="369"/>
        <v>42979Vaipahu1860Autres</v>
      </c>
      <c r="B7827" s="61">
        <v>42979</v>
      </c>
      <c r="C7827" s="62" t="s">
        <v>23</v>
      </c>
      <c r="D7827" s="63">
        <v>18</v>
      </c>
      <c r="E7827" s="62">
        <v>60</v>
      </c>
      <c r="F7827" s="62" t="s">
        <v>14</v>
      </c>
      <c r="G7827" s="62"/>
      <c r="H7827" s="62">
        <v>0</v>
      </c>
    </row>
    <row r="7828" spans="1:8" x14ac:dyDescent="0.2">
      <c r="A7828" t="str">
        <f t="shared" si="369"/>
        <v>42979Tiahura661Autres</v>
      </c>
      <c r="B7828" s="61">
        <v>42979</v>
      </c>
      <c r="C7828" s="62" t="s">
        <v>24</v>
      </c>
      <c r="D7828" s="63">
        <v>6</v>
      </c>
      <c r="E7828" s="62">
        <v>61</v>
      </c>
      <c r="F7828" s="62" t="s">
        <v>14</v>
      </c>
      <c r="G7828" s="62"/>
      <c r="H7828" s="62">
        <v>0</v>
      </c>
    </row>
    <row r="7829" spans="1:8" x14ac:dyDescent="0.2">
      <c r="A7829" t="str">
        <f t="shared" si="369"/>
        <v>42979Tiahura662Autres</v>
      </c>
      <c r="B7829" s="61">
        <v>42979</v>
      </c>
      <c r="C7829" s="62" t="s">
        <v>24</v>
      </c>
      <c r="D7829" s="63">
        <v>6</v>
      </c>
      <c r="E7829" s="62">
        <v>62</v>
      </c>
      <c r="F7829" s="62" t="s">
        <v>14</v>
      </c>
      <c r="G7829" s="62"/>
      <c r="H7829" s="62">
        <v>0</v>
      </c>
    </row>
    <row r="7830" spans="1:8" x14ac:dyDescent="0.2">
      <c r="A7830" t="str">
        <f t="shared" si="369"/>
        <v>42979Tiahura663Autres</v>
      </c>
      <c r="B7830" s="61">
        <v>42979</v>
      </c>
      <c r="C7830" s="62" t="s">
        <v>24</v>
      </c>
      <c r="D7830" s="63">
        <v>6</v>
      </c>
      <c r="E7830" s="62">
        <v>63</v>
      </c>
      <c r="F7830" s="62" t="s">
        <v>14</v>
      </c>
      <c r="G7830" s="62"/>
      <c r="H7830" s="62">
        <v>0</v>
      </c>
    </row>
    <row r="7831" spans="1:8" x14ac:dyDescent="0.2">
      <c r="A7831" t="str">
        <f t="shared" si="369"/>
        <v>42979Tiahura664Autres</v>
      </c>
      <c r="B7831" s="61">
        <v>42979</v>
      </c>
      <c r="C7831" s="62" t="s">
        <v>24</v>
      </c>
      <c r="D7831" s="63">
        <v>6</v>
      </c>
      <c r="E7831" s="62">
        <v>64</v>
      </c>
      <c r="F7831" s="62" t="s">
        <v>14</v>
      </c>
      <c r="G7831" s="62"/>
      <c r="H7831" s="62">
        <v>0</v>
      </c>
    </row>
    <row r="7832" spans="1:8" x14ac:dyDescent="0.2">
      <c r="A7832" t="str">
        <f t="shared" si="369"/>
        <v>42979Tiahura665Autres</v>
      </c>
      <c r="B7832" s="61">
        <v>42979</v>
      </c>
      <c r="C7832" s="62" t="s">
        <v>24</v>
      </c>
      <c r="D7832" s="63">
        <v>6</v>
      </c>
      <c r="E7832" s="62">
        <v>65</v>
      </c>
      <c r="F7832" s="62" t="s">
        <v>14</v>
      </c>
      <c r="G7832" s="62"/>
      <c r="H7832" s="62">
        <v>0</v>
      </c>
    </row>
    <row r="7833" spans="1:8" x14ac:dyDescent="0.2">
      <c r="A7833" t="str">
        <f t="shared" si="369"/>
        <v>42979Tiahura666Autres</v>
      </c>
      <c r="B7833" s="61">
        <v>42979</v>
      </c>
      <c r="C7833" s="62" t="s">
        <v>24</v>
      </c>
      <c r="D7833" s="63">
        <v>6</v>
      </c>
      <c r="E7833" s="62">
        <v>66</v>
      </c>
      <c r="F7833" s="62" t="s">
        <v>14</v>
      </c>
      <c r="G7833" s="62"/>
      <c r="H7833" s="62">
        <v>0</v>
      </c>
    </row>
    <row r="7834" spans="1:8" x14ac:dyDescent="0.2">
      <c r="A7834" t="str">
        <f t="shared" si="369"/>
        <v>42979Tiahura667Autres</v>
      </c>
      <c r="B7834" s="61">
        <v>42979</v>
      </c>
      <c r="C7834" s="62" t="s">
        <v>24</v>
      </c>
      <c r="D7834" s="63">
        <v>6</v>
      </c>
      <c r="E7834" s="62">
        <v>67</v>
      </c>
      <c r="F7834" s="62" t="s">
        <v>14</v>
      </c>
      <c r="G7834" s="62"/>
      <c r="H7834" s="62">
        <v>0</v>
      </c>
    </row>
    <row r="7835" spans="1:8" x14ac:dyDescent="0.2">
      <c r="A7835" t="str">
        <f t="shared" si="369"/>
        <v>42979Tiahura668Autres</v>
      </c>
      <c r="B7835" s="61">
        <v>42979</v>
      </c>
      <c r="C7835" s="62" t="s">
        <v>24</v>
      </c>
      <c r="D7835" s="63">
        <v>6</v>
      </c>
      <c r="E7835" s="62">
        <v>68</v>
      </c>
      <c r="F7835" s="62" t="s">
        <v>14</v>
      </c>
      <c r="G7835" s="62"/>
      <c r="H7835" s="62">
        <v>0</v>
      </c>
    </row>
    <row r="7836" spans="1:8" x14ac:dyDescent="0.2">
      <c r="A7836" t="str">
        <f t="shared" si="369"/>
        <v>42979Tiahura669Autres</v>
      </c>
      <c r="B7836" s="61">
        <v>42979</v>
      </c>
      <c r="C7836" s="62" t="s">
        <v>24</v>
      </c>
      <c r="D7836" s="63">
        <v>6</v>
      </c>
      <c r="E7836" s="62">
        <v>69</v>
      </c>
      <c r="F7836" s="62" t="s">
        <v>14</v>
      </c>
      <c r="G7836" s="62"/>
      <c r="H7836" s="62">
        <v>0</v>
      </c>
    </row>
    <row r="7837" spans="1:8" x14ac:dyDescent="0.2">
      <c r="A7837" t="str">
        <f t="shared" si="369"/>
        <v>42979Tiahura670Autres</v>
      </c>
      <c r="B7837" s="61">
        <v>42979</v>
      </c>
      <c r="C7837" s="62" t="s">
        <v>24</v>
      </c>
      <c r="D7837" s="63">
        <v>6</v>
      </c>
      <c r="E7837" s="62">
        <v>70</v>
      </c>
      <c r="F7837" s="62" t="s">
        <v>14</v>
      </c>
      <c r="G7837" s="62"/>
      <c r="H7837" s="62">
        <v>0</v>
      </c>
    </row>
    <row r="7838" spans="1:8" x14ac:dyDescent="0.2">
      <c r="A7838" t="str">
        <f t="shared" si="369"/>
        <v>42979Tiahura671Autres</v>
      </c>
      <c r="B7838" s="61">
        <v>42979</v>
      </c>
      <c r="C7838" s="62" t="s">
        <v>24</v>
      </c>
      <c r="D7838" s="63">
        <v>6</v>
      </c>
      <c r="E7838" s="62">
        <v>71</v>
      </c>
      <c r="F7838" s="62" t="s">
        <v>14</v>
      </c>
      <c r="G7838" s="62"/>
      <c r="H7838" s="62">
        <v>0</v>
      </c>
    </row>
    <row r="7839" spans="1:8" x14ac:dyDescent="0.2">
      <c r="A7839" t="str">
        <f t="shared" si="369"/>
        <v>42979Tiahura672Autres</v>
      </c>
      <c r="B7839" s="61">
        <v>42979</v>
      </c>
      <c r="C7839" s="62" t="s">
        <v>24</v>
      </c>
      <c r="D7839" s="63">
        <v>6</v>
      </c>
      <c r="E7839" s="62">
        <v>72</v>
      </c>
      <c r="F7839" s="62" t="s">
        <v>14</v>
      </c>
      <c r="G7839" s="62"/>
      <c r="H7839" s="62">
        <v>0</v>
      </c>
    </row>
    <row r="7840" spans="1:8" x14ac:dyDescent="0.2">
      <c r="A7840" t="str">
        <f t="shared" si="369"/>
        <v>42979Tiahura673Autres</v>
      </c>
      <c r="B7840" s="61">
        <v>42979</v>
      </c>
      <c r="C7840" s="62" t="s">
        <v>24</v>
      </c>
      <c r="D7840" s="63">
        <v>6</v>
      </c>
      <c r="E7840" s="62">
        <v>73</v>
      </c>
      <c r="F7840" s="62" t="s">
        <v>14</v>
      </c>
      <c r="G7840" s="62"/>
      <c r="H7840" s="62">
        <v>0</v>
      </c>
    </row>
    <row r="7841" spans="1:8" x14ac:dyDescent="0.2">
      <c r="A7841" t="str">
        <f t="shared" si="369"/>
        <v>42979Tiahura674Autres</v>
      </c>
      <c r="B7841" s="61">
        <v>42979</v>
      </c>
      <c r="C7841" s="62" t="s">
        <v>24</v>
      </c>
      <c r="D7841" s="63">
        <v>6</v>
      </c>
      <c r="E7841" s="62">
        <v>74</v>
      </c>
      <c r="F7841" s="62" t="s">
        <v>14</v>
      </c>
      <c r="G7841" s="62"/>
      <c r="H7841" s="62">
        <v>0</v>
      </c>
    </row>
    <row r="7842" spans="1:8" x14ac:dyDescent="0.2">
      <c r="A7842" t="str">
        <f t="shared" si="369"/>
        <v>42979Tiahura675Autres</v>
      </c>
      <c r="B7842" s="61">
        <v>42979</v>
      </c>
      <c r="C7842" s="62" t="s">
        <v>24</v>
      </c>
      <c r="D7842" s="63">
        <v>6</v>
      </c>
      <c r="E7842" s="62">
        <v>75</v>
      </c>
      <c r="F7842" s="62" t="s">
        <v>14</v>
      </c>
      <c r="G7842" s="62"/>
      <c r="H7842" s="62">
        <v>0</v>
      </c>
    </row>
    <row r="7843" spans="1:8" x14ac:dyDescent="0.2">
      <c r="A7843" t="str">
        <f t="shared" si="369"/>
        <v>42979Tiahura676Autres</v>
      </c>
      <c r="B7843" s="61">
        <v>42979</v>
      </c>
      <c r="C7843" s="62" t="s">
        <v>24</v>
      </c>
      <c r="D7843" s="63">
        <v>6</v>
      </c>
      <c r="E7843" s="62">
        <v>76</v>
      </c>
      <c r="F7843" s="62" t="s">
        <v>14</v>
      </c>
      <c r="G7843" s="62"/>
      <c r="H7843" s="62">
        <v>0</v>
      </c>
    </row>
    <row r="7844" spans="1:8" x14ac:dyDescent="0.2">
      <c r="A7844" t="str">
        <f t="shared" si="369"/>
        <v>42979Tiahura677Autres</v>
      </c>
      <c r="B7844" s="61">
        <v>42979</v>
      </c>
      <c r="C7844" s="62" t="s">
        <v>24</v>
      </c>
      <c r="D7844" s="63">
        <v>6</v>
      </c>
      <c r="E7844" s="62">
        <v>77</v>
      </c>
      <c r="F7844" s="62" t="s">
        <v>14</v>
      </c>
      <c r="G7844" s="62"/>
      <c r="H7844" s="62">
        <v>0</v>
      </c>
    </row>
    <row r="7845" spans="1:8" x14ac:dyDescent="0.2">
      <c r="A7845" t="str">
        <f t="shared" si="369"/>
        <v>42979Tiahura678Autres</v>
      </c>
      <c r="B7845" s="61">
        <v>42979</v>
      </c>
      <c r="C7845" s="62" t="s">
        <v>24</v>
      </c>
      <c r="D7845" s="63">
        <v>6</v>
      </c>
      <c r="E7845" s="62">
        <v>78</v>
      </c>
      <c r="F7845" s="62" t="s">
        <v>14</v>
      </c>
      <c r="G7845" s="62"/>
      <c r="H7845" s="62">
        <v>0</v>
      </c>
    </row>
    <row r="7846" spans="1:8" x14ac:dyDescent="0.2">
      <c r="A7846" t="str">
        <f t="shared" si="369"/>
        <v>42979Tiahura679Autres</v>
      </c>
      <c r="B7846" s="61">
        <v>42979</v>
      </c>
      <c r="C7846" s="62" t="s">
        <v>24</v>
      </c>
      <c r="D7846" s="63">
        <v>6</v>
      </c>
      <c r="E7846" s="62">
        <v>79</v>
      </c>
      <c r="F7846" s="62" t="s">
        <v>14</v>
      </c>
      <c r="G7846" s="62"/>
      <c r="H7846" s="62">
        <v>0</v>
      </c>
    </row>
    <row r="7847" spans="1:8" x14ac:dyDescent="0.2">
      <c r="A7847" t="str">
        <f t="shared" si="369"/>
        <v>42979Tiahura680Autres</v>
      </c>
      <c r="B7847" s="61">
        <v>42979</v>
      </c>
      <c r="C7847" s="62" t="s">
        <v>24</v>
      </c>
      <c r="D7847" s="63">
        <v>6</v>
      </c>
      <c r="E7847" s="62">
        <v>80</v>
      </c>
      <c r="F7847" s="62" t="s">
        <v>14</v>
      </c>
      <c r="G7847" s="62"/>
      <c r="H7847" s="62">
        <v>0</v>
      </c>
    </row>
    <row r="7848" spans="1:8" x14ac:dyDescent="0.2">
      <c r="A7848" t="str">
        <f t="shared" si="369"/>
        <v>42979Tiahura1281Autres</v>
      </c>
      <c r="B7848" s="61">
        <v>42979</v>
      </c>
      <c r="C7848" s="62" t="s">
        <v>24</v>
      </c>
      <c r="D7848" s="63">
        <v>12</v>
      </c>
      <c r="E7848" s="62">
        <v>81</v>
      </c>
      <c r="F7848" s="62" t="s">
        <v>14</v>
      </c>
      <c r="G7848" s="62"/>
      <c r="H7848" s="62">
        <v>0</v>
      </c>
    </row>
    <row r="7849" spans="1:8" x14ac:dyDescent="0.2">
      <c r="A7849" t="str">
        <f t="shared" si="369"/>
        <v>42979Tiahura1282Autres</v>
      </c>
      <c r="B7849" s="61">
        <v>42979</v>
      </c>
      <c r="C7849" s="62" t="s">
        <v>24</v>
      </c>
      <c r="D7849" s="63">
        <v>12</v>
      </c>
      <c r="E7849" s="62">
        <v>82</v>
      </c>
      <c r="F7849" s="62" t="s">
        <v>14</v>
      </c>
      <c r="G7849" s="62"/>
      <c r="H7849" s="62">
        <v>0</v>
      </c>
    </row>
    <row r="7850" spans="1:8" x14ac:dyDescent="0.2">
      <c r="A7850" t="str">
        <f t="shared" si="369"/>
        <v>42979Tiahura1283Autres</v>
      </c>
      <c r="B7850" s="61">
        <v>42979</v>
      </c>
      <c r="C7850" s="62" t="s">
        <v>24</v>
      </c>
      <c r="D7850" s="63">
        <v>12</v>
      </c>
      <c r="E7850" s="62">
        <v>83</v>
      </c>
      <c r="F7850" s="62" t="s">
        <v>14</v>
      </c>
      <c r="G7850" s="62"/>
      <c r="H7850" s="62">
        <v>0</v>
      </c>
    </row>
    <row r="7851" spans="1:8" x14ac:dyDescent="0.2">
      <c r="A7851" t="str">
        <f t="shared" si="369"/>
        <v>42979Tiahura1284Autres</v>
      </c>
      <c r="B7851" s="61">
        <v>42979</v>
      </c>
      <c r="C7851" s="62" t="s">
        <v>24</v>
      </c>
      <c r="D7851" s="63">
        <v>12</v>
      </c>
      <c r="E7851" s="62">
        <v>84</v>
      </c>
      <c r="F7851" s="62" t="s">
        <v>14</v>
      </c>
      <c r="G7851" s="62"/>
      <c r="H7851" s="62">
        <v>0</v>
      </c>
    </row>
    <row r="7852" spans="1:8" x14ac:dyDescent="0.2">
      <c r="A7852" t="str">
        <f t="shared" si="369"/>
        <v>42979Tiahura1285Autres</v>
      </c>
      <c r="B7852" s="61">
        <v>42979</v>
      </c>
      <c r="C7852" s="62" t="s">
        <v>24</v>
      </c>
      <c r="D7852" s="63">
        <v>12</v>
      </c>
      <c r="E7852" s="62">
        <v>85</v>
      </c>
      <c r="F7852" s="62" t="s">
        <v>14</v>
      </c>
      <c r="G7852" s="62"/>
      <c r="H7852" s="62">
        <v>0</v>
      </c>
    </row>
    <row r="7853" spans="1:8" x14ac:dyDescent="0.2">
      <c r="A7853" t="str">
        <f t="shared" si="369"/>
        <v>42979Tiahura1286Autres</v>
      </c>
      <c r="B7853" s="61">
        <v>42979</v>
      </c>
      <c r="C7853" s="62" t="s">
        <v>24</v>
      </c>
      <c r="D7853" s="63">
        <v>12</v>
      </c>
      <c r="E7853" s="62">
        <v>86</v>
      </c>
      <c r="F7853" s="62" t="s">
        <v>14</v>
      </c>
      <c r="G7853" s="62"/>
      <c r="H7853" s="62">
        <v>0</v>
      </c>
    </row>
    <row r="7854" spans="1:8" x14ac:dyDescent="0.2">
      <c r="A7854" t="str">
        <f t="shared" si="369"/>
        <v>42979Tiahura1287Autres</v>
      </c>
      <c r="B7854" s="61">
        <v>42979</v>
      </c>
      <c r="C7854" s="62" t="s">
        <v>24</v>
      </c>
      <c r="D7854" s="63">
        <v>12</v>
      </c>
      <c r="E7854" s="62">
        <v>87</v>
      </c>
      <c r="F7854" s="62" t="s">
        <v>14</v>
      </c>
      <c r="G7854" s="62"/>
      <c r="H7854" s="62">
        <v>0</v>
      </c>
    </row>
    <row r="7855" spans="1:8" x14ac:dyDescent="0.2">
      <c r="A7855" t="str">
        <f t="shared" si="369"/>
        <v>42979Tiahura1288Autres</v>
      </c>
      <c r="B7855" s="61">
        <v>42979</v>
      </c>
      <c r="C7855" s="62" t="s">
        <v>24</v>
      </c>
      <c r="D7855" s="63">
        <v>12</v>
      </c>
      <c r="E7855" s="62">
        <v>88</v>
      </c>
      <c r="F7855" s="62" t="s">
        <v>14</v>
      </c>
      <c r="G7855" s="62"/>
      <c r="H7855" s="62">
        <v>0</v>
      </c>
    </row>
    <row r="7856" spans="1:8" x14ac:dyDescent="0.2">
      <c r="A7856" t="str">
        <f t="shared" si="369"/>
        <v>42979Tiahura1289Autres</v>
      </c>
      <c r="B7856" s="61">
        <v>42979</v>
      </c>
      <c r="C7856" s="62" t="s">
        <v>24</v>
      </c>
      <c r="D7856" s="63">
        <v>12</v>
      </c>
      <c r="E7856" s="62">
        <v>89</v>
      </c>
      <c r="F7856" s="62" t="s">
        <v>14</v>
      </c>
      <c r="G7856" s="62"/>
      <c r="H7856" s="62">
        <v>0</v>
      </c>
    </row>
    <row r="7857" spans="1:8" x14ac:dyDescent="0.2">
      <c r="A7857" t="str">
        <f t="shared" si="369"/>
        <v>42979Tiahura1290Autres</v>
      </c>
      <c r="B7857" s="61">
        <v>42979</v>
      </c>
      <c r="C7857" s="62" t="s">
        <v>24</v>
      </c>
      <c r="D7857" s="63">
        <v>12</v>
      </c>
      <c r="E7857" s="62">
        <v>90</v>
      </c>
      <c r="F7857" s="62" t="s">
        <v>14</v>
      </c>
      <c r="G7857" s="62"/>
      <c r="H7857" s="62">
        <v>0</v>
      </c>
    </row>
    <row r="7858" spans="1:8" x14ac:dyDescent="0.2">
      <c r="A7858" t="str">
        <f t="shared" si="369"/>
        <v>42979Tiahura1291Autres</v>
      </c>
      <c r="B7858" s="61">
        <v>42979</v>
      </c>
      <c r="C7858" s="62" t="s">
        <v>24</v>
      </c>
      <c r="D7858" s="63">
        <v>12</v>
      </c>
      <c r="E7858" s="62">
        <v>91</v>
      </c>
      <c r="F7858" s="62" t="s">
        <v>14</v>
      </c>
      <c r="G7858" s="62"/>
      <c r="H7858" s="62">
        <v>0</v>
      </c>
    </row>
    <row r="7859" spans="1:8" x14ac:dyDescent="0.2">
      <c r="A7859" t="str">
        <f t="shared" si="369"/>
        <v>42979Tiahura1292Autres</v>
      </c>
      <c r="B7859" s="61">
        <v>42979</v>
      </c>
      <c r="C7859" s="62" t="s">
        <v>24</v>
      </c>
      <c r="D7859" s="63">
        <v>12</v>
      </c>
      <c r="E7859" s="62">
        <v>92</v>
      </c>
      <c r="F7859" s="62" t="s">
        <v>14</v>
      </c>
      <c r="G7859" s="62"/>
      <c r="H7859" s="62">
        <v>0</v>
      </c>
    </row>
    <row r="7860" spans="1:8" x14ac:dyDescent="0.2">
      <c r="A7860" t="str">
        <f t="shared" si="369"/>
        <v>42979Tiahura1293Autres</v>
      </c>
      <c r="B7860" s="61">
        <v>42979</v>
      </c>
      <c r="C7860" s="62" t="s">
        <v>24</v>
      </c>
      <c r="D7860" s="63">
        <v>12</v>
      </c>
      <c r="E7860" s="62">
        <v>93</v>
      </c>
      <c r="F7860" s="62" t="s">
        <v>14</v>
      </c>
      <c r="G7860" s="62"/>
      <c r="H7860" s="62">
        <v>0</v>
      </c>
    </row>
    <row r="7861" spans="1:8" x14ac:dyDescent="0.2">
      <c r="A7861" t="str">
        <f t="shared" si="369"/>
        <v>42979Tiahura1294Autres</v>
      </c>
      <c r="B7861" s="61">
        <v>42979</v>
      </c>
      <c r="C7861" s="62" t="s">
        <v>24</v>
      </c>
      <c r="D7861" s="63">
        <v>12</v>
      </c>
      <c r="E7861" s="62">
        <v>94</v>
      </c>
      <c r="F7861" s="62" t="s">
        <v>14</v>
      </c>
      <c r="G7861" s="62"/>
      <c r="H7861" s="62">
        <v>0</v>
      </c>
    </row>
    <row r="7862" spans="1:8" x14ac:dyDescent="0.2">
      <c r="A7862" t="str">
        <f t="shared" si="369"/>
        <v>42979Tiahura1295Autres</v>
      </c>
      <c r="B7862" s="61">
        <v>42979</v>
      </c>
      <c r="C7862" s="62" t="s">
        <v>24</v>
      </c>
      <c r="D7862" s="63">
        <v>12</v>
      </c>
      <c r="E7862" s="62">
        <v>95</v>
      </c>
      <c r="F7862" s="62" t="s">
        <v>14</v>
      </c>
      <c r="G7862" s="62"/>
      <c r="H7862" s="62">
        <v>0</v>
      </c>
    </row>
    <row r="7863" spans="1:8" x14ac:dyDescent="0.2">
      <c r="A7863" t="str">
        <f t="shared" si="369"/>
        <v>42979Tiahura1296Autres</v>
      </c>
      <c r="B7863" s="61">
        <v>42979</v>
      </c>
      <c r="C7863" s="62" t="s">
        <v>24</v>
      </c>
      <c r="D7863" s="63">
        <v>12</v>
      </c>
      <c r="E7863" s="62">
        <v>96</v>
      </c>
      <c r="F7863" s="62" t="s">
        <v>14</v>
      </c>
      <c r="G7863" s="62"/>
      <c r="H7863" s="62">
        <v>0</v>
      </c>
    </row>
    <row r="7864" spans="1:8" x14ac:dyDescent="0.2">
      <c r="A7864" t="str">
        <f t="shared" si="369"/>
        <v>42979Tiahura1297Autres</v>
      </c>
      <c r="B7864" s="61">
        <v>42979</v>
      </c>
      <c r="C7864" s="62" t="s">
        <v>24</v>
      </c>
      <c r="D7864" s="63">
        <v>12</v>
      </c>
      <c r="E7864" s="62">
        <v>97</v>
      </c>
      <c r="F7864" s="62" t="s">
        <v>14</v>
      </c>
      <c r="G7864" s="62"/>
      <c r="H7864" s="62">
        <v>0</v>
      </c>
    </row>
    <row r="7865" spans="1:8" x14ac:dyDescent="0.2">
      <c r="A7865" t="str">
        <f t="shared" si="369"/>
        <v>42979Tiahura1298Autres</v>
      </c>
      <c r="B7865" s="61">
        <v>42979</v>
      </c>
      <c r="C7865" s="62" t="s">
        <v>24</v>
      </c>
      <c r="D7865" s="63">
        <v>12</v>
      </c>
      <c r="E7865" s="62">
        <v>98</v>
      </c>
      <c r="F7865" s="62" t="s">
        <v>14</v>
      </c>
      <c r="G7865" s="62"/>
      <c r="H7865" s="62">
        <v>0</v>
      </c>
    </row>
    <row r="7866" spans="1:8" x14ac:dyDescent="0.2">
      <c r="A7866" t="str">
        <f t="shared" si="369"/>
        <v>42979Tiahura1299Autres</v>
      </c>
      <c r="B7866" s="61">
        <v>42979</v>
      </c>
      <c r="C7866" s="62" t="s">
        <v>24</v>
      </c>
      <c r="D7866" s="63">
        <v>12</v>
      </c>
      <c r="E7866" s="62">
        <v>99</v>
      </c>
      <c r="F7866" s="62" t="s">
        <v>14</v>
      </c>
      <c r="G7866" s="62"/>
      <c r="H7866" s="62">
        <v>0</v>
      </c>
    </row>
    <row r="7867" spans="1:8" x14ac:dyDescent="0.2">
      <c r="A7867" t="str">
        <f t="shared" si="369"/>
        <v>42979Tiahura12100Autres</v>
      </c>
      <c r="B7867" s="61">
        <v>42979</v>
      </c>
      <c r="C7867" s="62" t="s">
        <v>24</v>
      </c>
      <c r="D7867" s="63">
        <v>12</v>
      </c>
      <c r="E7867" s="62">
        <v>100</v>
      </c>
      <c r="F7867" s="62" t="s">
        <v>14</v>
      </c>
      <c r="G7867" s="62"/>
      <c r="H7867" s="62">
        <v>0</v>
      </c>
    </row>
    <row r="7868" spans="1:8" x14ac:dyDescent="0.2">
      <c r="A7868" t="str">
        <f t="shared" si="369"/>
        <v>42979Tiahura18101Autres</v>
      </c>
      <c r="B7868" s="61">
        <v>42979</v>
      </c>
      <c r="C7868" s="62" t="s">
        <v>24</v>
      </c>
      <c r="D7868" s="63">
        <v>18</v>
      </c>
      <c r="E7868" s="62">
        <v>101</v>
      </c>
      <c r="F7868" s="62" t="s">
        <v>14</v>
      </c>
      <c r="G7868" s="62"/>
      <c r="H7868" s="62">
        <v>0</v>
      </c>
    </row>
    <row r="7869" spans="1:8" x14ac:dyDescent="0.2">
      <c r="A7869" t="str">
        <f t="shared" si="369"/>
        <v>42979Tiahura18102Autres</v>
      </c>
      <c r="B7869" s="61">
        <v>42979</v>
      </c>
      <c r="C7869" s="62" t="s">
        <v>24</v>
      </c>
      <c r="D7869" s="63">
        <v>18</v>
      </c>
      <c r="E7869" s="62">
        <v>102</v>
      </c>
      <c r="F7869" s="62" t="s">
        <v>14</v>
      </c>
      <c r="G7869" s="62"/>
      <c r="H7869" s="62">
        <v>0</v>
      </c>
    </row>
    <row r="7870" spans="1:8" x14ac:dyDescent="0.2">
      <c r="A7870" t="str">
        <f t="shared" si="369"/>
        <v>42979Tiahura18103Autres</v>
      </c>
      <c r="B7870" s="61">
        <v>42979</v>
      </c>
      <c r="C7870" s="62" t="s">
        <v>24</v>
      </c>
      <c r="D7870" s="63">
        <v>18</v>
      </c>
      <c r="E7870" s="62">
        <v>103</v>
      </c>
      <c r="F7870" s="62" t="s">
        <v>14</v>
      </c>
      <c r="G7870" s="62"/>
      <c r="H7870" s="62">
        <v>0</v>
      </c>
    </row>
    <row r="7871" spans="1:8" x14ac:dyDescent="0.2">
      <c r="A7871" t="str">
        <f t="shared" ref="A7871:A7934" si="370">B7871 &amp; C7871&amp; D7871&amp; E7871 &amp; F7871 &amp;G7871</f>
        <v>42979Tiahura18104Autres</v>
      </c>
      <c r="B7871" s="61">
        <v>42979</v>
      </c>
      <c r="C7871" s="62" t="s">
        <v>24</v>
      </c>
      <c r="D7871" s="63">
        <v>18</v>
      </c>
      <c r="E7871" s="62">
        <v>104</v>
      </c>
      <c r="F7871" s="62" t="s">
        <v>14</v>
      </c>
      <c r="G7871" s="62"/>
      <c r="H7871" s="62">
        <v>0</v>
      </c>
    </row>
    <row r="7872" spans="1:8" x14ac:dyDescent="0.2">
      <c r="A7872" t="str">
        <f t="shared" si="370"/>
        <v>42979Tiahura18105Autres</v>
      </c>
      <c r="B7872" s="61">
        <v>42979</v>
      </c>
      <c r="C7872" s="62" t="s">
        <v>24</v>
      </c>
      <c r="D7872" s="63">
        <v>18</v>
      </c>
      <c r="E7872" s="62">
        <v>105</v>
      </c>
      <c r="F7872" s="62" t="s">
        <v>14</v>
      </c>
      <c r="G7872" s="62"/>
      <c r="H7872" s="62">
        <v>0</v>
      </c>
    </row>
    <row r="7873" spans="1:8" x14ac:dyDescent="0.2">
      <c r="A7873" t="str">
        <f t="shared" si="370"/>
        <v>42979Tiahura18106PoritidaeDessous</v>
      </c>
      <c r="B7873" s="61">
        <v>42979</v>
      </c>
      <c r="C7873" s="62" t="s">
        <v>24</v>
      </c>
      <c r="D7873" s="63">
        <v>18</v>
      </c>
      <c r="E7873" s="62">
        <v>106</v>
      </c>
      <c r="F7873" s="62" t="s">
        <v>7</v>
      </c>
      <c r="G7873" s="62" t="s">
        <v>8</v>
      </c>
      <c r="H7873" s="62">
        <v>2</v>
      </c>
    </row>
    <row r="7874" spans="1:8" x14ac:dyDescent="0.2">
      <c r="A7874" t="str">
        <f t="shared" si="370"/>
        <v>42979Tiahura18107Autres</v>
      </c>
      <c r="B7874" s="61">
        <v>42979</v>
      </c>
      <c r="C7874" s="62" t="s">
        <v>24</v>
      </c>
      <c r="D7874" s="63">
        <v>18</v>
      </c>
      <c r="E7874" s="62">
        <v>107</v>
      </c>
      <c r="F7874" s="62" t="s">
        <v>14</v>
      </c>
      <c r="G7874" s="62"/>
      <c r="H7874" s="62">
        <v>0</v>
      </c>
    </row>
    <row r="7875" spans="1:8" x14ac:dyDescent="0.2">
      <c r="A7875" t="str">
        <f t="shared" si="370"/>
        <v>42979Tiahura18108Autres</v>
      </c>
      <c r="B7875" s="61">
        <v>42979</v>
      </c>
      <c r="C7875" s="62" t="s">
        <v>24</v>
      </c>
      <c r="D7875" s="63">
        <v>18</v>
      </c>
      <c r="E7875" s="62">
        <v>108</v>
      </c>
      <c r="F7875" s="62" t="s">
        <v>14</v>
      </c>
      <c r="G7875" s="62"/>
      <c r="H7875" s="62">
        <v>0</v>
      </c>
    </row>
    <row r="7876" spans="1:8" x14ac:dyDescent="0.2">
      <c r="A7876" t="str">
        <f t="shared" si="370"/>
        <v>42979Tiahura18109Autres</v>
      </c>
      <c r="B7876" s="61">
        <v>42979</v>
      </c>
      <c r="C7876" s="62" t="s">
        <v>24</v>
      </c>
      <c r="D7876" s="63">
        <v>18</v>
      </c>
      <c r="E7876" s="62">
        <v>109</v>
      </c>
      <c r="F7876" s="62" t="s">
        <v>14</v>
      </c>
      <c r="G7876" s="62"/>
      <c r="H7876" s="62">
        <v>0</v>
      </c>
    </row>
    <row r="7877" spans="1:8" x14ac:dyDescent="0.2">
      <c r="A7877" t="str">
        <f t="shared" si="370"/>
        <v>42979Tiahura18110Autres</v>
      </c>
      <c r="B7877" s="61">
        <v>42979</v>
      </c>
      <c r="C7877" s="62" t="s">
        <v>24</v>
      </c>
      <c r="D7877" s="63">
        <v>18</v>
      </c>
      <c r="E7877" s="62">
        <v>110</v>
      </c>
      <c r="F7877" s="62" t="s">
        <v>14</v>
      </c>
      <c r="G7877" s="62"/>
      <c r="H7877" s="62">
        <v>0</v>
      </c>
    </row>
    <row r="7878" spans="1:8" x14ac:dyDescent="0.2">
      <c r="A7878" t="str">
        <f t="shared" si="370"/>
        <v>42979Tiahura18111PoritidaeDessous</v>
      </c>
      <c r="B7878" s="61">
        <v>42979</v>
      </c>
      <c r="C7878" s="62" t="s">
        <v>24</v>
      </c>
      <c r="D7878" s="63">
        <v>18</v>
      </c>
      <c r="E7878" s="62">
        <v>111</v>
      </c>
      <c r="F7878" s="62" t="s">
        <v>7</v>
      </c>
      <c r="G7878" s="62" t="s">
        <v>8</v>
      </c>
      <c r="H7878" s="62">
        <v>1</v>
      </c>
    </row>
    <row r="7879" spans="1:8" x14ac:dyDescent="0.2">
      <c r="A7879" t="str">
        <f t="shared" si="370"/>
        <v>42979Tiahura18112Autres</v>
      </c>
      <c r="B7879" s="61">
        <v>42979</v>
      </c>
      <c r="C7879" s="62" t="s">
        <v>24</v>
      </c>
      <c r="D7879" s="63">
        <v>18</v>
      </c>
      <c r="E7879" s="62">
        <v>112</v>
      </c>
      <c r="F7879" s="62" t="s">
        <v>14</v>
      </c>
      <c r="G7879" s="62"/>
      <c r="H7879" s="62">
        <v>0</v>
      </c>
    </row>
    <row r="7880" spans="1:8" x14ac:dyDescent="0.2">
      <c r="A7880" t="str">
        <f t="shared" si="370"/>
        <v>42979Tiahura18113Autres</v>
      </c>
      <c r="B7880" s="61">
        <v>42979</v>
      </c>
      <c r="C7880" s="62" t="s">
        <v>24</v>
      </c>
      <c r="D7880" s="63">
        <v>18</v>
      </c>
      <c r="E7880" s="62">
        <v>113</v>
      </c>
      <c r="F7880" s="62" t="s">
        <v>14</v>
      </c>
      <c r="G7880" s="62"/>
      <c r="H7880" s="62">
        <v>0</v>
      </c>
    </row>
    <row r="7881" spans="1:8" x14ac:dyDescent="0.2">
      <c r="A7881" t="str">
        <f t="shared" si="370"/>
        <v>42979Tiahura18114Autres</v>
      </c>
      <c r="B7881" s="61">
        <v>42979</v>
      </c>
      <c r="C7881" s="62" t="s">
        <v>24</v>
      </c>
      <c r="D7881" s="63">
        <v>18</v>
      </c>
      <c r="E7881" s="62">
        <v>114</v>
      </c>
      <c r="F7881" s="62" t="s">
        <v>14</v>
      </c>
      <c r="G7881" s="62"/>
      <c r="H7881" s="62">
        <v>0</v>
      </c>
    </row>
    <row r="7882" spans="1:8" x14ac:dyDescent="0.2">
      <c r="A7882" t="str">
        <f t="shared" si="370"/>
        <v>42979Tiahura18115Autres</v>
      </c>
      <c r="B7882" s="61">
        <v>42979</v>
      </c>
      <c r="C7882" s="62" t="s">
        <v>24</v>
      </c>
      <c r="D7882" s="63">
        <v>18</v>
      </c>
      <c r="E7882" s="62">
        <v>115</v>
      </c>
      <c r="F7882" s="62" t="s">
        <v>14</v>
      </c>
      <c r="G7882" s="62"/>
      <c r="H7882" s="62">
        <v>0</v>
      </c>
    </row>
    <row r="7883" spans="1:8" x14ac:dyDescent="0.2">
      <c r="A7883" t="str">
        <f t="shared" si="370"/>
        <v>42979Tiahura18116PoritidaeBords</v>
      </c>
      <c r="B7883" s="61">
        <v>42979</v>
      </c>
      <c r="C7883" s="62" t="s">
        <v>24</v>
      </c>
      <c r="D7883" s="63">
        <v>18</v>
      </c>
      <c r="E7883" s="62">
        <v>116</v>
      </c>
      <c r="F7883" s="62" t="s">
        <v>7</v>
      </c>
      <c r="G7883" s="62" t="s">
        <v>13</v>
      </c>
      <c r="H7883" s="62">
        <v>1</v>
      </c>
    </row>
    <row r="7884" spans="1:8" x14ac:dyDescent="0.2">
      <c r="A7884" t="str">
        <f t="shared" si="370"/>
        <v>42979Tiahura18116PoritidaeDessous</v>
      </c>
      <c r="B7884" s="61">
        <v>42979</v>
      </c>
      <c r="C7884" s="62" t="s">
        <v>24</v>
      </c>
      <c r="D7884" s="63">
        <v>18</v>
      </c>
      <c r="E7884" s="62">
        <v>116</v>
      </c>
      <c r="F7884" s="62" t="s">
        <v>7</v>
      </c>
      <c r="G7884" s="62" t="s">
        <v>8</v>
      </c>
      <c r="H7884" s="62">
        <v>1</v>
      </c>
    </row>
    <row r="7885" spans="1:8" x14ac:dyDescent="0.2">
      <c r="A7885" t="str">
        <f t="shared" si="370"/>
        <v>42979Tiahura18117Autres</v>
      </c>
      <c r="B7885" s="61">
        <v>42979</v>
      </c>
      <c r="C7885" s="62" t="s">
        <v>24</v>
      </c>
      <c r="D7885" s="63">
        <v>18</v>
      </c>
      <c r="E7885" s="62">
        <v>117</v>
      </c>
      <c r="F7885" s="62" t="s">
        <v>14</v>
      </c>
      <c r="G7885" s="62"/>
      <c r="H7885" s="62">
        <v>0</v>
      </c>
    </row>
    <row r="7886" spans="1:8" x14ac:dyDescent="0.2">
      <c r="A7886" t="str">
        <f t="shared" si="370"/>
        <v>42979Tiahura18118Autres</v>
      </c>
      <c r="B7886" s="61">
        <v>42979</v>
      </c>
      <c r="C7886" s="62" t="s">
        <v>24</v>
      </c>
      <c r="D7886" s="63">
        <v>18</v>
      </c>
      <c r="E7886" s="62">
        <v>118</v>
      </c>
      <c r="F7886" s="62" t="s">
        <v>14</v>
      </c>
      <c r="G7886" s="62"/>
      <c r="H7886" s="62">
        <v>0</v>
      </c>
    </row>
    <row r="7887" spans="1:8" x14ac:dyDescent="0.2">
      <c r="A7887" t="str">
        <f t="shared" si="370"/>
        <v>42979Tiahura18119Autres</v>
      </c>
      <c r="B7887" s="61">
        <v>42979</v>
      </c>
      <c r="C7887" s="62" t="s">
        <v>24</v>
      </c>
      <c r="D7887" s="63">
        <v>18</v>
      </c>
      <c r="E7887" s="62">
        <v>119</v>
      </c>
      <c r="F7887" s="62" t="s">
        <v>14</v>
      </c>
      <c r="G7887" s="62"/>
      <c r="H7887" s="62">
        <v>0</v>
      </c>
    </row>
    <row r="7888" spans="1:8" x14ac:dyDescent="0.2">
      <c r="A7888" t="str">
        <f t="shared" si="370"/>
        <v>42979Tiahura18120Autres</v>
      </c>
      <c r="B7888" s="61">
        <v>42979</v>
      </c>
      <c r="C7888" s="62" t="s">
        <v>24</v>
      </c>
      <c r="D7888" s="63">
        <v>18</v>
      </c>
      <c r="E7888" s="62">
        <v>120</v>
      </c>
      <c r="F7888" s="62" t="s">
        <v>14</v>
      </c>
      <c r="G7888" s="62"/>
      <c r="H7888" s="62">
        <v>0</v>
      </c>
    </row>
    <row r="7889" spans="1:9" x14ac:dyDescent="0.2">
      <c r="A7889" t="str">
        <f t="shared" si="370"/>
        <v>42979Haapiti6121Autres</v>
      </c>
      <c r="B7889" s="61">
        <v>42979</v>
      </c>
      <c r="C7889" s="62" t="s">
        <v>25</v>
      </c>
      <c r="D7889" s="63">
        <v>6</v>
      </c>
      <c r="E7889" s="62">
        <v>121</v>
      </c>
      <c r="F7889" s="62" t="s">
        <v>14</v>
      </c>
      <c r="G7889" s="62" t="s">
        <v>27</v>
      </c>
      <c r="H7889" s="62">
        <v>0</v>
      </c>
    </row>
    <row r="7890" spans="1:9" x14ac:dyDescent="0.2">
      <c r="A7890" t="str">
        <f t="shared" si="370"/>
        <v>42979Haapiti6122Autres</v>
      </c>
      <c r="B7890" s="61">
        <v>42979</v>
      </c>
      <c r="C7890" s="62" t="s">
        <v>25</v>
      </c>
      <c r="D7890" s="63">
        <v>6</v>
      </c>
      <c r="E7890" s="62">
        <v>122</v>
      </c>
      <c r="F7890" s="62" t="s">
        <v>14</v>
      </c>
      <c r="G7890" s="62" t="s">
        <v>27</v>
      </c>
      <c r="H7890" s="62">
        <v>0</v>
      </c>
    </row>
    <row r="7891" spans="1:9" x14ac:dyDescent="0.2">
      <c r="A7891" t="str">
        <f t="shared" si="370"/>
        <v>42979Haapiti6123Autres</v>
      </c>
      <c r="B7891" s="61">
        <v>42979</v>
      </c>
      <c r="C7891" s="62" t="s">
        <v>25</v>
      </c>
      <c r="D7891" s="63">
        <v>6</v>
      </c>
      <c r="E7891" s="62">
        <v>123</v>
      </c>
      <c r="F7891" s="62" t="s">
        <v>14</v>
      </c>
      <c r="G7891" s="62" t="s">
        <v>27</v>
      </c>
      <c r="H7891" s="62">
        <v>0</v>
      </c>
    </row>
    <row r="7892" spans="1:9" x14ac:dyDescent="0.2">
      <c r="A7892" t="str">
        <f t="shared" si="370"/>
        <v>42979Haapiti6124Autres</v>
      </c>
      <c r="B7892" s="61">
        <v>42979</v>
      </c>
      <c r="C7892" s="62" t="s">
        <v>25</v>
      </c>
      <c r="D7892" s="63">
        <v>6</v>
      </c>
      <c r="E7892" s="62">
        <v>124</v>
      </c>
      <c r="F7892" s="62" t="s">
        <v>14</v>
      </c>
      <c r="G7892" s="62" t="s">
        <v>27</v>
      </c>
      <c r="H7892" s="62">
        <v>0</v>
      </c>
    </row>
    <row r="7893" spans="1:9" x14ac:dyDescent="0.2">
      <c r="A7893" t="str">
        <f t="shared" si="370"/>
        <v>42979Haapiti6125Autres</v>
      </c>
      <c r="B7893" s="61">
        <v>42979</v>
      </c>
      <c r="C7893" s="62" t="s">
        <v>25</v>
      </c>
      <c r="D7893" s="63">
        <v>6</v>
      </c>
      <c r="E7893" s="62">
        <v>125</v>
      </c>
      <c r="F7893" s="62" t="s">
        <v>14</v>
      </c>
      <c r="G7893" s="62" t="s">
        <v>27</v>
      </c>
      <c r="H7893" s="62">
        <v>0</v>
      </c>
    </row>
    <row r="7894" spans="1:9" x14ac:dyDescent="0.2">
      <c r="A7894" t="str">
        <f t="shared" si="370"/>
        <v>42979Haapiti6126Autres</v>
      </c>
      <c r="B7894" s="61">
        <v>42979</v>
      </c>
      <c r="C7894" s="62" t="s">
        <v>25</v>
      </c>
      <c r="D7894" s="63">
        <v>6</v>
      </c>
      <c r="E7894" s="62">
        <v>126</v>
      </c>
      <c r="F7894" s="62" t="s">
        <v>14</v>
      </c>
      <c r="G7894" s="62" t="s">
        <v>27</v>
      </c>
      <c r="H7894" s="62">
        <v>0</v>
      </c>
    </row>
    <row r="7895" spans="1:9" x14ac:dyDescent="0.2">
      <c r="A7895" t="str">
        <f t="shared" si="370"/>
        <v>42979Haapiti6127Autres</v>
      </c>
      <c r="B7895" s="61">
        <v>42979</v>
      </c>
      <c r="C7895" s="62" t="s">
        <v>25</v>
      </c>
      <c r="D7895" s="63">
        <v>6</v>
      </c>
      <c r="E7895" s="62">
        <v>127</v>
      </c>
      <c r="F7895" s="62" t="s">
        <v>14</v>
      </c>
      <c r="G7895" s="62" t="s">
        <v>27</v>
      </c>
      <c r="H7895" s="62">
        <v>0</v>
      </c>
    </row>
    <row r="7896" spans="1:9" x14ac:dyDescent="0.2">
      <c r="A7896" t="str">
        <f t="shared" si="370"/>
        <v>42979Haapiti6128Autres</v>
      </c>
      <c r="B7896" s="61">
        <v>42979</v>
      </c>
      <c r="C7896" s="62" t="s">
        <v>25</v>
      </c>
      <c r="D7896" s="63">
        <v>6</v>
      </c>
      <c r="E7896" s="62">
        <v>128</v>
      </c>
      <c r="F7896" s="62" t="s">
        <v>14</v>
      </c>
      <c r="G7896" s="62" t="s">
        <v>27</v>
      </c>
      <c r="H7896" s="62">
        <v>0</v>
      </c>
    </row>
    <row r="7897" spans="1:9" x14ac:dyDescent="0.2">
      <c r="A7897" t="str">
        <f t="shared" si="370"/>
        <v>42979Haapiti6129</v>
      </c>
      <c r="B7897" s="61">
        <v>42979</v>
      </c>
      <c r="C7897" s="62" t="s">
        <v>25</v>
      </c>
      <c r="D7897" s="63">
        <v>6</v>
      </c>
      <c r="E7897" s="62">
        <v>129</v>
      </c>
      <c r="F7897" s="62"/>
      <c r="G7897" s="62" t="s">
        <v>27</v>
      </c>
      <c r="H7897" s="62"/>
      <c r="I7897" t="s">
        <v>31</v>
      </c>
    </row>
    <row r="7898" spans="1:9" x14ac:dyDescent="0.2">
      <c r="A7898" t="str">
        <f t="shared" si="370"/>
        <v>42979Haapiti6130Autres</v>
      </c>
      <c r="B7898" s="61">
        <v>42979</v>
      </c>
      <c r="C7898" s="62" t="s">
        <v>25</v>
      </c>
      <c r="D7898" s="63">
        <v>6</v>
      </c>
      <c r="E7898" s="62">
        <v>130</v>
      </c>
      <c r="F7898" s="62" t="s">
        <v>14</v>
      </c>
      <c r="G7898" s="62" t="s">
        <v>27</v>
      </c>
      <c r="H7898" s="62">
        <v>0</v>
      </c>
    </row>
    <row r="7899" spans="1:9" x14ac:dyDescent="0.2">
      <c r="A7899" t="str">
        <f t="shared" si="370"/>
        <v>42979Haapiti6131Autres</v>
      </c>
      <c r="B7899" s="61">
        <v>42979</v>
      </c>
      <c r="C7899" s="62" t="s">
        <v>25</v>
      </c>
      <c r="D7899" s="63">
        <v>6</v>
      </c>
      <c r="E7899" s="62">
        <v>131</v>
      </c>
      <c r="F7899" s="62" t="s">
        <v>14</v>
      </c>
      <c r="G7899" s="62" t="s">
        <v>27</v>
      </c>
      <c r="H7899" s="62">
        <v>0</v>
      </c>
    </row>
    <row r="7900" spans="1:9" x14ac:dyDescent="0.2">
      <c r="A7900" t="str">
        <f t="shared" si="370"/>
        <v>42979Haapiti6132Autres</v>
      </c>
      <c r="B7900" s="61">
        <v>42979</v>
      </c>
      <c r="C7900" s="62" t="s">
        <v>25</v>
      </c>
      <c r="D7900" s="63">
        <v>6</v>
      </c>
      <c r="E7900" s="62">
        <v>132</v>
      </c>
      <c r="F7900" s="62" t="s">
        <v>14</v>
      </c>
      <c r="G7900" s="62" t="s">
        <v>27</v>
      </c>
      <c r="H7900" s="62">
        <v>0</v>
      </c>
    </row>
    <row r="7901" spans="1:9" x14ac:dyDescent="0.2">
      <c r="A7901" t="str">
        <f t="shared" si="370"/>
        <v>42979Haapiti6133Autres</v>
      </c>
      <c r="B7901" s="61">
        <v>42979</v>
      </c>
      <c r="C7901" s="62" t="s">
        <v>25</v>
      </c>
      <c r="D7901" s="63">
        <v>6</v>
      </c>
      <c r="E7901" s="62">
        <v>133</v>
      </c>
      <c r="F7901" s="62" t="s">
        <v>14</v>
      </c>
      <c r="G7901" s="62" t="s">
        <v>27</v>
      </c>
      <c r="H7901" s="62">
        <v>0</v>
      </c>
    </row>
    <row r="7902" spans="1:9" x14ac:dyDescent="0.2">
      <c r="A7902" t="str">
        <f t="shared" si="370"/>
        <v>42979Haapiti6134Autres</v>
      </c>
      <c r="B7902" s="61">
        <v>42979</v>
      </c>
      <c r="C7902" s="62" t="s">
        <v>25</v>
      </c>
      <c r="D7902" s="63">
        <v>6</v>
      </c>
      <c r="E7902" s="62">
        <v>134</v>
      </c>
      <c r="F7902" s="62" t="s">
        <v>14</v>
      </c>
      <c r="G7902" s="62" t="s">
        <v>27</v>
      </c>
      <c r="H7902" s="62">
        <v>0</v>
      </c>
    </row>
    <row r="7903" spans="1:9" x14ac:dyDescent="0.2">
      <c r="A7903" t="str">
        <f t="shared" si="370"/>
        <v>42979Haapiti6135Autres</v>
      </c>
      <c r="B7903" s="61">
        <v>42979</v>
      </c>
      <c r="C7903" s="62" t="s">
        <v>25</v>
      </c>
      <c r="D7903" s="63">
        <v>6</v>
      </c>
      <c r="E7903" s="62">
        <v>135</v>
      </c>
      <c r="F7903" s="62" t="s">
        <v>14</v>
      </c>
      <c r="G7903" s="62" t="s">
        <v>27</v>
      </c>
      <c r="H7903" s="62">
        <v>0</v>
      </c>
    </row>
    <row r="7904" spans="1:9" x14ac:dyDescent="0.2">
      <c r="A7904" t="str">
        <f t="shared" si="370"/>
        <v>42979Haapiti6136Autres</v>
      </c>
      <c r="B7904" s="61">
        <v>42979</v>
      </c>
      <c r="C7904" s="62" t="s">
        <v>25</v>
      </c>
      <c r="D7904" s="63">
        <v>6</v>
      </c>
      <c r="E7904" s="62">
        <v>136</v>
      </c>
      <c r="F7904" s="62" t="s">
        <v>14</v>
      </c>
      <c r="G7904" s="62" t="s">
        <v>27</v>
      </c>
      <c r="H7904" s="62">
        <v>0</v>
      </c>
    </row>
    <row r="7905" spans="1:8" x14ac:dyDescent="0.2">
      <c r="A7905" t="str">
        <f t="shared" si="370"/>
        <v>42979Haapiti6137Autres</v>
      </c>
      <c r="B7905" s="61">
        <v>42979</v>
      </c>
      <c r="C7905" s="62" t="s">
        <v>25</v>
      </c>
      <c r="D7905" s="63">
        <v>6</v>
      </c>
      <c r="E7905" s="62">
        <v>137</v>
      </c>
      <c r="F7905" s="62" t="s">
        <v>14</v>
      </c>
      <c r="G7905" s="62" t="s">
        <v>27</v>
      </c>
      <c r="H7905" s="62">
        <v>0</v>
      </c>
    </row>
    <row r="7906" spans="1:8" x14ac:dyDescent="0.2">
      <c r="A7906" t="str">
        <f t="shared" si="370"/>
        <v>42979Haapiti6138Autres</v>
      </c>
      <c r="B7906" s="61">
        <v>42979</v>
      </c>
      <c r="C7906" s="62" t="s">
        <v>25</v>
      </c>
      <c r="D7906" s="63">
        <v>6</v>
      </c>
      <c r="E7906" s="62">
        <v>138</v>
      </c>
      <c r="F7906" s="62" t="s">
        <v>14</v>
      </c>
      <c r="G7906" s="62" t="s">
        <v>27</v>
      </c>
      <c r="H7906" s="62">
        <v>0</v>
      </c>
    </row>
    <row r="7907" spans="1:8" x14ac:dyDescent="0.2">
      <c r="A7907" t="str">
        <f t="shared" si="370"/>
        <v>42979Haapiti6139Autres</v>
      </c>
      <c r="B7907" s="61">
        <v>42979</v>
      </c>
      <c r="C7907" s="62" t="s">
        <v>25</v>
      </c>
      <c r="D7907" s="63">
        <v>6</v>
      </c>
      <c r="E7907" s="62">
        <v>139</v>
      </c>
      <c r="F7907" s="62" t="s">
        <v>14</v>
      </c>
      <c r="G7907" s="62" t="s">
        <v>27</v>
      </c>
      <c r="H7907" s="62">
        <v>0</v>
      </c>
    </row>
    <row r="7908" spans="1:8" x14ac:dyDescent="0.2">
      <c r="A7908" t="str">
        <f t="shared" si="370"/>
        <v>42979Haapiti6140Autres</v>
      </c>
      <c r="B7908" s="61">
        <v>42979</v>
      </c>
      <c r="C7908" s="62" t="s">
        <v>25</v>
      </c>
      <c r="D7908" s="63">
        <v>6</v>
      </c>
      <c r="E7908" s="62">
        <v>140</v>
      </c>
      <c r="F7908" s="62" t="s">
        <v>14</v>
      </c>
      <c r="G7908" s="62" t="s">
        <v>27</v>
      </c>
      <c r="H7908" s="62">
        <v>0</v>
      </c>
    </row>
    <row r="7909" spans="1:8" x14ac:dyDescent="0.2">
      <c r="A7909" t="str">
        <f t="shared" si="370"/>
        <v>42979Haapiti12141PocilloporidaeDessous</v>
      </c>
      <c r="B7909" s="61">
        <v>42979</v>
      </c>
      <c r="C7909" s="62" t="s">
        <v>25</v>
      </c>
      <c r="D7909" s="63">
        <v>12</v>
      </c>
      <c r="E7909" s="62">
        <v>141</v>
      </c>
      <c r="F7909" s="62" t="s">
        <v>10</v>
      </c>
      <c r="G7909" s="62" t="s">
        <v>8</v>
      </c>
      <c r="H7909" s="62">
        <v>2</v>
      </c>
    </row>
    <row r="7910" spans="1:8" x14ac:dyDescent="0.2">
      <c r="A7910" t="str">
        <f t="shared" si="370"/>
        <v>42979Haapiti12142Autres</v>
      </c>
      <c r="B7910" s="61">
        <v>42979</v>
      </c>
      <c r="C7910" s="62" t="s">
        <v>25</v>
      </c>
      <c r="D7910" s="63">
        <v>12</v>
      </c>
      <c r="E7910" s="62">
        <v>142</v>
      </c>
      <c r="F7910" s="62" t="s">
        <v>14</v>
      </c>
      <c r="G7910" s="62" t="s">
        <v>27</v>
      </c>
      <c r="H7910" s="62">
        <v>0</v>
      </c>
    </row>
    <row r="7911" spans="1:8" x14ac:dyDescent="0.2">
      <c r="A7911" t="str">
        <f t="shared" si="370"/>
        <v>42979Haapiti12143Autres</v>
      </c>
      <c r="B7911" s="61">
        <v>42979</v>
      </c>
      <c r="C7911" s="62" t="s">
        <v>25</v>
      </c>
      <c r="D7911" s="63">
        <v>12</v>
      </c>
      <c r="E7911" s="62">
        <v>143</v>
      </c>
      <c r="F7911" s="62" t="s">
        <v>14</v>
      </c>
      <c r="G7911" s="62"/>
      <c r="H7911" s="62">
        <v>0</v>
      </c>
    </row>
    <row r="7912" spans="1:8" x14ac:dyDescent="0.2">
      <c r="A7912" t="str">
        <f t="shared" si="370"/>
        <v>42979Haapiti12144Autres</v>
      </c>
      <c r="B7912" s="61">
        <v>42979</v>
      </c>
      <c r="C7912" s="62" t="s">
        <v>25</v>
      </c>
      <c r="D7912" s="63">
        <v>12</v>
      </c>
      <c r="E7912" s="62">
        <v>144</v>
      </c>
      <c r="F7912" s="62" t="s">
        <v>14</v>
      </c>
      <c r="G7912" s="62" t="s">
        <v>27</v>
      </c>
      <c r="H7912" s="62">
        <v>0</v>
      </c>
    </row>
    <row r="7913" spans="1:8" x14ac:dyDescent="0.2">
      <c r="A7913" t="str">
        <f t="shared" si="370"/>
        <v>42979Haapiti12145Autres</v>
      </c>
      <c r="B7913" s="61">
        <v>42979</v>
      </c>
      <c r="C7913" s="62" t="s">
        <v>25</v>
      </c>
      <c r="D7913" s="63">
        <v>12</v>
      </c>
      <c r="E7913" s="62">
        <v>145</v>
      </c>
      <c r="F7913" s="62" t="s">
        <v>14</v>
      </c>
      <c r="G7913" s="62" t="s">
        <v>27</v>
      </c>
      <c r="H7913" s="62">
        <v>0</v>
      </c>
    </row>
    <row r="7914" spans="1:8" x14ac:dyDescent="0.2">
      <c r="A7914" t="str">
        <f t="shared" si="370"/>
        <v>42979Haapiti12146Autres</v>
      </c>
      <c r="B7914" s="61">
        <v>42979</v>
      </c>
      <c r="C7914" s="62" t="s">
        <v>25</v>
      </c>
      <c r="D7914" s="63">
        <v>12</v>
      </c>
      <c r="E7914" s="62">
        <v>146</v>
      </c>
      <c r="F7914" s="62" t="s">
        <v>14</v>
      </c>
      <c r="G7914" s="62" t="s">
        <v>27</v>
      </c>
      <c r="H7914" s="62">
        <v>0</v>
      </c>
    </row>
    <row r="7915" spans="1:8" x14ac:dyDescent="0.2">
      <c r="A7915" t="str">
        <f t="shared" si="370"/>
        <v>42979Haapiti12147Autres</v>
      </c>
      <c r="B7915" s="61">
        <v>42979</v>
      </c>
      <c r="C7915" s="62" t="s">
        <v>25</v>
      </c>
      <c r="D7915" s="63">
        <v>12</v>
      </c>
      <c r="E7915" s="62">
        <v>147</v>
      </c>
      <c r="F7915" s="62" t="s">
        <v>14</v>
      </c>
      <c r="G7915" s="62" t="s">
        <v>27</v>
      </c>
      <c r="H7915" s="62">
        <v>0</v>
      </c>
    </row>
    <row r="7916" spans="1:8" x14ac:dyDescent="0.2">
      <c r="A7916" t="str">
        <f t="shared" si="370"/>
        <v>42979Haapiti12148Autres</v>
      </c>
      <c r="B7916" s="61">
        <v>42979</v>
      </c>
      <c r="C7916" s="62" t="s">
        <v>25</v>
      </c>
      <c r="D7916" s="63">
        <v>12</v>
      </c>
      <c r="E7916" s="62">
        <v>148</v>
      </c>
      <c r="F7916" s="62" t="s">
        <v>14</v>
      </c>
      <c r="G7916" s="62"/>
      <c r="H7916" s="62">
        <v>0</v>
      </c>
    </row>
    <row r="7917" spans="1:8" x14ac:dyDescent="0.2">
      <c r="A7917" t="str">
        <f t="shared" si="370"/>
        <v>42979Haapiti12149PoritidaeBords</v>
      </c>
      <c r="B7917" s="61">
        <v>42979</v>
      </c>
      <c r="C7917" s="62" t="s">
        <v>25</v>
      </c>
      <c r="D7917" s="63">
        <v>12</v>
      </c>
      <c r="E7917" s="62">
        <v>149</v>
      </c>
      <c r="F7917" s="62" t="s">
        <v>7</v>
      </c>
      <c r="G7917" s="62" t="s">
        <v>13</v>
      </c>
      <c r="H7917" s="62">
        <v>1</v>
      </c>
    </row>
    <row r="7918" spans="1:8" x14ac:dyDescent="0.2">
      <c r="A7918" t="str">
        <f t="shared" si="370"/>
        <v>42979Haapiti12150Autres</v>
      </c>
      <c r="B7918" s="61">
        <v>42979</v>
      </c>
      <c r="C7918" s="62" t="s">
        <v>25</v>
      </c>
      <c r="D7918" s="63">
        <v>12</v>
      </c>
      <c r="E7918" s="62">
        <v>150</v>
      </c>
      <c r="F7918" s="62" t="s">
        <v>14</v>
      </c>
      <c r="G7918" s="62" t="s">
        <v>27</v>
      </c>
      <c r="H7918" s="62">
        <v>0</v>
      </c>
    </row>
    <row r="7919" spans="1:8" x14ac:dyDescent="0.2">
      <c r="A7919" t="str">
        <f t="shared" si="370"/>
        <v>42979Haapiti12151Autres</v>
      </c>
      <c r="B7919" s="61">
        <v>42979</v>
      </c>
      <c r="C7919" s="62" t="s">
        <v>25</v>
      </c>
      <c r="D7919" s="63">
        <v>12</v>
      </c>
      <c r="E7919" s="62">
        <v>151</v>
      </c>
      <c r="F7919" s="62" t="s">
        <v>14</v>
      </c>
      <c r="G7919" s="62" t="s">
        <v>27</v>
      </c>
      <c r="H7919" s="62">
        <v>0</v>
      </c>
    </row>
    <row r="7920" spans="1:8" x14ac:dyDescent="0.2">
      <c r="A7920" t="str">
        <f t="shared" si="370"/>
        <v>42979Haapiti12152Autres</v>
      </c>
      <c r="B7920" s="61">
        <v>42979</v>
      </c>
      <c r="C7920" s="62" t="s">
        <v>25</v>
      </c>
      <c r="D7920" s="63">
        <v>12</v>
      </c>
      <c r="E7920" s="62">
        <v>152</v>
      </c>
      <c r="F7920" s="62" t="s">
        <v>14</v>
      </c>
      <c r="G7920" s="62" t="s">
        <v>27</v>
      </c>
      <c r="H7920" s="62">
        <v>0</v>
      </c>
    </row>
    <row r="7921" spans="1:8" x14ac:dyDescent="0.2">
      <c r="A7921" t="str">
        <f t="shared" si="370"/>
        <v>42979Haapiti12153Autres</v>
      </c>
      <c r="B7921" s="61">
        <v>42979</v>
      </c>
      <c r="C7921" s="62" t="s">
        <v>25</v>
      </c>
      <c r="D7921" s="63">
        <v>12</v>
      </c>
      <c r="E7921" s="62">
        <v>153</v>
      </c>
      <c r="F7921" s="62" t="s">
        <v>14</v>
      </c>
      <c r="G7921" s="62" t="s">
        <v>27</v>
      </c>
      <c r="H7921" s="62">
        <v>0</v>
      </c>
    </row>
    <row r="7922" spans="1:8" x14ac:dyDescent="0.2">
      <c r="A7922" t="str">
        <f t="shared" si="370"/>
        <v>42979Haapiti12154Autres</v>
      </c>
      <c r="B7922" s="61">
        <v>42979</v>
      </c>
      <c r="C7922" s="62" t="s">
        <v>25</v>
      </c>
      <c r="D7922" s="63">
        <v>12</v>
      </c>
      <c r="E7922" s="62">
        <v>154</v>
      </c>
      <c r="F7922" s="62" t="s">
        <v>14</v>
      </c>
      <c r="G7922" s="62" t="s">
        <v>27</v>
      </c>
      <c r="H7922" s="62">
        <v>0</v>
      </c>
    </row>
    <row r="7923" spans="1:8" x14ac:dyDescent="0.2">
      <c r="A7923" t="str">
        <f t="shared" si="370"/>
        <v>42979Haapiti12155Autres</v>
      </c>
      <c r="B7923" s="61">
        <v>42979</v>
      </c>
      <c r="C7923" s="62" t="s">
        <v>25</v>
      </c>
      <c r="D7923" s="63">
        <v>12</v>
      </c>
      <c r="E7923" s="62">
        <v>155</v>
      </c>
      <c r="F7923" s="62" t="s">
        <v>14</v>
      </c>
      <c r="G7923" s="62" t="s">
        <v>27</v>
      </c>
      <c r="H7923" s="62">
        <v>0</v>
      </c>
    </row>
    <row r="7924" spans="1:8" x14ac:dyDescent="0.2">
      <c r="A7924" t="str">
        <f t="shared" si="370"/>
        <v>42979Haapiti12156Autres</v>
      </c>
      <c r="B7924" s="61">
        <v>42979</v>
      </c>
      <c r="C7924" s="62" t="s">
        <v>25</v>
      </c>
      <c r="D7924" s="63">
        <v>12</v>
      </c>
      <c r="E7924" s="62">
        <v>156</v>
      </c>
      <c r="F7924" s="62" t="s">
        <v>14</v>
      </c>
      <c r="G7924" s="62" t="s">
        <v>27</v>
      </c>
      <c r="H7924" s="62">
        <v>0</v>
      </c>
    </row>
    <row r="7925" spans="1:8" x14ac:dyDescent="0.2">
      <c r="A7925" t="str">
        <f t="shared" si="370"/>
        <v>42979Haapiti12157Autres</v>
      </c>
      <c r="B7925" s="61">
        <v>42979</v>
      </c>
      <c r="C7925" s="62" t="s">
        <v>25</v>
      </c>
      <c r="D7925" s="63">
        <v>12</v>
      </c>
      <c r="E7925" s="62">
        <v>157</v>
      </c>
      <c r="F7925" s="62" t="s">
        <v>14</v>
      </c>
      <c r="G7925" s="62" t="s">
        <v>27</v>
      </c>
      <c r="H7925" s="62">
        <v>0</v>
      </c>
    </row>
    <row r="7926" spans="1:8" x14ac:dyDescent="0.2">
      <c r="A7926" t="str">
        <f t="shared" si="370"/>
        <v>42979Haapiti12158Autres</v>
      </c>
      <c r="B7926" s="61">
        <v>42979</v>
      </c>
      <c r="C7926" s="62" t="s">
        <v>25</v>
      </c>
      <c r="D7926" s="63">
        <v>12</v>
      </c>
      <c r="E7926" s="62">
        <v>158</v>
      </c>
      <c r="F7926" s="62" t="s">
        <v>14</v>
      </c>
      <c r="G7926" s="62" t="s">
        <v>27</v>
      </c>
      <c r="H7926" s="62">
        <v>0</v>
      </c>
    </row>
    <row r="7927" spans="1:8" x14ac:dyDescent="0.2">
      <c r="A7927" t="str">
        <f t="shared" si="370"/>
        <v>42979Haapiti12159Autres</v>
      </c>
      <c r="B7927" s="61">
        <v>42979</v>
      </c>
      <c r="C7927" s="62" t="s">
        <v>25</v>
      </c>
      <c r="D7927" s="63">
        <v>12</v>
      </c>
      <c r="E7927" s="62">
        <v>159</v>
      </c>
      <c r="F7927" s="62" t="s">
        <v>14</v>
      </c>
      <c r="G7927" s="62" t="s">
        <v>27</v>
      </c>
      <c r="H7927" s="62">
        <v>0</v>
      </c>
    </row>
    <row r="7928" spans="1:8" x14ac:dyDescent="0.2">
      <c r="A7928" t="str">
        <f t="shared" si="370"/>
        <v>42979Haapiti12160Autres</v>
      </c>
      <c r="B7928" s="61">
        <v>42979</v>
      </c>
      <c r="C7928" s="62" t="s">
        <v>25</v>
      </c>
      <c r="D7928" s="63">
        <v>12</v>
      </c>
      <c r="E7928" s="62">
        <v>160</v>
      </c>
      <c r="F7928" s="62" t="s">
        <v>14</v>
      </c>
      <c r="G7928" s="62" t="s">
        <v>27</v>
      </c>
      <c r="H7928" s="62">
        <v>0</v>
      </c>
    </row>
    <row r="7929" spans="1:8" x14ac:dyDescent="0.2">
      <c r="A7929" t="str">
        <f t="shared" si="370"/>
        <v>42979Haapiti18161Autres</v>
      </c>
      <c r="B7929" s="61">
        <v>42979</v>
      </c>
      <c r="C7929" s="62" t="s">
        <v>25</v>
      </c>
      <c r="D7929" s="63">
        <v>18</v>
      </c>
      <c r="E7929" s="62">
        <v>161</v>
      </c>
      <c r="F7929" s="62" t="s">
        <v>14</v>
      </c>
      <c r="G7929" s="62" t="s">
        <v>27</v>
      </c>
      <c r="H7929" s="62">
        <v>0</v>
      </c>
    </row>
    <row r="7930" spans="1:8" x14ac:dyDescent="0.2">
      <c r="A7930" t="str">
        <f t="shared" si="370"/>
        <v>42979Haapiti18162Autres</v>
      </c>
      <c r="B7930" s="61">
        <v>42979</v>
      </c>
      <c r="C7930" s="62" t="s">
        <v>25</v>
      </c>
      <c r="D7930" s="63">
        <v>18</v>
      </c>
      <c r="E7930" s="62">
        <v>162</v>
      </c>
      <c r="F7930" s="62" t="s">
        <v>14</v>
      </c>
      <c r="G7930" s="62" t="s">
        <v>27</v>
      </c>
      <c r="H7930" s="62">
        <v>0</v>
      </c>
    </row>
    <row r="7931" spans="1:8" x14ac:dyDescent="0.2">
      <c r="A7931" t="str">
        <f t="shared" si="370"/>
        <v>42979Haapiti18163Autres</v>
      </c>
      <c r="B7931" s="61">
        <v>42979</v>
      </c>
      <c r="C7931" s="62" t="s">
        <v>25</v>
      </c>
      <c r="D7931" s="63">
        <v>18</v>
      </c>
      <c r="E7931" s="62">
        <v>163</v>
      </c>
      <c r="F7931" s="62" t="s">
        <v>14</v>
      </c>
      <c r="G7931" s="62" t="s">
        <v>27</v>
      </c>
      <c r="H7931" s="62">
        <v>0</v>
      </c>
    </row>
    <row r="7932" spans="1:8" x14ac:dyDescent="0.2">
      <c r="A7932" t="str">
        <f t="shared" si="370"/>
        <v>42979Haapiti18164Autres</v>
      </c>
      <c r="B7932" s="61">
        <v>42979</v>
      </c>
      <c r="C7932" s="62" t="s">
        <v>25</v>
      </c>
      <c r="D7932" s="63">
        <v>18</v>
      </c>
      <c r="E7932" s="62">
        <v>164</v>
      </c>
      <c r="F7932" s="62" t="s">
        <v>14</v>
      </c>
      <c r="G7932" s="62" t="s">
        <v>27</v>
      </c>
      <c r="H7932" s="62">
        <v>0</v>
      </c>
    </row>
    <row r="7933" spans="1:8" x14ac:dyDescent="0.2">
      <c r="A7933" t="str">
        <f t="shared" si="370"/>
        <v>42979Haapiti18165Autres</v>
      </c>
      <c r="B7933" s="61">
        <v>42979</v>
      </c>
      <c r="C7933" s="62" t="s">
        <v>25</v>
      </c>
      <c r="D7933" s="63">
        <v>18</v>
      </c>
      <c r="E7933" s="62">
        <v>165</v>
      </c>
      <c r="F7933" s="62" t="s">
        <v>14</v>
      </c>
      <c r="G7933" s="62" t="s">
        <v>27</v>
      </c>
      <c r="H7933" s="62">
        <v>0</v>
      </c>
    </row>
    <row r="7934" spans="1:8" x14ac:dyDescent="0.2">
      <c r="A7934" t="str">
        <f t="shared" si="370"/>
        <v>42979Haapiti18166Autres</v>
      </c>
      <c r="B7934" s="61">
        <v>42979</v>
      </c>
      <c r="C7934" s="62" t="s">
        <v>25</v>
      </c>
      <c r="D7934" s="63">
        <v>18</v>
      </c>
      <c r="E7934" s="62">
        <v>166</v>
      </c>
      <c r="F7934" s="62" t="s">
        <v>14</v>
      </c>
      <c r="G7934" s="62" t="s">
        <v>27</v>
      </c>
      <c r="H7934" s="62">
        <v>0</v>
      </c>
    </row>
    <row r="7935" spans="1:8" x14ac:dyDescent="0.2">
      <c r="A7935" t="str">
        <f t="shared" ref="A7935:A7998" si="371">B7935 &amp; C7935&amp; D7935&amp; E7935 &amp; F7935 &amp;G7935</f>
        <v>42979Haapiti18167Autres</v>
      </c>
      <c r="B7935" s="61">
        <v>42979</v>
      </c>
      <c r="C7935" s="62" t="s">
        <v>25</v>
      </c>
      <c r="D7935" s="63">
        <v>18</v>
      </c>
      <c r="E7935" s="62">
        <v>167</v>
      </c>
      <c r="F7935" s="62" t="s">
        <v>14</v>
      </c>
      <c r="G7935" s="62" t="s">
        <v>27</v>
      </c>
      <c r="H7935" s="62">
        <v>0</v>
      </c>
    </row>
    <row r="7936" spans="1:8" x14ac:dyDescent="0.2">
      <c r="A7936" t="str">
        <f t="shared" si="371"/>
        <v>42979Haapiti18168Autres</v>
      </c>
      <c r="B7936" s="61">
        <v>42979</v>
      </c>
      <c r="C7936" s="62" t="s">
        <v>25</v>
      </c>
      <c r="D7936" s="63">
        <v>18</v>
      </c>
      <c r="E7936" s="62">
        <v>168</v>
      </c>
      <c r="F7936" s="62" t="s">
        <v>14</v>
      </c>
      <c r="G7936" s="62" t="s">
        <v>27</v>
      </c>
      <c r="H7936" s="62">
        <v>0</v>
      </c>
    </row>
    <row r="7937" spans="1:8" x14ac:dyDescent="0.2">
      <c r="A7937" t="str">
        <f t="shared" si="371"/>
        <v>42979Haapiti18169Autres</v>
      </c>
      <c r="B7937" s="61">
        <v>42979</v>
      </c>
      <c r="C7937" s="62" t="s">
        <v>25</v>
      </c>
      <c r="D7937" s="63">
        <v>18</v>
      </c>
      <c r="E7937" s="62">
        <v>169</v>
      </c>
      <c r="F7937" s="62" t="s">
        <v>14</v>
      </c>
      <c r="G7937" s="62" t="s">
        <v>27</v>
      </c>
      <c r="H7937" s="62">
        <v>0</v>
      </c>
    </row>
    <row r="7938" spans="1:8" x14ac:dyDescent="0.2">
      <c r="A7938" t="str">
        <f t="shared" si="371"/>
        <v>42979Haapiti18170Autres</v>
      </c>
      <c r="B7938" s="61">
        <v>42979</v>
      </c>
      <c r="C7938" s="62" t="s">
        <v>25</v>
      </c>
      <c r="D7938" s="63">
        <v>18</v>
      </c>
      <c r="E7938" s="62">
        <v>170</v>
      </c>
      <c r="F7938" s="62" t="s">
        <v>14</v>
      </c>
      <c r="G7938" s="62" t="s">
        <v>27</v>
      </c>
      <c r="H7938" s="62">
        <v>0</v>
      </c>
    </row>
    <row r="7939" spans="1:8" x14ac:dyDescent="0.2">
      <c r="A7939" t="str">
        <f t="shared" si="371"/>
        <v>42979Haapiti18171Autres</v>
      </c>
      <c r="B7939" s="61">
        <v>42979</v>
      </c>
      <c r="C7939" s="62" t="s">
        <v>25</v>
      </c>
      <c r="D7939" s="63">
        <v>18</v>
      </c>
      <c r="E7939" s="62">
        <v>171</v>
      </c>
      <c r="F7939" s="62" t="s">
        <v>14</v>
      </c>
      <c r="G7939" s="62" t="s">
        <v>27</v>
      </c>
      <c r="H7939" s="62">
        <v>0</v>
      </c>
    </row>
    <row r="7940" spans="1:8" x14ac:dyDescent="0.2">
      <c r="A7940" t="str">
        <f t="shared" si="371"/>
        <v>42979Haapiti18172Autres</v>
      </c>
      <c r="B7940" s="61">
        <v>42979</v>
      </c>
      <c r="C7940" s="62" t="s">
        <v>25</v>
      </c>
      <c r="D7940" s="63">
        <v>18</v>
      </c>
      <c r="E7940" s="62">
        <v>172</v>
      </c>
      <c r="F7940" s="62" t="s">
        <v>14</v>
      </c>
      <c r="G7940" s="62" t="s">
        <v>27</v>
      </c>
      <c r="H7940" s="62">
        <v>0</v>
      </c>
    </row>
    <row r="7941" spans="1:8" x14ac:dyDescent="0.2">
      <c r="A7941" t="str">
        <f t="shared" si="371"/>
        <v>42979Haapiti18173Autres</v>
      </c>
      <c r="B7941" s="61">
        <v>42979</v>
      </c>
      <c r="C7941" s="62" t="s">
        <v>25</v>
      </c>
      <c r="D7941" s="63">
        <v>18</v>
      </c>
      <c r="E7941" s="62">
        <v>173</v>
      </c>
      <c r="F7941" s="62" t="s">
        <v>14</v>
      </c>
      <c r="G7941" s="62" t="s">
        <v>27</v>
      </c>
      <c r="H7941" s="62">
        <v>0</v>
      </c>
    </row>
    <row r="7942" spans="1:8" x14ac:dyDescent="0.2">
      <c r="A7942" t="str">
        <f t="shared" si="371"/>
        <v>42979Haapiti18174Autres</v>
      </c>
      <c r="B7942" s="61">
        <v>42979</v>
      </c>
      <c r="C7942" s="62" t="s">
        <v>25</v>
      </c>
      <c r="D7942" s="63">
        <v>18</v>
      </c>
      <c r="E7942" s="62">
        <v>174</v>
      </c>
      <c r="F7942" s="62" t="s">
        <v>14</v>
      </c>
      <c r="G7942" s="62" t="s">
        <v>27</v>
      </c>
      <c r="H7942" s="62">
        <v>0</v>
      </c>
    </row>
    <row r="7943" spans="1:8" x14ac:dyDescent="0.2">
      <c r="A7943" t="str">
        <f t="shared" si="371"/>
        <v>42979Haapiti18175Autres</v>
      </c>
      <c r="B7943" s="61">
        <v>42979</v>
      </c>
      <c r="C7943" s="62" t="s">
        <v>25</v>
      </c>
      <c r="D7943" s="63">
        <v>18</v>
      </c>
      <c r="E7943" s="62">
        <v>175</v>
      </c>
      <c r="F7943" s="62" t="s">
        <v>14</v>
      </c>
      <c r="G7943" s="62" t="s">
        <v>27</v>
      </c>
      <c r="H7943" s="62">
        <v>0</v>
      </c>
    </row>
    <row r="7944" spans="1:8" x14ac:dyDescent="0.2">
      <c r="A7944" t="str">
        <f t="shared" si="371"/>
        <v>42979Haapiti18176Autres</v>
      </c>
      <c r="B7944" s="61">
        <v>42979</v>
      </c>
      <c r="C7944" s="62" t="s">
        <v>25</v>
      </c>
      <c r="D7944" s="63">
        <v>18</v>
      </c>
      <c r="E7944" s="62">
        <v>176</v>
      </c>
      <c r="F7944" s="62" t="s">
        <v>14</v>
      </c>
      <c r="G7944" s="62" t="s">
        <v>27</v>
      </c>
      <c r="H7944" s="62">
        <v>0</v>
      </c>
    </row>
    <row r="7945" spans="1:8" x14ac:dyDescent="0.2">
      <c r="A7945" t="str">
        <f t="shared" si="371"/>
        <v>42979Haapiti18177Autres</v>
      </c>
      <c r="B7945" s="61">
        <v>42979</v>
      </c>
      <c r="C7945" s="62" t="s">
        <v>25</v>
      </c>
      <c r="D7945" s="63">
        <v>18</v>
      </c>
      <c r="E7945" s="62">
        <v>177</v>
      </c>
      <c r="F7945" s="62" t="s">
        <v>14</v>
      </c>
      <c r="G7945" s="62" t="s">
        <v>27</v>
      </c>
      <c r="H7945" s="62">
        <v>0</v>
      </c>
    </row>
    <row r="7946" spans="1:8" x14ac:dyDescent="0.2">
      <c r="A7946" t="str">
        <f t="shared" si="371"/>
        <v>42979Haapiti18178Autres</v>
      </c>
      <c r="B7946" s="61">
        <v>42979</v>
      </c>
      <c r="C7946" s="62" t="s">
        <v>25</v>
      </c>
      <c r="D7946" s="63">
        <v>18</v>
      </c>
      <c r="E7946" s="62">
        <v>178</v>
      </c>
      <c r="F7946" s="62" t="s">
        <v>14</v>
      </c>
      <c r="G7946" s="62" t="s">
        <v>27</v>
      </c>
      <c r="H7946" s="62">
        <v>0</v>
      </c>
    </row>
    <row r="7947" spans="1:8" x14ac:dyDescent="0.2">
      <c r="A7947" t="str">
        <f t="shared" si="371"/>
        <v>42979Haapiti18179Autres</v>
      </c>
      <c r="B7947" s="61">
        <v>42979</v>
      </c>
      <c r="C7947" s="62" t="s">
        <v>25</v>
      </c>
      <c r="D7947" s="63">
        <v>18</v>
      </c>
      <c r="E7947" s="62">
        <v>179</v>
      </c>
      <c r="F7947" s="62" t="s">
        <v>14</v>
      </c>
      <c r="G7947" s="62" t="s">
        <v>27</v>
      </c>
      <c r="H7947" s="62">
        <v>0</v>
      </c>
    </row>
    <row r="7948" spans="1:8" x14ac:dyDescent="0.2">
      <c r="A7948" t="str">
        <f t="shared" si="371"/>
        <v>42979Haapiti18180Autres</v>
      </c>
      <c r="B7948" s="61">
        <v>42979</v>
      </c>
      <c r="C7948" s="62" t="s">
        <v>25</v>
      </c>
      <c r="D7948" s="63">
        <v>18</v>
      </c>
      <c r="E7948" s="62">
        <v>180</v>
      </c>
      <c r="F7948" s="62" t="s">
        <v>14</v>
      </c>
      <c r="G7948" s="62" t="s">
        <v>27</v>
      </c>
      <c r="H7948" s="62">
        <v>0</v>
      </c>
    </row>
    <row r="7949" spans="1:8" x14ac:dyDescent="0.2">
      <c r="A7949" t="str">
        <f t="shared" si="371"/>
        <v>43070Vaipahu61Autres</v>
      </c>
      <c r="B7949" s="64">
        <v>43070</v>
      </c>
      <c r="C7949" s="62" t="s">
        <v>23</v>
      </c>
      <c r="D7949" s="63">
        <v>6</v>
      </c>
      <c r="E7949" s="62">
        <v>1</v>
      </c>
      <c r="F7949" s="62" t="s">
        <v>14</v>
      </c>
      <c r="G7949" s="62"/>
      <c r="H7949" s="62">
        <v>0</v>
      </c>
    </row>
    <row r="7950" spans="1:8" x14ac:dyDescent="0.2">
      <c r="A7950" t="str">
        <f t="shared" si="371"/>
        <v>43070Vaipahu62PocilloporidaeDessous</v>
      </c>
      <c r="B7950" s="64">
        <v>43070</v>
      </c>
      <c r="C7950" s="62" t="s">
        <v>23</v>
      </c>
      <c r="D7950" s="63">
        <v>6</v>
      </c>
      <c r="E7950" s="62">
        <v>2</v>
      </c>
      <c r="F7950" s="62" t="s">
        <v>10</v>
      </c>
      <c r="G7950" s="62" t="s">
        <v>8</v>
      </c>
      <c r="H7950" s="62">
        <v>2</v>
      </c>
    </row>
    <row r="7951" spans="1:8" x14ac:dyDescent="0.2">
      <c r="A7951" t="str">
        <f t="shared" si="371"/>
        <v>43070Vaipahu63PocilloporidaeDessous</v>
      </c>
      <c r="B7951" s="64">
        <v>43070</v>
      </c>
      <c r="C7951" s="62" t="s">
        <v>23</v>
      </c>
      <c r="D7951" s="63">
        <v>6</v>
      </c>
      <c r="E7951" s="62">
        <v>3</v>
      </c>
      <c r="F7951" s="62" t="s">
        <v>10</v>
      </c>
      <c r="G7951" s="62" t="s">
        <v>8</v>
      </c>
      <c r="H7951" s="62">
        <v>1</v>
      </c>
    </row>
    <row r="7952" spans="1:8" x14ac:dyDescent="0.2">
      <c r="A7952" t="str">
        <f t="shared" si="371"/>
        <v>43070Vaipahu64PocilloporidaeBords</v>
      </c>
      <c r="B7952" s="64">
        <v>43070</v>
      </c>
      <c r="C7952" s="62" t="s">
        <v>23</v>
      </c>
      <c r="D7952" s="63">
        <v>6</v>
      </c>
      <c r="E7952" s="62">
        <v>4</v>
      </c>
      <c r="F7952" s="62" t="s">
        <v>10</v>
      </c>
      <c r="G7952" s="62" t="s">
        <v>13</v>
      </c>
      <c r="H7952" s="62">
        <v>1</v>
      </c>
    </row>
    <row r="7953" spans="1:8" x14ac:dyDescent="0.2">
      <c r="A7953" t="str">
        <f t="shared" si="371"/>
        <v>43070Vaipahu64PocilloporidaeDessous</v>
      </c>
      <c r="B7953" s="64">
        <v>43070</v>
      </c>
      <c r="C7953" s="62" t="s">
        <v>23</v>
      </c>
      <c r="D7953" s="63">
        <v>6</v>
      </c>
      <c r="E7953" s="62">
        <v>4</v>
      </c>
      <c r="F7953" s="62" t="s">
        <v>10</v>
      </c>
      <c r="G7953" s="62" t="s">
        <v>8</v>
      </c>
      <c r="H7953" s="62">
        <v>3</v>
      </c>
    </row>
    <row r="7954" spans="1:8" x14ac:dyDescent="0.2">
      <c r="A7954" t="str">
        <f t="shared" si="371"/>
        <v>43070Vaipahu65Autres</v>
      </c>
      <c r="B7954" s="64">
        <v>43070</v>
      </c>
      <c r="C7954" s="62" t="s">
        <v>23</v>
      </c>
      <c r="D7954" s="63">
        <v>6</v>
      </c>
      <c r="E7954" s="62">
        <v>5</v>
      </c>
      <c r="F7954" s="62" t="s">
        <v>14</v>
      </c>
      <c r="G7954" s="62"/>
      <c r="H7954" s="62">
        <v>0</v>
      </c>
    </row>
    <row r="7955" spans="1:8" x14ac:dyDescent="0.2">
      <c r="A7955" t="str">
        <f t="shared" si="371"/>
        <v>43070Vaipahu66Autres</v>
      </c>
      <c r="B7955" s="64">
        <v>43070</v>
      </c>
      <c r="C7955" s="62" t="s">
        <v>23</v>
      </c>
      <c r="D7955" s="63">
        <v>6</v>
      </c>
      <c r="E7955" s="62">
        <v>6</v>
      </c>
      <c r="F7955" s="62" t="s">
        <v>14</v>
      </c>
      <c r="G7955" s="62"/>
      <c r="H7955" s="62">
        <v>0</v>
      </c>
    </row>
    <row r="7956" spans="1:8" x14ac:dyDescent="0.2">
      <c r="A7956" t="str">
        <f t="shared" si="371"/>
        <v>43070Vaipahu67CassésDessus</v>
      </c>
      <c r="B7956" s="64">
        <v>43070</v>
      </c>
      <c r="C7956" s="62" t="s">
        <v>23</v>
      </c>
      <c r="D7956" s="63">
        <v>6</v>
      </c>
      <c r="E7956" s="62">
        <v>7</v>
      </c>
      <c r="F7956" s="62" t="s">
        <v>12</v>
      </c>
      <c r="G7956" s="62" t="s">
        <v>11</v>
      </c>
      <c r="H7956" s="62">
        <v>1</v>
      </c>
    </row>
    <row r="7957" spans="1:8" x14ac:dyDescent="0.2">
      <c r="A7957" t="str">
        <f t="shared" si="371"/>
        <v>43070Vaipahu68Autres</v>
      </c>
      <c r="B7957" s="64">
        <v>43070</v>
      </c>
      <c r="C7957" s="62" t="s">
        <v>23</v>
      </c>
      <c r="D7957" s="63">
        <v>6</v>
      </c>
      <c r="E7957" s="62">
        <v>8</v>
      </c>
      <c r="F7957" s="62" t="s">
        <v>14</v>
      </c>
      <c r="G7957" s="62"/>
      <c r="H7957" s="62">
        <v>0</v>
      </c>
    </row>
    <row r="7958" spans="1:8" x14ac:dyDescent="0.2">
      <c r="A7958" t="str">
        <f t="shared" si="371"/>
        <v>43070Vaipahu69PocilloporidaeBords</v>
      </c>
      <c r="B7958" s="64">
        <v>43070</v>
      </c>
      <c r="C7958" s="62" t="s">
        <v>23</v>
      </c>
      <c r="D7958" s="63">
        <v>6</v>
      </c>
      <c r="E7958" s="62">
        <v>9</v>
      </c>
      <c r="F7958" s="62" t="s">
        <v>10</v>
      </c>
      <c r="G7958" s="62" t="s">
        <v>13</v>
      </c>
      <c r="H7958" s="62">
        <v>1</v>
      </c>
    </row>
    <row r="7959" spans="1:8" x14ac:dyDescent="0.2">
      <c r="A7959" t="str">
        <f t="shared" si="371"/>
        <v>43070Vaipahu610PocilloporidaeBords</v>
      </c>
      <c r="B7959" s="64">
        <v>43070</v>
      </c>
      <c r="C7959" s="62" t="s">
        <v>23</v>
      </c>
      <c r="D7959" s="63">
        <v>6</v>
      </c>
      <c r="E7959" s="62">
        <v>10</v>
      </c>
      <c r="F7959" s="62" t="s">
        <v>10</v>
      </c>
      <c r="G7959" s="62" t="s">
        <v>13</v>
      </c>
      <c r="H7959" s="62">
        <v>3</v>
      </c>
    </row>
    <row r="7960" spans="1:8" x14ac:dyDescent="0.2">
      <c r="A7960" t="str">
        <f t="shared" si="371"/>
        <v>43070Vaipahu610PocilloporidaeDessous</v>
      </c>
      <c r="B7960" s="64">
        <v>43070</v>
      </c>
      <c r="C7960" s="62" t="s">
        <v>23</v>
      </c>
      <c r="D7960" s="63">
        <v>6</v>
      </c>
      <c r="E7960" s="62">
        <v>10</v>
      </c>
      <c r="F7960" s="62" t="s">
        <v>10</v>
      </c>
      <c r="G7960" s="62" t="s">
        <v>8</v>
      </c>
      <c r="H7960" s="62">
        <v>1</v>
      </c>
    </row>
    <row r="7961" spans="1:8" x14ac:dyDescent="0.2">
      <c r="A7961" t="str">
        <f t="shared" si="371"/>
        <v>43070Vaipahu611Autres</v>
      </c>
      <c r="B7961" s="64">
        <v>43070</v>
      </c>
      <c r="C7961" s="62" t="s">
        <v>23</v>
      </c>
      <c r="D7961" s="63">
        <v>6</v>
      </c>
      <c r="E7961" s="62">
        <v>11</v>
      </c>
      <c r="F7961" s="62" t="s">
        <v>14</v>
      </c>
      <c r="G7961" s="62"/>
      <c r="H7961" s="62">
        <v>0</v>
      </c>
    </row>
    <row r="7962" spans="1:8" x14ac:dyDescent="0.2">
      <c r="A7962" t="str">
        <f t="shared" si="371"/>
        <v>43070Vaipahu612PocilloporidaeBords</v>
      </c>
      <c r="B7962" s="64">
        <v>43070</v>
      </c>
      <c r="C7962" s="62" t="s">
        <v>23</v>
      </c>
      <c r="D7962" s="63">
        <v>6</v>
      </c>
      <c r="E7962" s="62">
        <v>12</v>
      </c>
      <c r="F7962" s="62" t="s">
        <v>10</v>
      </c>
      <c r="G7962" s="62" t="s">
        <v>13</v>
      </c>
      <c r="H7962" s="62">
        <v>4</v>
      </c>
    </row>
    <row r="7963" spans="1:8" x14ac:dyDescent="0.2">
      <c r="A7963" t="str">
        <f t="shared" si="371"/>
        <v>43070Vaipahu612PocilloporidaeDessous</v>
      </c>
      <c r="B7963" s="64">
        <v>43070</v>
      </c>
      <c r="C7963" s="62" t="s">
        <v>23</v>
      </c>
      <c r="D7963" s="63">
        <v>6</v>
      </c>
      <c r="E7963" s="62">
        <v>12</v>
      </c>
      <c r="F7963" s="62" t="s">
        <v>10</v>
      </c>
      <c r="G7963" s="62" t="s">
        <v>8</v>
      </c>
      <c r="H7963" s="62">
        <v>1</v>
      </c>
    </row>
    <row r="7964" spans="1:8" x14ac:dyDescent="0.2">
      <c r="A7964" t="str">
        <f t="shared" si="371"/>
        <v>43070Vaipahu613CassésDessus</v>
      </c>
      <c r="B7964" s="64">
        <v>43070</v>
      </c>
      <c r="C7964" s="62" t="s">
        <v>23</v>
      </c>
      <c r="D7964" s="63">
        <v>6</v>
      </c>
      <c r="E7964" s="62">
        <v>13</v>
      </c>
      <c r="F7964" s="62" t="s">
        <v>12</v>
      </c>
      <c r="G7964" s="62" t="s">
        <v>11</v>
      </c>
      <c r="H7964" s="62">
        <v>1</v>
      </c>
    </row>
    <row r="7965" spans="1:8" x14ac:dyDescent="0.2">
      <c r="A7965" t="str">
        <f t="shared" si="371"/>
        <v>43070Vaipahu614PocilloporidaeDessous</v>
      </c>
      <c r="B7965" s="64">
        <v>43070</v>
      </c>
      <c r="C7965" s="62" t="s">
        <v>23</v>
      </c>
      <c r="D7965" s="63">
        <v>6</v>
      </c>
      <c r="E7965" s="62">
        <v>14</v>
      </c>
      <c r="F7965" s="62" t="s">
        <v>10</v>
      </c>
      <c r="G7965" s="62" t="s">
        <v>8</v>
      </c>
      <c r="H7965" s="62">
        <v>1</v>
      </c>
    </row>
    <row r="7966" spans="1:8" x14ac:dyDescent="0.2">
      <c r="A7966" t="str">
        <f t="shared" si="371"/>
        <v>43070Vaipahu615PocilloporidaeDessus</v>
      </c>
      <c r="B7966" s="64">
        <v>43070</v>
      </c>
      <c r="C7966" s="62" t="s">
        <v>23</v>
      </c>
      <c r="D7966" s="63">
        <v>6</v>
      </c>
      <c r="E7966" s="62">
        <v>15</v>
      </c>
      <c r="F7966" s="62" t="s">
        <v>10</v>
      </c>
      <c r="G7966" s="62" t="s">
        <v>11</v>
      </c>
      <c r="H7966" s="62">
        <v>1</v>
      </c>
    </row>
    <row r="7967" spans="1:8" x14ac:dyDescent="0.2">
      <c r="A7967" t="str">
        <f t="shared" si="371"/>
        <v>43070Vaipahu616CassésBords</v>
      </c>
      <c r="B7967" s="64">
        <v>43070</v>
      </c>
      <c r="C7967" s="62" t="s">
        <v>23</v>
      </c>
      <c r="D7967" s="63">
        <v>6</v>
      </c>
      <c r="E7967" s="62">
        <v>16</v>
      </c>
      <c r="F7967" s="62" t="s">
        <v>12</v>
      </c>
      <c r="G7967" s="62" t="s">
        <v>13</v>
      </c>
      <c r="H7967" s="62">
        <v>1</v>
      </c>
    </row>
    <row r="7968" spans="1:8" x14ac:dyDescent="0.2">
      <c r="A7968" t="str">
        <f t="shared" si="371"/>
        <v>43070Vaipahu616CassésDessus</v>
      </c>
      <c r="B7968" s="64">
        <v>43070</v>
      </c>
      <c r="C7968" s="62" t="s">
        <v>23</v>
      </c>
      <c r="D7968" s="63">
        <v>6</v>
      </c>
      <c r="E7968" s="62">
        <v>16</v>
      </c>
      <c r="F7968" s="62" t="s">
        <v>12</v>
      </c>
      <c r="G7968" s="62" t="s">
        <v>11</v>
      </c>
      <c r="H7968" s="62">
        <v>1</v>
      </c>
    </row>
    <row r="7969" spans="1:8" x14ac:dyDescent="0.2">
      <c r="A7969" t="str">
        <f t="shared" si="371"/>
        <v>43070Vaipahu616PocilloporidaeDessous</v>
      </c>
      <c r="B7969" s="64">
        <v>43070</v>
      </c>
      <c r="C7969" s="62" t="s">
        <v>23</v>
      </c>
      <c r="D7969" s="63">
        <v>6</v>
      </c>
      <c r="E7969" s="62">
        <v>16</v>
      </c>
      <c r="F7969" s="62" t="s">
        <v>10</v>
      </c>
      <c r="G7969" s="62" t="s">
        <v>8</v>
      </c>
      <c r="H7969" s="62">
        <v>2</v>
      </c>
    </row>
    <row r="7970" spans="1:8" x14ac:dyDescent="0.2">
      <c r="A7970" t="str">
        <f t="shared" si="371"/>
        <v>43070Vaipahu616PocilloporidaeDessus</v>
      </c>
      <c r="B7970" s="64">
        <v>43070</v>
      </c>
      <c r="C7970" s="62" t="s">
        <v>23</v>
      </c>
      <c r="D7970" s="63">
        <v>6</v>
      </c>
      <c r="E7970" s="62">
        <v>16</v>
      </c>
      <c r="F7970" s="62" t="s">
        <v>10</v>
      </c>
      <c r="G7970" s="62" t="s">
        <v>11</v>
      </c>
      <c r="H7970" s="62">
        <v>2</v>
      </c>
    </row>
    <row r="7971" spans="1:8" x14ac:dyDescent="0.2">
      <c r="A7971" t="str">
        <f t="shared" si="371"/>
        <v>43070Vaipahu617CassésDessous</v>
      </c>
      <c r="B7971" s="64">
        <v>43070</v>
      </c>
      <c r="C7971" s="62" t="s">
        <v>23</v>
      </c>
      <c r="D7971" s="63">
        <v>6</v>
      </c>
      <c r="E7971" s="62">
        <v>17</v>
      </c>
      <c r="F7971" s="62" t="s">
        <v>12</v>
      </c>
      <c r="G7971" s="62" t="s">
        <v>8</v>
      </c>
      <c r="H7971" s="62">
        <v>1</v>
      </c>
    </row>
    <row r="7972" spans="1:8" x14ac:dyDescent="0.2">
      <c r="A7972" t="str">
        <f t="shared" si="371"/>
        <v>43070Vaipahu617PocilloporidaeDessous</v>
      </c>
      <c r="B7972" s="64">
        <v>43070</v>
      </c>
      <c r="C7972" s="62" t="s">
        <v>23</v>
      </c>
      <c r="D7972" s="63">
        <v>6</v>
      </c>
      <c r="E7972" s="62">
        <v>17</v>
      </c>
      <c r="F7972" s="62" t="s">
        <v>10</v>
      </c>
      <c r="G7972" s="62" t="s">
        <v>8</v>
      </c>
      <c r="H7972" s="62">
        <v>4</v>
      </c>
    </row>
    <row r="7973" spans="1:8" x14ac:dyDescent="0.2">
      <c r="A7973" t="str">
        <f t="shared" si="371"/>
        <v>43070Vaipahu618Autres</v>
      </c>
      <c r="B7973" s="64">
        <v>43070</v>
      </c>
      <c r="C7973" s="62" t="s">
        <v>23</v>
      </c>
      <c r="D7973" s="63">
        <v>6</v>
      </c>
      <c r="E7973" s="62">
        <v>18</v>
      </c>
      <c r="F7973" s="62" t="s">
        <v>14</v>
      </c>
      <c r="G7973" s="62"/>
      <c r="H7973" s="62">
        <v>0</v>
      </c>
    </row>
    <row r="7974" spans="1:8" x14ac:dyDescent="0.2">
      <c r="A7974" t="str">
        <f t="shared" si="371"/>
        <v>43070Vaipahu619Autres</v>
      </c>
      <c r="B7974" s="64">
        <v>43070</v>
      </c>
      <c r="C7974" s="62" t="s">
        <v>23</v>
      </c>
      <c r="D7974" s="63">
        <v>6</v>
      </c>
      <c r="E7974" s="62">
        <v>19</v>
      </c>
      <c r="F7974" s="62" t="s">
        <v>14</v>
      </c>
      <c r="G7974" s="62"/>
      <c r="H7974" s="62">
        <v>0</v>
      </c>
    </row>
    <row r="7975" spans="1:8" x14ac:dyDescent="0.2">
      <c r="A7975" t="str">
        <f t="shared" si="371"/>
        <v>43070Vaipahu620CassésBords</v>
      </c>
      <c r="B7975" s="64">
        <v>43070</v>
      </c>
      <c r="C7975" s="62" t="s">
        <v>23</v>
      </c>
      <c r="D7975" s="63">
        <v>6</v>
      </c>
      <c r="E7975" s="62">
        <v>20</v>
      </c>
      <c r="F7975" s="62" t="s">
        <v>12</v>
      </c>
      <c r="G7975" s="62" t="s">
        <v>13</v>
      </c>
      <c r="H7975" s="62">
        <v>1</v>
      </c>
    </row>
    <row r="7976" spans="1:8" x14ac:dyDescent="0.2">
      <c r="A7976" t="str">
        <f t="shared" si="371"/>
        <v>43070Vaipahu620PocilloporidaeBords</v>
      </c>
      <c r="B7976" s="64">
        <v>43070</v>
      </c>
      <c r="C7976" s="62" t="s">
        <v>23</v>
      </c>
      <c r="D7976" s="63">
        <v>6</v>
      </c>
      <c r="E7976" s="62">
        <v>20</v>
      </c>
      <c r="F7976" s="62" t="s">
        <v>10</v>
      </c>
      <c r="G7976" s="62" t="s">
        <v>13</v>
      </c>
      <c r="H7976" s="62">
        <v>2</v>
      </c>
    </row>
    <row r="7977" spans="1:8" x14ac:dyDescent="0.2">
      <c r="A7977" t="str">
        <f t="shared" si="371"/>
        <v>43070Vaipahu1221Autres</v>
      </c>
      <c r="B7977" s="61">
        <v>43070</v>
      </c>
      <c r="C7977" s="62" t="s">
        <v>23</v>
      </c>
      <c r="D7977" s="63">
        <v>12</v>
      </c>
      <c r="E7977" s="62">
        <v>21</v>
      </c>
      <c r="F7977" s="62" t="s">
        <v>14</v>
      </c>
      <c r="G7977" s="62"/>
      <c r="H7977" s="62">
        <v>0</v>
      </c>
    </row>
    <row r="7978" spans="1:8" x14ac:dyDescent="0.2">
      <c r="A7978" t="str">
        <f t="shared" si="371"/>
        <v>43070Vaipahu1222PocilloporidaeDessous</v>
      </c>
      <c r="B7978" s="61">
        <v>43070</v>
      </c>
      <c r="C7978" s="62" t="s">
        <v>23</v>
      </c>
      <c r="D7978" s="63">
        <v>12</v>
      </c>
      <c r="E7978" s="62">
        <v>22</v>
      </c>
      <c r="F7978" s="62" t="s">
        <v>10</v>
      </c>
      <c r="G7978" s="62" t="s">
        <v>8</v>
      </c>
      <c r="H7978" s="62">
        <v>7</v>
      </c>
    </row>
    <row r="7979" spans="1:8" x14ac:dyDescent="0.2">
      <c r="A7979" t="str">
        <f t="shared" si="371"/>
        <v>43070Vaipahu1223PocilloporidaeBords</v>
      </c>
      <c r="B7979" s="61">
        <v>43070</v>
      </c>
      <c r="C7979" s="62" t="s">
        <v>23</v>
      </c>
      <c r="D7979" s="63">
        <v>12</v>
      </c>
      <c r="E7979" s="62">
        <v>23</v>
      </c>
      <c r="F7979" s="62" t="s">
        <v>10</v>
      </c>
      <c r="G7979" s="62" t="s">
        <v>13</v>
      </c>
      <c r="H7979" s="62">
        <v>1</v>
      </c>
    </row>
    <row r="7980" spans="1:8" x14ac:dyDescent="0.2">
      <c r="A7980" t="str">
        <f t="shared" si="371"/>
        <v>43070Vaipahu1223PocilloporidaeDessous</v>
      </c>
      <c r="B7980" s="61">
        <v>43070</v>
      </c>
      <c r="C7980" s="62" t="s">
        <v>23</v>
      </c>
      <c r="D7980" s="63">
        <v>12</v>
      </c>
      <c r="E7980" s="62">
        <v>23</v>
      </c>
      <c r="F7980" s="62" t="s">
        <v>10</v>
      </c>
      <c r="G7980" s="62" t="s">
        <v>8</v>
      </c>
      <c r="H7980" s="62">
        <v>1</v>
      </c>
    </row>
    <row r="7981" spans="1:8" x14ac:dyDescent="0.2">
      <c r="A7981" t="str">
        <f t="shared" si="371"/>
        <v>43070Vaipahu1224CassésBords</v>
      </c>
      <c r="B7981" s="61">
        <v>43070</v>
      </c>
      <c r="C7981" s="62" t="s">
        <v>23</v>
      </c>
      <c r="D7981" s="63">
        <v>12</v>
      </c>
      <c r="E7981" s="62">
        <v>24</v>
      </c>
      <c r="F7981" s="62" t="s">
        <v>12</v>
      </c>
      <c r="G7981" s="62" t="s">
        <v>13</v>
      </c>
      <c r="H7981" s="62">
        <v>1</v>
      </c>
    </row>
    <row r="7982" spans="1:8" x14ac:dyDescent="0.2">
      <c r="A7982" t="str">
        <f t="shared" si="371"/>
        <v>43070Vaipahu1225Autres</v>
      </c>
      <c r="B7982" s="61">
        <v>43070</v>
      </c>
      <c r="C7982" s="62" t="s">
        <v>23</v>
      </c>
      <c r="D7982" s="63">
        <v>12</v>
      </c>
      <c r="E7982" s="62">
        <v>25</v>
      </c>
      <c r="F7982" s="62" t="s">
        <v>14</v>
      </c>
      <c r="G7982" s="62"/>
      <c r="H7982" s="62">
        <v>0</v>
      </c>
    </row>
    <row r="7983" spans="1:8" x14ac:dyDescent="0.2">
      <c r="A7983" t="str">
        <f t="shared" si="371"/>
        <v>43070Vaipahu1226Autres</v>
      </c>
      <c r="B7983" s="61">
        <v>43070</v>
      </c>
      <c r="C7983" s="62" t="s">
        <v>23</v>
      </c>
      <c r="D7983" s="63">
        <v>12</v>
      </c>
      <c r="E7983" s="62">
        <v>26</v>
      </c>
      <c r="F7983" s="62" t="s">
        <v>14</v>
      </c>
      <c r="G7983" s="62"/>
      <c r="H7983" s="62">
        <v>0</v>
      </c>
    </row>
    <row r="7984" spans="1:8" x14ac:dyDescent="0.2">
      <c r="A7984" t="str">
        <f t="shared" si="371"/>
        <v>43070Vaipahu1227PoritidaeDessus</v>
      </c>
      <c r="B7984" s="61">
        <v>43070</v>
      </c>
      <c r="C7984" s="62" t="s">
        <v>23</v>
      </c>
      <c r="D7984" s="63">
        <v>12</v>
      </c>
      <c r="E7984" s="62">
        <v>27</v>
      </c>
      <c r="F7984" s="62" t="s">
        <v>7</v>
      </c>
      <c r="G7984" s="62" t="s">
        <v>11</v>
      </c>
      <c r="H7984" s="62">
        <v>1</v>
      </c>
    </row>
    <row r="7985" spans="1:8" x14ac:dyDescent="0.2">
      <c r="A7985" t="str">
        <f t="shared" si="371"/>
        <v>43070Vaipahu1228CassésBords</v>
      </c>
      <c r="B7985" s="61">
        <v>43070</v>
      </c>
      <c r="C7985" s="62" t="s">
        <v>23</v>
      </c>
      <c r="D7985" s="63">
        <v>12</v>
      </c>
      <c r="E7985" s="62">
        <v>28</v>
      </c>
      <c r="F7985" s="62" t="s">
        <v>12</v>
      </c>
      <c r="G7985" s="62" t="s">
        <v>13</v>
      </c>
      <c r="H7985" s="62">
        <v>1</v>
      </c>
    </row>
    <row r="7986" spans="1:8" x14ac:dyDescent="0.2">
      <c r="A7986" t="str">
        <f t="shared" si="371"/>
        <v>43070Vaipahu1229CassésDessus</v>
      </c>
      <c r="B7986" s="61">
        <v>43070</v>
      </c>
      <c r="C7986" s="62" t="s">
        <v>23</v>
      </c>
      <c r="D7986" s="63">
        <v>12</v>
      </c>
      <c r="E7986" s="62">
        <v>29</v>
      </c>
      <c r="F7986" s="62" t="s">
        <v>12</v>
      </c>
      <c r="G7986" s="62" t="s">
        <v>11</v>
      </c>
      <c r="H7986" s="62">
        <v>1</v>
      </c>
    </row>
    <row r="7987" spans="1:8" x14ac:dyDescent="0.2">
      <c r="A7987" t="str">
        <f t="shared" si="371"/>
        <v>43070Vaipahu1229PocilloporidaeBords</v>
      </c>
      <c r="B7987" s="61">
        <v>43070</v>
      </c>
      <c r="C7987" s="62" t="s">
        <v>23</v>
      </c>
      <c r="D7987" s="63">
        <v>12</v>
      </c>
      <c r="E7987" s="62">
        <v>29</v>
      </c>
      <c r="F7987" s="62" t="s">
        <v>10</v>
      </c>
      <c r="G7987" s="62" t="s">
        <v>13</v>
      </c>
      <c r="H7987" s="62">
        <v>1</v>
      </c>
    </row>
    <row r="7988" spans="1:8" x14ac:dyDescent="0.2">
      <c r="A7988" t="str">
        <f t="shared" si="371"/>
        <v>43070Vaipahu1230CassésBords</v>
      </c>
      <c r="B7988" s="61">
        <v>43070</v>
      </c>
      <c r="C7988" s="62" t="s">
        <v>23</v>
      </c>
      <c r="D7988" s="63">
        <v>12</v>
      </c>
      <c r="E7988" s="62">
        <v>30</v>
      </c>
      <c r="F7988" s="62" t="s">
        <v>12</v>
      </c>
      <c r="G7988" s="62" t="s">
        <v>13</v>
      </c>
      <c r="H7988" s="62">
        <v>1</v>
      </c>
    </row>
    <row r="7989" spans="1:8" x14ac:dyDescent="0.2">
      <c r="A7989" t="str">
        <f t="shared" si="371"/>
        <v>43070Vaipahu1230PocilloporidaeBords</v>
      </c>
      <c r="B7989" s="61">
        <v>43070</v>
      </c>
      <c r="C7989" s="62" t="s">
        <v>23</v>
      </c>
      <c r="D7989" s="63">
        <v>12</v>
      </c>
      <c r="E7989" s="62">
        <v>30</v>
      </c>
      <c r="F7989" s="62" t="s">
        <v>10</v>
      </c>
      <c r="G7989" s="62" t="s">
        <v>13</v>
      </c>
      <c r="H7989" s="62">
        <v>2</v>
      </c>
    </row>
    <row r="7990" spans="1:8" x14ac:dyDescent="0.2">
      <c r="A7990" t="str">
        <f t="shared" si="371"/>
        <v>43070Vaipahu1230PocilloporidaeDessous</v>
      </c>
      <c r="B7990" s="61">
        <v>43070</v>
      </c>
      <c r="C7990" s="62" t="s">
        <v>23</v>
      </c>
      <c r="D7990" s="63">
        <v>12</v>
      </c>
      <c r="E7990" s="62">
        <v>30</v>
      </c>
      <c r="F7990" s="62" t="s">
        <v>10</v>
      </c>
      <c r="G7990" s="62" t="s">
        <v>8</v>
      </c>
      <c r="H7990" s="62">
        <v>2</v>
      </c>
    </row>
    <row r="7991" spans="1:8" x14ac:dyDescent="0.2">
      <c r="A7991" t="str">
        <f t="shared" si="371"/>
        <v>43070Vaipahu1231PocilloporidaeBords</v>
      </c>
      <c r="B7991" s="61">
        <v>43070</v>
      </c>
      <c r="C7991" s="62" t="s">
        <v>23</v>
      </c>
      <c r="D7991" s="63">
        <v>12</v>
      </c>
      <c r="E7991" s="62">
        <v>31</v>
      </c>
      <c r="F7991" s="62" t="s">
        <v>10</v>
      </c>
      <c r="G7991" s="62" t="s">
        <v>13</v>
      </c>
      <c r="H7991" s="62">
        <v>1</v>
      </c>
    </row>
    <row r="7992" spans="1:8" x14ac:dyDescent="0.2">
      <c r="A7992" t="str">
        <f t="shared" si="371"/>
        <v>43070Vaipahu1231PoritidaeDessous</v>
      </c>
      <c r="B7992" s="61">
        <v>43070</v>
      </c>
      <c r="C7992" s="62" t="s">
        <v>23</v>
      </c>
      <c r="D7992" s="63">
        <v>12</v>
      </c>
      <c r="E7992" s="62">
        <v>31</v>
      </c>
      <c r="F7992" s="62" t="s">
        <v>7</v>
      </c>
      <c r="G7992" s="62" t="s">
        <v>8</v>
      </c>
      <c r="H7992" s="62">
        <v>5</v>
      </c>
    </row>
    <row r="7993" spans="1:8" x14ac:dyDescent="0.2">
      <c r="A7993" t="str">
        <f t="shared" si="371"/>
        <v>43070Vaipahu1232Autres</v>
      </c>
      <c r="B7993" s="61">
        <v>43070</v>
      </c>
      <c r="C7993" s="62" t="s">
        <v>23</v>
      </c>
      <c r="D7993" s="63">
        <v>12</v>
      </c>
      <c r="E7993" s="62">
        <v>32</v>
      </c>
      <c r="F7993" s="62" t="s">
        <v>14</v>
      </c>
      <c r="G7993" s="62"/>
      <c r="H7993" s="62">
        <v>0</v>
      </c>
    </row>
    <row r="7994" spans="1:8" x14ac:dyDescent="0.2">
      <c r="A7994" t="str">
        <f t="shared" si="371"/>
        <v>43070Vaipahu1233Autres</v>
      </c>
      <c r="B7994" s="61">
        <v>43070</v>
      </c>
      <c r="C7994" s="62" t="s">
        <v>23</v>
      </c>
      <c r="D7994" s="63">
        <v>12</v>
      </c>
      <c r="E7994" s="62">
        <v>33</v>
      </c>
      <c r="F7994" s="62" t="s">
        <v>14</v>
      </c>
      <c r="G7994" s="62"/>
      <c r="H7994" s="62">
        <v>0</v>
      </c>
    </row>
    <row r="7995" spans="1:8" x14ac:dyDescent="0.2">
      <c r="A7995" t="str">
        <f t="shared" si="371"/>
        <v>43070Vaipahu1234Autres</v>
      </c>
      <c r="B7995" s="61">
        <v>43070</v>
      </c>
      <c r="C7995" s="62" t="s">
        <v>23</v>
      </c>
      <c r="D7995" s="63">
        <v>12</v>
      </c>
      <c r="E7995" s="62">
        <v>34</v>
      </c>
      <c r="F7995" s="62" t="s">
        <v>14</v>
      </c>
      <c r="G7995" s="62"/>
      <c r="H7995" s="62">
        <v>0</v>
      </c>
    </row>
    <row r="7996" spans="1:8" x14ac:dyDescent="0.2">
      <c r="A7996" t="str">
        <f t="shared" si="371"/>
        <v>43070Vaipahu1235CassésBords</v>
      </c>
      <c r="B7996" s="61">
        <v>43070</v>
      </c>
      <c r="C7996" s="62" t="s">
        <v>23</v>
      </c>
      <c r="D7996" s="63">
        <v>12</v>
      </c>
      <c r="E7996" s="62">
        <v>35</v>
      </c>
      <c r="F7996" s="62" t="s">
        <v>12</v>
      </c>
      <c r="G7996" s="62" t="s">
        <v>13</v>
      </c>
      <c r="H7996" s="62">
        <v>3</v>
      </c>
    </row>
    <row r="7997" spans="1:8" x14ac:dyDescent="0.2">
      <c r="A7997" t="str">
        <f t="shared" si="371"/>
        <v>43070Vaipahu1235PocilloporidaeBords</v>
      </c>
      <c r="B7997" s="61">
        <v>43070</v>
      </c>
      <c r="C7997" s="62" t="s">
        <v>23</v>
      </c>
      <c r="D7997" s="63">
        <v>12</v>
      </c>
      <c r="E7997" s="62">
        <v>35</v>
      </c>
      <c r="F7997" s="62" t="s">
        <v>10</v>
      </c>
      <c r="G7997" s="62" t="s">
        <v>13</v>
      </c>
      <c r="H7997" s="62">
        <v>2</v>
      </c>
    </row>
    <row r="7998" spans="1:8" x14ac:dyDescent="0.2">
      <c r="A7998" t="str">
        <f t="shared" si="371"/>
        <v>43070Vaipahu1236CassésDessous</v>
      </c>
      <c r="B7998" s="61">
        <v>43070</v>
      </c>
      <c r="C7998" s="62" t="s">
        <v>23</v>
      </c>
      <c r="D7998" s="63">
        <v>12</v>
      </c>
      <c r="E7998" s="62">
        <v>36</v>
      </c>
      <c r="F7998" s="62" t="s">
        <v>12</v>
      </c>
      <c r="G7998" s="62" t="s">
        <v>8</v>
      </c>
      <c r="H7998" s="62">
        <v>3</v>
      </c>
    </row>
    <row r="7999" spans="1:8" x14ac:dyDescent="0.2">
      <c r="A7999" t="str">
        <f t="shared" ref="A7999:A8062" si="372">B7999 &amp; C7999&amp; D7999&amp; E7999 &amp; F7999 &amp;G7999</f>
        <v>43070Vaipahu1236PocilloporidaeDessous</v>
      </c>
      <c r="B7999" s="61">
        <v>43070</v>
      </c>
      <c r="C7999" s="62" t="s">
        <v>23</v>
      </c>
      <c r="D7999" s="63">
        <v>12</v>
      </c>
      <c r="E7999" s="62">
        <v>36</v>
      </c>
      <c r="F7999" s="62" t="s">
        <v>10</v>
      </c>
      <c r="G7999" s="62" t="s">
        <v>8</v>
      </c>
      <c r="H7999" s="62">
        <v>10</v>
      </c>
    </row>
    <row r="8000" spans="1:8" x14ac:dyDescent="0.2">
      <c r="A8000" t="str">
        <f t="shared" si="372"/>
        <v>43070Vaipahu1237Autres</v>
      </c>
      <c r="B8000" s="61">
        <v>43070</v>
      </c>
      <c r="C8000" s="62" t="s">
        <v>23</v>
      </c>
      <c r="D8000" s="63">
        <v>12</v>
      </c>
      <c r="E8000" s="62">
        <v>37</v>
      </c>
      <c r="F8000" s="62" t="s">
        <v>14</v>
      </c>
      <c r="G8000" s="62"/>
      <c r="H8000" s="62">
        <v>0</v>
      </c>
    </row>
    <row r="8001" spans="1:8" x14ac:dyDescent="0.2">
      <c r="A8001" t="str">
        <f t="shared" si="372"/>
        <v>43070Vaipahu1238Autres</v>
      </c>
      <c r="B8001" s="61">
        <v>43070</v>
      </c>
      <c r="C8001" s="62" t="s">
        <v>23</v>
      </c>
      <c r="D8001" s="63">
        <v>12</v>
      </c>
      <c r="E8001" s="62">
        <v>38</v>
      </c>
      <c r="F8001" s="62" t="s">
        <v>14</v>
      </c>
      <c r="G8001" s="62"/>
      <c r="H8001" s="62">
        <v>0</v>
      </c>
    </row>
    <row r="8002" spans="1:8" x14ac:dyDescent="0.2">
      <c r="A8002" t="str">
        <f t="shared" si="372"/>
        <v>43070Vaipahu1239PocilloporidaeDessus</v>
      </c>
      <c r="B8002" s="61">
        <v>43070</v>
      </c>
      <c r="C8002" s="62" t="s">
        <v>23</v>
      </c>
      <c r="D8002" s="63">
        <v>12</v>
      </c>
      <c r="E8002" s="62">
        <v>39</v>
      </c>
      <c r="F8002" s="62" t="s">
        <v>10</v>
      </c>
      <c r="G8002" s="62" t="s">
        <v>11</v>
      </c>
      <c r="H8002" s="62">
        <v>1</v>
      </c>
    </row>
    <row r="8003" spans="1:8" x14ac:dyDescent="0.2">
      <c r="A8003" t="str">
        <f t="shared" si="372"/>
        <v>43070Vaipahu1239PoritidaeBords</v>
      </c>
      <c r="B8003" s="61">
        <v>43070</v>
      </c>
      <c r="C8003" s="62" t="s">
        <v>23</v>
      </c>
      <c r="D8003" s="63">
        <v>12</v>
      </c>
      <c r="E8003" s="62">
        <v>39</v>
      </c>
      <c r="F8003" s="62" t="s">
        <v>7</v>
      </c>
      <c r="G8003" s="62" t="s">
        <v>13</v>
      </c>
      <c r="H8003" s="62">
        <v>1</v>
      </c>
    </row>
    <row r="8004" spans="1:8" x14ac:dyDescent="0.2">
      <c r="A8004" t="str">
        <f t="shared" si="372"/>
        <v>43070Vaipahu1240Autres</v>
      </c>
      <c r="B8004" s="61">
        <v>43070</v>
      </c>
      <c r="C8004" s="62" t="s">
        <v>23</v>
      </c>
      <c r="D8004" s="63">
        <v>12</v>
      </c>
      <c r="E8004" s="62">
        <v>40</v>
      </c>
      <c r="F8004" s="62" t="s">
        <v>14</v>
      </c>
      <c r="G8004" s="62"/>
      <c r="H8004" s="62">
        <v>0</v>
      </c>
    </row>
    <row r="8005" spans="1:8" x14ac:dyDescent="0.2">
      <c r="A8005" t="str">
        <f t="shared" si="372"/>
        <v>43070Vaipahu1841Autres</v>
      </c>
      <c r="B8005" s="64">
        <v>43070</v>
      </c>
      <c r="C8005" s="62" t="s">
        <v>23</v>
      </c>
      <c r="D8005" s="63">
        <v>18</v>
      </c>
      <c r="E8005" s="62">
        <v>41</v>
      </c>
      <c r="F8005" s="62" t="s">
        <v>14</v>
      </c>
      <c r="G8005" s="62"/>
      <c r="H8005" s="62">
        <v>0</v>
      </c>
    </row>
    <row r="8006" spans="1:8" x14ac:dyDescent="0.2">
      <c r="A8006" t="str">
        <f t="shared" si="372"/>
        <v>43070Vaipahu1842PocilloporidaeDessous</v>
      </c>
      <c r="B8006" s="64">
        <v>43070</v>
      </c>
      <c r="C8006" s="62" t="s">
        <v>23</v>
      </c>
      <c r="D8006" s="63">
        <v>18</v>
      </c>
      <c r="E8006" s="62">
        <v>42</v>
      </c>
      <c r="F8006" s="62" t="s">
        <v>10</v>
      </c>
      <c r="G8006" s="62" t="s">
        <v>8</v>
      </c>
      <c r="H8006" s="62">
        <v>1</v>
      </c>
    </row>
    <row r="8007" spans="1:8" x14ac:dyDescent="0.2">
      <c r="A8007" t="str">
        <f t="shared" si="372"/>
        <v>43070Vaipahu1843PocilloporidaeBords</v>
      </c>
      <c r="B8007" s="64">
        <v>43070</v>
      </c>
      <c r="C8007" s="62" t="s">
        <v>23</v>
      </c>
      <c r="D8007" s="63">
        <v>18</v>
      </c>
      <c r="E8007" s="62">
        <v>43</v>
      </c>
      <c r="F8007" s="62" t="s">
        <v>10</v>
      </c>
      <c r="G8007" s="62" t="s">
        <v>13</v>
      </c>
      <c r="H8007" s="62">
        <v>1</v>
      </c>
    </row>
    <row r="8008" spans="1:8" x14ac:dyDescent="0.2">
      <c r="A8008" t="str">
        <f t="shared" si="372"/>
        <v>43070Vaipahu1844Autres</v>
      </c>
      <c r="B8008" s="64">
        <v>43070</v>
      </c>
      <c r="C8008" s="62" t="s">
        <v>23</v>
      </c>
      <c r="D8008" s="63">
        <v>18</v>
      </c>
      <c r="E8008" s="62">
        <v>44</v>
      </c>
      <c r="F8008" s="62" t="s">
        <v>14</v>
      </c>
      <c r="G8008" s="62"/>
      <c r="H8008" s="62">
        <v>0</v>
      </c>
    </row>
    <row r="8009" spans="1:8" x14ac:dyDescent="0.2">
      <c r="A8009" t="str">
        <f t="shared" si="372"/>
        <v>43070Vaipahu1845PocilloporidaeBords</v>
      </c>
      <c r="B8009" s="64">
        <v>43070</v>
      </c>
      <c r="C8009" s="62" t="s">
        <v>23</v>
      </c>
      <c r="D8009" s="63">
        <v>18</v>
      </c>
      <c r="E8009" s="62">
        <v>45</v>
      </c>
      <c r="F8009" s="62" t="s">
        <v>10</v>
      </c>
      <c r="G8009" s="62" t="s">
        <v>13</v>
      </c>
      <c r="H8009" s="62">
        <v>4</v>
      </c>
    </row>
    <row r="8010" spans="1:8" x14ac:dyDescent="0.2">
      <c r="A8010" t="str">
        <f t="shared" si="372"/>
        <v>43070Vaipahu1845PocilloporidaeDessous</v>
      </c>
      <c r="B8010" s="64">
        <v>43070</v>
      </c>
      <c r="C8010" s="62" t="s">
        <v>23</v>
      </c>
      <c r="D8010" s="63">
        <v>18</v>
      </c>
      <c r="E8010" s="62">
        <v>45</v>
      </c>
      <c r="F8010" s="62" t="s">
        <v>10</v>
      </c>
      <c r="G8010" s="62" t="s">
        <v>8</v>
      </c>
      <c r="H8010" s="62">
        <v>2</v>
      </c>
    </row>
    <row r="8011" spans="1:8" x14ac:dyDescent="0.2">
      <c r="A8011" t="str">
        <f t="shared" si="372"/>
        <v>43070Vaipahu1846PocilloporidaeBords</v>
      </c>
      <c r="B8011" s="64">
        <v>43070</v>
      </c>
      <c r="C8011" s="62" t="s">
        <v>23</v>
      </c>
      <c r="D8011" s="63">
        <v>18</v>
      </c>
      <c r="E8011" s="62">
        <v>46</v>
      </c>
      <c r="F8011" s="62" t="s">
        <v>10</v>
      </c>
      <c r="G8011" s="62" t="s">
        <v>13</v>
      </c>
      <c r="H8011" s="62">
        <v>1</v>
      </c>
    </row>
    <row r="8012" spans="1:8" x14ac:dyDescent="0.2">
      <c r="A8012" t="str">
        <f t="shared" si="372"/>
        <v>43070Vaipahu1847AcroporitidaeDessous</v>
      </c>
      <c r="B8012" s="64">
        <v>43070</v>
      </c>
      <c r="C8012" s="62" t="s">
        <v>23</v>
      </c>
      <c r="D8012" s="63">
        <v>18</v>
      </c>
      <c r="E8012" s="62">
        <v>47</v>
      </c>
      <c r="F8012" s="62" t="s">
        <v>37</v>
      </c>
      <c r="G8012" s="62" t="s">
        <v>8</v>
      </c>
      <c r="H8012" s="62">
        <v>1</v>
      </c>
    </row>
    <row r="8013" spans="1:8" x14ac:dyDescent="0.2">
      <c r="A8013" t="str">
        <f t="shared" si="372"/>
        <v>43070Vaipahu1847PocilloporidaeDessous</v>
      </c>
      <c r="B8013" s="64">
        <v>43070</v>
      </c>
      <c r="C8013" s="62" t="s">
        <v>23</v>
      </c>
      <c r="D8013" s="63">
        <v>18</v>
      </c>
      <c r="E8013" s="62">
        <v>47</v>
      </c>
      <c r="F8013" s="62" t="s">
        <v>10</v>
      </c>
      <c r="G8013" s="62" t="s">
        <v>8</v>
      </c>
      <c r="H8013" s="62">
        <v>3</v>
      </c>
    </row>
    <row r="8014" spans="1:8" x14ac:dyDescent="0.2">
      <c r="A8014" t="str">
        <f t="shared" si="372"/>
        <v>43070Vaipahu1848PocilloporidaeBords</v>
      </c>
      <c r="B8014" s="64">
        <v>43070</v>
      </c>
      <c r="C8014" s="62" t="s">
        <v>23</v>
      </c>
      <c r="D8014" s="63">
        <v>18</v>
      </c>
      <c r="E8014" s="62">
        <v>48</v>
      </c>
      <c r="F8014" s="62" t="s">
        <v>10</v>
      </c>
      <c r="G8014" s="62" t="s">
        <v>13</v>
      </c>
      <c r="H8014" s="62">
        <v>1</v>
      </c>
    </row>
    <row r="8015" spans="1:8" x14ac:dyDescent="0.2">
      <c r="A8015" t="str">
        <f t="shared" si="372"/>
        <v>43070Vaipahu1849PocilloporidaeDessous</v>
      </c>
      <c r="B8015" s="64">
        <v>43070</v>
      </c>
      <c r="C8015" s="62" t="s">
        <v>23</v>
      </c>
      <c r="D8015" s="63">
        <v>18</v>
      </c>
      <c r="E8015" s="62">
        <v>49</v>
      </c>
      <c r="F8015" s="62" t="s">
        <v>10</v>
      </c>
      <c r="G8015" s="62" t="s">
        <v>8</v>
      </c>
      <c r="H8015" s="62">
        <v>1</v>
      </c>
    </row>
    <row r="8016" spans="1:8" x14ac:dyDescent="0.2">
      <c r="A8016" t="str">
        <f t="shared" si="372"/>
        <v>43070Vaipahu1850AcroporitidaeBords</v>
      </c>
      <c r="B8016" s="64">
        <v>43070</v>
      </c>
      <c r="C8016" s="62" t="s">
        <v>23</v>
      </c>
      <c r="D8016" s="63">
        <v>18</v>
      </c>
      <c r="E8016" s="62">
        <v>50</v>
      </c>
      <c r="F8016" s="62" t="s">
        <v>37</v>
      </c>
      <c r="G8016" s="62" t="s">
        <v>13</v>
      </c>
      <c r="H8016" s="62">
        <v>1</v>
      </c>
    </row>
    <row r="8017" spans="1:8" x14ac:dyDescent="0.2">
      <c r="A8017" t="str">
        <f t="shared" si="372"/>
        <v>43070Vaipahu1850CassésBords</v>
      </c>
      <c r="B8017" s="64">
        <v>43070</v>
      </c>
      <c r="C8017" s="62" t="s">
        <v>23</v>
      </c>
      <c r="D8017" s="63">
        <v>18</v>
      </c>
      <c r="E8017" s="62">
        <v>50</v>
      </c>
      <c r="F8017" s="62" t="s">
        <v>12</v>
      </c>
      <c r="G8017" s="62" t="s">
        <v>13</v>
      </c>
      <c r="H8017" s="62">
        <v>1</v>
      </c>
    </row>
    <row r="8018" spans="1:8" x14ac:dyDescent="0.2">
      <c r="A8018" t="str">
        <f t="shared" si="372"/>
        <v>43070Vaipahu1850PoritidaeBords</v>
      </c>
      <c r="B8018" s="64">
        <v>43070</v>
      </c>
      <c r="C8018" s="62" t="s">
        <v>23</v>
      </c>
      <c r="D8018" s="63">
        <v>18</v>
      </c>
      <c r="E8018" s="62">
        <v>50</v>
      </c>
      <c r="F8018" s="62" t="s">
        <v>7</v>
      </c>
      <c r="G8018" s="62" t="s">
        <v>13</v>
      </c>
      <c r="H8018" s="62">
        <v>1</v>
      </c>
    </row>
    <row r="8019" spans="1:8" x14ac:dyDescent="0.2">
      <c r="A8019" t="str">
        <f t="shared" si="372"/>
        <v>43070Vaipahu1851Autres</v>
      </c>
      <c r="B8019" s="64">
        <v>43070</v>
      </c>
      <c r="C8019" s="62" t="s">
        <v>23</v>
      </c>
      <c r="D8019" s="63">
        <v>18</v>
      </c>
      <c r="E8019" s="62">
        <v>51</v>
      </c>
      <c r="F8019" s="62" t="s">
        <v>14</v>
      </c>
      <c r="G8019" s="62"/>
      <c r="H8019" s="62"/>
    </row>
    <row r="8020" spans="1:8" x14ac:dyDescent="0.2">
      <c r="A8020" t="str">
        <f t="shared" si="372"/>
        <v>43070Vaipahu1852PocilloporidaeBords</v>
      </c>
      <c r="B8020" s="64">
        <v>43070</v>
      </c>
      <c r="C8020" s="62" t="s">
        <v>23</v>
      </c>
      <c r="D8020" s="63">
        <v>18</v>
      </c>
      <c r="E8020" s="62">
        <v>52</v>
      </c>
      <c r="F8020" s="62" t="s">
        <v>10</v>
      </c>
      <c r="G8020" s="62" t="s">
        <v>13</v>
      </c>
      <c r="H8020" s="62">
        <v>1</v>
      </c>
    </row>
    <row r="8021" spans="1:8" x14ac:dyDescent="0.2">
      <c r="A8021" t="str">
        <f t="shared" si="372"/>
        <v>43070Vaipahu1852PocilloporidaeDessous</v>
      </c>
      <c r="B8021" s="64">
        <v>43070</v>
      </c>
      <c r="C8021" s="62" t="s">
        <v>23</v>
      </c>
      <c r="D8021" s="63">
        <v>18</v>
      </c>
      <c r="E8021" s="62">
        <v>52</v>
      </c>
      <c r="F8021" s="62" t="s">
        <v>10</v>
      </c>
      <c r="G8021" s="62" t="s">
        <v>8</v>
      </c>
      <c r="H8021" s="62">
        <v>5</v>
      </c>
    </row>
    <row r="8022" spans="1:8" x14ac:dyDescent="0.2">
      <c r="A8022" t="str">
        <f t="shared" si="372"/>
        <v>43070Vaipahu1852PocilloporidaeDessus</v>
      </c>
      <c r="B8022" s="64">
        <v>43070</v>
      </c>
      <c r="C8022" s="62" t="s">
        <v>23</v>
      </c>
      <c r="D8022" s="63">
        <v>18</v>
      </c>
      <c r="E8022" s="62">
        <v>52</v>
      </c>
      <c r="F8022" s="62" t="s">
        <v>10</v>
      </c>
      <c r="G8022" s="62" t="s">
        <v>11</v>
      </c>
      <c r="H8022" s="62">
        <v>1</v>
      </c>
    </row>
    <row r="8023" spans="1:8" x14ac:dyDescent="0.2">
      <c r="A8023" t="str">
        <f t="shared" si="372"/>
        <v>43070Vaipahu1853Autres</v>
      </c>
      <c r="B8023" s="64">
        <v>43070</v>
      </c>
      <c r="C8023" s="62" t="s">
        <v>23</v>
      </c>
      <c r="D8023" s="63">
        <v>18</v>
      </c>
      <c r="E8023" s="62">
        <v>53</v>
      </c>
      <c r="F8023" s="62" t="s">
        <v>14</v>
      </c>
      <c r="G8023" s="62"/>
      <c r="H8023" s="62">
        <v>0</v>
      </c>
    </row>
    <row r="8024" spans="1:8" x14ac:dyDescent="0.2">
      <c r="A8024" t="str">
        <f t="shared" si="372"/>
        <v>43070Vaipahu1854Autres</v>
      </c>
      <c r="B8024" s="64">
        <v>43070</v>
      </c>
      <c r="C8024" s="62" t="s">
        <v>23</v>
      </c>
      <c r="D8024" s="63">
        <v>18</v>
      </c>
      <c r="E8024" s="62">
        <v>54</v>
      </c>
      <c r="F8024" s="62" t="s">
        <v>14</v>
      </c>
      <c r="G8024" s="62"/>
      <c r="H8024" s="62">
        <v>0</v>
      </c>
    </row>
    <row r="8025" spans="1:8" x14ac:dyDescent="0.2">
      <c r="A8025" t="str">
        <f t="shared" si="372"/>
        <v>43070Vaipahu1855CassésBords</v>
      </c>
      <c r="B8025" s="64">
        <v>43070</v>
      </c>
      <c r="C8025" s="62" t="s">
        <v>23</v>
      </c>
      <c r="D8025" s="63">
        <v>18</v>
      </c>
      <c r="E8025" s="62">
        <v>55</v>
      </c>
      <c r="F8025" s="62" t="s">
        <v>12</v>
      </c>
      <c r="G8025" s="62" t="s">
        <v>13</v>
      </c>
      <c r="H8025" s="62">
        <v>1</v>
      </c>
    </row>
    <row r="8026" spans="1:8" x14ac:dyDescent="0.2">
      <c r="A8026" t="str">
        <f t="shared" si="372"/>
        <v>43070Vaipahu1856Autres</v>
      </c>
      <c r="B8026" s="64">
        <v>43070</v>
      </c>
      <c r="C8026" s="62" t="s">
        <v>23</v>
      </c>
      <c r="D8026" s="63">
        <v>18</v>
      </c>
      <c r="E8026" s="62">
        <v>56</v>
      </c>
      <c r="F8026" s="62" t="s">
        <v>14</v>
      </c>
      <c r="G8026" s="62"/>
      <c r="H8026" s="62">
        <v>0</v>
      </c>
    </row>
    <row r="8027" spans="1:8" x14ac:dyDescent="0.2">
      <c r="A8027" t="str">
        <f t="shared" si="372"/>
        <v>43070Vaipahu1857CassésDessous</v>
      </c>
      <c r="B8027" s="64">
        <v>43070</v>
      </c>
      <c r="C8027" s="62" t="s">
        <v>23</v>
      </c>
      <c r="D8027" s="63">
        <v>18</v>
      </c>
      <c r="E8027" s="62">
        <v>57</v>
      </c>
      <c r="F8027" s="62" t="s">
        <v>12</v>
      </c>
      <c r="G8027" s="62" t="s">
        <v>8</v>
      </c>
      <c r="H8027" s="62">
        <v>1</v>
      </c>
    </row>
    <row r="8028" spans="1:8" x14ac:dyDescent="0.2">
      <c r="A8028" t="str">
        <f t="shared" si="372"/>
        <v>43070Vaipahu1857CassésDessous</v>
      </c>
      <c r="B8028" s="64">
        <v>43070</v>
      </c>
      <c r="C8028" s="62" t="s">
        <v>23</v>
      </c>
      <c r="D8028" s="63">
        <v>18</v>
      </c>
      <c r="E8028" s="65">
        <v>57</v>
      </c>
      <c r="F8028" s="62" t="s">
        <v>12</v>
      </c>
      <c r="G8028" s="62" t="s">
        <v>8</v>
      </c>
      <c r="H8028" s="65">
        <v>1</v>
      </c>
    </row>
    <row r="8029" spans="1:8" x14ac:dyDescent="0.2">
      <c r="A8029" t="str">
        <f t="shared" si="372"/>
        <v>43070Vaipahu1857PocilloporidaeBords</v>
      </c>
      <c r="B8029" s="64">
        <v>43070</v>
      </c>
      <c r="C8029" s="62" t="s">
        <v>23</v>
      </c>
      <c r="D8029" s="63">
        <v>18</v>
      </c>
      <c r="E8029" s="62">
        <v>57</v>
      </c>
      <c r="F8029" s="62" t="s">
        <v>10</v>
      </c>
      <c r="G8029" s="62" t="s">
        <v>13</v>
      </c>
      <c r="H8029" s="62">
        <v>1</v>
      </c>
    </row>
    <row r="8030" spans="1:8" x14ac:dyDescent="0.2">
      <c r="A8030" t="str">
        <f t="shared" si="372"/>
        <v>43070Vaipahu1857PocilloporidaeDessous</v>
      </c>
      <c r="B8030" s="64">
        <v>43070</v>
      </c>
      <c r="C8030" s="62" t="s">
        <v>23</v>
      </c>
      <c r="D8030" s="63">
        <v>18</v>
      </c>
      <c r="E8030" s="62">
        <v>57</v>
      </c>
      <c r="F8030" s="62" t="s">
        <v>10</v>
      </c>
      <c r="G8030" s="62" t="s">
        <v>8</v>
      </c>
      <c r="H8030" s="62">
        <v>2</v>
      </c>
    </row>
    <row r="8031" spans="1:8" x14ac:dyDescent="0.2">
      <c r="A8031" t="str">
        <f t="shared" si="372"/>
        <v>43070Vaipahu1858PocilloporidaeDessous</v>
      </c>
      <c r="B8031" s="64">
        <v>43070</v>
      </c>
      <c r="C8031" s="62" t="s">
        <v>23</v>
      </c>
      <c r="D8031" s="63">
        <v>18</v>
      </c>
      <c r="E8031" s="62">
        <v>58</v>
      </c>
      <c r="F8031" s="62" t="s">
        <v>10</v>
      </c>
      <c r="G8031" s="62" t="s">
        <v>8</v>
      </c>
      <c r="H8031" s="62">
        <v>2</v>
      </c>
    </row>
    <row r="8032" spans="1:8" x14ac:dyDescent="0.2">
      <c r="A8032" t="str">
        <f t="shared" si="372"/>
        <v>43070Vaipahu1859CassésDessous</v>
      </c>
      <c r="B8032" s="64">
        <v>43070</v>
      </c>
      <c r="C8032" s="62" t="s">
        <v>23</v>
      </c>
      <c r="D8032" s="63">
        <v>18</v>
      </c>
      <c r="E8032" s="62">
        <v>59</v>
      </c>
      <c r="F8032" s="62" t="s">
        <v>12</v>
      </c>
      <c r="G8032" s="62" t="s">
        <v>8</v>
      </c>
      <c r="H8032" s="62">
        <v>1</v>
      </c>
    </row>
    <row r="8033" spans="1:8" x14ac:dyDescent="0.2">
      <c r="A8033" t="str">
        <f t="shared" si="372"/>
        <v>43070Vaipahu1859PocilloporidaeBords</v>
      </c>
      <c r="B8033" s="64">
        <v>43070</v>
      </c>
      <c r="C8033" s="62" t="s">
        <v>23</v>
      </c>
      <c r="D8033" s="63">
        <v>18</v>
      </c>
      <c r="E8033" s="62">
        <v>59</v>
      </c>
      <c r="F8033" s="62" t="s">
        <v>10</v>
      </c>
      <c r="G8033" s="62" t="s">
        <v>13</v>
      </c>
      <c r="H8033" s="62">
        <v>3</v>
      </c>
    </row>
    <row r="8034" spans="1:8" x14ac:dyDescent="0.2">
      <c r="A8034" t="str">
        <f t="shared" si="372"/>
        <v>43070Vaipahu1859PocilloporidaeDessous</v>
      </c>
      <c r="B8034" s="64">
        <v>43070</v>
      </c>
      <c r="C8034" s="62" t="s">
        <v>23</v>
      </c>
      <c r="D8034" s="63">
        <v>18</v>
      </c>
      <c r="E8034" s="62">
        <v>59</v>
      </c>
      <c r="F8034" s="62" t="s">
        <v>10</v>
      </c>
      <c r="G8034" s="62" t="s">
        <v>8</v>
      </c>
      <c r="H8034" s="62">
        <v>2</v>
      </c>
    </row>
    <row r="8035" spans="1:8" x14ac:dyDescent="0.2">
      <c r="A8035" t="str">
        <f t="shared" si="372"/>
        <v>43070Vaipahu1860Autres</v>
      </c>
      <c r="B8035" s="64">
        <v>43070</v>
      </c>
      <c r="C8035" s="62" t="s">
        <v>23</v>
      </c>
      <c r="D8035" s="63">
        <v>18</v>
      </c>
      <c r="E8035" s="62">
        <v>60</v>
      </c>
      <c r="F8035" s="62" t="s">
        <v>14</v>
      </c>
      <c r="G8035" s="62"/>
      <c r="H8035" s="62">
        <v>0</v>
      </c>
    </row>
    <row r="8036" spans="1:8" x14ac:dyDescent="0.2">
      <c r="A8036" t="str">
        <f t="shared" si="372"/>
        <v>43070Tiahura661PocilloporidaeBords</v>
      </c>
      <c r="B8036" s="64">
        <v>43070</v>
      </c>
      <c r="C8036" s="62" t="s">
        <v>24</v>
      </c>
      <c r="D8036" s="63">
        <v>6</v>
      </c>
      <c r="E8036" s="62">
        <v>61</v>
      </c>
      <c r="F8036" s="62" t="s">
        <v>10</v>
      </c>
      <c r="G8036" s="62" t="s">
        <v>13</v>
      </c>
      <c r="H8036" s="62">
        <v>3</v>
      </c>
    </row>
    <row r="8037" spans="1:8" x14ac:dyDescent="0.2">
      <c r="A8037" t="str">
        <f t="shared" si="372"/>
        <v>43070Tiahura661PoritidaeDessous</v>
      </c>
      <c r="B8037" s="64">
        <v>43070</v>
      </c>
      <c r="C8037" s="62" t="s">
        <v>24</v>
      </c>
      <c r="D8037" s="63">
        <v>6</v>
      </c>
      <c r="E8037" s="62">
        <v>61</v>
      </c>
      <c r="F8037" s="62" t="s">
        <v>7</v>
      </c>
      <c r="G8037" s="62" t="s">
        <v>8</v>
      </c>
      <c r="H8037" s="62">
        <v>1</v>
      </c>
    </row>
    <row r="8038" spans="1:8" x14ac:dyDescent="0.2">
      <c r="A8038" t="str">
        <f t="shared" si="372"/>
        <v>43070Tiahura662Autres</v>
      </c>
      <c r="B8038" s="61">
        <v>43070</v>
      </c>
      <c r="C8038" s="62" t="s">
        <v>24</v>
      </c>
      <c r="D8038" s="63">
        <v>6</v>
      </c>
      <c r="E8038" s="62">
        <v>62</v>
      </c>
      <c r="F8038" s="62" t="s">
        <v>14</v>
      </c>
      <c r="G8038" s="62"/>
      <c r="H8038" s="62">
        <v>0</v>
      </c>
    </row>
    <row r="8039" spans="1:8" x14ac:dyDescent="0.2">
      <c r="A8039" t="str">
        <f t="shared" si="372"/>
        <v>43070Tiahura663Autres</v>
      </c>
      <c r="B8039" s="61">
        <v>43070</v>
      </c>
      <c r="C8039" s="62" t="s">
        <v>24</v>
      </c>
      <c r="D8039" s="63">
        <v>6</v>
      </c>
      <c r="E8039" s="62">
        <v>63</v>
      </c>
      <c r="F8039" s="62" t="s">
        <v>14</v>
      </c>
      <c r="G8039" s="62"/>
      <c r="H8039" s="62">
        <v>0</v>
      </c>
    </row>
    <row r="8040" spans="1:8" x14ac:dyDescent="0.2">
      <c r="A8040" t="str">
        <f t="shared" si="372"/>
        <v>43070Tiahura664PocilloporidaeDessus</v>
      </c>
      <c r="B8040" s="61">
        <v>43070</v>
      </c>
      <c r="C8040" s="62" t="s">
        <v>24</v>
      </c>
      <c r="D8040" s="63">
        <v>6</v>
      </c>
      <c r="E8040" s="62">
        <v>64</v>
      </c>
      <c r="F8040" s="62" t="s">
        <v>10</v>
      </c>
      <c r="G8040" s="62" t="s">
        <v>11</v>
      </c>
      <c r="H8040" s="62">
        <v>1</v>
      </c>
    </row>
    <row r="8041" spans="1:8" x14ac:dyDescent="0.2">
      <c r="A8041" t="str">
        <f t="shared" si="372"/>
        <v>43070Tiahura664PoritidaeDessous</v>
      </c>
      <c r="B8041" s="61">
        <v>43070</v>
      </c>
      <c r="C8041" s="62" t="s">
        <v>24</v>
      </c>
      <c r="D8041" s="63">
        <v>6</v>
      </c>
      <c r="E8041" s="62">
        <v>64</v>
      </c>
      <c r="F8041" s="62" t="s">
        <v>7</v>
      </c>
      <c r="G8041" s="62" t="s">
        <v>8</v>
      </c>
      <c r="H8041" s="62">
        <v>2</v>
      </c>
    </row>
    <row r="8042" spans="1:8" x14ac:dyDescent="0.2">
      <c r="A8042" t="str">
        <f t="shared" si="372"/>
        <v>43070Tiahura665CassésBords</v>
      </c>
      <c r="B8042" s="64">
        <v>43070</v>
      </c>
      <c r="C8042" s="62" t="s">
        <v>24</v>
      </c>
      <c r="D8042" s="63">
        <v>6</v>
      </c>
      <c r="E8042" s="62">
        <v>65</v>
      </c>
      <c r="F8042" s="62" t="s">
        <v>12</v>
      </c>
      <c r="G8042" s="62" t="s">
        <v>13</v>
      </c>
      <c r="H8042" s="62">
        <v>1</v>
      </c>
    </row>
    <row r="8043" spans="1:8" x14ac:dyDescent="0.2">
      <c r="A8043" t="str">
        <f t="shared" si="372"/>
        <v>43070Tiahura665PocilloporidaeBords</v>
      </c>
      <c r="B8043" s="64">
        <v>43070</v>
      </c>
      <c r="C8043" s="62" t="s">
        <v>24</v>
      </c>
      <c r="D8043" s="63">
        <v>6</v>
      </c>
      <c r="E8043" s="62">
        <v>65</v>
      </c>
      <c r="F8043" s="62" t="s">
        <v>10</v>
      </c>
      <c r="G8043" s="62" t="s">
        <v>13</v>
      </c>
      <c r="H8043" s="62">
        <v>1</v>
      </c>
    </row>
    <row r="8044" spans="1:8" x14ac:dyDescent="0.2">
      <c r="A8044" t="str">
        <f t="shared" si="372"/>
        <v>43070Tiahura666AcroporitidaeBords</v>
      </c>
      <c r="B8044" s="64">
        <v>43070</v>
      </c>
      <c r="C8044" s="62" t="s">
        <v>24</v>
      </c>
      <c r="D8044" s="63">
        <v>6</v>
      </c>
      <c r="E8044" s="62">
        <v>66</v>
      </c>
      <c r="F8044" s="62" t="s">
        <v>37</v>
      </c>
      <c r="G8044" s="62" t="s">
        <v>13</v>
      </c>
      <c r="H8044" s="62">
        <v>1</v>
      </c>
    </row>
    <row r="8045" spans="1:8" x14ac:dyDescent="0.2">
      <c r="A8045" t="str">
        <f t="shared" si="372"/>
        <v>43070Tiahura666CassésDessous</v>
      </c>
      <c r="B8045" s="64">
        <v>43070</v>
      </c>
      <c r="C8045" s="62" t="s">
        <v>24</v>
      </c>
      <c r="D8045" s="63">
        <v>6</v>
      </c>
      <c r="E8045" s="62">
        <v>66</v>
      </c>
      <c r="F8045" s="62" t="s">
        <v>12</v>
      </c>
      <c r="G8045" s="62" t="s">
        <v>8</v>
      </c>
      <c r="H8045" s="62">
        <v>2</v>
      </c>
    </row>
    <row r="8046" spans="1:8" x14ac:dyDescent="0.2">
      <c r="A8046" t="str">
        <f t="shared" si="372"/>
        <v>43070Tiahura666PocilloporidaeDessous</v>
      </c>
      <c r="B8046" s="64">
        <v>43070</v>
      </c>
      <c r="C8046" s="62" t="s">
        <v>24</v>
      </c>
      <c r="D8046" s="63">
        <v>6</v>
      </c>
      <c r="E8046" s="62">
        <v>66</v>
      </c>
      <c r="F8046" s="62" t="s">
        <v>10</v>
      </c>
      <c r="G8046" s="62" t="s">
        <v>8</v>
      </c>
      <c r="H8046" s="62">
        <v>6</v>
      </c>
    </row>
    <row r="8047" spans="1:8" x14ac:dyDescent="0.2">
      <c r="A8047" t="str">
        <f t="shared" si="372"/>
        <v>43070Tiahura666PocilloporidaeDessous</v>
      </c>
      <c r="B8047" s="64">
        <v>43070</v>
      </c>
      <c r="C8047" s="62" t="s">
        <v>24</v>
      </c>
      <c r="D8047" s="63">
        <v>6</v>
      </c>
      <c r="E8047" s="65">
        <v>66</v>
      </c>
      <c r="F8047" s="62" t="s">
        <v>10</v>
      </c>
      <c r="G8047" s="62" t="s">
        <v>8</v>
      </c>
      <c r="H8047" s="65">
        <v>3</v>
      </c>
    </row>
    <row r="8048" spans="1:8" x14ac:dyDescent="0.2">
      <c r="A8048" t="str">
        <f t="shared" si="372"/>
        <v>43070Tiahura666PoritidaeDessous</v>
      </c>
      <c r="B8048" s="64">
        <v>43070</v>
      </c>
      <c r="C8048" s="62" t="s">
        <v>24</v>
      </c>
      <c r="D8048" s="63">
        <v>6</v>
      </c>
      <c r="E8048" s="62">
        <v>66</v>
      </c>
      <c r="F8048" s="62" t="s">
        <v>7</v>
      </c>
      <c r="G8048" s="62" t="s">
        <v>8</v>
      </c>
      <c r="H8048" s="62">
        <v>1</v>
      </c>
    </row>
    <row r="8049" spans="1:9" x14ac:dyDescent="0.2">
      <c r="A8049" t="str">
        <f t="shared" si="372"/>
        <v>43070Tiahura667PoritidaeBords</v>
      </c>
      <c r="B8049" s="61">
        <v>43070</v>
      </c>
      <c r="C8049" s="62" t="s">
        <v>24</v>
      </c>
      <c r="D8049" s="63">
        <v>6</v>
      </c>
      <c r="E8049" s="62">
        <v>67</v>
      </c>
      <c r="F8049" s="62" t="s">
        <v>7</v>
      </c>
      <c r="G8049" s="62" t="s">
        <v>13</v>
      </c>
      <c r="H8049" s="62">
        <v>1</v>
      </c>
    </row>
    <row r="8050" spans="1:9" x14ac:dyDescent="0.2">
      <c r="A8050" t="str">
        <f t="shared" si="372"/>
        <v>43070Tiahura668Autres</v>
      </c>
      <c r="B8050" s="64">
        <v>43070</v>
      </c>
      <c r="C8050" s="62" t="s">
        <v>24</v>
      </c>
      <c r="D8050" s="63">
        <v>6</v>
      </c>
      <c r="E8050" s="62">
        <v>68</v>
      </c>
      <c r="F8050" s="62" t="s">
        <v>14</v>
      </c>
      <c r="G8050" s="62"/>
      <c r="H8050" s="62">
        <v>0</v>
      </c>
    </row>
    <row r="8051" spans="1:9" x14ac:dyDescent="0.2">
      <c r="A8051" t="str">
        <f t="shared" si="372"/>
        <v>43070Tiahura669AcroporitidaeDessus</v>
      </c>
      <c r="B8051" s="64">
        <v>43070</v>
      </c>
      <c r="C8051" s="62" t="s">
        <v>24</v>
      </c>
      <c r="D8051" s="63">
        <v>6</v>
      </c>
      <c r="E8051" s="62">
        <v>69</v>
      </c>
      <c r="F8051" s="62" t="s">
        <v>37</v>
      </c>
      <c r="G8051" s="62" t="s">
        <v>11</v>
      </c>
      <c r="H8051" s="62">
        <v>1</v>
      </c>
    </row>
    <row r="8052" spans="1:9" x14ac:dyDescent="0.2">
      <c r="A8052" t="str">
        <f t="shared" si="372"/>
        <v>43070Tiahura670Autres</v>
      </c>
      <c r="B8052" s="61">
        <v>43070</v>
      </c>
      <c r="C8052" s="62" t="s">
        <v>24</v>
      </c>
      <c r="D8052" s="63">
        <v>6</v>
      </c>
      <c r="E8052" s="62">
        <v>70</v>
      </c>
      <c r="F8052" s="62" t="s">
        <v>14</v>
      </c>
      <c r="G8052" s="62"/>
      <c r="H8052" s="62">
        <v>0</v>
      </c>
    </row>
    <row r="8053" spans="1:9" x14ac:dyDescent="0.2">
      <c r="A8053" t="str">
        <f t="shared" si="372"/>
        <v>43070Tiahura671Autres</v>
      </c>
      <c r="B8053" s="61">
        <v>43070</v>
      </c>
      <c r="C8053" s="62" t="s">
        <v>24</v>
      </c>
      <c r="D8053" s="63">
        <v>6</v>
      </c>
      <c r="E8053" s="62">
        <v>71</v>
      </c>
      <c r="F8053" s="62" t="s">
        <v>14</v>
      </c>
      <c r="G8053" s="62"/>
      <c r="H8053" s="62">
        <v>0</v>
      </c>
    </row>
    <row r="8054" spans="1:9" x14ac:dyDescent="0.2">
      <c r="A8054" t="str">
        <f t="shared" si="372"/>
        <v>43070Tiahura672Autres</v>
      </c>
      <c r="B8054" s="61">
        <v>43070</v>
      </c>
      <c r="C8054" s="62" t="s">
        <v>24</v>
      </c>
      <c r="D8054" s="63">
        <v>6</v>
      </c>
      <c r="E8054" s="62">
        <v>72</v>
      </c>
      <c r="F8054" s="62" t="s">
        <v>14</v>
      </c>
      <c r="G8054" s="62"/>
      <c r="H8054" s="62">
        <v>0</v>
      </c>
    </row>
    <row r="8055" spans="1:9" x14ac:dyDescent="0.2">
      <c r="A8055" t="str">
        <f t="shared" si="372"/>
        <v>43070Tiahura673</v>
      </c>
      <c r="B8055" s="61">
        <v>43070</v>
      </c>
      <c r="C8055" s="62" t="s">
        <v>24</v>
      </c>
      <c r="D8055" s="63">
        <v>6</v>
      </c>
      <c r="E8055" s="62">
        <v>73</v>
      </c>
      <c r="F8055" s="62"/>
      <c r="G8055" s="62"/>
      <c r="H8055" s="62"/>
      <c r="I8055" t="s">
        <v>31</v>
      </c>
    </row>
    <row r="8056" spans="1:9" x14ac:dyDescent="0.2">
      <c r="A8056" t="str">
        <f t="shared" si="372"/>
        <v>43070Tiahura674CassésBords</v>
      </c>
      <c r="B8056" s="61">
        <v>43070</v>
      </c>
      <c r="C8056" s="62" t="s">
        <v>24</v>
      </c>
      <c r="D8056" s="63">
        <v>6</v>
      </c>
      <c r="E8056" s="62">
        <v>74</v>
      </c>
      <c r="F8056" s="62" t="s">
        <v>12</v>
      </c>
      <c r="G8056" s="62" t="s">
        <v>13</v>
      </c>
      <c r="H8056" s="62">
        <v>4</v>
      </c>
    </row>
    <row r="8057" spans="1:9" x14ac:dyDescent="0.2">
      <c r="A8057" t="str">
        <f t="shared" si="372"/>
        <v>43070Tiahura674PocilloporidaeBords</v>
      </c>
      <c r="B8057" s="61">
        <v>43070</v>
      </c>
      <c r="C8057" s="62" t="s">
        <v>24</v>
      </c>
      <c r="D8057" s="63">
        <v>6</v>
      </c>
      <c r="E8057" s="62">
        <v>74</v>
      </c>
      <c r="F8057" s="62" t="s">
        <v>10</v>
      </c>
      <c r="G8057" s="62" t="s">
        <v>13</v>
      </c>
      <c r="H8057" s="62">
        <v>3</v>
      </c>
    </row>
    <row r="8058" spans="1:9" x14ac:dyDescent="0.2">
      <c r="A8058" t="str">
        <f t="shared" si="372"/>
        <v>43070Tiahura674PoritidaeDessous</v>
      </c>
      <c r="B8058" s="61">
        <v>43070</v>
      </c>
      <c r="C8058" s="62" t="s">
        <v>24</v>
      </c>
      <c r="D8058" s="63">
        <v>6</v>
      </c>
      <c r="E8058" s="62">
        <v>74</v>
      </c>
      <c r="F8058" s="62" t="s">
        <v>7</v>
      </c>
      <c r="G8058" s="62" t="s">
        <v>8</v>
      </c>
      <c r="H8058" s="62">
        <v>2</v>
      </c>
    </row>
    <row r="8059" spans="1:9" x14ac:dyDescent="0.2">
      <c r="A8059" t="str">
        <f t="shared" si="372"/>
        <v>43070Tiahura675Autres</v>
      </c>
      <c r="B8059" s="61">
        <v>43070</v>
      </c>
      <c r="C8059" s="62" t="s">
        <v>24</v>
      </c>
      <c r="D8059" s="63">
        <v>6</v>
      </c>
      <c r="E8059" s="62">
        <v>75</v>
      </c>
      <c r="F8059" s="62" t="s">
        <v>14</v>
      </c>
      <c r="G8059" s="62"/>
      <c r="H8059" s="62">
        <v>0</v>
      </c>
    </row>
    <row r="8060" spans="1:9" x14ac:dyDescent="0.2">
      <c r="A8060" t="str">
        <f t="shared" si="372"/>
        <v>43070Tiahura676PocilloporidaeDessus</v>
      </c>
      <c r="B8060" s="61">
        <v>43070</v>
      </c>
      <c r="C8060" s="62" t="s">
        <v>24</v>
      </c>
      <c r="D8060" s="63">
        <v>6</v>
      </c>
      <c r="E8060" s="62">
        <v>76</v>
      </c>
      <c r="F8060" s="62" t="s">
        <v>10</v>
      </c>
      <c r="G8060" s="62" t="s">
        <v>11</v>
      </c>
      <c r="H8060" s="62">
        <v>1</v>
      </c>
    </row>
    <row r="8061" spans="1:9" x14ac:dyDescent="0.2">
      <c r="A8061" t="str">
        <f t="shared" si="372"/>
        <v>43070Tiahura676PoritidaeBords</v>
      </c>
      <c r="B8061" s="61">
        <v>43070</v>
      </c>
      <c r="C8061" s="62" t="s">
        <v>24</v>
      </c>
      <c r="D8061" s="63">
        <v>6</v>
      </c>
      <c r="E8061" s="62">
        <v>76</v>
      </c>
      <c r="F8061" s="62" t="s">
        <v>7</v>
      </c>
      <c r="G8061" s="62" t="s">
        <v>13</v>
      </c>
      <c r="H8061" s="62">
        <v>1</v>
      </c>
    </row>
    <row r="8062" spans="1:9" x14ac:dyDescent="0.2">
      <c r="A8062" t="str">
        <f t="shared" si="372"/>
        <v>43070Tiahura677Autres</v>
      </c>
      <c r="B8062" s="61">
        <v>43070</v>
      </c>
      <c r="C8062" s="62" t="s">
        <v>24</v>
      </c>
      <c r="D8062" s="63">
        <v>6</v>
      </c>
      <c r="E8062" s="62">
        <v>77</v>
      </c>
      <c r="F8062" s="62" t="s">
        <v>14</v>
      </c>
      <c r="G8062" s="62"/>
      <c r="H8062" s="62">
        <v>0</v>
      </c>
    </row>
    <row r="8063" spans="1:9" x14ac:dyDescent="0.2">
      <c r="A8063" t="str">
        <f t="shared" ref="A8063:A8126" si="373">B8063 &amp; C8063&amp; D8063&amp; E8063 &amp; F8063 &amp;G8063</f>
        <v>43070Tiahura678PoritidaeBords</v>
      </c>
      <c r="B8063" s="61">
        <v>43070</v>
      </c>
      <c r="C8063" s="62" t="s">
        <v>24</v>
      </c>
      <c r="D8063" s="63">
        <v>6</v>
      </c>
      <c r="E8063" s="62">
        <v>78</v>
      </c>
      <c r="F8063" s="62" t="s">
        <v>7</v>
      </c>
      <c r="G8063" s="62" t="s">
        <v>13</v>
      </c>
      <c r="H8063" s="62">
        <v>1</v>
      </c>
    </row>
    <row r="8064" spans="1:9" x14ac:dyDescent="0.2">
      <c r="A8064" t="str">
        <f t="shared" si="373"/>
        <v>43070Tiahura679PocilloporidaeDessous</v>
      </c>
      <c r="B8064" s="61">
        <v>43070</v>
      </c>
      <c r="C8064" s="62" t="s">
        <v>24</v>
      </c>
      <c r="D8064" s="63">
        <v>6</v>
      </c>
      <c r="E8064" s="62">
        <v>79</v>
      </c>
      <c r="F8064" s="62" t="s">
        <v>10</v>
      </c>
      <c r="G8064" s="62" t="s">
        <v>8</v>
      </c>
      <c r="H8064" s="62">
        <v>2</v>
      </c>
    </row>
    <row r="8065" spans="1:9" x14ac:dyDescent="0.2">
      <c r="A8065" t="str">
        <f t="shared" si="373"/>
        <v>43070Tiahura680Autres</v>
      </c>
      <c r="B8065" s="61">
        <v>43070</v>
      </c>
      <c r="C8065" s="62" t="s">
        <v>24</v>
      </c>
      <c r="D8065" s="63">
        <v>6</v>
      </c>
      <c r="E8065" s="62">
        <v>80</v>
      </c>
      <c r="F8065" s="62" t="s">
        <v>14</v>
      </c>
      <c r="G8065" s="62"/>
      <c r="H8065" s="62">
        <v>0</v>
      </c>
    </row>
    <row r="8066" spans="1:9" x14ac:dyDescent="0.2">
      <c r="A8066" t="str">
        <f t="shared" si="373"/>
        <v>43070Tiahura1281PocilloporidaeBords</v>
      </c>
      <c r="B8066" s="61">
        <v>43070</v>
      </c>
      <c r="C8066" s="62" t="s">
        <v>24</v>
      </c>
      <c r="D8066" s="63">
        <v>12</v>
      </c>
      <c r="E8066" s="62">
        <v>81</v>
      </c>
      <c r="F8066" s="62" t="s">
        <v>10</v>
      </c>
      <c r="G8066" s="62" t="s">
        <v>13</v>
      </c>
      <c r="H8066" s="62">
        <v>2</v>
      </c>
    </row>
    <row r="8067" spans="1:9" x14ac:dyDescent="0.2">
      <c r="A8067" t="str">
        <f t="shared" si="373"/>
        <v>43070Tiahura1282PocilloporidaeDessous</v>
      </c>
      <c r="B8067" s="61">
        <v>43070</v>
      </c>
      <c r="C8067" s="62" t="s">
        <v>24</v>
      </c>
      <c r="D8067" s="63">
        <v>12</v>
      </c>
      <c r="E8067" s="62">
        <v>82</v>
      </c>
      <c r="F8067" s="62" t="s">
        <v>10</v>
      </c>
      <c r="G8067" s="62" t="s">
        <v>8</v>
      </c>
      <c r="H8067" s="62">
        <v>1</v>
      </c>
    </row>
    <row r="8068" spans="1:9" x14ac:dyDescent="0.2">
      <c r="A8068" t="str">
        <f t="shared" si="373"/>
        <v>43070Tiahura1283AcroporitidaeDessus</v>
      </c>
      <c r="B8068" s="61">
        <v>43070</v>
      </c>
      <c r="C8068" s="62" t="s">
        <v>24</v>
      </c>
      <c r="D8068" s="63">
        <v>12</v>
      </c>
      <c r="E8068" s="62">
        <v>83</v>
      </c>
      <c r="F8068" s="62" t="s">
        <v>37</v>
      </c>
      <c r="G8068" s="62" t="s">
        <v>11</v>
      </c>
      <c r="H8068" s="62">
        <v>1</v>
      </c>
    </row>
    <row r="8069" spans="1:9" x14ac:dyDescent="0.2">
      <c r="A8069" t="str">
        <f t="shared" si="373"/>
        <v>43070Tiahura1283PoritidaeBords</v>
      </c>
      <c r="B8069" s="61">
        <v>43070</v>
      </c>
      <c r="C8069" s="62" t="s">
        <v>24</v>
      </c>
      <c r="D8069" s="63">
        <v>12</v>
      </c>
      <c r="E8069" s="62">
        <v>83</v>
      </c>
      <c r="F8069" s="62" t="s">
        <v>7</v>
      </c>
      <c r="G8069" s="62" t="s">
        <v>13</v>
      </c>
      <c r="H8069" s="62">
        <v>1</v>
      </c>
    </row>
    <row r="8070" spans="1:9" x14ac:dyDescent="0.2">
      <c r="A8070" t="str">
        <f t="shared" si="373"/>
        <v>43070Tiahura1284Autres</v>
      </c>
      <c r="B8070" s="61">
        <v>43070</v>
      </c>
      <c r="C8070" s="62" t="s">
        <v>24</v>
      </c>
      <c r="D8070" s="63">
        <v>12</v>
      </c>
      <c r="E8070" s="62">
        <v>84</v>
      </c>
      <c r="F8070" s="62" t="s">
        <v>14</v>
      </c>
      <c r="G8070" s="62"/>
      <c r="H8070" s="62">
        <v>0</v>
      </c>
    </row>
    <row r="8071" spans="1:9" x14ac:dyDescent="0.2">
      <c r="A8071" t="str">
        <f t="shared" si="373"/>
        <v>43070Tiahura1285Autres</v>
      </c>
      <c r="B8071" s="61">
        <v>43070</v>
      </c>
      <c r="C8071" s="62" t="s">
        <v>24</v>
      </c>
      <c r="D8071" s="63">
        <v>12</v>
      </c>
      <c r="E8071" s="62">
        <v>85</v>
      </c>
      <c r="F8071" s="62" t="s">
        <v>14</v>
      </c>
      <c r="G8071" s="62"/>
      <c r="H8071" s="62">
        <v>0</v>
      </c>
    </row>
    <row r="8072" spans="1:9" x14ac:dyDescent="0.2">
      <c r="A8072" t="str">
        <f t="shared" si="373"/>
        <v>43070Tiahura1286Autres</v>
      </c>
      <c r="B8072" s="61">
        <v>43070</v>
      </c>
      <c r="C8072" s="62" t="s">
        <v>24</v>
      </c>
      <c r="D8072" s="63">
        <v>12</v>
      </c>
      <c r="E8072" s="62">
        <v>86</v>
      </c>
      <c r="F8072" s="62" t="s">
        <v>14</v>
      </c>
      <c r="G8072" s="62"/>
      <c r="H8072" s="62">
        <v>0</v>
      </c>
    </row>
    <row r="8073" spans="1:9" x14ac:dyDescent="0.2">
      <c r="A8073" t="str">
        <f t="shared" si="373"/>
        <v>43070Tiahura1287Autres</v>
      </c>
      <c r="B8073" s="61">
        <v>43070</v>
      </c>
      <c r="C8073" s="62" t="s">
        <v>24</v>
      </c>
      <c r="D8073" s="63">
        <v>12</v>
      </c>
      <c r="E8073" s="62">
        <v>87</v>
      </c>
      <c r="F8073" s="62" t="s">
        <v>14</v>
      </c>
      <c r="G8073" s="62"/>
      <c r="H8073" s="62">
        <v>0</v>
      </c>
    </row>
    <row r="8074" spans="1:9" x14ac:dyDescent="0.2">
      <c r="A8074" t="str">
        <f t="shared" si="373"/>
        <v>43070Tiahura1288</v>
      </c>
      <c r="B8074" s="61">
        <v>43070</v>
      </c>
      <c r="C8074" s="62" t="s">
        <v>24</v>
      </c>
      <c r="D8074" s="63">
        <v>12</v>
      </c>
      <c r="E8074" s="62">
        <v>88</v>
      </c>
      <c r="F8074" s="62"/>
      <c r="G8074" s="62"/>
      <c r="H8074" s="62"/>
      <c r="I8074" t="s">
        <v>31</v>
      </c>
    </row>
    <row r="8075" spans="1:9" x14ac:dyDescent="0.2">
      <c r="A8075" t="str">
        <f t="shared" si="373"/>
        <v>43070Tiahura1289Autres</v>
      </c>
      <c r="B8075" s="61">
        <v>43070</v>
      </c>
      <c r="C8075" s="62" t="s">
        <v>24</v>
      </c>
      <c r="D8075" s="63">
        <v>12</v>
      </c>
      <c r="E8075" s="62">
        <v>89</v>
      </c>
      <c r="F8075" s="62" t="s">
        <v>14</v>
      </c>
      <c r="G8075" s="62"/>
      <c r="H8075" s="62">
        <v>0</v>
      </c>
    </row>
    <row r="8076" spans="1:9" x14ac:dyDescent="0.2">
      <c r="A8076" t="str">
        <f t="shared" si="373"/>
        <v>43070Tiahura1290Autres</v>
      </c>
      <c r="B8076" s="61">
        <v>43070</v>
      </c>
      <c r="C8076" s="62" t="s">
        <v>24</v>
      </c>
      <c r="D8076" s="63">
        <v>12</v>
      </c>
      <c r="E8076" s="62">
        <v>90</v>
      </c>
      <c r="F8076" s="62" t="s">
        <v>14</v>
      </c>
      <c r="G8076" s="62"/>
      <c r="H8076" s="62">
        <v>0</v>
      </c>
    </row>
    <row r="8077" spans="1:9" x14ac:dyDescent="0.2">
      <c r="A8077" t="str">
        <f t="shared" si="373"/>
        <v>43070Tiahura1291Autres</v>
      </c>
      <c r="B8077" s="61">
        <v>43070</v>
      </c>
      <c r="C8077" s="62" t="s">
        <v>24</v>
      </c>
      <c r="D8077" s="63">
        <v>12</v>
      </c>
      <c r="E8077" s="62">
        <v>91</v>
      </c>
      <c r="F8077" s="62" t="s">
        <v>14</v>
      </c>
      <c r="G8077" s="62"/>
      <c r="H8077" s="62">
        <v>0</v>
      </c>
    </row>
    <row r="8078" spans="1:9" x14ac:dyDescent="0.2">
      <c r="A8078" t="str">
        <f t="shared" si="373"/>
        <v>43070Tiahura1292Autres</v>
      </c>
      <c r="B8078" s="61">
        <v>43070</v>
      </c>
      <c r="C8078" s="62" t="s">
        <v>24</v>
      </c>
      <c r="D8078" s="63">
        <v>12</v>
      </c>
      <c r="E8078" s="62">
        <v>92</v>
      </c>
      <c r="F8078" s="62" t="s">
        <v>14</v>
      </c>
      <c r="G8078" s="62"/>
      <c r="H8078" s="62">
        <v>0</v>
      </c>
    </row>
    <row r="8079" spans="1:9" x14ac:dyDescent="0.2">
      <c r="A8079" t="str">
        <f t="shared" si="373"/>
        <v>43070Tiahura1293</v>
      </c>
      <c r="B8079" s="61">
        <v>43070</v>
      </c>
      <c r="C8079" s="62" t="s">
        <v>24</v>
      </c>
      <c r="D8079" s="63">
        <v>12</v>
      </c>
      <c r="E8079" s="62">
        <v>93</v>
      </c>
      <c r="F8079" s="62"/>
      <c r="G8079" s="62"/>
      <c r="H8079" s="62"/>
      <c r="I8079" t="s">
        <v>31</v>
      </c>
    </row>
    <row r="8080" spans="1:9" x14ac:dyDescent="0.2">
      <c r="A8080" t="str">
        <f t="shared" si="373"/>
        <v>43070Tiahura1294PocilloporidaeBords</v>
      </c>
      <c r="B8080" s="61">
        <v>43070</v>
      </c>
      <c r="C8080" s="62" t="s">
        <v>24</v>
      </c>
      <c r="D8080" s="63">
        <v>12</v>
      </c>
      <c r="E8080" s="62">
        <v>94</v>
      </c>
      <c r="F8080" s="62" t="s">
        <v>10</v>
      </c>
      <c r="G8080" s="62" t="s">
        <v>13</v>
      </c>
      <c r="H8080" s="62">
        <v>1</v>
      </c>
    </row>
    <row r="8081" spans="1:8" x14ac:dyDescent="0.2">
      <c r="A8081" t="str">
        <f t="shared" si="373"/>
        <v>43070Tiahura1295Autres</v>
      </c>
      <c r="B8081" s="61">
        <v>43070</v>
      </c>
      <c r="C8081" s="62" t="s">
        <v>24</v>
      </c>
      <c r="D8081" s="63">
        <v>12</v>
      </c>
      <c r="E8081" s="62">
        <v>95</v>
      </c>
      <c r="F8081" s="62" t="s">
        <v>14</v>
      </c>
      <c r="G8081" s="62"/>
      <c r="H8081" s="62">
        <v>0</v>
      </c>
    </row>
    <row r="8082" spans="1:8" x14ac:dyDescent="0.2">
      <c r="A8082" t="str">
        <f t="shared" si="373"/>
        <v>43070Tiahura1296PocilloporidaeDessous</v>
      </c>
      <c r="B8082" s="61">
        <v>43070</v>
      </c>
      <c r="C8082" s="62" t="s">
        <v>24</v>
      </c>
      <c r="D8082" s="63">
        <v>12</v>
      </c>
      <c r="E8082" s="62">
        <v>96</v>
      </c>
      <c r="F8082" s="62" t="s">
        <v>10</v>
      </c>
      <c r="G8082" s="62" t="s">
        <v>8</v>
      </c>
      <c r="H8082" s="62">
        <v>2</v>
      </c>
    </row>
    <row r="8083" spans="1:8" x14ac:dyDescent="0.2">
      <c r="A8083" t="str">
        <f t="shared" si="373"/>
        <v>43070Tiahura1297CassésBords</v>
      </c>
      <c r="B8083" s="61">
        <v>43070</v>
      </c>
      <c r="C8083" s="62" t="s">
        <v>24</v>
      </c>
      <c r="D8083" s="63">
        <v>12</v>
      </c>
      <c r="E8083" s="62">
        <v>97</v>
      </c>
      <c r="F8083" s="62" t="s">
        <v>12</v>
      </c>
      <c r="G8083" s="62" t="s">
        <v>13</v>
      </c>
      <c r="H8083" s="62">
        <v>1</v>
      </c>
    </row>
    <row r="8084" spans="1:8" x14ac:dyDescent="0.2">
      <c r="A8084" t="str">
        <f t="shared" si="373"/>
        <v>43070Tiahura1297CassésDessous</v>
      </c>
      <c r="B8084" s="61">
        <v>43070</v>
      </c>
      <c r="C8084" s="62" t="s">
        <v>24</v>
      </c>
      <c r="D8084" s="63">
        <v>12</v>
      </c>
      <c r="E8084" s="62">
        <v>97</v>
      </c>
      <c r="F8084" s="62" t="s">
        <v>12</v>
      </c>
      <c r="G8084" s="62" t="s">
        <v>8</v>
      </c>
      <c r="H8084" s="62">
        <v>1</v>
      </c>
    </row>
    <row r="8085" spans="1:8" x14ac:dyDescent="0.2">
      <c r="A8085" t="str">
        <f t="shared" si="373"/>
        <v>43070Tiahura1298Autres</v>
      </c>
      <c r="B8085" s="61">
        <v>43070</v>
      </c>
      <c r="C8085" s="62" t="s">
        <v>24</v>
      </c>
      <c r="D8085" s="63">
        <v>12</v>
      </c>
      <c r="E8085" s="62">
        <v>98</v>
      </c>
      <c r="F8085" s="62" t="s">
        <v>14</v>
      </c>
      <c r="G8085" s="62"/>
      <c r="H8085" s="62">
        <v>0</v>
      </c>
    </row>
    <row r="8086" spans="1:8" x14ac:dyDescent="0.2">
      <c r="A8086" t="str">
        <f t="shared" si="373"/>
        <v>43070Tiahura1299Autres</v>
      </c>
      <c r="B8086" s="61">
        <v>43070</v>
      </c>
      <c r="C8086" s="62" t="s">
        <v>24</v>
      </c>
      <c r="D8086" s="63">
        <v>12</v>
      </c>
      <c r="E8086" s="62">
        <v>99</v>
      </c>
      <c r="F8086" s="62" t="s">
        <v>14</v>
      </c>
      <c r="G8086" s="62"/>
      <c r="H8086" s="62">
        <v>0</v>
      </c>
    </row>
    <row r="8087" spans="1:8" x14ac:dyDescent="0.2">
      <c r="A8087" t="str">
        <f t="shared" si="373"/>
        <v>43070Tiahura12100Autres</v>
      </c>
      <c r="B8087" s="61">
        <v>43070</v>
      </c>
      <c r="C8087" s="62" t="s">
        <v>24</v>
      </c>
      <c r="D8087" s="63">
        <v>12</v>
      </c>
      <c r="E8087" s="62">
        <v>100</v>
      </c>
      <c r="F8087" s="62" t="s">
        <v>14</v>
      </c>
      <c r="G8087" s="62"/>
      <c r="H8087" s="62">
        <v>0</v>
      </c>
    </row>
    <row r="8088" spans="1:8" x14ac:dyDescent="0.2">
      <c r="A8088" t="str">
        <f t="shared" si="373"/>
        <v>43070Tiahura18101PocilloporidaeDessous</v>
      </c>
      <c r="B8088" s="61">
        <v>43070</v>
      </c>
      <c r="C8088" s="62" t="s">
        <v>24</v>
      </c>
      <c r="D8088" s="63">
        <v>18</v>
      </c>
      <c r="E8088" s="62">
        <v>101</v>
      </c>
      <c r="F8088" s="62" t="s">
        <v>10</v>
      </c>
      <c r="G8088" s="62" t="s">
        <v>8</v>
      </c>
      <c r="H8088" s="62">
        <v>1</v>
      </c>
    </row>
    <row r="8089" spans="1:8" x14ac:dyDescent="0.2">
      <c r="A8089" t="str">
        <f t="shared" si="373"/>
        <v>43070Tiahura18102PocilloporidaeBords</v>
      </c>
      <c r="B8089" s="61">
        <v>43070</v>
      </c>
      <c r="C8089" s="62" t="s">
        <v>24</v>
      </c>
      <c r="D8089" s="63">
        <v>18</v>
      </c>
      <c r="E8089" s="62">
        <v>102</v>
      </c>
      <c r="F8089" s="62" t="s">
        <v>10</v>
      </c>
      <c r="G8089" s="62" t="s">
        <v>13</v>
      </c>
      <c r="H8089" s="62">
        <v>1</v>
      </c>
    </row>
    <row r="8090" spans="1:8" x14ac:dyDescent="0.2">
      <c r="A8090" t="str">
        <f t="shared" si="373"/>
        <v>43070Tiahura18103Autres</v>
      </c>
      <c r="B8090" s="61">
        <v>43070</v>
      </c>
      <c r="C8090" s="62" t="s">
        <v>24</v>
      </c>
      <c r="D8090" s="63">
        <v>18</v>
      </c>
      <c r="E8090" s="62">
        <v>103</v>
      </c>
      <c r="F8090" s="62" t="s">
        <v>14</v>
      </c>
      <c r="G8090" s="62"/>
      <c r="H8090" s="62">
        <v>0</v>
      </c>
    </row>
    <row r="8091" spans="1:8" x14ac:dyDescent="0.2">
      <c r="A8091" t="str">
        <f t="shared" si="373"/>
        <v>43070Tiahura18104Autres</v>
      </c>
      <c r="B8091" s="61">
        <v>43070</v>
      </c>
      <c r="C8091" s="62" t="s">
        <v>24</v>
      </c>
      <c r="D8091" s="63">
        <v>18</v>
      </c>
      <c r="E8091" s="62">
        <v>104</v>
      </c>
      <c r="F8091" s="62" t="s">
        <v>14</v>
      </c>
      <c r="G8091" s="62"/>
      <c r="H8091" s="62">
        <v>0</v>
      </c>
    </row>
    <row r="8092" spans="1:8" x14ac:dyDescent="0.2">
      <c r="A8092" t="str">
        <f t="shared" si="373"/>
        <v>43070Tiahura18105Autres</v>
      </c>
      <c r="B8092" s="61">
        <v>43070</v>
      </c>
      <c r="C8092" s="62" t="s">
        <v>24</v>
      </c>
      <c r="D8092" s="63">
        <v>18</v>
      </c>
      <c r="E8092" s="62">
        <v>105</v>
      </c>
      <c r="F8092" s="62" t="s">
        <v>14</v>
      </c>
      <c r="G8092" s="62"/>
      <c r="H8092" s="62">
        <v>0</v>
      </c>
    </row>
    <row r="8093" spans="1:8" x14ac:dyDescent="0.2">
      <c r="A8093" t="str">
        <f t="shared" si="373"/>
        <v>43070Tiahura18106Autres</v>
      </c>
      <c r="B8093" s="61">
        <v>43070</v>
      </c>
      <c r="C8093" s="62" t="s">
        <v>24</v>
      </c>
      <c r="D8093" s="63">
        <v>18</v>
      </c>
      <c r="E8093" s="62">
        <v>106</v>
      </c>
      <c r="F8093" s="62" t="s">
        <v>14</v>
      </c>
      <c r="G8093" s="62"/>
      <c r="H8093" s="62">
        <v>0</v>
      </c>
    </row>
    <row r="8094" spans="1:8" x14ac:dyDescent="0.2">
      <c r="A8094" t="str">
        <f t="shared" si="373"/>
        <v>43070Tiahura18107Autres</v>
      </c>
      <c r="B8094" s="61">
        <v>43070</v>
      </c>
      <c r="C8094" s="62" t="s">
        <v>24</v>
      </c>
      <c r="D8094" s="63">
        <v>18</v>
      </c>
      <c r="E8094" s="62">
        <v>107</v>
      </c>
      <c r="F8094" s="62" t="s">
        <v>14</v>
      </c>
      <c r="G8094" s="62"/>
      <c r="H8094" s="62">
        <v>0</v>
      </c>
    </row>
    <row r="8095" spans="1:8" x14ac:dyDescent="0.2">
      <c r="A8095" t="str">
        <f t="shared" si="373"/>
        <v>43070Tiahura18108Autres</v>
      </c>
      <c r="B8095" s="61">
        <v>43070</v>
      </c>
      <c r="C8095" s="62" t="s">
        <v>24</v>
      </c>
      <c r="D8095" s="63">
        <v>18</v>
      </c>
      <c r="E8095" s="62">
        <v>108</v>
      </c>
      <c r="F8095" s="62" t="s">
        <v>14</v>
      </c>
      <c r="G8095" s="62"/>
      <c r="H8095" s="62">
        <v>0</v>
      </c>
    </row>
    <row r="8096" spans="1:8" x14ac:dyDescent="0.2">
      <c r="A8096" t="str">
        <f t="shared" si="373"/>
        <v>43070Tiahura18109Autres</v>
      </c>
      <c r="B8096" s="61">
        <v>43070</v>
      </c>
      <c r="C8096" s="62" t="s">
        <v>24</v>
      </c>
      <c r="D8096" s="63">
        <v>18</v>
      </c>
      <c r="E8096" s="62">
        <v>109</v>
      </c>
      <c r="F8096" s="62" t="s">
        <v>14</v>
      </c>
      <c r="G8096" s="62"/>
      <c r="H8096" s="62">
        <v>0</v>
      </c>
    </row>
    <row r="8097" spans="1:9" x14ac:dyDescent="0.2">
      <c r="A8097" t="str">
        <f t="shared" si="373"/>
        <v>43070Tiahura18110Autres</v>
      </c>
      <c r="B8097" s="61">
        <v>43070</v>
      </c>
      <c r="C8097" s="62" t="s">
        <v>24</v>
      </c>
      <c r="D8097" s="63">
        <v>18</v>
      </c>
      <c r="E8097" s="62">
        <v>110</v>
      </c>
      <c r="F8097" s="62" t="s">
        <v>14</v>
      </c>
      <c r="G8097" s="62"/>
      <c r="H8097" s="62">
        <v>0</v>
      </c>
    </row>
    <row r="8098" spans="1:9" x14ac:dyDescent="0.2">
      <c r="A8098" t="str">
        <f t="shared" si="373"/>
        <v>43070Tiahura18111</v>
      </c>
      <c r="B8098" s="61">
        <v>43070</v>
      </c>
      <c r="C8098" s="62" t="s">
        <v>24</v>
      </c>
      <c r="D8098" s="63">
        <v>18</v>
      </c>
      <c r="E8098" s="62">
        <v>111</v>
      </c>
      <c r="F8098" s="62"/>
      <c r="G8098" s="62"/>
      <c r="H8098" s="62"/>
      <c r="I8098" t="s">
        <v>31</v>
      </c>
    </row>
    <row r="8099" spans="1:9" x14ac:dyDescent="0.2">
      <c r="A8099" t="str">
        <f t="shared" si="373"/>
        <v>43070Tiahura18112PocilloporidaeBords</v>
      </c>
      <c r="B8099" s="61">
        <v>43070</v>
      </c>
      <c r="C8099" s="62" t="s">
        <v>24</v>
      </c>
      <c r="D8099" s="63">
        <v>18</v>
      </c>
      <c r="E8099" s="62">
        <v>112</v>
      </c>
      <c r="F8099" s="62" t="s">
        <v>10</v>
      </c>
      <c r="G8099" s="62" t="s">
        <v>13</v>
      </c>
      <c r="H8099" s="62">
        <v>1</v>
      </c>
    </row>
    <row r="8100" spans="1:9" x14ac:dyDescent="0.2">
      <c r="A8100" t="str">
        <f t="shared" si="373"/>
        <v>43070Tiahura18113CassésDessous</v>
      </c>
      <c r="B8100" s="61">
        <v>43070</v>
      </c>
      <c r="C8100" s="62" t="s">
        <v>24</v>
      </c>
      <c r="D8100" s="63">
        <v>18</v>
      </c>
      <c r="E8100" s="62">
        <v>113</v>
      </c>
      <c r="F8100" s="62" t="s">
        <v>12</v>
      </c>
      <c r="G8100" s="62" t="s">
        <v>8</v>
      </c>
      <c r="H8100" s="62">
        <v>1</v>
      </c>
    </row>
    <row r="8101" spans="1:9" x14ac:dyDescent="0.2">
      <c r="A8101" t="str">
        <f t="shared" si="373"/>
        <v>43070Tiahura18114PocilloporidaeBords</v>
      </c>
      <c r="B8101" s="61">
        <v>43070</v>
      </c>
      <c r="C8101" s="62" t="s">
        <v>24</v>
      </c>
      <c r="D8101" s="63">
        <v>18</v>
      </c>
      <c r="E8101" s="62">
        <v>114</v>
      </c>
      <c r="F8101" s="62" t="s">
        <v>10</v>
      </c>
      <c r="G8101" s="62" t="s">
        <v>13</v>
      </c>
      <c r="H8101" s="62">
        <v>2</v>
      </c>
    </row>
    <row r="8102" spans="1:9" x14ac:dyDescent="0.2">
      <c r="A8102" t="str">
        <f t="shared" si="373"/>
        <v>43070Tiahura18115PocilloporidaeDessous</v>
      </c>
      <c r="B8102" s="61">
        <v>43070</v>
      </c>
      <c r="C8102" s="62" t="s">
        <v>24</v>
      </c>
      <c r="D8102" s="63">
        <v>18</v>
      </c>
      <c r="E8102" s="62">
        <v>115</v>
      </c>
      <c r="F8102" s="62" t="s">
        <v>10</v>
      </c>
      <c r="G8102" s="62" t="s">
        <v>8</v>
      </c>
      <c r="H8102" s="62">
        <v>1</v>
      </c>
    </row>
    <row r="8103" spans="1:9" x14ac:dyDescent="0.2">
      <c r="A8103" t="str">
        <f t="shared" si="373"/>
        <v>43070Tiahura18116</v>
      </c>
      <c r="B8103" s="61">
        <v>43070</v>
      </c>
      <c r="C8103" s="62" t="s">
        <v>24</v>
      </c>
      <c r="D8103" s="63">
        <v>18</v>
      </c>
      <c r="E8103" s="62">
        <v>116</v>
      </c>
      <c r="F8103" s="62"/>
      <c r="G8103" s="62"/>
      <c r="H8103" s="62"/>
      <c r="I8103" t="s">
        <v>31</v>
      </c>
    </row>
    <row r="8104" spans="1:9" x14ac:dyDescent="0.2">
      <c r="A8104" t="str">
        <f t="shared" si="373"/>
        <v>43070Tiahura18117AcroporitidaeDessous</v>
      </c>
      <c r="B8104" s="61">
        <v>43070</v>
      </c>
      <c r="C8104" s="62" t="s">
        <v>24</v>
      </c>
      <c r="D8104" s="63">
        <v>18</v>
      </c>
      <c r="E8104" s="62">
        <v>117</v>
      </c>
      <c r="F8104" s="62" t="s">
        <v>37</v>
      </c>
      <c r="G8104" s="62" t="s">
        <v>8</v>
      </c>
      <c r="H8104" s="62">
        <v>1</v>
      </c>
    </row>
    <row r="8105" spans="1:9" x14ac:dyDescent="0.2">
      <c r="A8105" t="str">
        <f t="shared" si="373"/>
        <v>43070Tiahura18117CassésBords</v>
      </c>
      <c r="B8105" s="61">
        <v>43070</v>
      </c>
      <c r="C8105" s="62" t="s">
        <v>24</v>
      </c>
      <c r="D8105" s="63">
        <v>18</v>
      </c>
      <c r="E8105" s="62">
        <v>117</v>
      </c>
      <c r="F8105" s="62" t="s">
        <v>12</v>
      </c>
      <c r="G8105" s="62" t="s">
        <v>13</v>
      </c>
      <c r="H8105" s="62">
        <v>1</v>
      </c>
    </row>
    <row r="8106" spans="1:9" x14ac:dyDescent="0.2">
      <c r="A8106" t="str">
        <f t="shared" si="373"/>
        <v>43070Tiahura18117PocilloporidaeBords</v>
      </c>
      <c r="B8106" s="61">
        <v>43070</v>
      </c>
      <c r="C8106" s="62" t="s">
        <v>24</v>
      </c>
      <c r="D8106" s="63">
        <v>18</v>
      </c>
      <c r="E8106" s="62">
        <v>117</v>
      </c>
      <c r="F8106" s="62" t="s">
        <v>10</v>
      </c>
      <c r="G8106" s="62" t="s">
        <v>13</v>
      </c>
      <c r="H8106" s="62">
        <v>2</v>
      </c>
    </row>
    <row r="8107" spans="1:9" x14ac:dyDescent="0.2">
      <c r="A8107" t="str">
        <f t="shared" si="373"/>
        <v>43070Tiahura18118</v>
      </c>
      <c r="B8107" s="61">
        <v>43070</v>
      </c>
      <c r="C8107" s="62" t="s">
        <v>24</v>
      </c>
      <c r="D8107" s="63">
        <v>18</v>
      </c>
      <c r="E8107" s="62">
        <v>118</v>
      </c>
      <c r="F8107" s="62"/>
      <c r="G8107" s="62"/>
      <c r="H8107" s="62"/>
      <c r="I8107" t="s">
        <v>31</v>
      </c>
    </row>
    <row r="8108" spans="1:9" x14ac:dyDescent="0.2">
      <c r="A8108" t="str">
        <f t="shared" si="373"/>
        <v>43070Tiahura18119PocilloporidaeDessous</v>
      </c>
      <c r="B8108" s="61">
        <v>43070</v>
      </c>
      <c r="C8108" s="62" t="s">
        <v>24</v>
      </c>
      <c r="D8108" s="63">
        <v>18</v>
      </c>
      <c r="E8108" s="62">
        <v>119</v>
      </c>
      <c r="F8108" s="62" t="s">
        <v>10</v>
      </c>
      <c r="G8108" s="62" t="s">
        <v>8</v>
      </c>
      <c r="H8108" s="62">
        <v>1</v>
      </c>
    </row>
    <row r="8109" spans="1:9" x14ac:dyDescent="0.2">
      <c r="A8109" t="str">
        <f t="shared" si="373"/>
        <v>43070Tiahura18120</v>
      </c>
      <c r="B8109" s="61">
        <v>43070</v>
      </c>
      <c r="C8109" s="62" t="s">
        <v>24</v>
      </c>
      <c r="D8109" s="63">
        <v>18</v>
      </c>
      <c r="E8109" s="62">
        <v>120</v>
      </c>
      <c r="F8109" s="62"/>
      <c r="G8109" s="62"/>
      <c r="H8109" s="62"/>
      <c r="I8109" t="s">
        <v>31</v>
      </c>
    </row>
    <row r="8110" spans="1:9" x14ac:dyDescent="0.2">
      <c r="A8110" t="str">
        <f t="shared" si="373"/>
        <v>43070Haapiti6121Autres</v>
      </c>
      <c r="B8110" s="61">
        <v>43070</v>
      </c>
      <c r="C8110" s="62" t="s">
        <v>25</v>
      </c>
      <c r="D8110" s="63">
        <v>6</v>
      </c>
      <c r="E8110" s="62">
        <v>121</v>
      </c>
      <c r="F8110" s="62" t="s">
        <v>14</v>
      </c>
      <c r="G8110" s="62" t="s">
        <v>27</v>
      </c>
      <c r="H8110" s="62">
        <v>0</v>
      </c>
    </row>
    <row r="8111" spans="1:9" x14ac:dyDescent="0.2">
      <c r="A8111" t="str">
        <f t="shared" si="373"/>
        <v>43070Haapiti6122Autres</v>
      </c>
      <c r="B8111" s="61">
        <v>43070</v>
      </c>
      <c r="C8111" s="62" t="s">
        <v>25</v>
      </c>
      <c r="D8111" s="63">
        <v>6</v>
      </c>
      <c r="E8111" s="62">
        <v>122</v>
      </c>
      <c r="F8111" s="62" t="s">
        <v>14</v>
      </c>
      <c r="G8111" s="62" t="s">
        <v>27</v>
      </c>
      <c r="H8111" s="62">
        <v>0</v>
      </c>
    </row>
    <row r="8112" spans="1:9" x14ac:dyDescent="0.2">
      <c r="A8112" t="str">
        <f t="shared" si="373"/>
        <v>43070Haapiti6123Autres</v>
      </c>
      <c r="B8112" s="61">
        <v>43070</v>
      </c>
      <c r="C8112" s="62" t="s">
        <v>25</v>
      </c>
      <c r="D8112" s="63">
        <v>6</v>
      </c>
      <c r="E8112" s="62">
        <v>123</v>
      </c>
      <c r="F8112" s="62" t="s">
        <v>14</v>
      </c>
      <c r="G8112" s="62" t="s">
        <v>27</v>
      </c>
      <c r="H8112" s="62">
        <v>0</v>
      </c>
    </row>
    <row r="8113" spans="1:9" x14ac:dyDescent="0.2">
      <c r="A8113" t="str">
        <f t="shared" si="373"/>
        <v>43070Haapiti6124Autres</v>
      </c>
      <c r="B8113" s="61">
        <v>43070</v>
      </c>
      <c r="C8113" s="62" t="s">
        <v>25</v>
      </c>
      <c r="D8113" s="63">
        <v>6</v>
      </c>
      <c r="E8113" s="62">
        <v>124</v>
      </c>
      <c r="F8113" s="62" t="s">
        <v>14</v>
      </c>
      <c r="G8113" s="62" t="s">
        <v>27</v>
      </c>
      <c r="H8113" s="62">
        <v>0</v>
      </c>
    </row>
    <row r="8114" spans="1:9" x14ac:dyDescent="0.2">
      <c r="A8114" t="str">
        <f t="shared" si="373"/>
        <v>43070Haapiti6125PocilloporidaeDessous</v>
      </c>
      <c r="B8114" s="61">
        <v>43070</v>
      </c>
      <c r="C8114" s="62" t="s">
        <v>25</v>
      </c>
      <c r="D8114" s="63">
        <v>6</v>
      </c>
      <c r="E8114" s="62">
        <v>125</v>
      </c>
      <c r="F8114" s="62" t="s">
        <v>10</v>
      </c>
      <c r="G8114" s="62" t="s">
        <v>8</v>
      </c>
      <c r="H8114" s="62">
        <v>2</v>
      </c>
    </row>
    <row r="8115" spans="1:9" x14ac:dyDescent="0.2">
      <c r="A8115" t="str">
        <f t="shared" si="373"/>
        <v>43070Haapiti6126Autres</v>
      </c>
      <c r="B8115" s="61">
        <v>43070</v>
      </c>
      <c r="C8115" s="62" t="s">
        <v>25</v>
      </c>
      <c r="D8115" s="63">
        <v>6</v>
      </c>
      <c r="E8115" s="62">
        <v>126</v>
      </c>
      <c r="F8115" s="62" t="s">
        <v>14</v>
      </c>
      <c r="G8115" s="62" t="s">
        <v>27</v>
      </c>
      <c r="H8115" s="62">
        <v>0</v>
      </c>
    </row>
    <row r="8116" spans="1:9" x14ac:dyDescent="0.2">
      <c r="A8116" t="str">
        <f t="shared" si="373"/>
        <v>43070Haapiti6127Autres</v>
      </c>
      <c r="B8116" s="61">
        <v>43070</v>
      </c>
      <c r="C8116" s="62" t="s">
        <v>25</v>
      </c>
      <c r="D8116" s="63">
        <v>6</v>
      </c>
      <c r="E8116" s="62">
        <v>127</v>
      </c>
      <c r="F8116" s="62" t="s">
        <v>14</v>
      </c>
      <c r="G8116" s="62" t="s">
        <v>27</v>
      </c>
      <c r="H8116" s="62">
        <v>0</v>
      </c>
    </row>
    <row r="8117" spans="1:9" x14ac:dyDescent="0.2">
      <c r="A8117" t="str">
        <f t="shared" si="373"/>
        <v>43070Haapiti6128Autres</v>
      </c>
      <c r="B8117" s="61">
        <v>43070</v>
      </c>
      <c r="C8117" s="62" t="s">
        <v>25</v>
      </c>
      <c r="D8117" s="63">
        <v>6</v>
      </c>
      <c r="E8117" s="62">
        <v>128</v>
      </c>
      <c r="F8117" s="62" t="s">
        <v>14</v>
      </c>
      <c r="G8117" s="62" t="s">
        <v>27</v>
      </c>
      <c r="H8117" s="62">
        <v>0</v>
      </c>
    </row>
    <row r="8118" spans="1:9" x14ac:dyDescent="0.2">
      <c r="A8118" t="str">
        <f t="shared" si="373"/>
        <v>43070Haapiti6129</v>
      </c>
      <c r="B8118" s="61">
        <v>43070</v>
      </c>
      <c r="C8118" s="62" t="s">
        <v>25</v>
      </c>
      <c r="D8118" s="63">
        <v>6</v>
      </c>
      <c r="E8118" s="62">
        <v>129</v>
      </c>
      <c r="F8118" s="62"/>
      <c r="G8118" s="62" t="s">
        <v>27</v>
      </c>
      <c r="H8118" s="62"/>
      <c r="I8118" t="s">
        <v>31</v>
      </c>
    </row>
    <row r="8119" spans="1:9" x14ac:dyDescent="0.2">
      <c r="A8119" t="str">
        <f t="shared" si="373"/>
        <v>43070Haapiti6130Autres</v>
      </c>
      <c r="B8119" s="61">
        <v>43070</v>
      </c>
      <c r="C8119" s="62" t="s">
        <v>25</v>
      </c>
      <c r="D8119" s="63">
        <v>6</v>
      </c>
      <c r="E8119" s="62">
        <v>130</v>
      </c>
      <c r="F8119" s="62" t="s">
        <v>14</v>
      </c>
      <c r="G8119" s="62" t="s">
        <v>27</v>
      </c>
      <c r="H8119" s="62">
        <v>0</v>
      </c>
    </row>
    <row r="8120" spans="1:9" x14ac:dyDescent="0.2">
      <c r="A8120" t="str">
        <f t="shared" si="373"/>
        <v>43070Haapiti6131Autres</v>
      </c>
      <c r="B8120" s="61">
        <v>43070</v>
      </c>
      <c r="C8120" s="62" t="s">
        <v>25</v>
      </c>
      <c r="D8120" s="63">
        <v>6</v>
      </c>
      <c r="E8120" s="62">
        <v>131</v>
      </c>
      <c r="F8120" s="62" t="s">
        <v>14</v>
      </c>
      <c r="G8120" s="62"/>
      <c r="H8120" s="62">
        <v>0</v>
      </c>
    </row>
    <row r="8121" spans="1:9" x14ac:dyDescent="0.2">
      <c r="A8121" t="str">
        <f t="shared" si="373"/>
        <v>43070Haapiti6132Autres</v>
      </c>
      <c r="B8121" s="61">
        <v>43070</v>
      </c>
      <c r="C8121" s="62" t="s">
        <v>25</v>
      </c>
      <c r="D8121" s="63">
        <v>6</v>
      </c>
      <c r="E8121" s="62">
        <v>132</v>
      </c>
      <c r="F8121" s="62" t="s">
        <v>14</v>
      </c>
      <c r="G8121" s="62" t="s">
        <v>27</v>
      </c>
      <c r="H8121" s="62">
        <v>0</v>
      </c>
    </row>
    <row r="8122" spans="1:9" x14ac:dyDescent="0.2">
      <c r="A8122" t="str">
        <f t="shared" si="373"/>
        <v>43070Haapiti6133Autres</v>
      </c>
      <c r="B8122" s="61">
        <v>43070</v>
      </c>
      <c r="C8122" s="62" t="s">
        <v>25</v>
      </c>
      <c r="D8122" s="63">
        <v>6</v>
      </c>
      <c r="E8122" s="62">
        <v>133</v>
      </c>
      <c r="F8122" s="62" t="s">
        <v>14</v>
      </c>
      <c r="G8122" s="62" t="s">
        <v>27</v>
      </c>
      <c r="H8122" s="62">
        <v>0</v>
      </c>
    </row>
    <row r="8123" spans="1:9" x14ac:dyDescent="0.2">
      <c r="A8123" t="str">
        <f t="shared" si="373"/>
        <v>43070Haapiti6134Autres</v>
      </c>
      <c r="B8123" s="61">
        <v>43070</v>
      </c>
      <c r="C8123" s="62" t="s">
        <v>25</v>
      </c>
      <c r="D8123" s="63">
        <v>6</v>
      </c>
      <c r="E8123" s="62">
        <v>134</v>
      </c>
      <c r="F8123" s="62" t="s">
        <v>14</v>
      </c>
      <c r="G8123" s="62" t="s">
        <v>27</v>
      </c>
      <c r="H8123" s="62">
        <v>0</v>
      </c>
    </row>
    <row r="8124" spans="1:9" x14ac:dyDescent="0.2">
      <c r="A8124" t="str">
        <f t="shared" si="373"/>
        <v>43070Haapiti6135Autres</v>
      </c>
      <c r="B8124" s="61">
        <v>43070</v>
      </c>
      <c r="C8124" s="62" t="s">
        <v>25</v>
      </c>
      <c r="D8124" s="63">
        <v>6</v>
      </c>
      <c r="E8124" s="62">
        <v>135</v>
      </c>
      <c r="F8124" s="62" t="s">
        <v>14</v>
      </c>
      <c r="G8124" s="62" t="s">
        <v>27</v>
      </c>
      <c r="H8124" s="62">
        <v>0</v>
      </c>
    </row>
    <row r="8125" spans="1:9" x14ac:dyDescent="0.2">
      <c r="A8125" t="str">
        <f t="shared" si="373"/>
        <v>43070Haapiti6136Autres</v>
      </c>
      <c r="B8125" s="61">
        <v>43070</v>
      </c>
      <c r="C8125" s="62" t="s">
        <v>25</v>
      </c>
      <c r="D8125" s="63">
        <v>6</v>
      </c>
      <c r="E8125" s="62">
        <v>136</v>
      </c>
      <c r="F8125" s="62" t="s">
        <v>14</v>
      </c>
      <c r="G8125" s="62" t="s">
        <v>27</v>
      </c>
      <c r="H8125" s="62">
        <v>0</v>
      </c>
    </row>
    <row r="8126" spans="1:9" x14ac:dyDescent="0.2">
      <c r="A8126" t="str">
        <f t="shared" si="373"/>
        <v>43070Haapiti6137Autres</v>
      </c>
      <c r="B8126" s="61">
        <v>43070</v>
      </c>
      <c r="C8126" s="62" t="s">
        <v>25</v>
      </c>
      <c r="D8126" s="63">
        <v>6</v>
      </c>
      <c r="E8126" s="62">
        <v>137</v>
      </c>
      <c r="F8126" s="62" t="s">
        <v>14</v>
      </c>
      <c r="G8126" s="62" t="s">
        <v>27</v>
      </c>
      <c r="H8126" s="62">
        <v>0</v>
      </c>
    </row>
    <row r="8127" spans="1:9" x14ac:dyDescent="0.2">
      <c r="A8127" t="str">
        <f t="shared" ref="A8127:A8171" si="374">B8127 &amp; C8127&amp; D8127&amp; E8127 &amp; F8127 &amp;G8127</f>
        <v>43070Haapiti6138Autres</v>
      </c>
      <c r="B8127" s="61">
        <v>43070</v>
      </c>
      <c r="C8127" s="62" t="s">
        <v>25</v>
      </c>
      <c r="D8127" s="63">
        <v>6</v>
      </c>
      <c r="E8127" s="62">
        <v>138</v>
      </c>
      <c r="F8127" s="62" t="s">
        <v>14</v>
      </c>
      <c r="G8127" s="62" t="s">
        <v>27</v>
      </c>
      <c r="H8127" s="62">
        <v>0</v>
      </c>
    </row>
    <row r="8128" spans="1:9" x14ac:dyDescent="0.2">
      <c r="A8128" t="str">
        <f t="shared" si="374"/>
        <v>43070Haapiti6139Autres</v>
      </c>
      <c r="B8128" s="61">
        <v>43070</v>
      </c>
      <c r="C8128" s="62" t="s">
        <v>25</v>
      </c>
      <c r="D8128" s="63">
        <v>6</v>
      </c>
      <c r="E8128" s="62">
        <v>139</v>
      </c>
      <c r="F8128" s="62" t="s">
        <v>14</v>
      </c>
      <c r="G8128" s="62" t="s">
        <v>27</v>
      </c>
      <c r="H8128" s="62">
        <v>0</v>
      </c>
    </row>
    <row r="8129" spans="1:8" x14ac:dyDescent="0.2">
      <c r="A8129" t="str">
        <f t="shared" si="374"/>
        <v>43070Haapiti6140Autres</v>
      </c>
      <c r="B8129" s="61">
        <v>43070</v>
      </c>
      <c r="C8129" s="62" t="s">
        <v>25</v>
      </c>
      <c r="D8129" s="63">
        <v>6</v>
      </c>
      <c r="E8129" s="62">
        <v>140</v>
      </c>
      <c r="F8129" s="62" t="s">
        <v>14</v>
      </c>
      <c r="G8129" s="62" t="s">
        <v>27</v>
      </c>
      <c r="H8129" s="62">
        <v>0</v>
      </c>
    </row>
    <row r="8130" spans="1:8" x14ac:dyDescent="0.2">
      <c r="A8130" t="str">
        <f t="shared" si="374"/>
        <v>43070Haapiti12141Autres</v>
      </c>
      <c r="B8130" s="61">
        <v>43070</v>
      </c>
      <c r="C8130" s="62" t="s">
        <v>25</v>
      </c>
      <c r="D8130" s="63">
        <v>12</v>
      </c>
      <c r="E8130" s="62">
        <v>141</v>
      </c>
      <c r="F8130" s="62" t="s">
        <v>14</v>
      </c>
      <c r="G8130" s="62" t="s">
        <v>27</v>
      </c>
      <c r="H8130" s="62">
        <v>0</v>
      </c>
    </row>
    <row r="8131" spans="1:8" x14ac:dyDescent="0.2">
      <c r="A8131" t="str">
        <f t="shared" si="374"/>
        <v>43070Haapiti12142Autres</v>
      </c>
      <c r="B8131" s="61">
        <v>43070</v>
      </c>
      <c r="C8131" s="62" t="s">
        <v>25</v>
      </c>
      <c r="D8131" s="63">
        <v>12</v>
      </c>
      <c r="E8131" s="62">
        <v>142</v>
      </c>
      <c r="F8131" s="62" t="s">
        <v>14</v>
      </c>
      <c r="G8131" s="62" t="s">
        <v>27</v>
      </c>
      <c r="H8131" s="62">
        <v>0</v>
      </c>
    </row>
    <row r="8132" spans="1:8" x14ac:dyDescent="0.2">
      <c r="A8132" t="str">
        <f t="shared" si="374"/>
        <v>43070Haapiti12143Autres</v>
      </c>
      <c r="B8132" s="61">
        <v>43070</v>
      </c>
      <c r="C8132" s="62" t="s">
        <v>25</v>
      </c>
      <c r="D8132" s="63">
        <v>12</v>
      </c>
      <c r="E8132" s="62">
        <v>143</v>
      </c>
      <c r="F8132" s="62" t="s">
        <v>14</v>
      </c>
      <c r="G8132" s="62" t="s">
        <v>27</v>
      </c>
      <c r="H8132" s="62">
        <v>0</v>
      </c>
    </row>
    <row r="8133" spans="1:8" x14ac:dyDescent="0.2">
      <c r="A8133" t="str">
        <f t="shared" si="374"/>
        <v>43070Haapiti12144Autres</v>
      </c>
      <c r="B8133" s="61">
        <v>43070</v>
      </c>
      <c r="C8133" s="62" t="s">
        <v>25</v>
      </c>
      <c r="D8133" s="63">
        <v>12</v>
      </c>
      <c r="E8133" s="62">
        <v>144</v>
      </c>
      <c r="F8133" s="62" t="s">
        <v>14</v>
      </c>
      <c r="G8133" s="62" t="s">
        <v>27</v>
      </c>
      <c r="H8133" s="62">
        <v>0</v>
      </c>
    </row>
    <row r="8134" spans="1:8" x14ac:dyDescent="0.2">
      <c r="A8134" t="str">
        <f t="shared" si="374"/>
        <v>43070Haapiti12145Autres</v>
      </c>
      <c r="B8134" s="61">
        <v>43070</v>
      </c>
      <c r="C8134" s="62" t="s">
        <v>25</v>
      </c>
      <c r="D8134" s="63">
        <v>12</v>
      </c>
      <c r="E8134" s="62">
        <v>145</v>
      </c>
      <c r="F8134" s="62" t="s">
        <v>14</v>
      </c>
      <c r="G8134" s="62" t="s">
        <v>27</v>
      </c>
      <c r="H8134" s="62">
        <v>0</v>
      </c>
    </row>
    <row r="8135" spans="1:8" x14ac:dyDescent="0.2">
      <c r="A8135" t="str">
        <f t="shared" si="374"/>
        <v>43070Haapiti12146Autres</v>
      </c>
      <c r="B8135" s="61">
        <v>43070</v>
      </c>
      <c r="C8135" s="62" t="s">
        <v>25</v>
      </c>
      <c r="D8135" s="63">
        <v>12</v>
      </c>
      <c r="E8135" s="62">
        <v>146</v>
      </c>
      <c r="F8135" s="62" t="s">
        <v>14</v>
      </c>
      <c r="G8135" s="62" t="s">
        <v>27</v>
      </c>
      <c r="H8135" s="62">
        <v>0</v>
      </c>
    </row>
    <row r="8136" spans="1:8" x14ac:dyDescent="0.2">
      <c r="A8136" t="str">
        <f t="shared" si="374"/>
        <v>43070Haapiti12147PocilloporidaeDessous</v>
      </c>
      <c r="B8136" s="61">
        <v>43070</v>
      </c>
      <c r="C8136" s="62" t="s">
        <v>25</v>
      </c>
      <c r="D8136" s="63">
        <v>12</v>
      </c>
      <c r="E8136" s="62">
        <v>147</v>
      </c>
      <c r="F8136" s="62" t="s">
        <v>10</v>
      </c>
      <c r="G8136" s="62" t="s">
        <v>8</v>
      </c>
      <c r="H8136" s="62">
        <v>1</v>
      </c>
    </row>
    <row r="8137" spans="1:8" x14ac:dyDescent="0.2">
      <c r="A8137" t="str">
        <f t="shared" si="374"/>
        <v>43070Haapiti12148PocilloporidaeDessous</v>
      </c>
      <c r="B8137" s="61">
        <v>43070</v>
      </c>
      <c r="C8137" s="62" t="s">
        <v>25</v>
      </c>
      <c r="D8137" s="63">
        <v>12</v>
      </c>
      <c r="E8137" s="62">
        <v>148</v>
      </c>
      <c r="F8137" s="62" t="s">
        <v>10</v>
      </c>
      <c r="G8137" s="62" t="s">
        <v>8</v>
      </c>
      <c r="H8137" s="62">
        <v>1</v>
      </c>
    </row>
    <row r="8138" spans="1:8" x14ac:dyDescent="0.2">
      <c r="A8138" t="str">
        <f t="shared" si="374"/>
        <v>43070Haapiti12149Autres</v>
      </c>
      <c r="B8138" s="61">
        <v>43070</v>
      </c>
      <c r="C8138" s="62" t="s">
        <v>25</v>
      </c>
      <c r="D8138" s="63">
        <v>12</v>
      </c>
      <c r="E8138" s="62">
        <v>149</v>
      </c>
      <c r="F8138" s="62" t="s">
        <v>14</v>
      </c>
      <c r="G8138" s="62" t="s">
        <v>27</v>
      </c>
      <c r="H8138" s="62">
        <v>0</v>
      </c>
    </row>
    <row r="8139" spans="1:8" x14ac:dyDescent="0.2">
      <c r="A8139" t="str">
        <f t="shared" si="374"/>
        <v>43070Haapiti12150Autres</v>
      </c>
      <c r="B8139" s="61">
        <v>43070</v>
      </c>
      <c r="C8139" s="62" t="s">
        <v>25</v>
      </c>
      <c r="D8139" s="63">
        <v>12</v>
      </c>
      <c r="E8139" s="62">
        <v>150</v>
      </c>
      <c r="F8139" s="62" t="s">
        <v>14</v>
      </c>
      <c r="G8139" s="62" t="s">
        <v>27</v>
      </c>
      <c r="H8139" s="62">
        <v>0</v>
      </c>
    </row>
    <row r="8140" spans="1:8" x14ac:dyDescent="0.2">
      <c r="A8140" t="str">
        <f t="shared" si="374"/>
        <v>43070Haapiti12151Autres</v>
      </c>
      <c r="B8140" s="61">
        <v>43070</v>
      </c>
      <c r="C8140" s="62" t="s">
        <v>25</v>
      </c>
      <c r="D8140" s="63">
        <v>12</v>
      </c>
      <c r="E8140" s="62">
        <v>151</v>
      </c>
      <c r="F8140" s="62" t="s">
        <v>14</v>
      </c>
      <c r="G8140" s="62" t="s">
        <v>27</v>
      </c>
      <c r="H8140" s="62">
        <v>0</v>
      </c>
    </row>
    <row r="8141" spans="1:8" x14ac:dyDescent="0.2">
      <c r="A8141" t="str">
        <f t="shared" si="374"/>
        <v>43070Haapiti12152Autres</v>
      </c>
      <c r="B8141" s="61">
        <v>43070</v>
      </c>
      <c r="C8141" s="62" t="s">
        <v>25</v>
      </c>
      <c r="D8141" s="63">
        <v>12</v>
      </c>
      <c r="E8141" s="62">
        <v>152</v>
      </c>
      <c r="F8141" s="62" t="s">
        <v>14</v>
      </c>
      <c r="G8141" s="62" t="s">
        <v>27</v>
      </c>
      <c r="H8141" s="62">
        <v>0</v>
      </c>
    </row>
    <row r="8142" spans="1:8" x14ac:dyDescent="0.2">
      <c r="A8142" t="str">
        <f t="shared" si="374"/>
        <v>43070Haapiti12153PocilloporidaeDessous</v>
      </c>
      <c r="B8142" s="61">
        <v>43070</v>
      </c>
      <c r="C8142" s="62" t="s">
        <v>25</v>
      </c>
      <c r="D8142" s="63">
        <v>12</v>
      </c>
      <c r="E8142" s="62">
        <v>153</v>
      </c>
      <c r="F8142" s="62" t="s">
        <v>10</v>
      </c>
      <c r="G8142" s="62" t="s">
        <v>8</v>
      </c>
      <c r="H8142" s="62">
        <v>2</v>
      </c>
    </row>
    <row r="8143" spans="1:8" x14ac:dyDescent="0.2">
      <c r="A8143" t="str">
        <f t="shared" si="374"/>
        <v>43070Haapiti12154Autres</v>
      </c>
      <c r="B8143" s="61">
        <v>43070</v>
      </c>
      <c r="C8143" s="62" t="s">
        <v>25</v>
      </c>
      <c r="D8143" s="63">
        <v>12</v>
      </c>
      <c r="E8143" s="62">
        <v>154</v>
      </c>
      <c r="F8143" s="62" t="s">
        <v>14</v>
      </c>
      <c r="G8143" s="62"/>
      <c r="H8143" s="62">
        <v>0</v>
      </c>
    </row>
    <row r="8144" spans="1:8" x14ac:dyDescent="0.2">
      <c r="A8144" t="str">
        <f t="shared" si="374"/>
        <v>43070Haapiti12155Autres</v>
      </c>
      <c r="B8144" s="61">
        <v>43070</v>
      </c>
      <c r="C8144" s="62" t="s">
        <v>25</v>
      </c>
      <c r="D8144" s="63">
        <v>12</v>
      </c>
      <c r="E8144" s="62">
        <v>155</v>
      </c>
      <c r="F8144" s="62" t="s">
        <v>14</v>
      </c>
      <c r="G8144" s="62" t="s">
        <v>27</v>
      </c>
      <c r="H8144" s="62">
        <v>0</v>
      </c>
    </row>
    <row r="8145" spans="1:8" x14ac:dyDescent="0.2">
      <c r="A8145" t="str">
        <f t="shared" si="374"/>
        <v>43070Haapiti12156Autres</v>
      </c>
      <c r="B8145" s="61">
        <v>43070</v>
      </c>
      <c r="C8145" s="62" t="s">
        <v>25</v>
      </c>
      <c r="D8145" s="63">
        <v>12</v>
      </c>
      <c r="E8145" s="62">
        <v>156</v>
      </c>
      <c r="F8145" s="62" t="s">
        <v>14</v>
      </c>
      <c r="G8145" s="62" t="s">
        <v>27</v>
      </c>
      <c r="H8145" s="62">
        <v>0</v>
      </c>
    </row>
    <row r="8146" spans="1:8" x14ac:dyDescent="0.2">
      <c r="A8146" t="str">
        <f t="shared" si="374"/>
        <v>43070Haapiti12157Autres</v>
      </c>
      <c r="B8146" s="61">
        <v>43070</v>
      </c>
      <c r="C8146" s="62" t="s">
        <v>25</v>
      </c>
      <c r="D8146" s="63">
        <v>12</v>
      </c>
      <c r="E8146" s="62">
        <v>157</v>
      </c>
      <c r="F8146" s="62" t="s">
        <v>14</v>
      </c>
      <c r="G8146" s="62"/>
      <c r="H8146" s="62">
        <v>0</v>
      </c>
    </row>
    <row r="8147" spans="1:8" x14ac:dyDescent="0.2">
      <c r="A8147" t="str">
        <f t="shared" si="374"/>
        <v>43070Haapiti12158Autres</v>
      </c>
      <c r="B8147" s="61">
        <v>43070</v>
      </c>
      <c r="C8147" s="62" t="s">
        <v>25</v>
      </c>
      <c r="D8147" s="63">
        <v>12</v>
      </c>
      <c r="E8147" s="62">
        <v>158</v>
      </c>
      <c r="F8147" s="62" t="s">
        <v>14</v>
      </c>
      <c r="G8147" s="62"/>
      <c r="H8147" s="62">
        <v>0</v>
      </c>
    </row>
    <row r="8148" spans="1:8" x14ac:dyDescent="0.2">
      <c r="A8148" t="str">
        <f t="shared" si="374"/>
        <v>43070Haapiti12159Autres</v>
      </c>
      <c r="B8148" s="61">
        <v>43070</v>
      </c>
      <c r="C8148" s="62" t="s">
        <v>25</v>
      </c>
      <c r="D8148" s="63">
        <v>12</v>
      </c>
      <c r="E8148" s="62">
        <v>159</v>
      </c>
      <c r="F8148" s="62" t="s">
        <v>14</v>
      </c>
      <c r="G8148" s="62" t="s">
        <v>27</v>
      </c>
      <c r="H8148" s="62">
        <v>0</v>
      </c>
    </row>
    <row r="8149" spans="1:8" x14ac:dyDescent="0.2">
      <c r="A8149" t="str">
        <f t="shared" si="374"/>
        <v>43070Haapiti12160Autres</v>
      </c>
      <c r="B8149" s="61">
        <v>43070</v>
      </c>
      <c r="C8149" s="62" t="s">
        <v>25</v>
      </c>
      <c r="D8149" s="63">
        <v>12</v>
      </c>
      <c r="E8149" s="62">
        <v>160</v>
      </c>
      <c r="F8149" s="62" t="s">
        <v>14</v>
      </c>
      <c r="G8149" s="62"/>
      <c r="H8149" s="62">
        <v>0</v>
      </c>
    </row>
    <row r="8150" spans="1:8" x14ac:dyDescent="0.2">
      <c r="A8150" t="str">
        <f t="shared" si="374"/>
        <v>43070Haapiti18161Autres</v>
      </c>
      <c r="B8150" s="61">
        <v>43070</v>
      </c>
      <c r="C8150" s="62" t="s">
        <v>25</v>
      </c>
      <c r="D8150" s="63">
        <v>18</v>
      </c>
      <c r="E8150" s="62">
        <v>161</v>
      </c>
      <c r="F8150" s="62" t="s">
        <v>14</v>
      </c>
      <c r="G8150" s="62" t="s">
        <v>27</v>
      </c>
      <c r="H8150" s="62">
        <v>0</v>
      </c>
    </row>
    <row r="8151" spans="1:8" x14ac:dyDescent="0.2">
      <c r="A8151" t="str">
        <f t="shared" si="374"/>
        <v>43070Haapiti18162PocilloporidaeBords</v>
      </c>
      <c r="B8151" s="61">
        <v>43070</v>
      </c>
      <c r="C8151" s="62" t="s">
        <v>25</v>
      </c>
      <c r="D8151" s="63">
        <v>18</v>
      </c>
      <c r="E8151" s="62">
        <v>162</v>
      </c>
      <c r="F8151" s="62" t="s">
        <v>10</v>
      </c>
      <c r="G8151" s="62" t="s">
        <v>13</v>
      </c>
      <c r="H8151" s="62">
        <v>2</v>
      </c>
    </row>
    <row r="8152" spans="1:8" x14ac:dyDescent="0.2">
      <c r="A8152" t="str">
        <f t="shared" si="374"/>
        <v>43070Haapiti18163PocilloporidaeDessus</v>
      </c>
      <c r="B8152" s="61">
        <v>43070</v>
      </c>
      <c r="C8152" s="62" t="s">
        <v>25</v>
      </c>
      <c r="D8152" s="63">
        <v>18</v>
      </c>
      <c r="E8152" s="62">
        <v>163</v>
      </c>
      <c r="F8152" s="62" t="s">
        <v>10</v>
      </c>
      <c r="G8152" s="62" t="s">
        <v>11</v>
      </c>
      <c r="H8152" s="62">
        <v>1</v>
      </c>
    </row>
    <row r="8153" spans="1:8" x14ac:dyDescent="0.2">
      <c r="A8153" t="str">
        <f t="shared" si="374"/>
        <v>43070Haapiti18164PocilloporidaeDessous</v>
      </c>
      <c r="B8153" s="61">
        <v>43070</v>
      </c>
      <c r="C8153" s="62" t="s">
        <v>25</v>
      </c>
      <c r="D8153" s="63">
        <v>18</v>
      </c>
      <c r="E8153" s="62">
        <v>164</v>
      </c>
      <c r="F8153" s="62" t="s">
        <v>10</v>
      </c>
      <c r="G8153" s="62" t="s">
        <v>8</v>
      </c>
      <c r="H8153" s="62">
        <v>2</v>
      </c>
    </row>
    <row r="8154" spans="1:8" x14ac:dyDescent="0.2">
      <c r="A8154" t="str">
        <f t="shared" si="374"/>
        <v>43070Haapiti18165Autres</v>
      </c>
      <c r="B8154" s="61">
        <v>43070</v>
      </c>
      <c r="C8154" s="62" t="s">
        <v>25</v>
      </c>
      <c r="D8154" s="63">
        <v>18</v>
      </c>
      <c r="E8154" s="62">
        <v>165</v>
      </c>
      <c r="F8154" s="62" t="s">
        <v>14</v>
      </c>
      <c r="G8154" s="62"/>
      <c r="H8154" s="62">
        <v>0</v>
      </c>
    </row>
    <row r="8155" spans="1:8" x14ac:dyDescent="0.2">
      <c r="A8155" t="str">
        <f t="shared" si="374"/>
        <v>43070Haapiti18166Autres</v>
      </c>
      <c r="B8155" s="61">
        <v>43070</v>
      </c>
      <c r="C8155" s="62" t="s">
        <v>25</v>
      </c>
      <c r="D8155" s="63">
        <v>18</v>
      </c>
      <c r="E8155" s="62">
        <v>166</v>
      </c>
      <c r="F8155" s="62" t="s">
        <v>14</v>
      </c>
      <c r="G8155" s="62" t="s">
        <v>27</v>
      </c>
      <c r="H8155" s="62">
        <v>0</v>
      </c>
    </row>
    <row r="8156" spans="1:8" x14ac:dyDescent="0.2">
      <c r="A8156" t="str">
        <f t="shared" si="374"/>
        <v>43070Haapiti18167Autres</v>
      </c>
      <c r="B8156" s="61">
        <v>43070</v>
      </c>
      <c r="C8156" s="62" t="s">
        <v>25</v>
      </c>
      <c r="D8156" s="63">
        <v>18</v>
      </c>
      <c r="E8156" s="62">
        <v>167</v>
      </c>
      <c r="F8156" s="62" t="s">
        <v>14</v>
      </c>
      <c r="G8156" s="62" t="s">
        <v>27</v>
      </c>
      <c r="H8156" s="62">
        <v>0</v>
      </c>
    </row>
    <row r="8157" spans="1:8" x14ac:dyDescent="0.2">
      <c r="A8157" t="str">
        <f t="shared" si="374"/>
        <v>43070Haapiti18168Autres</v>
      </c>
      <c r="B8157" s="61">
        <v>43070</v>
      </c>
      <c r="C8157" s="62" t="s">
        <v>25</v>
      </c>
      <c r="D8157" s="63">
        <v>18</v>
      </c>
      <c r="E8157" s="62">
        <v>168</v>
      </c>
      <c r="F8157" s="62" t="s">
        <v>14</v>
      </c>
      <c r="G8157" s="62" t="s">
        <v>27</v>
      </c>
      <c r="H8157" s="62">
        <v>0</v>
      </c>
    </row>
    <row r="8158" spans="1:8" x14ac:dyDescent="0.2">
      <c r="A8158" t="str">
        <f t="shared" si="374"/>
        <v>43070Haapiti18169PocilloporidaeDessous</v>
      </c>
      <c r="B8158" s="61">
        <v>43070</v>
      </c>
      <c r="C8158" s="62" t="s">
        <v>25</v>
      </c>
      <c r="D8158" s="63">
        <v>18</v>
      </c>
      <c r="E8158" s="62">
        <v>169</v>
      </c>
      <c r="F8158" s="62" t="s">
        <v>10</v>
      </c>
      <c r="G8158" s="62" t="s">
        <v>8</v>
      </c>
      <c r="H8158" s="62">
        <v>1</v>
      </c>
    </row>
    <row r="8159" spans="1:8" x14ac:dyDescent="0.2">
      <c r="A8159" t="str">
        <f t="shared" si="374"/>
        <v>43070Haapiti18170PocilloporidaeBords</v>
      </c>
      <c r="B8159" s="61">
        <v>43070</v>
      </c>
      <c r="C8159" s="62" t="s">
        <v>25</v>
      </c>
      <c r="D8159" s="63">
        <v>18</v>
      </c>
      <c r="E8159" s="62">
        <v>170</v>
      </c>
      <c r="F8159" s="62" t="s">
        <v>10</v>
      </c>
      <c r="G8159" s="62" t="s">
        <v>13</v>
      </c>
      <c r="H8159" s="62">
        <v>2</v>
      </c>
    </row>
    <row r="8160" spans="1:8" x14ac:dyDescent="0.2">
      <c r="A8160" t="str">
        <f t="shared" si="374"/>
        <v>43070Haapiti18171Autres</v>
      </c>
      <c r="B8160" s="61">
        <v>43070</v>
      </c>
      <c r="C8160" s="62" t="s">
        <v>25</v>
      </c>
      <c r="D8160" s="63">
        <v>18</v>
      </c>
      <c r="E8160" s="62">
        <v>171</v>
      </c>
      <c r="F8160" s="62" t="s">
        <v>14</v>
      </c>
      <c r="G8160" s="62" t="s">
        <v>27</v>
      </c>
      <c r="H8160" s="62">
        <v>0</v>
      </c>
    </row>
    <row r="8161" spans="1:8" x14ac:dyDescent="0.2">
      <c r="A8161" t="str">
        <f t="shared" si="374"/>
        <v>43070Haapiti18172PocilloporidaeDessus</v>
      </c>
      <c r="B8161" s="61">
        <v>43070</v>
      </c>
      <c r="C8161" s="62" t="s">
        <v>25</v>
      </c>
      <c r="D8161" s="63">
        <v>18</v>
      </c>
      <c r="E8161" s="62">
        <v>172</v>
      </c>
      <c r="F8161" s="62" t="s">
        <v>10</v>
      </c>
      <c r="G8161" s="62" t="s">
        <v>11</v>
      </c>
      <c r="H8161" s="62">
        <v>1</v>
      </c>
    </row>
    <row r="8162" spans="1:8" x14ac:dyDescent="0.2">
      <c r="A8162" t="str">
        <f t="shared" si="374"/>
        <v>43070Haapiti18173Autres</v>
      </c>
      <c r="B8162" s="61">
        <v>43070</v>
      </c>
      <c r="C8162" s="62" t="s">
        <v>25</v>
      </c>
      <c r="D8162" s="63">
        <v>18</v>
      </c>
      <c r="E8162" s="62">
        <v>173</v>
      </c>
      <c r="F8162" s="62" t="s">
        <v>14</v>
      </c>
      <c r="G8162" s="62"/>
      <c r="H8162" s="62">
        <v>0</v>
      </c>
    </row>
    <row r="8163" spans="1:8" x14ac:dyDescent="0.2">
      <c r="A8163" t="str">
        <f t="shared" si="374"/>
        <v>43070Haapiti18174PocilloporidaeDessous</v>
      </c>
      <c r="B8163" s="61">
        <v>43070</v>
      </c>
      <c r="C8163" s="62" t="s">
        <v>25</v>
      </c>
      <c r="D8163" s="63">
        <v>18</v>
      </c>
      <c r="E8163" s="62">
        <v>174</v>
      </c>
      <c r="F8163" s="62" t="s">
        <v>10</v>
      </c>
      <c r="G8163" s="62" t="s">
        <v>8</v>
      </c>
      <c r="H8163" s="62">
        <v>3</v>
      </c>
    </row>
    <row r="8164" spans="1:8" x14ac:dyDescent="0.2">
      <c r="A8164" t="str">
        <f t="shared" si="374"/>
        <v>43070Haapiti18174PocilloporidaeDessus</v>
      </c>
      <c r="B8164" s="61">
        <v>43070</v>
      </c>
      <c r="C8164" s="62" t="s">
        <v>25</v>
      </c>
      <c r="D8164" s="63">
        <v>18</v>
      </c>
      <c r="E8164" s="62">
        <v>174</v>
      </c>
      <c r="F8164" s="62" t="s">
        <v>10</v>
      </c>
      <c r="G8164" s="62" t="s">
        <v>11</v>
      </c>
      <c r="H8164" s="62">
        <v>1</v>
      </c>
    </row>
    <row r="8165" spans="1:8" x14ac:dyDescent="0.2">
      <c r="A8165" t="str">
        <f t="shared" si="374"/>
        <v>43070Haapiti18175CassésDessous</v>
      </c>
      <c r="B8165" s="61">
        <v>43070</v>
      </c>
      <c r="C8165" s="62" t="s">
        <v>25</v>
      </c>
      <c r="D8165" s="63">
        <v>18</v>
      </c>
      <c r="E8165" s="62">
        <v>175</v>
      </c>
      <c r="F8165" s="62" t="s">
        <v>12</v>
      </c>
      <c r="G8165" s="62" t="s">
        <v>8</v>
      </c>
      <c r="H8165" s="62">
        <v>1</v>
      </c>
    </row>
    <row r="8166" spans="1:8" x14ac:dyDescent="0.2">
      <c r="A8166" t="str">
        <f t="shared" si="374"/>
        <v>43070Haapiti18175PocilloporidaeDessous</v>
      </c>
      <c r="B8166" s="61">
        <v>43070</v>
      </c>
      <c r="C8166" s="62" t="s">
        <v>25</v>
      </c>
      <c r="D8166" s="63">
        <v>18</v>
      </c>
      <c r="E8166" s="62">
        <v>175</v>
      </c>
      <c r="F8166" s="62" t="s">
        <v>10</v>
      </c>
      <c r="G8166" s="62" t="s">
        <v>8</v>
      </c>
      <c r="H8166" s="62">
        <v>3</v>
      </c>
    </row>
    <row r="8167" spans="1:8" x14ac:dyDescent="0.2">
      <c r="A8167" t="str">
        <f t="shared" si="374"/>
        <v>43070Haapiti18176Autres</v>
      </c>
      <c r="B8167" s="61">
        <v>43070</v>
      </c>
      <c r="C8167" s="62" t="s">
        <v>25</v>
      </c>
      <c r="D8167" s="63">
        <v>18</v>
      </c>
      <c r="E8167" s="62">
        <v>176</v>
      </c>
      <c r="F8167" s="62" t="s">
        <v>14</v>
      </c>
      <c r="G8167" s="62" t="s">
        <v>27</v>
      </c>
      <c r="H8167" s="62">
        <v>0</v>
      </c>
    </row>
    <row r="8168" spans="1:8" x14ac:dyDescent="0.2">
      <c r="A8168" t="str">
        <f t="shared" si="374"/>
        <v>43070Haapiti18177PocilloporidaeDessous</v>
      </c>
      <c r="B8168" s="61">
        <v>43070</v>
      </c>
      <c r="C8168" s="62" t="s">
        <v>25</v>
      </c>
      <c r="D8168" s="63">
        <v>18</v>
      </c>
      <c r="E8168" s="62">
        <v>177</v>
      </c>
      <c r="F8168" s="62" t="s">
        <v>10</v>
      </c>
      <c r="G8168" s="62" t="s">
        <v>8</v>
      </c>
      <c r="H8168" s="62">
        <v>2</v>
      </c>
    </row>
    <row r="8169" spans="1:8" x14ac:dyDescent="0.2">
      <c r="A8169" t="str">
        <f t="shared" si="374"/>
        <v>43070Haapiti18178CassésDessous</v>
      </c>
      <c r="B8169" s="61">
        <v>43070</v>
      </c>
      <c r="C8169" s="62" t="s">
        <v>25</v>
      </c>
      <c r="D8169" s="63">
        <v>18</v>
      </c>
      <c r="E8169" s="62">
        <v>178</v>
      </c>
      <c r="F8169" s="62" t="s">
        <v>12</v>
      </c>
      <c r="G8169" s="62" t="s">
        <v>8</v>
      </c>
      <c r="H8169" s="62">
        <v>1</v>
      </c>
    </row>
    <row r="8170" spans="1:8" x14ac:dyDescent="0.2">
      <c r="A8170" t="str">
        <f t="shared" si="374"/>
        <v>43070Haapiti18179Autres</v>
      </c>
      <c r="B8170" s="61">
        <v>43070</v>
      </c>
      <c r="C8170" s="62" t="s">
        <v>25</v>
      </c>
      <c r="D8170" s="63">
        <v>18</v>
      </c>
      <c r="E8170" s="62">
        <v>179</v>
      </c>
      <c r="F8170" s="62" t="s">
        <v>14</v>
      </c>
      <c r="G8170" s="62" t="s">
        <v>27</v>
      </c>
      <c r="H8170" s="62">
        <v>0</v>
      </c>
    </row>
    <row r="8171" spans="1:8" x14ac:dyDescent="0.2">
      <c r="A8171" t="str">
        <f t="shared" si="374"/>
        <v>43070Haapiti18180Autres</v>
      </c>
      <c r="B8171" s="61">
        <v>43070</v>
      </c>
      <c r="C8171" s="62" t="s">
        <v>25</v>
      </c>
      <c r="D8171" s="63">
        <v>18</v>
      </c>
      <c r="E8171" s="62">
        <v>180</v>
      </c>
      <c r="F8171" s="62" t="s">
        <v>14</v>
      </c>
      <c r="G8171" s="62" t="s">
        <v>27</v>
      </c>
      <c r="H8171" s="62">
        <v>0</v>
      </c>
    </row>
  </sheetData>
  <sortState xmlns:xlrd2="http://schemas.microsoft.com/office/spreadsheetml/2017/richdata2" ref="B2:I300">
    <sortCondition ref="B2:B300"/>
    <sortCondition ref="E2:E300"/>
  </sortState>
  <dataValidations count="5">
    <dataValidation type="whole" allowBlank="1" showInputMessage="1" showErrorMessage="1" sqref="H7770:H7771 H7773:H7774 H2:H7768 H7776:H7787 E2:E7787 H8050:H8082 H8084:H8171 E8050:E8171" xr:uid="{00000000-0002-0000-0100-000000000000}">
      <formula1>0</formula1>
      <formula2>100</formula2>
    </dataValidation>
    <dataValidation type="list" allowBlank="1" showInputMessage="1" showErrorMessage="1" sqref="F2:F7787 F8057:F8082 F8050:F8055 F8085:F8099 F8101:F8104 F8106:F8171" xr:uid="{00000000-0002-0000-0100-000001000000}">
      <formula1>familles</formula1>
    </dataValidation>
    <dataValidation type="list" allowBlank="1" showInputMessage="1" showErrorMessage="1" sqref="G2:G7787 G8050:G8082 G8084:G8171" xr:uid="{00000000-0002-0000-0100-000002000000}">
      <formula1>positions</formula1>
    </dataValidation>
    <dataValidation type="list" allowBlank="1" showInputMessage="1" showErrorMessage="1" sqref="D2:D7787 D7828:D7888 D8110:D8171" xr:uid="{00000000-0002-0000-0100-000003000000}">
      <formula1>profondeurs</formula1>
    </dataValidation>
    <dataValidation type="list" allowBlank="1" showInputMessage="1" showErrorMessage="1" sqref="C2:C7827 C8050:C8171" xr:uid="{00000000-0002-0000-0100-000004000000}">
      <formula1>sites</formula1>
    </dataValidation>
  </dataValidations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G404"/>
  <sheetViews>
    <sheetView workbookViewId="0">
      <selection activeCell="B17" sqref="B17"/>
    </sheetView>
  </sheetViews>
  <sheetFormatPr baseColWidth="10" defaultRowHeight="16" x14ac:dyDescent="0.2"/>
  <cols>
    <col min="1" max="1" width="23" customWidth="1"/>
    <col min="2" max="2" width="15.83203125" bestFit="1" customWidth="1"/>
    <col min="3" max="3" width="8" customWidth="1"/>
    <col min="4" max="4" width="6.83203125" customWidth="1"/>
    <col min="5" max="5" width="6.83203125" bestFit="1" customWidth="1"/>
    <col min="6" max="6" width="2.1640625" bestFit="1" customWidth="1"/>
    <col min="7" max="7" width="10.83203125" bestFit="1" customWidth="1"/>
  </cols>
  <sheetData>
    <row r="1" spans="1:7" x14ac:dyDescent="0.2">
      <c r="A1" s="2" t="s">
        <v>0</v>
      </c>
      <c r="B1" s="39">
        <v>39783</v>
      </c>
    </row>
    <row r="3" spans="1:7" x14ac:dyDescent="0.2">
      <c r="A3" s="2" t="s">
        <v>15</v>
      </c>
      <c r="B3" s="2" t="s">
        <v>38</v>
      </c>
    </row>
    <row r="4" spans="1:7" x14ac:dyDescent="0.2">
      <c r="A4" s="2" t="s">
        <v>39</v>
      </c>
      <c r="B4" t="s">
        <v>13</v>
      </c>
      <c r="C4" t="s">
        <v>8</v>
      </c>
      <c r="D4" t="s">
        <v>11</v>
      </c>
      <c r="E4" t="s">
        <v>40</v>
      </c>
      <c r="G4" t="s">
        <v>41</v>
      </c>
    </row>
    <row r="5" spans="1:7" x14ac:dyDescent="0.2">
      <c r="A5" s="3" t="s">
        <v>24</v>
      </c>
      <c r="B5" s="4">
        <v>20</v>
      </c>
      <c r="C5" s="4">
        <v>39</v>
      </c>
      <c r="D5" s="4">
        <v>6</v>
      </c>
      <c r="E5" s="4">
        <v>0</v>
      </c>
      <c r="F5" s="4"/>
      <c r="G5" s="4">
        <v>65</v>
      </c>
    </row>
    <row r="6" spans="1:7" x14ac:dyDescent="0.2">
      <c r="A6" s="38">
        <v>6</v>
      </c>
      <c r="B6" s="4">
        <v>8</v>
      </c>
      <c r="C6" s="4">
        <v>22</v>
      </c>
      <c r="D6" s="4">
        <v>1</v>
      </c>
      <c r="E6" s="4">
        <v>0</v>
      </c>
      <c r="F6" s="4"/>
      <c r="G6" s="4">
        <v>31</v>
      </c>
    </row>
    <row r="7" spans="1:7" x14ac:dyDescent="0.2">
      <c r="A7" s="5">
        <v>80</v>
      </c>
      <c r="B7" s="4"/>
      <c r="C7" s="4">
        <v>3</v>
      </c>
      <c r="D7" s="4"/>
      <c r="E7" s="4"/>
      <c r="F7" s="4"/>
      <c r="G7" s="4">
        <v>3</v>
      </c>
    </row>
    <row r="8" spans="1:7" x14ac:dyDescent="0.2">
      <c r="A8" s="6" t="s">
        <v>10</v>
      </c>
      <c r="B8" s="4"/>
      <c r="C8" s="4">
        <v>3</v>
      </c>
      <c r="D8" s="4"/>
      <c r="E8" s="4"/>
      <c r="F8" s="4"/>
      <c r="G8" s="4">
        <v>3</v>
      </c>
    </row>
    <row r="9" spans="1:7" x14ac:dyDescent="0.2">
      <c r="A9" s="5">
        <v>79</v>
      </c>
      <c r="B9" s="4">
        <v>1</v>
      </c>
      <c r="C9" s="4">
        <v>1</v>
      </c>
      <c r="D9" s="4"/>
      <c r="E9" s="4"/>
      <c r="F9" s="4"/>
      <c r="G9" s="4">
        <v>2</v>
      </c>
    </row>
    <row r="10" spans="1:7" x14ac:dyDescent="0.2">
      <c r="A10" s="6" t="s">
        <v>10</v>
      </c>
      <c r="B10" s="4">
        <v>1</v>
      </c>
      <c r="C10" s="4">
        <v>1</v>
      </c>
      <c r="D10" s="4"/>
      <c r="E10" s="4"/>
      <c r="F10" s="4"/>
      <c r="G10" s="4">
        <v>2</v>
      </c>
    </row>
    <row r="11" spans="1:7" x14ac:dyDescent="0.2">
      <c r="A11" s="5">
        <v>78</v>
      </c>
      <c r="B11" s="4">
        <v>1</v>
      </c>
      <c r="C11" s="4"/>
      <c r="D11" s="4"/>
      <c r="E11" s="4"/>
      <c r="F11" s="4"/>
      <c r="G11" s="4">
        <v>1</v>
      </c>
    </row>
    <row r="12" spans="1:7" x14ac:dyDescent="0.2">
      <c r="A12" s="6" t="s">
        <v>7</v>
      </c>
      <c r="B12" s="4">
        <v>1</v>
      </c>
      <c r="C12" s="4"/>
      <c r="D12" s="4"/>
      <c r="E12" s="4"/>
      <c r="F12" s="4"/>
      <c r="G12" s="4">
        <v>1</v>
      </c>
    </row>
    <row r="13" spans="1:7" x14ac:dyDescent="0.2">
      <c r="A13" s="5">
        <v>76</v>
      </c>
      <c r="B13" s="4"/>
      <c r="C13" s="4">
        <v>2</v>
      </c>
      <c r="D13" s="4">
        <v>1</v>
      </c>
      <c r="E13" s="4"/>
      <c r="F13" s="4"/>
      <c r="G13" s="4">
        <v>3</v>
      </c>
    </row>
    <row r="14" spans="1:7" x14ac:dyDescent="0.2">
      <c r="A14" s="6" t="s">
        <v>10</v>
      </c>
      <c r="B14" s="4"/>
      <c r="C14" s="4">
        <v>2</v>
      </c>
      <c r="D14" s="4">
        <v>1</v>
      </c>
      <c r="E14" s="4"/>
      <c r="F14" s="4"/>
      <c r="G14" s="4">
        <v>3</v>
      </c>
    </row>
    <row r="15" spans="1:7" x14ac:dyDescent="0.2">
      <c r="A15" s="5">
        <v>74</v>
      </c>
      <c r="B15" s="4">
        <v>1</v>
      </c>
      <c r="C15" s="4">
        <v>3</v>
      </c>
      <c r="D15" s="4"/>
      <c r="E15" s="4"/>
      <c r="F15" s="4"/>
      <c r="G15" s="4">
        <v>4</v>
      </c>
    </row>
    <row r="16" spans="1:7" x14ac:dyDescent="0.2">
      <c r="A16" s="6" t="s">
        <v>12</v>
      </c>
      <c r="B16" s="4"/>
      <c r="C16" s="4">
        <v>1</v>
      </c>
      <c r="D16" s="4"/>
      <c r="E16" s="4"/>
      <c r="F16" s="4"/>
      <c r="G16" s="4">
        <v>1</v>
      </c>
    </row>
    <row r="17" spans="1:7" x14ac:dyDescent="0.2">
      <c r="A17" s="6" t="s">
        <v>10</v>
      </c>
      <c r="B17" s="4"/>
      <c r="C17" s="4">
        <v>2</v>
      </c>
      <c r="D17" s="4"/>
      <c r="E17" s="4"/>
      <c r="F17" s="4"/>
      <c r="G17" s="4">
        <v>2</v>
      </c>
    </row>
    <row r="18" spans="1:7" x14ac:dyDescent="0.2">
      <c r="A18" s="6" t="s">
        <v>7</v>
      </c>
      <c r="B18" s="4">
        <v>1</v>
      </c>
      <c r="C18" s="4"/>
      <c r="D18" s="4"/>
      <c r="E18" s="4"/>
      <c r="F18" s="4"/>
      <c r="G18" s="4">
        <v>1</v>
      </c>
    </row>
    <row r="19" spans="1:7" x14ac:dyDescent="0.2">
      <c r="A19" s="5">
        <v>73</v>
      </c>
      <c r="B19" s="4">
        <v>1</v>
      </c>
      <c r="C19" s="4">
        <v>4</v>
      </c>
      <c r="D19" s="4"/>
      <c r="E19" s="4"/>
      <c r="F19" s="4"/>
      <c r="G19" s="4">
        <v>5</v>
      </c>
    </row>
    <row r="20" spans="1:7" x14ac:dyDescent="0.2">
      <c r="A20" s="6" t="s">
        <v>10</v>
      </c>
      <c r="B20" s="4">
        <v>1</v>
      </c>
      <c r="C20" s="4">
        <v>4</v>
      </c>
      <c r="D20" s="4"/>
      <c r="E20" s="4"/>
      <c r="F20" s="4"/>
      <c r="G20" s="4">
        <v>5</v>
      </c>
    </row>
    <row r="21" spans="1:7" x14ac:dyDescent="0.2">
      <c r="A21" s="5">
        <v>70</v>
      </c>
      <c r="B21" s="4"/>
      <c r="C21" s="4">
        <v>1</v>
      </c>
      <c r="D21" s="4"/>
      <c r="E21" s="4"/>
      <c r="F21" s="4"/>
      <c r="G21" s="4">
        <v>1</v>
      </c>
    </row>
    <row r="22" spans="1:7" x14ac:dyDescent="0.2">
      <c r="A22" s="6" t="s">
        <v>10</v>
      </c>
      <c r="B22" s="4"/>
      <c r="C22" s="4">
        <v>1</v>
      </c>
      <c r="D22" s="4"/>
      <c r="E22" s="4"/>
      <c r="F22" s="4"/>
      <c r="G22" s="4">
        <v>1</v>
      </c>
    </row>
    <row r="23" spans="1:7" x14ac:dyDescent="0.2">
      <c r="A23" s="5">
        <v>69</v>
      </c>
      <c r="B23" s="4"/>
      <c r="C23" s="4">
        <v>1</v>
      </c>
      <c r="D23" s="4"/>
      <c r="E23" s="4"/>
      <c r="F23" s="4"/>
      <c r="G23" s="4">
        <v>1</v>
      </c>
    </row>
    <row r="24" spans="1:7" x14ac:dyDescent="0.2">
      <c r="A24" s="6" t="s">
        <v>10</v>
      </c>
      <c r="B24" s="4"/>
      <c r="C24" s="4">
        <v>1</v>
      </c>
      <c r="D24" s="4"/>
      <c r="E24" s="4"/>
      <c r="F24" s="4"/>
      <c r="G24" s="4">
        <v>1</v>
      </c>
    </row>
    <row r="25" spans="1:7" x14ac:dyDescent="0.2">
      <c r="A25" s="5">
        <v>68</v>
      </c>
      <c r="B25" s="4">
        <v>2</v>
      </c>
      <c r="C25" s="4">
        <v>3</v>
      </c>
      <c r="D25" s="4"/>
      <c r="E25" s="4"/>
      <c r="F25" s="4"/>
      <c r="G25" s="4">
        <v>5</v>
      </c>
    </row>
    <row r="26" spans="1:7" x14ac:dyDescent="0.2">
      <c r="A26" s="6" t="s">
        <v>10</v>
      </c>
      <c r="B26" s="4">
        <v>2</v>
      </c>
      <c r="C26" s="4">
        <v>3</v>
      </c>
      <c r="D26" s="4"/>
      <c r="E26" s="4"/>
      <c r="F26" s="4"/>
      <c r="G26" s="4">
        <v>5</v>
      </c>
    </row>
    <row r="27" spans="1:7" x14ac:dyDescent="0.2">
      <c r="A27" s="5">
        <v>65</v>
      </c>
      <c r="B27" s="4">
        <v>1</v>
      </c>
      <c r="C27" s="4">
        <v>2</v>
      </c>
      <c r="D27" s="4"/>
      <c r="E27" s="4"/>
      <c r="F27" s="4"/>
      <c r="G27" s="4">
        <v>3</v>
      </c>
    </row>
    <row r="28" spans="1:7" x14ac:dyDescent="0.2">
      <c r="A28" s="6" t="s">
        <v>10</v>
      </c>
      <c r="B28" s="4">
        <v>1</v>
      </c>
      <c r="C28" s="4">
        <v>2</v>
      </c>
      <c r="D28" s="4"/>
      <c r="E28" s="4"/>
      <c r="F28" s="4"/>
      <c r="G28" s="4">
        <v>3</v>
      </c>
    </row>
    <row r="29" spans="1:7" x14ac:dyDescent="0.2">
      <c r="A29" s="5">
        <v>63</v>
      </c>
      <c r="B29" s="4">
        <v>1</v>
      </c>
      <c r="C29" s="4">
        <v>2</v>
      </c>
      <c r="D29" s="4"/>
      <c r="E29" s="4"/>
      <c r="F29" s="4"/>
      <c r="G29" s="4">
        <v>3</v>
      </c>
    </row>
    <row r="30" spans="1:7" x14ac:dyDescent="0.2">
      <c r="A30" s="6" t="s">
        <v>10</v>
      </c>
      <c r="B30" s="4">
        <v>1</v>
      </c>
      <c r="C30" s="4">
        <v>2</v>
      </c>
      <c r="D30" s="4"/>
      <c r="E30" s="4"/>
      <c r="F30" s="4"/>
      <c r="G30" s="4">
        <v>3</v>
      </c>
    </row>
    <row r="31" spans="1:7" x14ac:dyDescent="0.2">
      <c r="A31" s="5">
        <v>61</v>
      </c>
      <c r="B31" s="4"/>
      <c r="C31" s="4"/>
      <c r="D31" s="4"/>
      <c r="E31" s="4">
        <v>0</v>
      </c>
      <c r="F31" s="4"/>
      <c r="G31" s="4">
        <v>0</v>
      </c>
    </row>
    <row r="32" spans="1:7" x14ac:dyDescent="0.2">
      <c r="A32" s="6" t="s">
        <v>14</v>
      </c>
      <c r="B32" s="4"/>
      <c r="C32" s="4"/>
      <c r="D32" s="4"/>
      <c r="E32" s="4">
        <v>0</v>
      </c>
      <c r="F32" s="4"/>
      <c r="G32" s="4">
        <v>0</v>
      </c>
    </row>
    <row r="33" spans="1:7" x14ac:dyDescent="0.2">
      <c r="A33" s="5">
        <v>62</v>
      </c>
      <c r="B33" s="4"/>
      <c r="C33" s="4"/>
      <c r="D33" s="4"/>
      <c r="E33" s="4">
        <v>0</v>
      </c>
      <c r="F33" s="4"/>
      <c r="G33" s="4">
        <v>0</v>
      </c>
    </row>
    <row r="34" spans="1:7" x14ac:dyDescent="0.2">
      <c r="A34" s="6" t="s">
        <v>14</v>
      </c>
      <c r="B34" s="4"/>
      <c r="C34" s="4"/>
      <c r="D34" s="4"/>
      <c r="E34" s="4">
        <v>0</v>
      </c>
      <c r="F34" s="4"/>
      <c r="G34" s="4">
        <v>0</v>
      </c>
    </row>
    <row r="35" spans="1:7" x14ac:dyDescent="0.2">
      <c r="A35" s="5">
        <v>64</v>
      </c>
      <c r="B35" s="4"/>
      <c r="C35" s="4"/>
      <c r="D35" s="4"/>
      <c r="E35" s="4">
        <v>0</v>
      </c>
      <c r="F35" s="4"/>
      <c r="G35" s="4">
        <v>0</v>
      </c>
    </row>
    <row r="36" spans="1:7" x14ac:dyDescent="0.2">
      <c r="A36" s="6" t="s">
        <v>14</v>
      </c>
      <c r="B36" s="4"/>
      <c r="C36" s="4"/>
      <c r="D36" s="4"/>
      <c r="E36" s="4">
        <v>0</v>
      </c>
      <c r="F36" s="4"/>
      <c r="G36" s="4">
        <v>0</v>
      </c>
    </row>
    <row r="37" spans="1:7" x14ac:dyDescent="0.2">
      <c r="A37" s="5">
        <v>66</v>
      </c>
      <c r="B37" s="4"/>
      <c r="C37" s="4"/>
      <c r="D37" s="4"/>
      <c r="E37" s="4">
        <v>0</v>
      </c>
      <c r="F37" s="4"/>
      <c r="G37" s="4">
        <v>0</v>
      </c>
    </row>
    <row r="38" spans="1:7" x14ac:dyDescent="0.2">
      <c r="A38" s="6" t="s">
        <v>14</v>
      </c>
      <c r="B38" s="4"/>
      <c r="C38" s="4"/>
      <c r="D38" s="4"/>
      <c r="E38" s="4">
        <v>0</v>
      </c>
      <c r="F38" s="4"/>
      <c r="G38" s="4">
        <v>0</v>
      </c>
    </row>
    <row r="39" spans="1:7" x14ac:dyDescent="0.2">
      <c r="A39" s="5">
        <v>67</v>
      </c>
      <c r="B39" s="4"/>
      <c r="C39" s="4"/>
      <c r="D39" s="4"/>
      <c r="E39" s="4">
        <v>0</v>
      </c>
      <c r="F39" s="4"/>
      <c r="G39" s="4">
        <v>0</v>
      </c>
    </row>
    <row r="40" spans="1:7" x14ac:dyDescent="0.2">
      <c r="A40" s="6" t="s">
        <v>14</v>
      </c>
      <c r="B40" s="4"/>
      <c r="C40" s="4"/>
      <c r="D40" s="4"/>
      <c r="E40" s="4">
        <v>0</v>
      </c>
      <c r="F40" s="4"/>
      <c r="G40" s="4">
        <v>0</v>
      </c>
    </row>
    <row r="41" spans="1:7" x14ac:dyDescent="0.2">
      <c r="A41" s="5">
        <v>71</v>
      </c>
      <c r="B41" s="4"/>
      <c r="C41" s="4"/>
      <c r="D41" s="4"/>
      <c r="E41" s="4">
        <v>0</v>
      </c>
      <c r="F41" s="4"/>
      <c r="G41" s="4">
        <v>0</v>
      </c>
    </row>
    <row r="42" spans="1:7" x14ac:dyDescent="0.2">
      <c r="A42" s="6" t="s">
        <v>14</v>
      </c>
      <c r="B42" s="4"/>
      <c r="C42" s="4"/>
      <c r="D42" s="4"/>
      <c r="E42" s="4">
        <v>0</v>
      </c>
      <c r="F42" s="4"/>
      <c r="G42" s="4">
        <v>0</v>
      </c>
    </row>
    <row r="43" spans="1:7" x14ac:dyDescent="0.2">
      <c r="A43" s="5">
        <v>72</v>
      </c>
      <c r="B43" s="4"/>
      <c r="C43" s="4"/>
      <c r="D43" s="4"/>
      <c r="E43" s="4">
        <v>0</v>
      </c>
      <c r="F43" s="4"/>
      <c r="G43" s="4">
        <v>0</v>
      </c>
    </row>
    <row r="44" spans="1:7" x14ac:dyDescent="0.2">
      <c r="A44" s="6" t="s">
        <v>14</v>
      </c>
      <c r="B44" s="4"/>
      <c r="C44" s="4"/>
      <c r="D44" s="4"/>
      <c r="E44" s="4">
        <v>0</v>
      </c>
      <c r="F44" s="4"/>
      <c r="G44" s="4">
        <v>0</v>
      </c>
    </row>
    <row r="45" spans="1:7" x14ac:dyDescent="0.2">
      <c r="A45" s="5">
        <v>75</v>
      </c>
      <c r="B45" s="4"/>
      <c r="C45" s="4"/>
      <c r="D45" s="4"/>
      <c r="E45" s="4">
        <v>0</v>
      </c>
      <c r="F45" s="4"/>
      <c r="G45" s="4">
        <v>0</v>
      </c>
    </row>
    <row r="46" spans="1:7" x14ac:dyDescent="0.2">
      <c r="A46" s="6" t="s">
        <v>14</v>
      </c>
      <c r="B46" s="4"/>
      <c r="C46" s="4"/>
      <c r="D46" s="4"/>
      <c r="E46" s="4">
        <v>0</v>
      </c>
      <c r="F46" s="4"/>
      <c r="G46" s="4">
        <v>0</v>
      </c>
    </row>
    <row r="47" spans="1:7" x14ac:dyDescent="0.2">
      <c r="A47" s="5">
        <v>77</v>
      </c>
      <c r="B47" s="4"/>
      <c r="C47" s="4"/>
      <c r="D47" s="4"/>
      <c r="E47" s="4">
        <v>0</v>
      </c>
      <c r="F47" s="4"/>
      <c r="G47" s="4">
        <v>0</v>
      </c>
    </row>
    <row r="48" spans="1:7" x14ac:dyDescent="0.2">
      <c r="A48" s="6" t="s">
        <v>14</v>
      </c>
      <c r="B48" s="4"/>
      <c r="C48" s="4"/>
      <c r="D48" s="4"/>
      <c r="E48" s="4">
        <v>0</v>
      </c>
      <c r="F48" s="4"/>
      <c r="G48" s="4">
        <v>0</v>
      </c>
    </row>
    <row r="49" spans="1:7" x14ac:dyDescent="0.2">
      <c r="A49" s="38">
        <v>12</v>
      </c>
      <c r="B49" s="4">
        <v>5</v>
      </c>
      <c r="C49" s="4">
        <v>14</v>
      </c>
      <c r="D49" s="4">
        <v>2</v>
      </c>
      <c r="E49" s="4">
        <v>0</v>
      </c>
      <c r="F49" s="4"/>
      <c r="G49" s="4">
        <v>21</v>
      </c>
    </row>
    <row r="50" spans="1:7" x14ac:dyDescent="0.2">
      <c r="A50" s="5">
        <v>100</v>
      </c>
      <c r="B50" s="4"/>
      <c r="C50" s="4"/>
      <c r="D50" s="4">
        <v>1</v>
      </c>
      <c r="E50" s="4"/>
      <c r="F50" s="4"/>
      <c r="G50" s="4">
        <v>1</v>
      </c>
    </row>
    <row r="51" spans="1:7" x14ac:dyDescent="0.2">
      <c r="A51" s="6" t="s">
        <v>10</v>
      </c>
      <c r="B51" s="4"/>
      <c r="C51" s="4"/>
      <c r="D51" s="4">
        <v>1</v>
      </c>
      <c r="E51" s="4"/>
      <c r="F51" s="4"/>
      <c r="G51" s="4">
        <v>1</v>
      </c>
    </row>
    <row r="52" spans="1:7" x14ac:dyDescent="0.2">
      <c r="A52" s="5">
        <v>99</v>
      </c>
      <c r="B52" s="4"/>
      <c r="C52" s="4">
        <v>1</v>
      </c>
      <c r="D52" s="4"/>
      <c r="E52" s="4"/>
      <c r="F52" s="4"/>
      <c r="G52" s="4">
        <v>1</v>
      </c>
    </row>
    <row r="53" spans="1:7" x14ac:dyDescent="0.2">
      <c r="A53" s="6" t="s">
        <v>10</v>
      </c>
      <c r="B53" s="4"/>
      <c r="C53" s="4">
        <v>1</v>
      </c>
      <c r="D53" s="4"/>
      <c r="E53" s="4"/>
      <c r="F53" s="4"/>
      <c r="G53" s="4">
        <v>1</v>
      </c>
    </row>
    <row r="54" spans="1:7" x14ac:dyDescent="0.2">
      <c r="A54" s="5">
        <v>98</v>
      </c>
      <c r="B54" s="4">
        <v>2</v>
      </c>
      <c r="C54" s="4"/>
      <c r="D54" s="4"/>
      <c r="E54" s="4"/>
      <c r="F54" s="4"/>
      <c r="G54" s="4">
        <v>2</v>
      </c>
    </row>
    <row r="55" spans="1:7" x14ac:dyDescent="0.2">
      <c r="A55" s="6" t="s">
        <v>10</v>
      </c>
      <c r="B55" s="4">
        <v>2</v>
      </c>
      <c r="C55" s="4"/>
      <c r="D55" s="4"/>
      <c r="E55" s="4"/>
      <c r="F55" s="4"/>
      <c r="G55" s="4">
        <v>2</v>
      </c>
    </row>
    <row r="56" spans="1:7" x14ac:dyDescent="0.2">
      <c r="A56" s="5">
        <v>97</v>
      </c>
      <c r="B56" s="4">
        <v>1</v>
      </c>
      <c r="C56" s="4"/>
      <c r="D56" s="4"/>
      <c r="E56" s="4"/>
      <c r="F56" s="4"/>
      <c r="G56" s="4">
        <v>1</v>
      </c>
    </row>
    <row r="57" spans="1:7" x14ac:dyDescent="0.2">
      <c r="A57" s="6" t="s">
        <v>7</v>
      </c>
      <c r="B57" s="4">
        <v>1</v>
      </c>
      <c r="C57" s="4"/>
      <c r="D57" s="4"/>
      <c r="E57" s="4"/>
      <c r="F57" s="4"/>
      <c r="G57" s="4">
        <v>1</v>
      </c>
    </row>
    <row r="58" spans="1:7" x14ac:dyDescent="0.2">
      <c r="A58" s="5">
        <v>96</v>
      </c>
      <c r="B58" s="4"/>
      <c r="C58" s="4">
        <v>1</v>
      </c>
      <c r="D58" s="4"/>
      <c r="E58" s="4"/>
      <c r="F58" s="4"/>
      <c r="G58" s="4">
        <v>1</v>
      </c>
    </row>
    <row r="59" spans="1:7" x14ac:dyDescent="0.2">
      <c r="A59" s="6" t="s">
        <v>10</v>
      </c>
      <c r="B59" s="4"/>
      <c r="C59" s="4">
        <v>1</v>
      </c>
      <c r="D59" s="4"/>
      <c r="E59" s="4"/>
      <c r="F59" s="4"/>
      <c r="G59" s="4">
        <v>1</v>
      </c>
    </row>
    <row r="60" spans="1:7" x14ac:dyDescent="0.2">
      <c r="A60" s="5">
        <v>95</v>
      </c>
      <c r="B60" s="4"/>
      <c r="C60" s="4">
        <v>1</v>
      </c>
      <c r="D60" s="4"/>
      <c r="E60" s="4"/>
      <c r="F60" s="4"/>
      <c r="G60" s="4">
        <v>1</v>
      </c>
    </row>
    <row r="61" spans="1:7" x14ac:dyDescent="0.2">
      <c r="A61" s="6" t="s">
        <v>10</v>
      </c>
      <c r="B61" s="4"/>
      <c r="C61" s="4">
        <v>1</v>
      </c>
      <c r="D61" s="4"/>
      <c r="E61" s="4"/>
      <c r="F61" s="4"/>
      <c r="G61" s="4">
        <v>1</v>
      </c>
    </row>
    <row r="62" spans="1:7" x14ac:dyDescent="0.2">
      <c r="A62" s="5">
        <v>94</v>
      </c>
      <c r="B62" s="4"/>
      <c r="C62" s="4">
        <v>1</v>
      </c>
      <c r="D62" s="4"/>
      <c r="E62" s="4"/>
      <c r="F62" s="4"/>
      <c r="G62" s="4">
        <v>1</v>
      </c>
    </row>
    <row r="63" spans="1:7" x14ac:dyDescent="0.2">
      <c r="A63" s="6" t="s">
        <v>10</v>
      </c>
      <c r="B63" s="4"/>
      <c r="C63" s="4">
        <v>1</v>
      </c>
      <c r="D63" s="4"/>
      <c r="E63" s="4"/>
      <c r="F63" s="4"/>
      <c r="G63" s="4">
        <v>1</v>
      </c>
    </row>
    <row r="64" spans="1:7" x14ac:dyDescent="0.2">
      <c r="A64" s="5">
        <v>93</v>
      </c>
      <c r="B64" s="4">
        <v>1</v>
      </c>
      <c r="C64" s="4"/>
      <c r="D64" s="4"/>
      <c r="E64" s="4"/>
      <c r="F64" s="4"/>
      <c r="G64" s="4">
        <v>1</v>
      </c>
    </row>
    <row r="65" spans="1:7" x14ac:dyDescent="0.2">
      <c r="A65" s="6" t="s">
        <v>10</v>
      </c>
      <c r="B65" s="4">
        <v>1</v>
      </c>
      <c r="C65" s="4"/>
      <c r="D65" s="4"/>
      <c r="E65" s="4"/>
      <c r="F65" s="4"/>
      <c r="G65" s="4">
        <v>1</v>
      </c>
    </row>
    <row r="66" spans="1:7" x14ac:dyDescent="0.2">
      <c r="A66" s="5">
        <v>92</v>
      </c>
      <c r="B66" s="4"/>
      <c r="C66" s="4">
        <v>1</v>
      </c>
      <c r="D66" s="4"/>
      <c r="E66" s="4"/>
      <c r="F66" s="4"/>
      <c r="G66" s="4">
        <v>1</v>
      </c>
    </row>
    <row r="67" spans="1:7" x14ac:dyDescent="0.2">
      <c r="A67" s="6" t="s">
        <v>17</v>
      </c>
      <c r="B67" s="4"/>
      <c r="C67" s="4">
        <v>1</v>
      </c>
      <c r="D67" s="4"/>
      <c r="E67" s="4"/>
      <c r="F67" s="4"/>
      <c r="G67" s="4">
        <v>1</v>
      </c>
    </row>
    <row r="68" spans="1:7" x14ac:dyDescent="0.2">
      <c r="A68" s="5">
        <v>91</v>
      </c>
      <c r="B68" s="4"/>
      <c r="C68" s="4">
        <v>2</v>
      </c>
      <c r="D68" s="4"/>
      <c r="E68" s="4"/>
      <c r="F68" s="4"/>
      <c r="G68" s="4">
        <v>2</v>
      </c>
    </row>
    <row r="69" spans="1:7" x14ac:dyDescent="0.2">
      <c r="A69" s="6" t="s">
        <v>10</v>
      </c>
      <c r="B69" s="4"/>
      <c r="C69" s="4">
        <v>2</v>
      </c>
      <c r="D69" s="4"/>
      <c r="E69" s="4"/>
      <c r="F69" s="4"/>
      <c r="G69" s="4">
        <v>2</v>
      </c>
    </row>
    <row r="70" spans="1:7" x14ac:dyDescent="0.2">
      <c r="A70" s="5">
        <v>88</v>
      </c>
      <c r="B70" s="4"/>
      <c r="C70" s="4">
        <v>5</v>
      </c>
      <c r="D70" s="4"/>
      <c r="E70" s="4"/>
      <c r="F70" s="4"/>
      <c r="G70" s="4">
        <v>5</v>
      </c>
    </row>
    <row r="71" spans="1:7" x14ac:dyDescent="0.2">
      <c r="A71" s="6" t="s">
        <v>10</v>
      </c>
      <c r="B71" s="4"/>
      <c r="C71" s="4">
        <v>2</v>
      </c>
      <c r="D71" s="4"/>
      <c r="E71" s="4"/>
      <c r="F71" s="4"/>
      <c r="G71" s="4">
        <v>2</v>
      </c>
    </row>
    <row r="72" spans="1:7" x14ac:dyDescent="0.2">
      <c r="A72" s="6" t="s">
        <v>7</v>
      </c>
      <c r="B72" s="4"/>
      <c r="C72" s="4">
        <v>3</v>
      </c>
      <c r="D72" s="4"/>
      <c r="E72" s="4"/>
      <c r="F72" s="4"/>
      <c r="G72" s="4">
        <v>3</v>
      </c>
    </row>
    <row r="73" spans="1:7" x14ac:dyDescent="0.2">
      <c r="A73" s="5">
        <v>86</v>
      </c>
      <c r="B73" s="4"/>
      <c r="C73" s="4">
        <v>1</v>
      </c>
      <c r="D73" s="4"/>
      <c r="E73" s="4"/>
      <c r="F73" s="4"/>
      <c r="G73" s="4">
        <v>1</v>
      </c>
    </row>
    <row r="74" spans="1:7" x14ac:dyDescent="0.2">
      <c r="A74" s="6" t="s">
        <v>10</v>
      </c>
      <c r="B74" s="4"/>
      <c r="C74" s="4">
        <v>1</v>
      </c>
      <c r="D74" s="4"/>
      <c r="E74" s="4"/>
      <c r="F74" s="4"/>
      <c r="G74" s="4">
        <v>1</v>
      </c>
    </row>
    <row r="75" spans="1:7" x14ac:dyDescent="0.2">
      <c r="A75" s="5">
        <v>85</v>
      </c>
      <c r="B75" s="4"/>
      <c r="C75" s="4">
        <v>1</v>
      </c>
      <c r="D75" s="4"/>
      <c r="E75" s="4"/>
      <c r="F75" s="4"/>
      <c r="G75" s="4">
        <v>1</v>
      </c>
    </row>
    <row r="76" spans="1:7" x14ac:dyDescent="0.2">
      <c r="A76" s="6" t="s">
        <v>10</v>
      </c>
      <c r="B76" s="4"/>
      <c r="C76" s="4">
        <v>1</v>
      </c>
      <c r="D76" s="4"/>
      <c r="E76" s="4"/>
      <c r="F76" s="4"/>
      <c r="G76" s="4">
        <v>1</v>
      </c>
    </row>
    <row r="77" spans="1:7" x14ac:dyDescent="0.2">
      <c r="A77" s="5">
        <v>82</v>
      </c>
      <c r="B77" s="4">
        <v>1</v>
      </c>
      <c r="C77" s="4"/>
      <c r="D77" s="4"/>
      <c r="E77" s="4"/>
      <c r="F77" s="4"/>
      <c r="G77" s="4">
        <v>1</v>
      </c>
    </row>
    <row r="78" spans="1:7" x14ac:dyDescent="0.2">
      <c r="A78" s="6" t="s">
        <v>10</v>
      </c>
      <c r="B78" s="4">
        <v>1</v>
      </c>
      <c r="C78" s="4"/>
      <c r="D78" s="4"/>
      <c r="E78" s="4"/>
      <c r="F78" s="4"/>
      <c r="G78" s="4">
        <v>1</v>
      </c>
    </row>
    <row r="79" spans="1:7" x14ac:dyDescent="0.2">
      <c r="A79" s="5">
        <v>81</v>
      </c>
      <c r="B79" s="4"/>
      <c r="C79" s="4"/>
      <c r="D79" s="4">
        <v>1</v>
      </c>
      <c r="E79" s="4"/>
      <c r="F79" s="4"/>
      <c r="G79" s="4">
        <v>1</v>
      </c>
    </row>
    <row r="80" spans="1:7" x14ac:dyDescent="0.2">
      <c r="A80" s="6" t="s">
        <v>7</v>
      </c>
      <c r="B80" s="4"/>
      <c r="C80" s="4"/>
      <c r="D80" s="4">
        <v>1</v>
      </c>
      <c r="E80" s="4"/>
      <c r="F80" s="4"/>
      <c r="G80" s="4">
        <v>1</v>
      </c>
    </row>
    <row r="81" spans="1:7" x14ac:dyDescent="0.2">
      <c r="A81" s="5">
        <v>83</v>
      </c>
      <c r="B81" s="4"/>
      <c r="C81" s="4"/>
      <c r="D81" s="4"/>
      <c r="E81" s="4">
        <v>0</v>
      </c>
      <c r="F81" s="4"/>
      <c r="G81" s="4">
        <v>0</v>
      </c>
    </row>
    <row r="82" spans="1:7" x14ac:dyDescent="0.2">
      <c r="A82" s="6" t="s">
        <v>14</v>
      </c>
      <c r="B82" s="4"/>
      <c r="C82" s="4"/>
      <c r="D82" s="4"/>
      <c r="E82" s="4">
        <v>0</v>
      </c>
      <c r="F82" s="4"/>
      <c r="G82" s="4">
        <v>0</v>
      </c>
    </row>
    <row r="83" spans="1:7" x14ac:dyDescent="0.2">
      <c r="A83" s="5">
        <v>84</v>
      </c>
      <c r="B83" s="4"/>
      <c r="C83" s="4"/>
      <c r="D83" s="4"/>
      <c r="E83" s="4">
        <v>0</v>
      </c>
      <c r="F83" s="4"/>
      <c r="G83" s="4">
        <v>0</v>
      </c>
    </row>
    <row r="84" spans="1:7" x14ac:dyDescent="0.2">
      <c r="A84" s="6" t="s">
        <v>14</v>
      </c>
      <c r="B84" s="4"/>
      <c r="C84" s="4"/>
      <c r="D84" s="4"/>
      <c r="E84" s="4">
        <v>0</v>
      </c>
      <c r="F84" s="4"/>
      <c r="G84" s="4">
        <v>0</v>
      </c>
    </row>
    <row r="85" spans="1:7" x14ac:dyDescent="0.2">
      <c r="A85" s="5">
        <v>87</v>
      </c>
      <c r="B85" s="4"/>
      <c r="C85" s="4"/>
      <c r="D85" s="4"/>
      <c r="E85" s="4">
        <v>0</v>
      </c>
      <c r="F85" s="4"/>
      <c r="G85" s="4">
        <v>0</v>
      </c>
    </row>
    <row r="86" spans="1:7" x14ac:dyDescent="0.2">
      <c r="A86" s="6" t="s">
        <v>14</v>
      </c>
      <c r="B86" s="4"/>
      <c r="C86" s="4"/>
      <c r="D86" s="4"/>
      <c r="E86" s="4">
        <v>0</v>
      </c>
      <c r="F86" s="4"/>
      <c r="G86" s="4">
        <v>0</v>
      </c>
    </row>
    <row r="87" spans="1:7" x14ac:dyDescent="0.2">
      <c r="A87" s="5">
        <v>89</v>
      </c>
      <c r="B87" s="4"/>
      <c r="C87" s="4"/>
      <c r="D87" s="4"/>
      <c r="E87" s="4">
        <v>0</v>
      </c>
      <c r="F87" s="4"/>
      <c r="G87" s="4">
        <v>0</v>
      </c>
    </row>
    <row r="88" spans="1:7" x14ac:dyDescent="0.2">
      <c r="A88" s="6" t="s">
        <v>14</v>
      </c>
      <c r="B88" s="4"/>
      <c r="C88" s="4"/>
      <c r="D88" s="4"/>
      <c r="E88" s="4">
        <v>0</v>
      </c>
      <c r="F88" s="4"/>
      <c r="G88" s="4">
        <v>0</v>
      </c>
    </row>
    <row r="89" spans="1:7" x14ac:dyDescent="0.2">
      <c r="A89" s="5">
        <v>90</v>
      </c>
      <c r="B89" s="4"/>
      <c r="C89" s="4"/>
      <c r="D89" s="4"/>
      <c r="E89" s="4">
        <v>0</v>
      </c>
      <c r="F89" s="4"/>
      <c r="G89" s="4">
        <v>0</v>
      </c>
    </row>
    <row r="90" spans="1:7" x14ac:dyDescent="0.2">
      <c r="A90" s="6" t="s">
        <v>14</v>
      </c>
      <c r="B90" s="4"/>
      <c r="C90" s="4"/>
      <c r="D90" s="4"/>
      <c r="E90" s="4">
        <v>0</v>
      </c>
      <c r="F90" s="4"/>
      <c r="G90" s="4">
        <v>0</v>
      </c>
    </row>
    <row r="91" spans="1:7" x14ac:dyDescent="0.2">
      <c r="A91" s="38">
        <v>18</v>
      </c>
      <c r="B91" s="4">
        <v>7</v>
      </c>
      <c r="C91" s="4">
        <v>3</v>
      </c>
      <c r="D91" s="4">
        <v>3</v>
      </c>
      <c r="E91" s="4">
        <v>0</v>
      </c>
      <c r="F91" s="4"/>
      <c r="G91" s="4">
        <v>13</v>
      </c>
    </row>
    <row r="92" spans="1:7" x14ac:dyDescent="0.2">
      <c r="A92" s="5">
        <v>120</v>
      </c>
      <c r="B92" s="4">
        <v>4</v>
      </c>
      <c r="C92" s="4"/>
      <c r="D92" s="4"/>
      <c r="E92" s="4"/>
      <c r="F92" s="4"/>
      <c r="G92" s="4">
        <v>4</v>
      </c>
    </row>
    <row r="93" spans="1:7" x14ac:dyDescent="0.2">
      <c r="A93" s="6" t="s">
        <v>10</v>
      </c>
      <c r="B93" s="4">
        <v>4</v>
      </c>
      <c r="C93" s="4"/>
      <c r="D93" s="4"/>
      <c r="E93" s="4"/>
      <c r="F93" s="4"/>
      <c r="G93" s="4">
        <v>4</v>
      </c>
    </row>
    <row r="94" spans="1:7" x14ac:dyDescent="0.2">
      <c r="A94" s="5">
        <v>118</v>
      </c>
      <c r="B94" s="4">
        <v>1</v>
      </c>
      <c r="C94" s="4"/>
      <c r="D94" s="4"/>
      <c r="E94" s="4"/>
      <c r="F94" s="4"/>
      <c r="G94" s="4">
        <v>1</v>
      </c>
    </row>
    <row r="95" spans="1:7" x14ac:dyDescent="0.2">
      <c r="A95" s="6" t="s">
        <v>10</v>
      </c>
      <c r="B95" s="4">
        <v>1</v>
      </c>
      <c r="C95" s="4"/>
      <c r="D95" s="4"/>
      <c r="E95" s="4"/>
      <c r="F95" s="4"/>
      <c r="G95" s="4">
        <v>1</v>
      </c>
    </row>
    <row r="96" spans="1:7" x14ac:dyDescent="0.2">
      <c r="A96" s="5">
        <v>117</v>
      </c>
      <c r="B96" s="4"/>
      <c r="C96" s="4">
        <v>1</v>
      </c>
      <c r="D96" s="4"/>
      <c r="E96" s="4"/>
      <c r="F96" s="4"/>
      <c r="G96" s="4">
        <v>1</v>
      </c>
    </row>
    <row r="97" spans="1:7" x14ac:dyDescent="0.2">
      <c r="A97" s="6" t="s">
        <v>10</v>
      </c>
      <c r="B97" s="4"/>
      <c r="C97" s="4">
        <v>1</v>
      </c>
      <c r="D97" s="4"/>
      <c r="E97" s="4"/>
      <c r="F97" s="4"/>
      <c r="G97" s="4">
        <v>1</v>
      </c>
    </row>
    <row r="98" spans="1:7" x14ac:dyDescent="0.2">
      <c r="A98" s="5">
        <v>114</v>
      </c>
      <c r="B98" s="4">
        <v>1</v>
      </c>
      <c r="C98" s="4"/>
      <c r="D98" s="4"/>
      <c r="E98" s="4"/>
      <c r="F98" s="4"/>
      <c r="G98" s="4">
        <v>1</v>
      </c>
    </row>
    <row r="99" spans="1:7" x14ac:dyDescent="0.2">
      <c r="A99" s="6" t="s">
        <v>10</v>
      </c>
      <c r="B99" s="4">
        <v>1</v>
      </c>
      <c r="C99" s="4"/>
      <c r="D99" s="4"/>
      <c r="E99" s="4"/>
      <c r="F99" s="4"/>
      <c r="G99" s="4">
        <v>1</v>
      </c>
    </row>
    <row r="100" spans="1:7" x14ac:dyDescent="0.2">
      <c r="A100" s="5">
        <v>112</v>
      </c>
      <c r="B100" s="4"/>
      <c r="C100" s="4"/>
      <c r="D100" s="4">
        <v>1</v>
      </c>
      <c r="E100" s="4"/>
      <c r="F100" s="4"/>
      <c r="G100" s="4">
        <v>1</v>
      </c>
    </row>
    <row r="101" spans="1:7" x14ac:dyDescent="0.2">
      <c r="A101" s="6" t="s">
        <v>10</v>
      </c>
      <c r="B101" s="4"/>
      <c r="C101" s="4"/>
      <c r="D101" s="4">
        <v>1</v>
      </c>
      <c r="E101" s="4"/>
      <c r="F101" s="4"/>
      <c r="G101" s="4">
        <v>1</v>
      </c>
    </row>
    <row r="102" spans="1:7" x14ac:dyDescent="0.2">
      <c r="A102" s="5">
        <v>111</v>
      </c>
      <c r="B102" s="4"/>
      <c r="C102" s="4">
        <v>1</v>
      </c>
      <c r="D102" s="4">
        <v>1</v>
      </c>
      <c r="E102" s="4"/>
      <c r="F102" s="4"/>
      <c r="G102" s="4">
        <v>2</v>
      </c>
    </row>
    <row r="103" spans="1:7" x14ac:dyDescent="0.2">
      <c r="A103" s="6" t="s">
        <v>10</v>
      </c>
      <c r="B103" s="4"/>
      <c r="C103" s="4">
        <v>1</v>
      </c>
      <c r="D103" s="4">
        <v>1</v>
      </c>
      <c r="E103" s="4"/>
      <c r="F103" s="4"/>
      <c r="G103" s="4">
        <v>2</v>
      </c>
    </row>
    <row r="104" spans="1:7" x14ac:dyDescent="0.2">
      <c r="A104" s="5">
        <v>107</v>
      </c>
      <c r="B104" s="4">
        <v>1</v>
      </c>
      <c r="C104" s="4"/>
      <c r="D104" s="4"/>
      <c r="E104" s="4"/>
      <c r="F104" s="4"/>
      <c r="G104" s="4">
        <v>1</v>
      </c>
    </row>
    <row r="105" spans="1:7" x14ac:dyDescent="0.2">
      <c r="A105" s="6" t="s">
        <v>10</v>
      </c>
      <c r="B105" s="4">
        <v>1</v>
      </c>
      <c r="C105" s="4"/>
      <c r="D105" s="4"/>
      <c r="E105" s="4"/>
      <c r="F105" s="4"/>
      <c r="G105" s="4">
        <v>1</v>
      </c>
    </row>
    <row r="106" spans="1:7" x14ac:dyDescent="0.2">
      <c r="A106" s="5">
        <v>105</v>
      </c>
      <c r="B106" s="4"/>
      <c r="C106" s="4">
        <v>1</v>
      </c>
      <c r="D106" s="4"/>
      <c r="E106" s="4"/>
      <c r="F106" s="4"/>
      <c r="G106" s="4">
        <v>1</v>
      </c>
    </row>
    <row r="107" spans="1:7" x14ac:dyDescent="0.2">
      <c r="A107" s="6" t="s">
        <v>10</v>
      </c>
      <c r="B107" s="4"/>
      <c r="C107" s="4">
        <v>1</v>
      </c>
      <c r="D107" s="4"/>
      <c r="E107" s="4"/>
      <c r="F107" s="4"/>
      <c r="G107" s="4">
        <v>1</v>
      </c>
    </row>
    <row r="108" spans="1:7" x14ac:dyDescent="0.2">
      <c r="A108" s="5">
        <v>101</v>
      </c>
      <c r="B108" s="4"/>
      <c r="C108" s="4"/>
      <c r="D108" s="4"/>
      <c r="E108" s="4">
        <v>0</v>
      </c>
      <c r="F108" s="4"/>
      <c r="G108" s="4">
        <v>0</v>
      </c>
    </row>
    <row r="109" spans="1:7" x14ac:dyDescent="0.2">
      <c r="A109" s="6" t="s">
        <v>14</v>
      </c>
      <c r="B109" s="4"/>
      <c r="C109" s="4"/>
      <c r="D109" s="4"/>
      <c r="E109" s="4">
        <v>0</v>
      </c>
      <c r="F109" s="4"/>
      <c r="G109" s="4">
        <v>0</v>
      </c>
    </row>
    <row r="110" spans="1:7" x14ac:dyDescent="0.2">
      <c r="A110" s="5">
        <v>102</v>
      </c>
      <c r="B110" s="4"/>
      <c r="C110" s="4"/>
      <c r="D110" s="4">
        <v>1</v>
      </c>
      <c r="E110" s="4"/>
      <c r="F110" s="4"/>
      <c r="G110" s="4">
        <v>1</v>
      </c>
    </row>
    <row r="111" spans="1:7" x14ac:dyDescent="0.2">
      <c r="A111" s="6" t="s">
        <v>10</v>
      </c>
      <c r="B111" s="4"/>
      <c r="C111" s="4"/>
      <c r="D111" s="4">
        <v>1</v>
      </c>
      <c r="E111" s="4"/>
      <c r="F111" s="4"/>
      <c r="G111" s="4">
        <v>1</v>
      </c>
    </row>
    <row r="112" spans="1:7" x14ac:dyDescent="0.2">
      <c r="A112" s="5">
        <v>103</v>
      </c>
      <c r="B112" s="4"/>
      <c r="C112" s="4"/>
      <c r="D112" s="4"/>
      <c r="E112" s="4">
        <v>0</v>
      </c>
      <c r="F112" s="4"/>
      <c r="G112" s="4">
        <v>0</v>
      </c>
    </row>
    <row r="113" spans="1:7" x14ac:dyDescent="0.2">
      <c r="A113" s="6" t="s">
        <v>14</v>
      </c>
      <c r="B113" s="4"/>
      <c r="C113" s="4"/>
      <c r="D113" s="4"/>
      <c r="E113" s="4">
        <v>0</v>
      </c>
      <c r="F113" s="4"/>
      <c r="G113" s="4">
        <v>0</v>
      </c>
    </row>
    <row r="114" spans="1:7" x14ac:dyDescent="0.2">
      <c r="A114" s="5">
        <v>104</v>
      </c>
      <c r="B114" s="4"/>
      <c r="C114" s="4"/>
      <c r="D114" s="4"/>
      <c r="E114" s="4">
        <v>0</v>
      </c>
      <c r="F114" s="4"/>
      <c r="G114" s="4">
        <v>0</v>
      </c>
    </row>
    <row r="115" spans="1:7" x14ac:dyDescent="0.2">
      <c r="A115" s="6" t="s">
        <v>14</v>
      </c>
      <c r="B115" s="4"/>
      <c r="C115" s="4"/>
      <c r="D115" s="4"/>
      <c r="E115" s="4">
        <v>0</v>
      </c>
      <c r="F115" s="4"/>
      <c r="G115" s="4">
        <v>0</v>
      </c>
    </row>
    <row r="116" spans="1:7" x14ac:dyDescent="0.2">
      <c r="A116" s="5">
        <v>106</v>
      </c>
      <c r="B116" s="4"/>
      <c r="C116" s="4"/>
      <c r="D116" s="4"/>
      <c r="E116" s="4">
        <v>0</v>
      </c>
      <c r="F116" s="4"/>
      <c r="G116" s="4">
        <v>0</v>
      </c>
    </row>
    <row r="117" spans="1:7" x14ac:dyDescent="0.2">
      <c r="A117" s="6" t="s">
        <v>14</v>
      </c>
      <c r="B117" s="4"/>
      <c r="C117" s="4"/>
      <c r="D117" s="4"/>
      <c r="E117" s="4">
        <v>0</v>
      </c>
      <c r="F117" s="4"/>
      <c r="G117" s="4">
        <v>0</v>
      </c>
    </row>
    <row r="118" spans="1:7" x14ac:dyDescent="0.2">
      <c r="A118" s="5">
        <v>108</v>
      </c>
      <c r="B118" s="4"/>
      <c r="C118" s="4"/>
      <c r="D118" s="4"/>
      <c r="E118" s="4">
        <v>0</v>
      </c>
      <c r="F118" s="4"/>
      <c r="G118" s="4">
        <v>0</v>
      </c>
    </row>
    <row r="119" spans="1:7" x14ac:dyDescent="0.2">
      <c r="A119" s="6" t="s">
        <v>14</v>
      </c>
      <c r="B119" s="4"/>
      <c r="C119" s="4"/>
      <c r="D119" s="4"/>
      <c r="E119" s="4">
        <v>0</v>
      </c>
      <c r="F119" s="4"/>
      <c r="G119" s="4">
        <v>0</v>
      </c>
    </row>
    <row r="120" spans="1:7" x14ac:dyDescent="0.2">
      <c r="A120" s="5">
        <v>109</v>
      </c>
      <c r="B120" s="4"/>
      <c r="C120" s="4"/>
      <c r="D120" s="4"/>
      <c r="E120" s="4">
        <v>0</v>
      </c>
      <c r="F120" s="4"/>
      <c r="G120" s="4">
        <v>0</v>
      </c>
    </row>
    <row r="121" spans="1:7" x14ac:dyDescent="0.2">
      <c r="A121" s="6" t="s">
        <v>14</v>
      </c>
      <c r="B121" s="4"/>
      <c r="C121" s="4"/>
      <c r="D121" s="4"/>
      <c r="E121" s="4">
        <v>0</v>
      </c>
      <c r="F121" s="4"/>
      <c r="G121" s="4">
        <v>0</v>
      </c>
    </row>
    <row r="122" spans="1:7" x14ac:dyDescent="0.2">
      <c r="A122" s="5">
        <v>110</v>
      </c>
      <c r="B122" s="4"/>
      <c r="C122" s="4"/>
      <c r="D122" s="4"/>
      <c r="E122" s="4">
        <v>0</v>
      </c>
      <c r="F122" s="4"/>
      <c r="G122" s="4">
        <v>0</v>
      </c>
    </row>
    <row r="123" spans="1:7" x14ac:dyDescent="0.2">
      <c r="A123" s="6" t="s">
        <v>14</v>
      </c>
      <c r="B123" s="4"/>
      <c r="C123" s="4"/>
      <c r="D123" s="4"/>
      <c r="E123" s="4">
        <v>0</v>
      </c>
      <c r="F123" s="4"/>
      <c r="G123" s="4">
        <v>0</v>
      </c>
    </row>
    <row r="124" spans="1:7" x14ac:dyDescent="0.2">
      <c r="A124" s="5">
        <v>113</v>
      </c>
      <c r="B124" s="4"/>
      <c r="C124" s="4"/>
      <c r="D124" s="4"/>
      <c r="E124" s="4">
        <v>0</v>
      </c>
      <c r="F124" s="4"/>
      <c r="G124" s="4">
        <v>0</v>
      </c>
    </row>
    <row r="125" spans="1:7" x14ac:dyDescent="0.2">
      <c r="A125" s="6" t="s">
        <v>14</v>
      </c>
      <c r="B125" s="4"/>
      <c r="C125" s="4"/>
      <c r="D125" s="4"/>
      <c r="E125" s="4">
        <v>0</v>
      </c>
      <c r="F125" s="4"/>
      <c r="G125" s="4">
        <v>0</v>
      </c>
    </row>
    <row r="126" spans="1:7" x14ac:dyDescent="0.2">
      <c r="A126" s="5">
        <v>115</v>
      </c>
      <c r="B126" s="4"/>
      <c r="C126" s="4"/>
      <c r="D126" s="4"/>
      <c r="E126" s="4">
        <v>0</v>
      </c>
      <c r="F126" s="4"/>
      <c r="G126" s="4">
        <v>0</v>
      </c>
    </row>
    <row r="127" spans="1:7" x14ac:dyDescent="0.2">
      <c r="A127" s="6" t="s">
        <v>14</v>
      </c>
      <c r="B127" s="4"/>
      <c r="C127" s="4"/>
      <c r="D127" s="4"/>
      <c r="E127" s="4">
        <v>0</v>
      </c>
      <c r="F127" s="4"/>
      <c r="G127" s="4">
        <v>0</v>
      </c>
    </row>
    <row r="128" spans="1:7" x14ac:dyDescent="0.2">
      <c r="A128" s="5">
        <v>116</v>
      </c>
      <c r="B128" s="4"/>
      <c r="C128" s="4"/>
      <c r="D128" s="4"/>
      <c r="E128" s="4">
        <v>0</v>
      </c>
      <c r="F128" s="4"/>
      <c r="G128" s="4">
        <v>0</v>
      </c>
    </row>
    <row r="129" spans="1:7" x14ac:dyDescent="0.2">
      <c r="A129" s="6" t="s">
        <v>14</v>
      </c>
      <c r="B129" s="4"/>
      <c r="C129" s="4"/>
      <c r="D129" s="4"/>
      <c r="E129" s="4">
        <v>0</v>
      </c>
      <c r="F129" s="4"/>
      <c r="G129" s="4">
        <v>0</v>
      </c>
    </row>
    <row r="130" spans="1:7" x14ac:dyDescent="0.2">
      <c r="A130" s="5">
        <v>119</v>
      </c>
      <c r="B130" s="4"/>
      <c r="C130" s="4"/>
      <c r="D130" s="4"/>
      <c r="E130" s="4">
        <v>0</v>
      </c>
      <c r="F130" s="4"/>
      <c r="G130" s="4">
        <v>0</v>
      </c>
    </row>
    <row r="131" spans="1:7" x14ac:dyDescent="0.2">
      <c r="A131" s="6" t="s">
        <v>14</v>
      </c>
      <c r="B131" s="4"/>
      <c r="C131" s="4"/>
      <c r="D131" s="4"/>
      <c r="E131" s="4">
        <v>0</v>
      </c>
      <c r="F131" s="4"/>
      <c r="G131" s="4">
        <v>0</v>
      </c>
    </row>
    <row r="132" spans="1:7" x14ac:dyDescent="0.2">
      <c r="A132" s="3" t="s">
        <v>25</v>
      </c>
      <c r="B132" s="4">
        <v>14</v>
      </c>
      <c r="C132" s="4">
        <v>25</v>
      </c>
      <c r="D132" s="4">
        <v>10</v>
      </c>
      <c r="E132" s="4">
        <v>0</v>
      </c>
      <c r="F132" s="4"/>
      <c r="G132" s="4">
        <v>49</v>
      </c>
    </row>
    <row r="133" spans="1:7" x14ac:dyDescent="0.2">
      <c r="A133" s="38">
        <v>6</v>
      </c>
      <c r="B133" s="4">
        <v>3</v>
      </c>
      <c r="C133" s="4">
        <v>5</v>
      </c>
      <c r="D133" s="4"/>
      <c r="E133" s="4">
        <v>0</v>
      </c>
      <c r="F133" s="4"/>
      <c r="G133" s="4">
        <v>8</v>
      </c>
    </row>
    <row r="134" spans="1:7" x14ac:dyDescent="0.2">
      <c r="A134" s="5">
        <v>138</v>
      </c>
      <c r="B134" s="4"/>
      <c r="C134" s="4">
        <v>1</v>
      </c>
      <c r="D134" s="4"/>
      <c r="E134" s="4"/>
      <c r="F134" s="4"/>
      <c r="G134" s="4">
        <v>1</v>
      </c>
    </row>
    <row r="135" spans="1:7" x14ac:dyDescent="0.2">
      <c r="A135" s="6" t="s">
        <v>10</v>
      </c>
      <c r="B135" s="4"/>
      <c r="C135" s="4">
        <v>1</v>
      </c>
      <c r="D135" s="4"/>
      <c r="E135" s="4"/>
      <c r="F135" s="4"/>
      <c r="G135" s="4">
        <v>1</v>
      </c>
    </row>
    <row r="136" spans="1:7" x14ac:dyDescent="0.2">
      <c r="A136" s="5">
        <v>137</v>
      </c>
      <c r="B136" s="4"/>
      <c r="C136" s="4">
        <v>1</v>
      </c>
      <c r="D136" s="4"/>
      <c r="E136" s="4"/>
      <c r="F136" s="4"/>
      <c r="G136" s="4">
        <v>1</v>
      </c>
    </row>
    <row r="137" spans="1:7" x14ac:dyDescent="0.2">
      <c r="A137" s="6" t="s">
        <v>7</v>
      </c>
      <c r="B137" s="4"/>
      <c r="C137" s="4">
        <v>1</v>
      </c>
      <c r="D137" s="4"/>
      <c r="E137" s="4"/>
      <c r="F137" s="4"/>
      <c r="G137" s="4">
        <v>1</v>
      </c>
    </row>
    <row r="138" spans="1:7" x14ac:dyDescent="0.2">
      <c r="A138" s="5">
        <v>134</v>
      </c>
      <c r="B138" s="4"/>
      <c r="C138" s="4">
        <v>1</v>
      </c>
      <c r="D138" s="4"/>
      <c r="E138" s="4"/>
      <c r="F138" s="4"/>
      <c r="G138" s="4">
        <v>1</v>
      </c>
    </row>
    <row r="139" spans="1:7" x14ac:dyDescent="0.2">
      <c r="A139" s="6" t="s">
        <v>10</v>
      </c>
      <c r="B139" s="4"/>
      <c r="C139" s="4">
        <v>1</v>
      </c>
      <c r="D139" s="4"/>
      <c r="E139" s="4"/>
      <c r="F139" s="4"/>
      <c r="G139" s="4">
        <v>1</v>
      </c>
    </row>
    <row r="140" spans="1:7" x14ac:dyDescent="0.2">
      <c r="A140" s="5">
        <v>133</v>
      </c>
      <c r="B140" s="4"/>
      <c r="C140" s="4"/>
      <c r="D140" s="4"/>
      <c r="E140" s="4">
        <v>0</v>
      </c>
      <c r="F140" s="4"/>
      <c r="G140" s="4">
        <v>0</v>
      </c>
    </row>
    <row r="141" spans="1:7" x14ac:dyDescent="0.2">
      <c r="A141" s="6" t="s">
        <v>14</v>
      </c>
      <c r="B141" s="4"/>
      <c r="C141" s="4"/>
      <c r="D141" s="4"/>
      <c r="E141" s="4">
        <v>0</v>
      </c>
      <c r="F141" s="4"/>
      <c r="G141" s="4">
        <v>0</v>
      </c>
    </row>
    <row r="142" spans="1:7" x14ac:dyDescent="0.2">
      <c r="A142" s="5">
        <v>132</v>
      </c>
      <c r="B142" s="4"/>
      <c r="C142" s="4">
        <v>1</v>
      </c>
      <c r="D142" s="4"/>
      <c r="E142" s="4"/>
      <c r="F142" s="4"/>
      <c r="G142" s="4">
        <v>1</v>
      </c>
    </row>
    <row r="143" spans="1:7" x14ac:dyDescent="0.2">
      <c r="A143" s="6" t="s">
        <v>10</v>
      </c>
      <c r="B143" s="4"/>
      <c r="C143" s="4">
        <v>1</v>
      </c>
      <c r="D143" s="4"/>
      <c r="E143" s="4"/>
      <c r="F143" s="4"/>
      <c r="G143" s="4">
        <v>1</v>
      </c>
    </row>
    <row r="144" spans="1:7" x14ac:dyDescent="0.2">
      <c r="A144" s="5">
        <v>128</v>
      </c>
      <c r="B144" s="4">
        <v>1</v>
      </c>
      <c r="C144" s="4"/>
      <c r="D144" s="4"/>
      <c r="E144" s="4"/>
      <c r="F144" s="4"/>
      <c r="G144" s="4">
        <v>1</v>
      </c>
    </row>
    <row r="145" spans="1:7" x14ac:dyDescent="0.2">
      <c r="A145" s="6" t="s">
        <v>10</v>
      </c>
      <c r="B145" s="4">
        <v>1</v>
      </c>
      <c r="C145" s="4"/>
      <c r="D145" s="4"/>
      <c r="E145" s="4"/>
      <c r="F145" s="4"/>
      <c r="G145" s="4">
        <v>1</v>
      </c>
    </row>
    <row r="146" spans="1:7" x14ac:dyDescent="0.2">
      <c r="A146" s="5">
        <v>126</v>
      </c>
      <c r="B146" s="4">
        <v>1</v>
      </c>
      <c r="C146" s="4"/>
      <c r="D146" s="4"/>
      <c r="E146" s="4"/>
      <c r="F146" s="4"/>
      <c r="G146" s="4">
        <v>1</v>
      </c>
    </row>
    <row r="147" spans="1:7" x14ac:dyDescent="0.2">
      <c r="A147" s="6" t="s">
        <v>10</v>
      </c>
      <c r="B147" s="4">
        <v>1</v>
      </c>
      <c r="C147" s="4"/>
      <c r="D147" s="4"/>
      <c r="E147" s="4"/>
      <c r="F147" s="4"/>
      <c r="G147" s="4">
        <v>1</v>
      </c>
    </row>
    <row r="148" spans="1:7" x14ac:dyDescent="0.2">
      <c r="A148" s="5">
        <v>124</v>
      </c>
      <c r="B148" s="4">
        <v>1</v>
      </c>
      <c r="C148" s="4"/>
      <c r="D148" s="4"/>
      <c r="E148" s="4"/>
      <c r="F148" s="4"/>
      <c r="G148" s="4">
        <v>1</v>
      </c>
    </row>
    <row r="149" spans="1:7" x14ac:dyDescent="0.2">
      <c r="A149" s="6" t="s">
        <v>10</v>
      </c>
      <c r="B149" s="4">
        <v>1</v>
      </c>
      <c r="C149" s="4"/>
      <c r="D149" s="4"/>
      <c r="E149" s="4"/>
      <c r="F149" s="4"/>
      <c r="G149" s="4">
        <v>1</v>
      </c>
    </row>
    <row r="150" spans="1:7" x14ac:dyDescent="0.2">
      <c r="A150" s="5">
        <v>122</v>
      </c>
      <c r="B150" s="4"/>
      <c r="C150" s="4">
        <v>1</v>
      </c>
      <c r="D150" s="4"/>
      <c r="E150" s="4"/>
      <c r="F150" s="4"/>
      <c r="G150" s="4">
        <v>1</v>
      </c>
    </row>
    <row r="151" spans="1:7" x14ac:dyDescent="0.2">
      <c r="A151" s="6" t="s">
        <v>10</v>
      </c>
      <c r="B151" s="4"/>
      <c r="C151" s="4">
        <v>1</v>
      </c>
      <c r="D151" s="4"/>
      <c r="E151" s="4"/>
      <c r="F151" s="4"/>
      <c r="G151" s="4">
        <v>1</v>
      </c>
    </row>
    <row r="152" spans="1:7" x14ac:dyDescent="0.2">
      <c r="A152" s="5">
        <v>121</v>
      </c>
      <c r="B152" s="4"/>
      <c r="C152" s="4"/>
      <c r="D152" s="4"/>
      <c r="E152" s="4">
        <v>0</v>
      </c>
      <c r="F152" s="4"/>
      <c r="G152" s="4">
        <v>0</v>
      </c>
    </row>
    <row r="153" spans="1:7" x14ac:dyDescent="0.2">
      <c r="A153" s="6" t="s">
        <v>14</v>
      </c>
      <c r="B153" s="4"/>
      <c r="C153" s="4"/>
      <c r="D153" s="4"/>
      <c r="E153" s="4">
        <v>0</v>
      </c>
      <c r="F153" s="4"/>
      <c r="G153" s="4">
        <v>0</v>
      </c>
    </row>
    <row r="154" spans="1:7" x14ac:dyDescent="0.2">
      <c r="A154" s="5">
        <v>123</v>
      </c>
      <c r="B154" s="4"/>
      <c r="C154" s="4"/>
      <c r="D154" s="4"/>
      <c r="E154" s="4">
        <v>0</v>
      </c>
      <c r="F154" s="4"/>
      <c r="G154" s="4">
        <v>0</v>
      </c>
    </row>
    <row r="155" spans="1:7" x14ac:dyDescent="0.2">
      <c r="A155" s="6" t="s">
        <v>14</v>
      </c>
      <c r="B155" s="4"/>
      <c r="C155" s="4"/>
      <c r="D155" s="4"/>
      <c r="E155" s="4">
        <v>0</v>
      </c>
      <c r="F155" s="4"/>
      <c r="G155" s="4">
        <v>0</v>
      </c>
    </row>
    <row r="156" spans="1:7" x14ac:dyDescent="0.2">
      <c r="A156" s="5">
        <v>125</v>
      </c>
      <c r="B156" s="4"/>
      <c r="C156" s="4"/>
      <c r="D156" s="4"/>
      <c r="E156" s="4">
        <v>0</v>
      </c>
      <c r="F156" s="4"/>
      <c r="G156" s="4">
        <v>0</v>
      </c>
    </row>
    <row r="157" spans="1:7" x14ac:dyDescent="0.2">
      <c r="A157" s="6" t="s">
        <v>14</v>
      </c>
      <c r="B157" s="4"/>
      <c r="C157" s="4"/>
      <c r="D157" s="4"/>
      <c r="E157" s="4">
        <v>0</v>
      </c>
      <c r="F157" s="4"/>
      <c r="G157" s="4">
        <v>0</v>
      </c>
    </row>
    <row r="158" spans="1:7" x14ac:dyDescent="0.2">
      <c r="A158" s="5">
        <v>127</v>
      </c>
      <c r="B158" s="4"/>
      <c r="C158" s="4"/>
      <c r="D158" s="4"/>
      <c r="E158" s="4">
        <v>0</v>
      </c>
      <c r="F158" s="4"/>
      <c r="G158" s="4">
        <v>0</v>
      </c>
    </row>
    <row r="159" spans="1:7" x14ac:dyDescent="0.2">
      <c r="A159" s="6" t="s">
        <v>14</v>
      </c>
      <c r="B159" s="4"/>
      <c r="C159" s="4"/>
      <c r="D159" s="4"/>
      <c r="E159" s="4">
        <v>0</v>
      </c>
      <c r="F159" s="4"/>
      <c r="G159" s="4">
        <v>0</v>
      </c>
    </row>
    <row r="160" spans="1:7" x14ac:dyDescent="0.2">
      <c r="A160" s="5">
        <v>129</v>
      </c>
      <c r="B160" s="4"/>
      <c r="C160" s="4"/>
      <c r="D160" s="4"/>
      <c r="E160" s="4">
        <v>0</v>
      </c>
      <c r="F160" s="4"/>
      <c r="G160" s="4">
        <v>0</v>
      </c>
    </row>
    <row r="161" spans="1:7" x14ac:dyDescent="0.2">
      <c r="A161" s="6" t="s">
        <v>14</v>
      </c>
      <c r="B161" s="4"/>
      <c r="C161" s="4"/>
      <c r="D161" s="4"/>
      <c r="E161" s="4">
        <v>0</v>
      </c>
      <c r="F161" s="4"/>
      <c r="G161" s="4">
        <v>0</v>
      </c>
    </row>
    <row r="162" spans="1:7" x14ac:dyDescent="0.2">
      <c r="A162" s="5">
        <v>130</v>
      </c>
      <c r="B162" s="4"/>
      <c r="C162" s="4"/>
      <c r="D162" s="4"/>
      <c r="E162" s="4">
        <v>0</v>
      </c>
      <c r="F162" s="4"/>
      <c r="G162" s="4">
        <v>0</v>
      </c>
    </row>
    <row r="163" spans="1:7" x14ac:dyDescent="0.2">
      <c r="A163" s="6" t="s">
        <v>14</v>
      </c>
      <c r="B163" s="4"/>
      <c r="C163" s="4"/>
      <c r="D163" s="4"/>
      <c r="E163" s="4">
        <v>0</v>
      </c>
      <c r="F163" s="4"/>
      <c r="G163" s="4">
        <v>0</v>
      </c>
    </row>
    <row r="164" spans="1:7" x14ac:dyDescent="0.2">
      <c r="A164" s="5">
        <v>131</v>
      </c>
      <c r="B164" s="4"/>
      <c r="C164" s="4"/>
      <c r="D164" s="4"/>
      <c r="E164" s="4">
        <v>0</v>
      </c>
      <c r="F164" s="4"/>
      <c r="G164" s="4">
        <v>0</v>
      </c>
    </row>
    <row r="165" spans="1:7" x14ac:dyDescent="0.2">
      <c r="A165" s="6" t="s">
        <v>14</v>
      </c>
      <c r="B165" s="4"/>
      <c r="C165" s="4"/>
      <c r="D165" s="4"/>
      <c r="E165" s="4">
        <v>0</v>
      </c>
      <c r="F165" s="4"/>
      <c r="G165" s="4">
        <v>0</v>
      </c>
    </row>
    <row r="166" spans="1:7" x14ac:dyDescent="0.2">
      <c r="A166" s="5">
        <v>135</v>
      </c>
      <c r="B166" s="4"/>
      <c r="C166" s="4"/>
      <c r="D166" s="4"/>
      <c r="E166" s="4">
        <v>0</v>
      </c>
      <c r="F166" s="4"/>
      <c r="G166" s="4">
        <v>0</v>
      </c>
    </row>
    <row r="167" spans="1:7" x14ac:dyDescent="0.2">
      <c r="A167" s="6" t="s">
        <v>14</v>
      </c>
      <c r="B167" s="4"/>
      <c r="C167" s="4"/>
      <c r="D167" s="4"/>
      <c r="E167" s="4">
        <v>0</v>
      </c>
      <c r="F167" s="4"/>
      <c r="G167" s="4">
        <v>0</v>
      </c>
    </row>
    <row r="168" spans="1:7" x14ac:dyDescent="0.2">
      <c r="A168" s="5">
        <v>136</v>
      </c>
      <c r="B168" s="4"/>
      <c r="C168" s="4"/>
      <c r="D168" s="4"/>
      <c r="E168" s="4">
        <v>0</v>
      </c>
      <c r="F168" s="4"/>
      <c r="G168" s="4">
        <v>0</v>
      </c>
    </row>
    <row r="169" spans="1:7" x14ac:dyDescent="0.2">
      <c r="A169" s="6" t="s">
        <v>14</v>
      </c>
      <c r="B169" s="4"/>
      <c r="C169" s="4"/>
      <c r="D169" s="4"/>
      <c r="E169" s="4">
        <v>0</v>
      </c>
      <c r="F169" s="4"/>
      <c r="G169" s="4">
        <v>0</v>
      </c>
    </row>
    <row r="170" spans="1:7" x14ac:dyDescent="0.2">
      <c r="A170" s="5">
        <v>139</v>
      </c>
      <c r="B170" s="4"/>
      <c r="C170" s="4"/>
      <c r="D170" s="4"/>
      <c r="E170" s="4">
        <v>0</v>
      </c>
      <c r="F170" s="4"/>
      <c r="G170" s="4">
        <v>0</v>
      </c>
    </row>
    <row r="171" spans="1:7" x14ac:dyDescent="0.2">
      <c r="A171" s="6" t="s">
        <v>14</v>
      </c>
      <c r="B171" s="4"/>
      <c r="C171" s="4"/>
      <c r="D171" s="4"/>
      <c r="E171" s="4">
        <v>0</v>
      </c>
      <c r="F171" s="4"/>
      <c r="G171" s="4">
        <v>0</v>
      </c>
    </row>
    <row r="172" spans="1:7" x14ac:dyDescent="0.2">
      <c r="A172" s="5">
        <v>140</v>
      </c>
      <c r="B172" s="4"/>
      <c r="C172" s="4"/>
      <c r="D172" s="4"/>
      <c r="E172" s="4">
        <v>0</v>
      </c>
      <c r="F172" s="4"/>
      <c r="G172" s="4">
        <v>0</v>
      </c>
    </row>
    <row r="173" spans="1:7" x14ac:dyDescent="0.2">
      <c r="A173" s="6" t="s">
        <v>14</v>
      </c>
      <c r="B173" s="4"/>
      <c r="C173" s="4"/>
      <c r="D173" s="4"/>
      <c r="E173" s="4">
        <v>0</v>
      </c>
      <c r="F173" s="4"/>
      <c r="G173" s="4">
        <v>0</v>
      </c>
    </row>
    <row r="174" spans="1:7" x14ac:dyDescent="0.2">
      <c r="A174" s="38">
        <v>12</v>
      </c>
      <c r="B174" s="4">
        <v>1</v>
      </c>
      <c r="C174" s="4">
        <v>8</v>
      </c>
      <c r="D174" s="4">
        <v>2</v>
      </c>
      <c r="E174" s="4">
        <v>0</v>
      </c>
      <c r="F174" s="4"/>
      <c r="G174" s="4">
        <v>11</v>
      </c>
    </row>
    <row r="175" spans="1:7" x14ac:dyDescent="0.2">
      <c r="A175" s="5">
        <v>160</v>
      </c>
      <c r="B175" s="4"/>
      <c r="C175" s="4">
        <v>1</v>
      </c>
      <c r="D175" s="4"/>
      <c r="E175" s="4"/>
      <c r="F175" s="4"/>
      <c r="G175" s="4">
        <v>1</v>
      </c>
    </row>
    <row r="176" spans="1:7" x14ac:dyDescent="0.2">
      <c r="A176" s="6" t="s">
        <v>10</v>
      </c>
      <c r="B176" s="4"/>
      <c r="C176" s="4">
        <v>1</v>
      </c>
      <c r="D176" s="4"/>
      <c r="E176" s="4"/>
      <c r="F176" s="4"/>
      <c r="G176" s="4">
        <v>1</v>
      </c>
    </row>
    <row r="177" spans="1:7" x14ac:dyDescent="0.2">
      <c r="A177" s="5">
        <v>157</v>
      </c>
      <c r="B177" s="4"/>
      <c r="C177" s="4">
        <v>3</v>
      </c>
      <c r="D177" s="4">
        <v>1</v>
      </c>
      <c r="E177" s="4"/>
      <c r="F177" s="4"/>
      <c r="G177" s="4">
        <v>4</v>
      </c>
    </row>
    <row r="178" spans="1:7" x14ac:dyDescent="0.2">
      <c r="A178" s="6" t="s">
        <v>10</v>
      </c>
      <c r="B178" s="4"/>
      <c r="C178" s="4">
        <v>3</v>
      </c>
      <c r="D178" s="4">
        <v>1</v>
      </c>
      <c r="E178" s="4"/>
      <c r="F178" s="4"/>
      <c r="G178" s="4">
        <v>4</v>
      </c>
    </row>
    <row r="179" spans="1:7" x14ac:dyDescent="0.2">
      <c r="A179" s="5">
        <v>148</v>
      </c>
      <c r="B179" s="4">
        <v>1</v>
      </c>
      <c r="C179" s="4"/>
      <c r="D179" s="4"/>
      <c r="E179" s="4"/>
      <c r="F179" s="4"/>
      <c r="G179" s="4">
        <v>1</v>
      </c>
    </row>
    <row r="180" spans="1:7" x14ac:dyDescent="0.2">
      <c r="A180" s="6" t="s">
        <v>7</v>
      </c>
      <c r="B180" s="4">
        <v>1</v>
      </c>
      <c r="C180" s="4"/>
      <c r="D180" s="4"/>
      <c r="E180" s="4"/>
      <c r="F180" s="4"/>
      <c r="G180" s="4">
        <v>1</v>
      </c>
    </row>
    <row r="181" spans="1:7" x14ac:dyDescent="0.2">
      <c r="A181" s="5">
        <v>147</v>
      </c>
      <c r="B181" s="4"/>
      <c r="C181" s="4">
        <v>1</v>
      </c>
      <c r="D181" s="4"/>
      <c r="E181" s="4"/>
      <c r="F181" s="4"/>
      <c r="G181" s="4">
        <v>1</v>
      </c>
    </row>
    <row r="182" spans="1:7" x14ac:dyDescent="0.2">
      <c r="A182" s="6" t="s">
        <v>10</v>
      </c>
      <c r="B182" s="4"/>
      <c r="C182" s="4">
        <v>1</v>
      </c>
      <c r="D182" s="4"/>
      <c r="E182" s="4"/>
      <c r="F182" s="4"/>
      <c r="G182" s="4">
        <v>1</v>
      </c>
    </row>
    <row r="183" spans="1:7" x14ac:dyDescent="0.2">
      <c r="A183" s="5">
        <v>146</v>
      </c>
      <c r="B183" s="4"/>
      <c r="C183" s="4">
        <v>1</v>
      </c>
      <c r="D183" s="4"/>
      <c r="E183" s="4"/>
      <c r="F183" s="4"/>
      <c r="G183" s="4">
        <v>1</v>
      </c>
    </row>
    <row r="184" spans="1:7" x14ac:dyDescent="0.2">
      <c r="A184" s="6" t="s">
        <v>10</v>
      </c>
      <c r="B184" s="4"/>
      <c r="C184" s="4">
        <v>1</v>
      </c>
      <c r="D184" s="4"/>
      <c r="E184" s="4"/>
      <c r="F184" s="4"/>
      <c r="G184" s="4">
        <v>1</v>
      </c>
    </row>
    <row r="185" spans="1:7" x14ac:dyDescent="0.2">
      <c r="A185" s="5">
        <v>145</v>
      </c>
      <c r="B185" s="4"/>
      <c r="C185" s="4"/>
      <c r="D185" s="4">
        <v>1</v>
      </c>
      <c r="E185" s="4"/>
      <c r="F185" s="4"/>
      <c r="G185" s="4">
        <v>1</v>
      </c>
    </row>
    <row r="186" spans="1:7" x14ac:dyDescent="0.2">
      <c r="A186" s="6" t="s">
        <v>10</v>
      </c>
      <c r="B186" s="4"/>
      <c r="C186" s="4"/>
      <c r="D186" s="4">
        <v>1</v>
      </c>
      <c r="E186" s="4"/>
      <c r="F186" s="4"/>
      <c r="G186" s="4">
        <v>1</v>
      </c>
    </row>
    <row r="187" spans="1:7" x14ac:dyDescent="0.2">
      <c r="A187" s="5">
        <v>144</v>
      </c>
      <c r="B187" s="4"/>
      <c r="C187" s="4">
        <v>1</v>
      </c>
      <c r="D187" s="4"/>
      <c r="E187" s="4"/>
      <c r="F187" s="4"/>
      <c r="G187" s="4">
        <v>1</v>
      </c>
    </row>
    <row r="188" spans="1:7" x14ac:dyDescent="0.2">
      <c r="A188" s="6" t="s">
        <v>10</v>
      </c>
      <c r="B188" s="4"/>
      <c r="C188" s="4">
        <v>1</v>
      </c>
      <c r="D188" s="4"/>
      <c r="E188" s="4"/>
      <c r="F188" s="4"/>
      <c r="G188" s="4">
        <v>1</v>
      </c>
    </row>
    <row r="189" spans="1:7" x14ac:dyDescent="0.2">
      <c r="A189" s="5">
        <v>141</v>
      </c>
      <c r="B189" s="4"/>
      <c r="C189" s="4">
        <v>1</v>
      </c>
      <c r="D189" s="4"/>
      <c r="E189" s="4"/>
      <c r="F189" s="4"/>
      <c r="G189" s="4">
        <v>1</v>
      </c>
    </row>
    <row r="190" spans="1:7" x14ac:dyDescent="0.2">
      <c r="A190" s="6" t="s">
        <v>10</v>
      </c>
      <c r="B190" s="4"/>
      <c r="C190" s="4">
        <v>1</v>
      </c>
      <c r="D190" s="4"/>
      <c r="E190" s="4"/>
      <c r="F190" s="4"/>
      <c r="G190" s="4">
        <v>1</v>
      </c>
    </row>
    <row r="191" spans="1:7" x14ac:dyDescent="0.2">
      <c r="A191" s="5">
        <v>142</v>
      </c>
      <c r="B191" s="4"/>
      <c r="C191" s="4"/>
      <c r="D191" s="4"/>
      <c r="E191" s="4">
        <v>0</v>
      </c>
      <c r="F191" s="4"/>
      <c r="G191" s="4">
        <v>0</v>
      </c>
    </row>
    <row r="192" spans="1:7" x14ac:dyDescent="0.2">
      <c r="A192" s="6" t="s">
        <v>14</v>
      </c>
      <c r="B192" s="4"/>
      <c r="C192" s="4"/>
      <c r="D192" s="4"/>
      <c r="E192" s="4">
        <v>0</v>
      </c>
      <c r="F192" s="4"/>
      <c r="G192" s="4">
        <v>0</v>
      </c>
    </row>
    <row r="193" spans="1:7" x14ac:dyDescent="0.2">
      <c r="A193" s="5">
        <v>143</v>
      </c>
      <c r="B193" s="4"/>
      <c r="C193" s="4"/>
      <c r="D193" s="4"/>
      <c r="E193" s="4">
        <v>0</v>
      </c>
      <c r="F193" s="4"/>
      <c r="G193" s="4">
        <v>0</v>
      </c>
    </row>
    <row r="194" spans="1:7" x14ac:dyDescent="0.2">
      <c r="A194" s="6" t="s">
        <v>14</v>
      </c>
      <c r="B194" s="4"/>
      <c r="C194" s="4"/>
      <c r="D194" s="4"/>
      <c r="E194" s="4">
        <v>0</v>
      </c>
      <c r="F194" s="4"/>
      <c r="G194" s="4">
        <v>0</v>
      </c>
    </row>
    <row r="195" spans="1:7" x14ac:dyDescent="0.2">
      <c r="A195" s="5">
        <v>149</v>
      </c>
      <c r="B195" s="4"/>
      <c r="C195" s="4"/>
      <c r="D195" s="4"/>
      <c r="E195" s="4">
        <v>0</v>
      </c>
      <c r="F195" s="4"/>
      <c r="G195" s="4">
        <v>0</v>
      </c>
    </row>
    <row r="196" spans="1:7" x14ac:dyDescent="0.2">
      <c r="A196" s="6" t="s">
        <v>14</v>
      </c>
      <c r="B196" s="4"/>
      <c r="C196" s="4"/>
      <c r="D196" s="4"/>
      <c r="E196" s="4">
        <v>0</v>
      </c>
      <c r="F196" s="4"/>
      <c r="G196" s="4">
        <v>0</v>
      </c>
    </row>
    <row r="197" spans="1:7" x14ac:dyDescent="0.2">
      <c r="A197" s="5">
        <v>150</v>
      </c>
      <c r="B197" s="4"/>
      <c r="C197" s="4"/>
      <c r="D197" s="4"/>
      <c r="E197" s="4">
        <v>0</v>
      </c>
      <c r="F197" s="4"/>
      <c r="G197" s="4">
        <v>0</v>
      </c>
    </row>
    <row r="198" spans="1:7" x14ac:dyDescent="0.2">
      <c r="A198" s="6" t="s">
        <v>14</v>
      </c>
      <c r="B198" s="4"/>
      <c r="C198" s="4"/>
      <c r="D198" s="4"/>
      <c r="E198" s="4">
        <v>0</v>
      </c>
      <c r="F198" s="4"/>
      <c r="G198" s="4">
        <v>0</v>
      </c>
    </row>
    <row r="199" spans="1:7" x14ac:dyDescent="0.2">
      <c r="A199" s="5">
        <v>151</v>
      </c>
      <c r="B199" s="4"/>
      <c r="C199" s="4"/>
      <c r="D199" s="4"/>
      <c r="E199" s="4">
        <v>0</v>
      </c>
      <c r="F199" s="4"/>
      <c r="G199" s="4">
        <v>0</v>
      </c>
    </row>
    <row r="200" spans="1:7" x14ac:dyDescent="0.2">
      <c r="A200" s="6" t="s">
        <v>14</v>
      </c>
      <c r="B200" s="4"/>
      <c r="C200" s="4"/>
      <c r="D200" s="4"/>
      <c r="E200" s="4">
        <v>0</v>
      </c>
      <c r="F200" s="4"/>
      <c r="G200" s="4">
        <v>0</v>
      </c>
    </row>
    <row r="201" spans="1:7" x14ac:dyDescent="0.2">
      <c r="A201" s="5">
        <v>152</v>
      </c>
      <c r="B201" s="4"/>
      <c r="C201" s="4"/>
      <c r="D201" s="4"/>
      <c r="E201" s="4">
        <v>0</v>
      </c>
      <c r="F201" s="4"/>
      <c r="G201" s="4">
        <v>0</v>
      </c>
    </row>
    <row r="202" spans="1:7" x14ac:dyDescent="0.2">
      <c r="A202" s="6" t="s">
        <v>14</v>
      </c>
      <c r="B202" s="4"/>
      <c r="C202" s="4"/>
      <c r="D202" s="4"/>
      <c r="E202" s="4">
        <v>0</v>
      </c>
      <c r="F202" s="4"/>
      <c r="G202" s="4">
        <v>0</v>
      </c>
    </row>
    <row r="203" spans="1:7" x14ac:dyDescent="0.2">
      <c r="A203" s="5">
        <v>153</v>
      </c>
      <c r="B203" s="4"/>
      <c r="C203" s="4"/>
      <c r="D203" s="4"/>
      <c r="E203" s="4">
        <v>0</v>
      </c>
      <c r="F203" s="4"/>
      <c r="G203" s="4">
        <v>0</v>
      </c>
    </row>
    <row r="204" spans="1:7" x14ac:dyDescent="0.2">
      <c r="A204" s="6" t="s">
        <v>14</v>
      </c>
      <c r="B204" s="4"/>
      <c r="C204" s="4"/>
      <c r="D204" s="4"/>
      <c r="E204" s="4">
        <v>0</v>
      </c>
      <c r="F204" s="4"/>
      <c r="G204" s="4">
        <v>0</v>
      </c>
    </row>
    <row r="205" spans="1:7" x14ac:dyDescent="0.2">
      <c r="A205" s="5">
        <v>154</v>
      </c>
      <c r="B205" s="4"/>
      <c r="C205" s="4"/>
      <c r="D205" s="4"/>
      <c r="E205" s="4">
        <v>0</v>
      </c>
      <c r="F205" s="4"/>
      <c r="G205" s="4">
        <v>0</v>
      </c>
    </row>
    <row r="206" spans="1:7" x14ac:dyDescent="0.2">
      <c r="A206" s="6" t="s">
        <v>14</v>
      </c>
      <c r="B206" s="4"/>
      <c r="C206" s="4"/>
      <c r="D206" s="4"/>
      <c r="E206" s="4">
        <v>0</v>
      </c>
      <c r="F206" s="4"/>
      <c r="G206" s="4">
        <v>0</v>
      </c>
    </row>
    <row r="207" spans="1:7" x14ac:dyDescent="0.2">
      <c r="A207" s="5">
        <v>155</v>
      </c>
      <c r="B207" s="4"/>
      <c r="C207" s="4"/>
      <c r="D207" s="4"/>
      <c r="E207" s="4">
        <v>0</v>
      </c>
      <c r="F207" s="4"/>
      <c r="G207" s="4">
        <v>0</v>
      </c>
    </row>
    <row r="208" spans="1:7" x14ac:dyDescent="0.2">
      <c r="A208" s="6" t="s">
        <v>14</v>
      </c>
      <c r="B208" s="4"/>
      <c r="C208" s="4"/>
      <c r="D208" s="4"/>
      <c r="E208" s="4">
        <v>0</v>
      </c>
      <c r="F208" s="4"/>
      <c r="G208" s="4">
        <v>0</v>
      </c>
    </row>
    <row r="209" spans="1:7" x14ac:dyDescent="0.2">
      <c r="A209" s="5">
        <v>156</v>
      </c>
      <c r="B209" s="4"/>
      <c r="C209" s="4"/>
      <c r="D209" s="4"/>
      <c r="E209" s="4">
        <v>0</v>
      </c>
      <c r="F209" s="4"/>
      <c r="G209" s="4">
        <v>0</v>
      </c>
    </row>
    <row r="210" spans="1:7" x14ac:dyDescent="0.2">
      <c r="A210" s="6" t="s">
        <v>14</v>
      </c>
      <c r="B210" s="4"/>
      <c r="C210" s="4"/>
      <c r="D210" s="4"/>
      <c r="E210" s="4">
        <v>0</v>
      </c>
      <c r="F210" s="4"/>
      <c r="G210" s="4">
        <v>0</v>
      </c>
    </row>
    <row r="211" spans="1:7" x14ac:dyDescent="0.2">
      <c r="A211" s="5">
        <v>158</v>
      </c>
      <c r="B211" s="4"/>
      <c r="C211" s="4"/>
      <c r="D211" s="4"/>
      <c r="E211" s="4">
        <v>0</v>
      </c>
      <c r="F211" s="4"/>
      <c r="G211" s="4">
        <v>0</v>
      </c>
    </row>
    <row r="212" spans="1:7" x14ac:dyDescent="0.2">
      <c r="A212" s="6" t="s">
        <v>14</v>
      </c>
      <c r="B212" s="4"/>
      <c r="C212" s="4"/>
      <c r="D212" s="4"/>
      <c r="E212" s="4">
        <v>0</v>
      </c>
      <c r="F212" s="4"/>
      <c r="G212" s="4">
        <v>0</v>
      </c>
    </row>
    <row r="213" spans="1:7" x14ac:dyDescent="0.2">
      <c r="A213" s="5">
        <v>159</v>
      </c>
      <c r="B213" s="4"/>
      <c r="C213" s="4"/>
      <c r="D213" s="4"/>
      <c r="E213" s="4">
        <v>0</v>
      </c>
      <c r="F213" s="4"/>
      <c r="G213" s="4">
        <v>0</v>
      </c>
    </row>
    <row r="214" spans="1:7" x14ac:dyDescent="0.2">
      <c r="A214" s="6" t="s">
        <v>14</v>
      </c>
      <c r="B214" s="4"/>
      <c r="C214" s="4"/>
      <c r="D214" s="4"/>
      <c r="E214" s="4">
        <v>0</v>
      </c>
      <c r="F214" s="4"/>
      <c r="G214" s="4">
        <v>0</v>
      </c>
    </row>
    <row r="215" spans="1:7" x14ac:dyDescent="0.2">
      <c r="A215" s="38">
        <v>18</v>
      </c>
      <c r="B215" s="4">
        <v>10</v>
      </c>
      <c r="C215" s="4">
        <v>12</v>
      </c>
      <c r="D215" s="4">
        <v>8</v>
      </c>
      <c r="E215" s="4">
        <v>0</v>
      </c>
      <c r="F215" s="4"/>
      <c r="G215" s="4">
        <v>30</v>
      </c>
    </row>
    <row r="216" spans="1:7" x14ac:dyDescent="0.2">
      <c r="A216" s="5">
        <v>179</v>
      </c>
      <c r="B216" s="4"/>
      <c r="C216" s="4">
        <v>2</v>
      </c>
      <c r="D216" s="4"/>
      <c r="E216" s="4"/>
      <c r="F216" s="4"/>
      <c r="G216" s="4">
        <v>2</v>
      </c>
    </row>
    <row r="217" spans="1:7" x14ac:dyDescent="0.2">
      <c r="A217" s="6" t="s">
        <v>7</v>
      </c>
      <c r="B217" s="4"/>
      <c r="C217" s="4">
        <v>2</v>
      </c>
      <c r="D217" s="4"/>
      <c r="E217" s="4"/>
      <c r="F217" s="4"/>
      <c r="G217" s="4">
        <v>2</v>
      </c>
    </row>
    <row r="218" spans="1:7" x14ac:dyDescent="0.2">
      <c r="A218" s="5">
        <v>176</v>
      </c>
      <c r="B218" s="4"/>
      <c r="C218" s="4">
        <v>1</v>
      </c>
      <c r="D218" s="4"/>
      <c r="E218" s="4"/>
      <c r="F218" s="4"/>
      <c r="G218" s="4">
        <v>1</v>
      </c>
    </row>
    <row r="219" spans="1:7" x14ac:dyDescent="0.2">
      <c r="A219" s="6" t="s">
        <v>10</v>
      </c>
      <c r="B219" s="4"/>
      <c r="C219" s="4">
        <v>1</v>
      </c>
      <c r="D219" s="4"/>
      <c r="E219" s="4"/>
      <c r="F219" s="4"/>
      <c r="G219" s="4">
        <v>1</v>
      </c>
    </row>
    <row r="220" spans="1:7" x14ac:dyDescent="0.2">
      <c r="A220" s="5">
        <v>175</v>
      </c>
      <c r="B220" s="4"/>
      <c r="C220" s="4">
        <v>3</v>
      </c>
      <c r="D220" s="4"/>
      <c r="E220" s="4"/>
      <c r="F220" s="4"/>
      <c r="G220" s="4">
        <v>3</v>
      </c>
    </row>
    <row r="221" spans="1:7" x14ac:dyDescent="0.2">
      <c r="A221" s="6" t="s">
        <v>10</v>
      </c>
      <c r="B221" s="4"/>
      <c r="C221" s="4">
        <v>3</v>
      </c>
      <c r="D221" s="4"/>
      <c r="E221" s="4"/>
      <c r="F221" s="4"/>
      <c r="G221" s="4">
        <v>3</v>
      </c>
    </row>
    <row r="222" spans="1:7" x14ac:dyDescent="0.2">
      <c r="A222" s="5">
        <v>172</v>
      </c>
      <c r="B222" s="4"/>
      <c r="C222" s="4"/>
      <c r="D222" s="4">
        <v>1</v>
      </c>
      <c r="E222" s="4"/>
      <c r="F222" s="4"/>
      <c r="G222" s="4">
        <v>1</v>
      </c>
    </row>
    <row r="223" spans="1:7" x14ac:dyDescent="0.2">
      <c r="A223" s="6" t="s">
        <v>10</v>
      </c>
      <c r="B223" s="4"/>
      <c r="C223" s="4"/>
      <c r="D223" s="4">
        <v>1</v>
      </c>
      <c r="E223" s="4"/>
      <c r="F223" s="4"/>
      <c r="G223" s="4">
        <v>1</v>
      </c>
    </row>
    <row r="224" spans="1:7" x14ac:dyDescent="0.2">
      <c r="A224" s="5">
        <v>171</v>
      </c>
      <c r="B224" s="4">
        <v>1</v>
      </c>
      <c r="C224" s="4"/>
      <c r="D224" s="4"/>
      <c r="E224" s="4"/>
      <c r="F224" s="4"/>
      <c r="G224" s="4">
        <v>1</v>
      </c>
    </row>
    <row r="225" spans="1:7" x14ac:dyDescent="0.2">
      <c r="A225" s="6" t="s">
        <v>10</v>
      </c>
      <c r="B225" s="4">
        <v>1</v>
      </c>
      <c r="C225" s="4"/>
      <c r="D225" s="4"/>
      <c r="E225" s="4"/>
      <c r="F225" s="4"/>
      <c r="G225" s="4">
        <v>1</v>
      </c>
    </row>
    <row r="226" spans="1:7" x14ac:dyDescent="0.2">
      <c r="A226" s="5">
        <v>169</v>
      </c>
      <c r="B226" s="4">
        <v>3</v>
      </c>
      <c r="C226" s="4">
        <v>1</v>
      </c>
      <c r="D226" s="4"/>
      <c r="E226" s="4"/>
      <c r="F226" s="4"/>
      <c r="G226" s="4">
        <v>4</v>
      </c>
    </row>
    <row r="227" spans="1:7" x14ac:dyDescent="0.2">
      <c r="A227" s="6" t="s">
        <v>10</v>
      </c>
      <c r="B227" s="4">
        <v>3</v>
      </c>
      <c r="C227" s="4">
        <v>1</v>
      </c>
      <c r="D227" s="4"/>
      <c r="E227" s="4"/>
      <c r="F227" s="4"/>
      <c r="G227" s="4">
        <v>4</v>
      </c>
    </row>
    <row r="228" spans="1:7" x14ac:dyDescent="0.2">
      <c r="A228" s="5">
        <v>168</v>
      </c>
      <c r="B228" s="4"/>
      <c r="C228" s="4">
        <v>1</v>
      </c>
      <c r="D228" s="4"/>
      <c r="E228" s="4"/>
      <c r="F228" s="4"/>
      <c r="G228" s="4">
        <v>1</v>
      </c>
    </row>
    <row r="229" spans="1:7" x14ac:dyDescent="0.2">
      <c r="A229" s="6" t="s">
        <v>10</v>
      </c>
      <c r="B229" s="4"/>
      <c r="C229" s="4">
        <v>1</v>
      </c>
      <c r="D229" s="4"/>
      <c r="E229" s="4"/>
      <c r="F229" s="4"/>
      <c r="G229" s="4">
        <v>1</v>
      </c>
    </row>
    <row r="230" spans="1:7" x14ac:dyDescent="0.2">
      <c r="A230" s="5">
        <v>166</v>
      </c>
      <c r="B230" s="4">
        <v>2</v>
      </c>
      <c r="C230" s="4"/>
      <c r="D230" s="4"/>
      <c r="E230" s="4"/>
      <c r="F230" s="4"/>
      <c r="G230" s="4">
        <v>2</v>
      </c>
    </row>
    <row r="231" spans="1:7" x14ac:dyDescent="0.2">
      <c r="A231" s="6" t="s">
        <v>12</v>
      </c>
      <c r="B231" s="4">
        <v>1</v>
      </c>
      <c r="C231" s="4"/>
      <c r="D231" s="4"/>
      <c r="E231" s="4"/>
      <c r="F231" s="4"/>
      <c r="G231" s="4">
        <v>1</v>
      </c>
    </row>
    <row r="232" spans="1:7" x14ac:dyDescent="0.2">
      <c r="A232" s="6" t="s">
        <v>10</v>
      </c>
      <c r="B232" s="4">
        <v>1</v>
      </c>
      <c r="C232" s="4"/>
      <c r="D232" s="4"/>
      <c r="E232" s="4"/>
      <c r="F232" s="4"/>
      <c r="G232" s="4">
        <v>1</v>
      </c>
    </row>
    <row r="233" spans="1:7" x14ac:dyDescent="0.2">
      <c r="A233" s="5">
        <v>165</v>
      </c>
      <c r="B233" s="4"/>
      <c r="C233" s="4"/>
      <c r="D233" s="4">
        <v>3</v>
      </c>
      <c r="E233" s="4"/>
      <c r="F233" s="4"/>
      <c r="G233" s="4">
        <v>3</v>
      </c>
    </row>
    <row r="234" spans="1:7" x14ac:dyDescent="0.2">
      <c r="A234" s="6" t="s">
        <v>10</v>
      </c>
      <c r="B234" s="4"/>
      <c r="C234" s="4"/>
      <c r="D234" s="4">
        <v>3</v>
      </c>
      <c r="E234" s="4"/>
      <c r="F234" s="4"/>
      <c r="G234" s="4">
        <v>3</v>
      </c>
    </row>
    <row r="235" spans="1:7" x14ac:dyDescent="0.2">
      <c r="A235" s="5">
        <v>164</v>
      </c>
      <c r="B235" s="4">
        <v>4</v>
      </c>
      <c r="C235" s="4">
        <v>1</v>
      </c>
      <c r="D235" s="4">
        <v>3</v>
      </c>
      <c r="E235" s="4"/>
      <c r="F235" s="4"/>
      <c r="G235" s="4">
        <v>8</v>
      </c>
    </row>
    <row r="236" spans="1:7" x14ac:dyDescent="0.2">
      <c r="A236" s="6" t="s">
        <v>10</v>
      </c>
      <c r="B236" s="4"/>
      <c r="C236" s="4">
        <v>1</v>
      </c>
      <c r="D236" s="4"/>
      <c r="E236" s="4"/>
      <c r="F236" s="4"/>
      <c r="G236" s="4">
        <v>1</v>
      </c>
    </row>
    <row r="237" spans="1:7" x14ac:dyDescent="0.2">
      <c r="A237" s="6" t="s">
        <v>7</v>
      </c>
      <c r="B237" s="4">
        <v>4</v>
      </c>
      <c r="C237" s="4"/>
      <c r="D237" s="4">
        <v>3</v>
      </c>
      <c r="E237" s="4"/>
      <c r="F237" s="4"/>
      <c r="G237" s="4">
        <v>7</v>
      </c>
    </row>
    <row r="238" spans="1:7" x14ac:dyDescent="0.2">
      <c r="A238" s="5">
        <v>161</v>
      </c>
      <c r="B238" s="4"/>
      <c r="C238" s="4">
        <v>3</v>
      </c>
      <c r="D238" s="4">
        <v>1</v>
      </c>
      <c r="E238" s="4"/>
      <c r="F238" s="4"/>
      <c r="G238" s="4">
        <v>4</v>
      </c>
    </row>
    <row r="239" spans="1:7" x14ac:dyDescent="0.2">
      <c r="A239" s="6" t="s">
        <v>10</v>
      </c>
      <c r="B239" s="4"/>
      <c r="C239" s="4">
        <v>3</v>
      </c>
      <c r="D239" s="4">
        <v>1</v>
      </c>
      <c r="E239" s="4"/>
      <c r="F239" s="4"/>
      <c r="G239" s="4">
        <v>4</v>
      </c>
    </row>
    <row r="240" spans="1:7" x14ac:dyDescent="0.2">
      <c r="A240" s="5">
        <v>162</v>
      </c>
      <c r="B240" s="4"/>
      <c r="C240" s="4"/>
      <c r="D240" s="4"/>
      <c r="E240" s="4">
        <v>0</v>
      </c>
      <c r="F240" s="4"/>
      <c r="G240" s="4">
        <v>0</v>
      </c>
    </row>
    <row r="241" spans="1:7" x14ac:dyDescent="0.2">
      <c r="A241" s="6" t="s">
        <v>14</v>
      </c>
      <c r="B241" s="4"/>
      <c r="C241" s="4"/>
      <c r="D241" s="4"/>
      <c r="E241" s="4">
        <v>0</v>
      </c>
      <c r="F241" s="4"/>
      <c r="G241" s="4">
        <v>0</v>
      </c>
    </row>
    <row r="242" spans="1:7" x14ac:dyDescent="0.2">
      <c r="A242" s="5">
        <v>163</v>
      </c>
      <c r="B242" s="4"/>
      <c r="C242" s="4"/>
      <c r="D242" s="4"/>
      <c r="E242" s="4">
        <v>0</v>
      </c>
      <c r="F242" s="4"/>
      <c r="G242" s="4">
        <v>0</v>
      </c>
    </row>
    <row r="243" spans="1:7" x14ac:dyDescent="0.2">
      <c r="A243" s="6" t="s">
        <v>14</v>
      </c>
      <c r="B243" s="4"/>
      <c r="C243" s="4"/>
      <c r="D243" s="4"/>
      <c r="E243" s="4">
        <v>0</v>
      </c>
      <c r="F243" s="4"/>
      <c r="G243" s="4">
        <v>0</v>
      </c>
    </row>
    <row r="244" spans="1:7" x14ac:dyDescent="0.2">
      <c r="A244" s="5">
        <v>167</v>
      </c>
      <c r="B244" s="4"/>
      <c r="C244" s="4"/>
      <c r="D244" s="4"/>
      <c r="E244" s="4">
        <v>0</v>
      </c>
      <c r="F244" s="4"/>
      <c r="G244" s="4">
        <v>0</v>
      </c>
    </row>
    <row r="245" spans="1:7" x14ac:dyDescent="0.2">
      <c r="A245" s="6" t="s">
        <v>14</v>
      </c>
      <c r="B245" s="4"/>
      <c r="C245" s="4"/>
      <c r="D245" s="4"/>
      <c r="E245" s="4">
        <v>0</v>
      </c>
      <c r="F245" s="4"/>
      <c r="G245" s="4">
        <v>0</v>
      </c>
    </row>
    <row r="246" spans="1:7" x14ac:dyDescent="0.2">
      <c r="A246" s="5">
        <v>170</v>
      </c>
      <c r="B246" s="4"/>
      <c r="C246" s="4"/>
      <c r="D246" s="4"/>
      <c r="E246" s="4">
        <v>0</v>
      </c>
      <c r="F246" s="4"/>
      <c r="G246" s="4">
        <v>0</v>
      </c>
    </row>
    <row r="247" spans="1:7" x14ac:dyDescent="0.2">
      <c r="A247" s="6" t="s">
        <v>14</v>
      </c>
      <c r="B247" s="4"/>
      <c r="C247" s="4"/>
      <c r="D247" s="4"/>
      <c r="E247" s="4">
        <v>0</v>
      </c>
      <c r="F247" s="4"/>
      <c r="G247" s="4">
        <v>0</v>
      </c>
    </row>
    <row r="248" spans="1:7" x14ac:dyDescent="0.2">
      <c r="A248" s="5">
        <v>173</v>
      </c>
      <c r="B248" s="4"/>
      <c r="C248" s="4"/>
      <c r="D248" s="4"/>
      <c r="E248" s="4">
        <v>0</v>
      </c>
      <c r="F248" s="4"/>
      <c r="G248" s="4">
        <v>0</v>
      </c>
    </row>
    <row r="249" spans="1:7" x14ac:dyDescent="0.2">
      <c r="A249" s="6" t="s">
        <v>14</v>
      </c>
      <c r="B249" s="4"/>
      <c r="C249" s="4"/>
      <c r="D249" s="4"/>
      <c r="E249" s="4">
        <v>0</v>
      </c>
      <c r="F249" s="4"/>
      <c r="G249" s="4">
        <v>0</v>
      </c>
    </row>
    <row r="250" spans="1:7" x14ac:dyDescent="0.2">
      <c r="A250" s="5">
        <v>174</v>
      </c>
      <c r="B250" s="4"/>
      <c r="C250" s="4"/>
      <c r="D250" s="4"/>
      <c r="E250" s="4">
        <v>0</v>
      </c>
      <c r="F250" s="4"/>
      <c r="G250" s="4">
        <v>0</v>
      </c>
    </row>
    <row r="251" spans="1:7" x14ac:dyDescent="0.2">
      <c r="A251" s="6" t="s">
        <v>14</v>
      </c>
      <c r="B251" s="4"/>
      <c r="C251" s="4"/>
      <c r="D251" s="4"/>
      <c r="E251" s="4">
        <v>0</v>
      </c>
      <c r="F251" s="4"/>
      <c r="G251" s="4">
        <v>0</v>
      </c>
    </row>
    <row r="252" spans="1:7" x14ac:dyDescent="0.2">
      <c r="A252" s="5">
        <v>177</v>
      </c>
      <c r="B252" s="4"/>
      <c r="C252" s="4"/>
      <c r="D252" s="4"/>
      <c r="E252" s="4">
        <v>0</v>
      </c>
      <c r="F252" s="4"/>
      <c r="G252" s="4">
        <v>0</v>
      </c>
    </row>
    <row r="253" spans="1:7" x14ac:dyDescent="0.2">
      <c r="A253" s="6" t="s">
        <v>14</v>
      </c>
      <c r="B253" s="4"/>
      <c r="C253" s="4"/>
      <c r="D253" s="4"/>
      <c r="E253" s="4">
        <v>0</v>
      </c>
      <c r="F253" s="4"/>
      <c r="G253" s="4">
        <v>0</v>
      </c>
    </row>
    <row r="254" spans="1:7" x14ac:dyDescent="0.2">
      <c r="A254" s="5">
        <v>178</v>
      </c>
      <c r="B254" s="4"/>
      <c r="C254" s="4"/>
      <c r="D254" s="4"/>
      <c r="E254" s="4">
        <v>0</v>
      </c>
      <c r="F254" s="4"/>
      <c r="G254" s="4">
        <v>0</v>
      </c>
    </row>
    <row r="255" spans="1:7" x14ac:dyDescent="0.2">
      <c r="A255" s="6" t="s">
        <v>14</v>
      </c>
      <c r="B255" s="4"/>
      <c r="C255" s="4"/>
      <c r="D255" s="4"/>
      <c r="E255" s="4">
        <v>0</v>
      </c>
      <c r="F255" s="4"/>
      <c r="G255" s="4">
        <v>0</v>
      </c>
    </row>
    <row r="256" spans="1:7" x14ac:dyDescent="0.2">
      <c r="A256" s="5">
        <v>180</v>
      </c>
      <c r="B256" s="4"/>
      <c r="C256" s="4"/>
      <c r="D256" s="4"/>
      <c r="E256" s="4">
        <v>0</v>
      </c>
      <c r="F256" s="4"/>
      <c r="G256" s="4">
        <v>0</v>
      </c>
    </row>
    <row r="257" spans="1:7" x14ac:dyDescent="0.2">
      <c r="A257" s="6" t="s">
        <v>14</v>
      </c>
      <c r="B257" s="4"/>
      <c r="C257" s="4"/>
      <c r="D257" s="4"/>
      <c r="E257" s="4">
        <v>0</v>
      </c>
      <c r="F257" s="4"/>
      <c r="G257" s="4">
        <v>0</v>
      </c>
    </row>
    <row r="258" spans="1:7" x14ac:dyDescent="0.2">
      <c r="A258" s="3" t="s">
        <v>23</v>
      </c>
      <c r="B258" s="4">
        <v>45</v>
      </c>
      <c r="C258" s="4">
        <v>88</v>
      </c>
      <c r="D258" s="4">
        <v>26</v>
      </c>
      <c r="E258" s="4">
        <v>0</v>
      </c>
      <c r="F258" s="4">
        <v>0</v>
      </c>
      <c r="G258" s="4">
        <v>159</v>
      </c>
    </row>
    <row r="259" spans="1:7" x14ac:dyDescent="0.2">
      <c r="A259" s="38">
        <v>6</v>
      </c>
      <c r="B259" s="4">
        <v>16</v>
      </c>
      <c r="C259" s="4">
        <v>54</v>
      </c>
      <c r="D259" s="4">
        <v>7</v>
      </c>
      <c r="E259" s="4">
        <v>0</v>
      </c>
      <c r="F259" s="4">
        <v>0</v>
      </c>
      <c r="G259" s="4">
        <v>77</v>
      </c>
    </row>
    <row r="260" spans="1:7" x14ac:dyDescent="0.2">
      <c r="A260" s="5">
        <v>5</v>
      </c>
      <c r="B260" s="4"/>
      <c r="C260" s="4"/>
      <c r="D260" s="4"/>
      <c r="E260" s="4"/>
      <c r="F260" s="4">
        <v>0</v>
      </c>
      <c r="G260" s="4">
        <v>0</v>
      </c>
    </row>
    <row r="261" spans="1:7" x14ac:dyDescent="0.2">
      <c r="A261" s="6"/>
      <c r="B261" s="4"/>
      <c r="C261" s="4"/>
      <c r="D261" s="4"/>
      <c r="E261" s="4"/>
      <c r="F261" s="4">
        <v>0</v>
      </c>
      <c r="G261" s="4">
        <v>0</v>
      </c>
    </row>
    <row r="262" spans="1:7" x14ac:dyDescent="0.2">
      <c r="A262" s="5">
        <v>14</v>
      </c>
      <c r="B262" s="4"/>
      <c r="C262" s="4">
        <v>1</v>
      </c>
      <c r="D262" s="4"/>
      <c r="E262" s="4"/>
      <c r="F262" s="4"/>
      <c r="G262" s="4">
        <v>1</v>
      </c>
    </row>
    <row r="263" spans="1:7" x14ac:dyDescent="0.2">
      <c r="A263" s="6" t="s">
        <v>10</v>
      </c>
      <c r="B263" s="4"/>
      <c r="C263" s="4">
        <v>1</v>
      </c>
      <c r="D263" s="4"/>
      <c r="E263" s="4"/>
      <c r="F263" s="4"/>
      <c r="G263" s="4">
        <v>1</v>
      </c>
    </row>
    <row r="264" spans="1:7" x14ac:dyDescent="0.2">
      <c r="A264" s="5">
        <v>17</v>
      </c>
      <c r="B264" s="4">
        <v>1</v>
      </c>
      <c r="C264" s="4">
        <v>7</v>
      </c>
      <c r="D264" s="4"/>
      <c r="E264" s="4"/>
      <c r="F264" s="4"/>
      <c r="G264" s="4">
        <v>8</v>
      </c>
    </row>
    <row r="265" spans="1:7" x14ac:dyDescent="0.2">
      <c r="A265" s="6" t="s">
        <v>10</v>
      </c>
      <c r="B265" s="4"/>
      <c r="C265" s="4">
        <v>5</v>
      </c>
      <c r="D265" s="4"/>
      <c r="E265" s="4"/>
      <c r="F265" s="4"/>
      <c r="G265" s="4">
        <v>5</v>
      </c>
    </row>
    <row r="266" spans="1:7" x14ac:dyDescent="0.2">
      <c r="A266" s="6" t="s">
        <v>7</v>
      </c>
      <c r="B266" s="4">
        <v>1</v>
      </c>
      <c r="C266" s="4">
        <v>1</v>
      </c>
      <c r="D266" s="4"/>
      <c r="E266" s="4"/>
      <c r="F266" s="4"/>
      <c r="G266" s="4">
        <v>2</v>
      </c>
    </row>
    <row r="267" spans="1:7" x14ac:dyDescent="0.2">
      <c r="A267" s="6" t="s">
        <v>17</v>
      </c>
      <c r="B267" s="4"/>
      <c r="C267" s="4">
        <v>1</v>
      </c>
      <c r="D267" s="4"/>
      <c r="E267" s="4"/>
      <c r="F267" s="4"/>
      <c r="G267" s="4">
        <v>1</v>
      </c>
    </row>
    <row r="268" spans="1:7" x14ac:dyDescent="0.2">
      <c r="A268" s="5">
        <v>18</v>
      </c>
      <c r="B268" s="4">
        <v>1</v>
      </c>
      <c r="C268" s="4">
        <v>3</v>
      </c>
      <c r="D268" s="4">
        <v>2</v>
      </c>
      <c r="E268" s="4"/>
      <c r="F268" s="4"/>
      <c r="G268" s="4">
        <v>6</v>
      </c>
    </row>
    <row r="269" spans="1:7" x14ac:dyDescent="0.2">
      <c r="A269" s="6" t="s">
        <v>10</v>
      </c>
      <c r="B269" s="4"/>
      <c r="C269" s="4">
        <v>3</v>
      </c>
      <c r="D269" s="4">
        <v>2</v>
      </c>
      <c r="E269" s="4"/>
      <c r="F269" s="4"/>
      <c r="G269" s="4">
        <v>5</v>
      </c>
    </row>
    <row r="270" spans="1:7" x14ac:dyDescent="0.2">
      <c r="A270" s="6" t="s">
        <v>7</v>
      </c>
      <c r="B270" s="4">
        <v>1</v>
      </c>
      <c r="C270" s="4"/>
      <c r="D270" s="4"/>
      <c r="E270" s="4"/>
      <c r="F270" s="4"/>
      <c r="G270" s="4">
        <v>1</v>
      </c>
    </row>
    <row r="271" spans="1:7" x14ac:dyDescent="0.2">
      <c r="A271" s="5">
        <v>13</v>
      </c>
      <c r="B271" s="4">
        <v>2</v>
      </c>
      <c r="C271" s="4">
        <v>2</v>
      </c>
      <c r="D271" s="4">
        <v>1</v>
      </c>
      <c r="E271" s="4"/>
      <c r="F271" s="4"/>
      <c r="G271" s="4">
        <v>5</v>
      </c>
    </row>
    <row r="272" spans="1:7" x14ac:dyDescent="0.2">
      <c r="A272" s="6" t="s">
        <v>10</v>
      </c>
      <c r="B272" s="4">
        <v>2</v>
      </c>
      <c r="C272" s="4"/>
      <c r="D272" s="4">
        <v>1</v>
      </c>
      <c r="E272" s="4"/>
      <c r="F272" s="4"/>
      <c r="G272" s="4">
        <v>3</v>
      </c>
    </row>
    <row r="273" spans="1:7" x14ac:dyDescent="0.2">
      <c r="A273" s="6" t="s">
        <v>7</v>
      </c>
      <c r="B273" s="4"/>
      <c r="C273" s="4">
        <v>1</v>
      </c>
      <c r="D273" s="4"/>
      <c r="E273" s="4"/>
      <c r="F273" s="4"/>
      <c r="G273" s="4">
        <v>1</v>
      </c>
    </row>
    <row r="274" spans="1:7" x14ac:dyDescent="0.2">
      <c r="A274" s="6" t="s">
        <v>17</v>
      </c>
      <c r="B274" s="4"/>
      <c r="C274" s="4">
        <v>1</v>
      </c>
      <c r="D274" s="4"/>
      <c r="E274" s="4"/>
      <c r="F274" s="4"/>
      <c r="G274" s="4">
        <v>1</v>
      </c>
    </row>
    <row r="275" spans="1:7" x14ac:dyDescent="0.2">
      <c r="A275" s="5">
        <v>9</v>
      </c>
      <c r="B275" s="4">
        <v>3</v>
      </c>
      <c r="C275" s="4"/>
      <c r="D275" s="4">
        <v>1</v>
      </c>
      <c r="E275" s="4"/>
      <c r="F275" s="4"/>
      <c r="G275" s="4">
        <v>4</v>
      </c>
    </row>
    <row r="276" spans="1:7" x14ac:dyDescent="0.2">
      <c r="A276" s="6" t="s">
        <v>10</v>
      </c>
      <c r="B276" s="4">
        <v>3</v>
      </c>
      <c r="C276" s="4"/>
      <c r="D276" s="4">
        <v>1</v>
      </c>
      <c r="E276" s="4"/>
      <c r="F276" s="4"/>
      <c r="G276" s="4">
        <v>4</v>
      </c>
    </row>
    <row r="277" spans="1:7" x14ac:dyDescent="0.2">
      <c r="A277" s="5">
        <v>8</v>
      </c>
      <c r="B277" s="4"/>
      <c r="C277" s="4"/>
      <c r="D277" s="4"/>
      <c r="E277" s="4">
        <v>0</v>
      </c>
      <c r="F277" s="4"/>
      <c r="G277" s="4">
        <v>0</v>
      </c>
    </row>
    <row r="278" spans="1:7" x14ac:dyDescent="0.2">
      <c r="A278" s="6" t="s">
        <v>14</v>
      </c>
      <c r="B278" s="4"/>
      <c r="C278" s="4"/>
      <c r="D278" s="4"/>
      <c r="E278" s="4">
        <v>0</v>
      </c>
      <c r="F278" s="4"/>
      <c r="G278" s="4">
        <v>0</v>
      </c>
    </row>
    <row r="279" spans="1:7" x14ac:dyDescent="0.2">
      <c r="A279" s="5">
        <v>16</v>
      </c>
      <c r="B279" s="4"/>
      <c r="C279" s="4"/>
      <c r="D279" s="4"/>
      <c r="E279" s="4">
        <v>0</v>
      </c>
      <c r="F279" s="4"/>
      <c r="G279" s="4">
        <v>0</v>
      </c>
    </row>
    <row r="280" spans="1:7" x14ac:dyDescent="0.2">
      <c r="A280" s="6" t="s">
        <v>14</v>
      </c>
      <c r="B280" s="4"/>
      <c r="C280" s="4"/>
      <c r="D280" s="4"/>
      <c r="E280" s="4">
        <v>0</v>
      </c>
      <c r="F280" s="4"/>
      <c r="G280" s="4">
        <v>0</v>
      </c>
    </row>
    <row r="281" spans="1:7" x14ac:dyDescent="0.2">
      <c r="A281" s="5">
        <v>15</v>
      </c>
      <c r="B281" s="4">
        <v>1</v>
      </c>
      <c r="C281" s="4">
        <v>8</v>
      </c>
      <c r="D281" s="4"/>
      <c r="E281" s="4"/>
      <c r="F281" s="4"/>
      <c r="G281" s="4">
        <v>9</v>
      </c>
    </row>
    <row r="282" spans="1:7" x14ac:dyDescent="0.2">
      <c r="A282" s="6" t="s">
        <v>10</v>
      </c>
      <c r="B282" s="4">
        <v>1</v>
      </c>
      <c r="C282" s="4">
        <v>7</v>
      </c>
      <c r="D282" s="4"/>
      <c r="E282" s="4"/>
      <c r="F282" s="4"/>
      <c r="G282" s="4">
        <v>8</v>
      </c>
    </row>
    <row r="283" spans="1:7" x14ac:dyDescent="0.2">
      <c r="A283" s="6" t="s">
        <v>7</v>
      </c>
      <c r="B283" s="4"/>
      <c r="C283" s="4">
        <v>1</v>
      </c>
      <c r="D283" s="4"/>
      <c r="E283" s="4"/>
      <c r="F283" s="4"/>
      <c r="G283" s="4">
        <v>1</v>
      </c>
    </row>
    <row r="284" spans="1:7" x14ac:dyDescent="0.2">
      <c r="A284" s="5">
        <v>12</v>
      </c>
      <c r="B284" s="4">
        <v>0</v>
      </c>
      <c r="C284" s="4">
        <v>1</v>
      </c>
      <c r="D284" s="4"/>
      <c r="E284" s="4"/>
      <c r="F284" s="4"/>
      <c r="G284" s="4">
        <v>1</v>
      </c>
    </row>
    <row r="285" spans="1:7" x14ac:dyDescent="0.2">
      <c r="A285" s="6" t="s">
        <v>14</v>
      </c>
      <c r="B285" s="4">
        <v>0</v>
      </c>
      <c r="C285" s="4"/>
      <c r="D285" s="4"/>
      <c r="E285" s="4"/>
      <c r="F285" s="4"/>
      <c r="G285" s="4">
        <v>0</v>
      </c>
    </row>
    <row r="286" spans="1:7" x14ac:dyDescent="0.2">
      <c r="A286" s="6" t="s">
        <v>10</v>
      </c>
      <c r="B286" s="4"/>
      <c r="C286" s="4">
        <v>1</v>
      </c>
      <c r="D286" s="4"/>
      <c r="E286" s="4"/>
      <c r="F286" s="4"/>
      <c r="G286" s="4">
        <v>1</v>
      </c>
    </row>
    <row r="287" spans="1:7" x14ac:dyDescent="0.2">
      <c r="A287" s="5">
        <v>11</v>
      </c>
      <c r="B287" s="4">
        <v>3</v>
      </c>
      <c r="C287" s="4">
        <v>3</v>
      </c>
      <c r="D287" s="4">
        <v>2</v>
      </c>
      <c r="E287" s="4"/>
      <c r="F287" s="4"/>
      <c r="G287" s="4">
        <v>8</v>
      </c>
    </row>
    <row r="288" spans="1:7" x14ac:dyDescent="0.2">
      <c r="A288" s="6" t="s">
        <v>10</v>
      </c>
      <c r="B288" s="4">
        <v>3</v>
      </c>
      <c r="C288" s="4">
        <v>3</v>
      </c>
      <c r="D288" s="4">
        <v>2</v>
      </c>
      <c r="E288" s="4"/>
      <c r="F288" s="4"/>
      <c r="G288" s="4">
        <v>8</v>
      </c>
    </row>
    <row r="289" spans="1:7" x14ac:dyDescent="0.2">
      <c r="A289" s="5">
        <v>10</v>
      </c>
      <c r="B289" s="4">
        <v>0</v>
      </c>
      <c r="C289" s="4"/>
      <c r="D289" s="4"/>
      <c r="E289" s="4"/>
      <c r="F289" s="4"/>
      <c r="G289" s="4">
        <v>0</v>
      </c>
    </row>
    <row r="290" spans="1:7" x14ac:dyDescent="0.2">
      <c r="A290" s="6" t="s">
        <v>7</v>
      </c>
      <c r="B290" s="4">
        <v>0</v>
      </c>
      <c r="C290" s="4"/>
      <c r="D290" s="4"/>
      <c r="E290" s="4"/>
      <c r="F290" s="4"/>
      <c r="G290" s="4">
        <v>0</v>
      </c>
    </row>
    <row r="291" spans="1:7" x14ac:dyDescent="0.2">
      <c r="A291" s="5">
        <v>7</v>
      </c>
      <c r="B291" s="4"/>
      <c r="C291" s="4"/>
      <c r="D291" s="4"/>
      <c r="E291" s="4">
        <v>0</v>
      </c>
      <c r="F291" s="4"/>
      <c r="G291" s="4">
        <v>0</v>
      </c>
    </row>
    <row r="292" spans="1:7" x14ac:dyDescent="0.2">
      <c r="A292" s="6" t="s">
        <v>14</v>
      </c>
      <c r="B292" s="4"/>
      <c r="C292" s="4"/>
      <c r="D292" s="4"/>
      <c r="E292" s="4">
        <v>0</v>
      </c>
      <c r="F292" s="4"/>
      <c r="G292" s="4">
        <v>0</v>
      </c>
    </row>
    <row r="293" spans="1:7" x14ac:dyDescent="0.2">
      <c r="A293" s="5">
        <v>6</v>
      </c>
      <c r="B293" s="4"/>
      <c r="C293" s="4">
        <v>9</v>
      </c>
      <c r="D293" s="4"/>
      <c r="E293" s="4"/>
      <c r="F293" s="4"/>
      <c r="G293" s="4">
        <v>9</v>
      </c>
    </row>
    <row r="294" spans="1:7" x14ac:dyDescent="0.2">
      <c r="A294" s="6" t="s">
        <v>10</v>
      </c>
      <c r="B294" s="4"/>
      <c r="C294" s="4">
        <v>9</v>
      </c>
      <c r="D294" s="4"/>
      <c r="E294" s="4"/>
      <c r="F294" s="4"/>
      <c r="G294" s="4">
        <v>9</v>
      </c>
    </row>
    <row r="295" spans="1:7" x14ac:dyDescent="0.2">
      <c r="A295" s="5">
        <v>4</v>
      </c>
      <c r="B295" s="4"/>
      <c r="C295" s="4"/>
      <c r="D295" s="4"/>
      <c r="E295" s="4">
        <v>0</v>
      </c>
      <c r="F295" s="4"/>
      <c r="G295" s="4">
        <v>0</v>
      </c>
    </row>
    <row r="296" spans="1:7" x14ac:dyDescent="0.2">
      <c r="A296" s="6" t="s">
        <v>14</v>
      </c>
      <c r="B296" s="4"/>
      <c r="C296" s="4"/>
      <c r="D296" s="4"/>
      <c r="E296" s="4">
        <v>0</v>
      </c>
      <c r="F296" s="4"/>
      <c r="G296" s="4">
        <v>0</v>
      </c>
    </row>
    <row r="297" spans="1:7" x14ac:dyDescent="0.2">
      <c r="A297" s="5">
        <v>3</v>
      </c>
      <c r="B297" s="4">
        <v>1</v>
      </c>
      <c r="C297" s="4">
        <v>2</v>
      </c>
      <c r="D297" s="4"/>
      <c r="E297" s="4"/>
      <c r="F297" s="4"/>
      <c r="G297" s="4">
        <v>3</v>
      </c>
    </row>
    <row r="298" spans="1:7" x14ac:dyDescent="0.2">
      <c r="A298" s="6" t="s">
        <v>12</v>
      </c>
      <c r="B298" s="4"/>
      <c r="C298" s="4">
        <v>1</v>
      </c>
      <c r="D298" s="4"/>
      <c r="E298" s="4"/>
      <c r="F298" s="4"/>
      <c r="G298" s="4">
        <v>1</v>
      </c>
    </row>
    <row r="299" spans="1:7" x14ac:dyDescent="0.2">
      <c r="A299" s="6" t="s">
        <v>10</v>
      </c>
      <c r="B299" s="4">
        <v>1</v>
      </c>
      <c r="C299" s="4">
        <v>1</v>
      </c>
      <c r="D299" s="4"/>
      <c r="E299" s="4"/>
      <c r="F299" s="4"/>
      <c r="G299" s="4">
        <v>2</v>
      </c>
    </row>
    <row r="300" spans="1:7" x14ac:dyDescent="0.2">
      <c r="A300" s="5">
        <v>2</v>
      </c>
      <c r="B300" s="4">
        <v>3</v>
      </c>
      <c r="C300" s="4">
        <v>2</v>
      </c>
      <c r="D300" s="4"/>
      <c r="E300" s="4"/>
      <c r="F300" s="4"/>
      <c r="G300" s="4">
        <v>5</v>
      </c>
    </row>
    <row r="301" spans="1:7" x14ac:dyDescent="0.2">
      <c r="A301" s="6" t="s">
        <v>12</v>
      </c>
      <c r="B301" s="4">
        <v>1</v>
      </c>
      <c r="C301" s="4"/>
      <c r="D301" s="4"/>
      <c r="E301" s="4"/>
      <c r="F301" s="4"/>
      <c r="G301" s="4">
        <v>1</v>
      </c>
    </row>
    <row r="302" spans="1:7" x14ac:dyDescent="0.2">
      <c r="A302" s="6" t="s">
        <v>10</v>
      </c>
      <c r="B302" s="4">
        <v>2</v>
      </c>
      <c r="C302" s="4">
        <v>2</v>
      </c>
      <c r="D302" s="4"/>
      <c r="E302" s="4"/>
      <c r="F302" s="4"/>
      <c r="G302" s="4">
        <v>4</v>
      </c>
    </row>
    <row r="303" spans="1:7" x14ac:dyDescent="0.2">
      <c r="A303" s="5">
        <v>1</v>
      </c>
      <c r="B303" s="4"/>
      <c r="C303" s="4">
        <v>3</v>
      </c>
      <c r="D303" s="4"/>
      <c r="E303" s="4"/>
      <c r="F303" s="4"/>
      <c r="G303" s="4">
        <v>3</v>
      </c>
    </row>
    <row r="304" spans="1:7" x14ac:dyDescent="0.2">
      <c r="A304" s="6" t="s">
        <v>10</v>
      </c>
      <c r="B304" s="4"/>
      <c r="C304" s="4">
        <v>3</v>
      </c>
      <c r="D304" s="4"/>
      <c r="E304" s="4"/>
      <c r="F304" s="4"/>
      <c r="G304" s="4">
        <v>3</v>
      </c>
    </row>
    <row r="305" spans="1:7" x14ac:dyDescent="0.2">
      <c r="A305" s="5">
        <v>20</v>
      </c>
      <c r="B305" s="4">
        <v>1</v>
      </c>
      <c r="C305" s="4">
        <v>12</v>
      </c>
      <c r="D305" s="4"/>
      <c r="E305" s="4"/>
      <c r="F305" s="4"/>
      <c r="G305" s="4">
        <v>13</v>
      </c>
    </row>
    <row r="306" spans="1:7" x14ac:dyDescent="0.2">
      <c r="A306" s="6" t="s">
        <v>10</v>
      </c>
      <c r="B306" s="4">
        <v>1</v>
      </c>
      <c r="C306" s="4">
        <v>12</v>
      </c>
      <c r="D306" s="4"/>
      <c r="E306" s="4"/>
      <c r="F306" s="4"/>
      <c r="G306" s="4">
        <v>13</v>
      </c>
    </row>
    <row r="307" spans="1:7" x14ac:dyDescent="0.2">
      <c r="A307" s="5">
        <v>19</v>
      </c>
      <c r="B307" s="4"/>
      <c r="C307" s="4">
        <v>1</v>
      </c>
      <c r="D307" s="4">
        <v>1</v>
      </c>
      <c r="E307" s="4"/>
      <c r="F307" s="4"/>
      <c r="G307" s="4">
        <v>2</v>
      </c>
    </row>
    <row r="308" spans="1:7" x14ac:dyDescent="0.2">
      <c r="A308" s="6" t="s">
        <v>10</v>
      </c>
      <c r="B308" s="4"/>
      <c r="C308" s="4">
        <v>1</v>
      </c>
      <c r="D308" s="4">
        <v>1</v>
      </c>
      <c r="E308" s="4"/>
      <c r="F308" s="4"/>
      <c r="G308" s="4">
        <v>2</v>
      </c>
    </row>
    <row r="309" spans="1:7" x14ac:dyDescent="0.2">
      <c r="A309" s="38">
        <v>12</v>
      </c>
      <c r="B309" s="4">
        <v>12</v>
      </c>
      <c r="C309" s="4">
        <v>9</v>
      </c>
      <c r="D309" s="4">
        <v>9</v>
      </c>
      <c r="E309" s="4">
        <v>0</v>
      </c>
      <c r="F309" s="4">
        <v>0</v>
      </c>
      <c r="G309" s="4">
        <v>30</v>
      </c>
    </row>
    <row r="310" spans="1:7" x14ac:dyDescent="0.2">
      <c r="A310" s="5">
        <v>25</v>
      </c>
      <c r="B310" s="4"/>
      <c r="C310" s="4">
        <v>1</v>
      </c>
      <c r="D310" s="4">
        <v>1</v>
      </c>
      <c r="E310" s="4"/>
      <c r="F310" s="4"/>
      <c r="G310" s="4">
        <v>2</v>
      </c>
    </row>
    <row r="311" spans="1:7" x14ac:dyDescent="0.2">
      <c r="A311" s="6" t="s">
        <v>10</v>
      </c>
      <c r="B311" s="4"/>
      <c r="C311" s="4">
        <v>1</v>
      </c>
      <c r="D311" s="4">
        <v>1</v>
      </c>
      <c r="E311" s="4"/>
      <c r="F311" s="4"/>
      <c r="G311" s="4">
        <v>2</v>
      </c>
    </row>
    <row r="312" spans="1:7" x14ac:dyDescent="0.2">
      <c r="A312" s="5">
        <v>39</v>
      </c>
      <c r="B312" s="4"/>
      <c r="C312" s="4"/>
      <c r="D312" s="4"/>
      <c r="E312" s="4"/>
      <c r="F312" s="4">
        <v>0</v>
      </c>
      <c r="G312" s="4">
        <v>0</v>
      </c>
    </row>
    <row r="313" spans="1:7" x14ac:dyDescent="0.2">
      <c r="A313" s="6"/>
      <c r="B313" s="4"/>
      <c r="C313" s="4"/>
      <c r="D313" s="4"/>
      <c r="E313" s="4"/>
      <c r="F313" s="4">
        <v>0</v>
      </c>
      <c r="G313" s="4">
        <v>0</v>
      </c>
    </row>
    <row r="314" spans="1:7" x14ac:dyDescent="0.2">
      <c r="A314" s="5">
        <v>28</v>
      </c>
      <c r="B314" s="4">
        <v>2</v>
      </c>
      <c r="C314" s="4">
        <v>2</v>
      </c>
      <c r="D314" s="4"/>
      <c r="E314" s="4"/>
      <c r="F314" s="4"/>
      <c r="G314" s="4">
        <v>4</v>
      </c>
    </row>
    <row r="315" spans="1:7" x14ac:dyDescent="0.2">
      <c r="A315" s="6" t="s">
        <v>10</v>
      </c>
      <c r="B315" s="4">
        <v>2</v>
      </c>
      <c r="C315" s="4">
        <v>1</v>
      </c>
      <c r="D315" s="4"/>
      <c r="E315" s="4"/>
      <c r="F315" s="4"/>
      <c r="G315" s="4">
        <v>3</v>
      </c>
    </row>
    <row r="316" spans="1:7" x14ac:dyDescent="0.2">
      <c r="A316" s="6" t="s">
        <v>7</v>
      </c>
      <c r="B316" s="4"/>
      <c r="C316" s="4">
        <v>1</v>
      </c>
      <c r="D316" s="4"/>
      <c r="E316" s="4"/>
      <c r="F316" s="4"/>
      <c r="G316" s="4">
        <v>1</v>
      </c>
    </row>
    <row r="317" spans="1:7" x14ac:dyDescent="0.2">
      <c r="A317" s="5">
        <v>22</v>
      </c>
      <c r="B317" s="4"/>
      <c r="C317" s="4"/>
      <c r="D317" s="4">
        <v>3</v>
      </c>
      <c r="E317" s="4"/>
      <c r="F317" s="4"/>
      <c r="G317" s="4">
        <v>3</v>
      </c>
    </row>
    <row r="318" spans="1:7" x14ac:dyDescent="0.2">
      <c r="A318" s="6" t="s">
        <v>10</v>
      </c>
      <c r="B318" s="4"/>
      <c r="C318" s="4"/>
      <c r="D318" s="4">
        <v>2</v>
      </c>
      <c r="E318" s="4"/>
      <c r="F318" s="4"/>
      <c r="G318" s="4">
        <v>2</v>
      </c>
    </row>
    <row r="319" spans="1:7" x14ac:dyDescent="0.2">
      <c r="A319" s="6" t="s">
        <v>7</v>
      </c>
      <c r="B319" s="4"/>
      <c r="C319" s="4"/>
      <c r="D319" s="4">
        <v>1</v>
      </c>
      <c r="E319" s="4"/>
      <c r="F319" s="4"/>
      <c r="G319" s="4">
        <v>1</v>
      </c>
    </row>
    <row r="320" spans="1:7" x14ac:dyDescent="0.2">
      <c r="A320" s="5">
        <v>40</v>
      </c>
      <c r="B320" s="4">
        <v>3</v>
      </c>
      <c r="C320" s="4"/>
      <c r="D320" s="4"/>
      <c r="E320" s="4"/>
      <c r="F320" s="4"/>
      <c r="G320" s="4">
        <v>3</v>
      </c>
    </row>
    <row r="321" spans="1:7" x14ac:dyDescent="0.2">
      <c r="A321" s="6" t="s">
        <v>10</v>
      </c>
      <c r="B321" s="4">
        <v>2</v>
      </c>
      <c r="C321" s="4"/>
      <c r="D321" s="4"/>
      <c r="E321" s="4"/>
      <c r="F321" s="4"/>
      <c r="G321" s="4">
        <v>2</v>
      </c>
    </row>
    <row r="322" spans="1:7" x14ac:dyDescent="0.2">
      <c r="A322" s="6" t="s">
        <v>7</v>
      </c>
      <c r="B322" s="4">
        <v>1</v>
      </c>
      <c r="C322" s="4"/>
      <c r="D322" s="4"/>
      <c r="E322" s="4"/>
      <c r="F322" s="4"/>
      <c r="G322" s="4">
        <v>1</v>
      </c>
    </row>
    <row r="323" spans="1:7" x14ac:dyDescent="0.2">
      <c r="A323" s="5">
        <v>38</v>
      </c>
      <c r="B323" s="4">
        <v>2</v>
      </c>
      <c r="C323" s="4"/>
      <c r="D323" s="4"/>
      <c r="E323" s="4"/>
      <c r="F323" s="4"/>
      <c r="G323" s="4">
        <v>2</v>
      </c>
    </row>
    <row r="324" spans="1:7" x14ac:dyDescent="0.2">
      <c r="A324" s="6" t="s">
        <v>10</v>
      </c>
      <c r="B324" s="4">
        <v>1</v>
      </c>
      <c r="C324" s="4"/>
      <c r="D324" s="4"/>
      <c r="E324" s="4"/>
      <c r="F324" s="4"/>
      <c r="G324" s="4">
        <v>1</v>
      </c>
    </row>
    <row r="325" spans="1:7" x14ac:dyDescent="0.2">
      <c r="A325" s="6" t="s">
        <v>7</v>
      </c>
      <c r="B325" s="4">
        <v>1</v>
      </c>
      <c r="C325" s="4"/>
      <c r="D325" s="4"/>
      <c r="E325" s="4"/>
      <c r="F325" s="4"/>
      <c r="G325" s="4">
        <v>1</v>
      </c>
    </row>
    <row r="326" spans="1:7" x14ac:dyDescent="0.2">
      <c r="A326" s="5">
        <v>35</v>
      </c>
      <c r="B326" s="4"/>
      <c r="C326" s="4"/>
      <c r="D326" s="4">
        <v>1</v>
      </c>
      <c r="E326" s="4"/>
      <c r="F326" s="4"/>
      <c r="G326" s="4">
        <v>1</v>
      </c>
    </row>
    <row r="327" spans="1:7" x14ac:dyDescent="0.2">
      <c r="A327" s="6" t="s">
        <v>14</v>
      </c>
      <c r="B327" s="4"/>
      <c r="C327" s="4"/>
      <c r="D327" s="4">
        <v>1</v>
      </c>
      <c r="E327" s="4"/>
      <c r="F327" s="4"/>
      <c r="G327" s="4">
        <v>1</v>
      </c>
    </row>
    <row r="328" spans="1:7" x14ac:dyDescent="0.2">
      <c r="A328" s="5">
        <v>34</v>
      </c>
      <c r="B328" s="4"/>
      <c r="C328" s="4"/>
      <c r="D328" s="4">
        <v>1</v>
      </c>
      <c r="E328" s="4"/>
      <c r="F328" s="4"/>
      <c r="G328" s="4">
        <v>1</v>
      </c>
    </row>
    <row r="329" spans="1:7" x14ac:dyDescent="0.2">
      <c r="A329" s="6" t="s">
        <v>10</v>
      </c>
      <c r="B329" s="4"/>
      <c r="C329" s="4"/>
      <c r="D329" s="4">
        <v>1</v>
      </c>
      <c r="E329" s="4"/>
      <c r="F329" s="4"/>
      <c r="G329" s="4">
        <v>1</v>
      </c>
    </row>
    <row r="330" spans="1:7" x14ac:dyDescent="0.2">
      <c r="A330" s="5">
        <v>33</v>
      </c>
      <c r="B330" s="4"/>
      <c r="C330" s="4"/>
      <c r="D330" s="4"/>
      <c r="E330" s="4">
        <v>0</v>
      </c>
      <c r="F330" s="4"/>
      <c r="G330" s="4">
        <v>0</v>
      </c>
    </row>
    <row r="331" spans="1:7" x14ac:dyDescent="0.2">
      <c r="A331" s="6" t="s">
        <v>14</v>
      </c>
      <c r="B331" s="4"/>
      <c r="C331" s="4"/>
      <c r="D331" s="4"/>
      <c r="E331" s="4">
        <v>0</v>
      </c>
      <c r="F331" s="4"/>
      <c r="G331" s="4">
        <v>0</v>
      </c>
    </row>
    <row r="332" spans="1:7" x14ac:dyDescent="0.2">
      <c r="A332" s="5">
        <v>32</v>
      </c>
      <c r="B332" s="4">
        <v>1</v>
      </c>
      <c r="C332" s="4">
        <v>1</v>
      </c>
      <c r="D332" s="4"/>
      <c r="E332" s="4"/>
      <c r="F332" s="4"/>
      <c r="G332" s="4">
        <v>2</v>
      </c>
    </row>
    <row r="333" spans="1:7" x14ac:dyDescent="0.2">
      <c r="A333" s="6" t="s">
        <v>10</v>
      </c>
      <c r="B333" s="4">
        <v>1</v>
      </c>
      <c r="C333" s="4">
        <v>1</v>
      </c>
      <c r="D333" s="4"/>
      <c r="E333" s="4"/>
      <c r="F333" s="4"/>
      <c r="G333" s="4">
        <v>2</v>
      </c>
    </row>
    <row r="334" spans="1:7" x14ac:dyDescent="0.2">
      <c r="A334" s="5">
        <v>29</v>
      </c>
      <c r="B334" s="4">
        <v>1</v>
      </c>
      <c r="C334" s="4">
        <v>1</v>
      </c>
      <c r="D334" s="4"/>
      <c r="E334" s="4"/>
      <c r="F334" s="4"/>
      <c r="G334" s="4">
        <v>2</v>
      </c>
    </row>
    <row r="335" spans="1:7" x14ac:dyDescent="0.2">
      <c r="A335" s="6" t="s">
        <v>10</v>
      </c>
      <c r="B335" s="4">
        <v>1</v>
      </c>
      <c r="C335" s="4"/>
      <c r="D335" s="4"/>
      <c r="E335" s="4"/>
      <c r="F335" s="4"/>
      <c r="G335" s="4">
        <v>1</v>
      </c>
    </row>
    <row r="336" spans="1:7" x14ac:dyDescent="0.2">
      <c r="A336" s="6" t="s">
        <v>7</v>
      </c>
      <c r="B336" s="4"/>
      <c r="C336" s="4">
        <v>1</v>
      </c>
      <c r="D336" s="4"/>
      <c r="E336" s="4"/>
      <c r="F336" s="4"/>
      <c r="G336" s="4">
        <v>1</v>
      </c>
    </row>
    <row r="337" spans="1:7" x14ac:dyDescent="0.2">
      <c r="A337" s="5">
        <v>27</v>
      </c>
      <c r="B337" s="4"/>
      <c r="C337" s="4"/>
      <c r="D337" s="4"/>
      <c r="E337" s="4">
        <v>0</v>
      </c>
      <c r="F337" s="4"/>
      <c r="G337" s="4">
        <v>0</v>
      </c>
    </row>
    <row r="338" spans="1:7" x14ac:dyDescent="0.2">
      <c r="A338" s="6" t="s">
        <v>14</v>
      </c>
      <c r="B338" s="4"/>
      <c r="C338" s="4"/>
      <c r="D338" s="4"/>
      <c r="E338" s="4">
        <v>0</v>
      </c>
      <c r="F338" s="4"/>
      <c r="G338" s="4">
        <v>0</v>
      </c>
    </row>
    <row r="339" spans="1:7" x14ac:dyDescent="0.2">
      <c r="A339" s="5">
        <v>24</v>
      </c>
      <c r="B339" s="4"/>
      <c r="C339" s="4"/>
      <c r="D339" s="4">
        <v>1</v>
      </c>
      <c r="E339" s="4"/>
      <c r="F339" s="4"/>
      <c r="G339" s="4">
        <v>1</v>
      </c>
    </row>
    <row r="340" spans="1:7" x14ac:dyDescent="0.2">
      <c r="A340" s="6" t="s">
        <v>10</v>
      </c>
      <c r="B340" s="4"/>
      <c r="C340" s="4"/>
      <c r="D340" s="4">
        <v>1</v>
      </c>
      <c r="E340" s="4"/>
      <c r="F340" s="4"/>
      <c r="G340" s="4">
        <v>1</v>
      </c>
    </row>
    <row r="341" spans="1:7" x14ac:dyDescent="0.2">
      <c r="A341" s="5">
        <v>31</v>
      </c>
      <c r="B341" s="4"/>
      <c r="C341" s="4"/>
      <c r="D341" s="4"/>
      <c r="E341" s="4">
        <v>0</v>
      </c>
      <c r="F341" s="4"/>
      <c r="G341" s="4">
        <v>0</v>
      </c>
    </row>
    <row r="342" spans="1:7" x14ac:dyDescent="0.2">
      <c r="A342" s="6" t="s">
        <v>14</v>
      </c>
      <c r="B342" s="4"/>
      <c r="C342" s="4"/>
      <c r="D342" s="4"/>
      <c r="E342" s="4">
        <v>0</v>
      </c>
      <c r="F342" s="4"/>
      <c r="G342" s="4">
        <v>0</v>
      </c>
    </row>
    <row r="343" spans="1:7" x14ac:dyDescent="0.2">
      <c r="A343" s="5">
        <v>30</v>
      </c>
      <c r="B343" s="4"/>
      <c r="C343" s="4"/>
      <c r="D343" s="4">
        <v>1</v>
      </c>
      <c r="E343" s="4"/>
      <c r="F343" s="4"/>
      <c r="G343" s="4">
        <v>1</v>
      </c>
    </row>
    <row r="344" spans="1:7" x14ac:dyDescent="0.2">
      <c r="A344" s="6" t="s">
        <v>10</v>
      </c>
      <c r="B344" s="4"/>
      <c r="C344" s="4"/>
      <c r="D344" s="4">
        <v>1</v>
      </c>
      <c r="E344" s="4"/>
      <c r="F344" s="4"/>
      <c r="G344" s="4">
        <v>1</v>
      </c>
    </row>
    <row r="345" spans="1:7" x14ac:dyDescent="0.2">
      <c r="A345" s="5">
        <v>23</v>
      </c>
      <c r="B345" s="4"/>
      <c r="C345" s="4">
        <v>2</v>
      </c>
      <c r="D345" s="4"/>
      <c r="E345" s="4"/>
      <c r="F345" s="4"/>
      <c r="G345" s="4">
        <v>2</v>
      </c>
    </row>
    <row r="346" spans="1:7" x14ac:dyDescent="0.2">
      <c r="A346" s="6" t="s">
        <v>10</v>
      </c>
      <c r="B346" s="4"/>
      <c r="C346" s="4">
        <v>2</v>
      </c>
      <c r="D346" s="4"/>
      <c r="E346" s="4"/>
      <c r="F346" s="4"/>
      <c r="G346" s="4">
        <v>2</v>
      </c>
    </row>
    <row r="347" spans="1:7" x14ac:dyDescent="0.2">
      <c r="A347" s="5">
        <v>21</v>
      </c>
      <c r="B347" s="4">
        <v>1</v>
      </c>
      <c r="C347" s="4">
        <v>1</v>
      </c>
      <c r="D347" s="4"/>
      <c r="E347" s="4"/>
      <c r="F347" s="4"/>
      <c r="G347" s="4">
        <v>2</v>
      </c>
    </row>
    <row r="348" spans="1:7" x14ac:dyDescent="0.2">
      <c r="A348" s="6" t="s">
        <v>10</v>
      </c>
      <c r="B348" s="4">
        <v>1</v>
      </c>
      <c r="C348" s="4">
        <v>1</v>
      </c>
      <c r="D348" s="4"/>
      <c r="E348" s="4"/>
      <c r="F348" s="4"/>
      <c r="G348" s="4">
        <v>2</v>
      </c>
    </row>
    <row r="349" spans="1:7" x14ac:dyDescent="0.2">
      <c r="A349" s="5">
        <v>37</v>
      </c>
      <c r="B349" s="4"/>
      <c r="C349" s="4">
        <v>1</v>
      </c>
      <c r="D349" s="4"/>
      <c r="E349" s="4"/>
      <c r="F349" s="4"/>
      <c r="G349" s="4">
        <v>1</v>
      </c>
    </row>
    <row r="350" spans="1:7" x14ac:dyDescent="0.2">
      <c r="A350" s="6" t="s">
        <v>10</v>
      </c>
      <c r="B350" s="4"/>
      <c r="C350" s="4">
        <v>1</v>
      </c>
      <c r="D350" s="4"/>
      <c r="E350" s="4"/>
      <c r="F350" s="4"/>
      <c r="G350" s="4">
        <v>1</v>
      </c>
    </row>
    <row r="351" spans="1:7" x14ac:dyDescent="0.2">
      <c r="A351" s="5">
        <v>36</v>
      </c>
      <c r="B351" s="4">
        <v>2</v>
      </c>
      <c r="C351" s="4"/>
      <c r="D351" s="4"/>
      <c r="E351" s="4"/>
      <c r="F351" s="4"/>
      <c r="G351" s="4">
        <v>2</v>
      </c>
    </row>
    <row r="352" spans="1:7" x14ac:dyDescent="0.2">
      <c r="A352" s="6" t="s">
        <v>10</v>
      </c>
      <c r="B352" s="4">
        <v>1</v>
      </c>
      <c r="C352" s="4"/>
      <c r="D352" s="4"/>
      <c r="E352" s="4"/>
      <c r="F352" s="4"/>
      <c r="G352" s="4">
        <v>1</v>
      </c>
    </row>
    <row r="353" spans="1:7" x14ac:dyDescent="0.2">
      <c r="A353" s="6" t="s">
        <v>7</v>
      </c>
      <c r="B353" s="4">
        <v>1</v>
      </c>
      <c r="C353" s="4"/>
      <c r="D353" s="4"/>
      <c r="E353" s="4"/>
      <c r="F353" s="4"/>
      <c r="G353" s="4">
        <v>1</v>
      </c>
    </row>
    <row r="354" spans="1:7" x14ac:dyDescent="0.2">
      <c r="A354" s="5">
        <v>26</v>
      </c>
      <c r="B354" s="4"/>
      <c r="C354" s="4"/>
      <c r="D354" s="4">
        <v>1</v>
      </c>
      <c r="E354" s="4"/>
      <c r="F354" s="4"/>
      <c r="G354" s="4">
        <v>1</v>
      </c>
    </row>
    <row r="355" spans="1:7" x14ac:dyDescent="0.2">
      <c r="A355" s="6" t="s">
        <v>10</v>
      </c>
      <c r="B355" s="4"/>
      <c r="C355" s="4"/>
      <c r="D355" s="4">
        <v>1</v>
      </c>
      <c r="E355" s="4"/>
      <c r="F355" s="4"/>
      <c r="G355" s="4">
        <v>1</v>
      </c>
    </row>
    <row r="356" spans="1:7" x14ac:dyDescent="0.2">
      <c r="A356" s="38">
        <v>18</v>
      </c>
      <c r="B356" s="4">
        <v>17</v>
      </c>
      <c r="C356" s="4">
        <v>25</v>
      </c>
      <c r="D356" s="4">
        <v>10</v>
      </c>
      <c r="E356" s="4">
        <v>0</v>
      </c>
      <c r="F356" s="4">
        <v>0</v>
      </c>
      <c r="G356" s="4">
        <v>52</v>
      </c>
    </row>
    <row r="357" spans="1:7" x14ac:dyDescent="0.2">
      <c r="A357" s="5">
        <v>43</v>
      </c>
      <c r="B357" s="4"/>
      <c r="C357" s="4"/>
      <c r="D357" s="4"/>
      <c r="E357" s="4">
        <v>0</v>
      </c>
      <c r="F357" s="4"/>
      <c r="G357" s="4">
        <v>0</v>
      </c>
    </row>
    <row r="358" spans="1:7" x14ac:dyDescent="0.2">
      <c r="A358" s="6" t="s">
        <v>14</v>
      </c>
      <c r="B358" s="4"/>
      <c r="C358" s="4"/>
      <c r="D358" s="4"/>
      <c r="E358" s="4">
        <v>0</v>
      </c>
      <c r="F358" s="4"/>
      <c r="G358" s="4">
        <v>0</v>
      </c>
    </row>
    <row r="359" spans="1:7" x14ac:dyDescent="0.2">
      <c r="A359" s="5">
        <v>60</v>
      </c>
      <c r="B359" s="4"/>
      <c r="C359" s="4"/>
      <c r="D359" s="4">
        <v>1</v>
      </c>
      <c r="E359" s="4"/>
      <c r="F359" s="4"/>
      <c r="G359" s="4">
        <v>1</v>
      </c>
    </row>
    <row r="360" spans="1:7" x14ac:dyDescent="0.2">
      <c r="A360" s="6" t="s">
        <v>10</v>
      </c>
      <c r="B360" s="4"/>
      <c r="C360" s="4"/>
      <c r="D360" s="4">
        <v>1</v>
      </c>
      <c r="E360" s="4"/>
      <c r="F360" s="4"/>
      <c r="G360" s="4">
        <v>1</v>
      </c>
    </row>
    <row r="361" spans="1:7" x14ac:dyDescent="0.2">
      <c r="A361" s="5">
        <v>54</v>
      </c>
      <c r="B361" s="4"/>
      <c r="C361" s="4">
        <v>2</v>
      </c>
      <c r="D361" s="4"/>
      <c r="E361" s="4"/>
      <c r="F361" s="4"/>
      <c r="G361" s="4">
        <v>2</v>
      </c>
    </row>
    <row r="362" spans="1:7" x14ac:dyDescent="0.2">
      <c r="A362" s="6" t="s">
        <v>10</v>
      </c>
      <c r="B362" s="4"/>
      <c r="C362" s="4">
        <v>2</v>
      </c>
      <c r="D362" s="4"/>
      <c r="E362" s="4"/>
      <c r="F362" s="4"/>
      <c r="G362" s="4">
        <v>2</v>
      </c>
    </row>
    <row r="363" spans="1:7" x14ac:dyDescent="0.2">
      <c r="A363" s="5">
        <v>59</v>
      </c>
      <c r="B363" s="4"/>
      <c r="C363" s="4"/>
      <c r="D363" s="4"/>
      <c r="E363" s="4">
        <v>0</v>
      </c>
      <c r="F363" s="4"/>
      <c r="G363" s="4">
        <v>0</v>
      </c>
    </row>
    <row r="364" spans="1:7" x14ac:dyDescent="0.2">
      <c r="A364" s="6" t="s">
        <v>14</v>
      </c>
      <c r="B364" s="4"/>
      <c r="C364" s="4"/>
      <c r="D364" s="4"/>
      <c r="E364" s="4">
        <v>0</v>
      </c>
      <c r="F364" s="4"/>
      <c r="G364" s="4">
        <v>0</v>
      </c>
    </row>
    <row r="365" spans="1:7" x14ac:dyDescent="0.2">
      <c r="A365" s="5">
        <v>56</v>
      </c>
      <c r="B365" s="4">
        <v>2</v>
      </c>
      <c r="C365" s="4"/>
      <c r="D365" s="4"/>
      <c r="E365" s="4"/>
      <c r="F365" s="4"/>
      <c r="G365" s="4">
        <v>2</v>
      </c>
    </row>
    <row r="366" spans="1:7" x14ac:dyDescent="0.2">
      <c r="A366" s="6" t="s">
        <v>10</v>
      </c>
      <c r="B366" s="4">
        <v>2</v>
      </c>
      <c r="C366" s="4"/>
      <c r="D366" s="4"/>
      <c r="E366" s="4"/>
      <c r="F366" s="4"/>
      <c r="G366" s="4">
        <v>2</v>
      </c>
    </row>
    <row r="367" spans="1:7" x14ac:dyDescent="0.2">
      <c r="A367" s="5">
        <v>55</v>
      </c>
      <c r="B367" s="4"/>
      <c r="C367" s="4"/>
      <c r="D367" s="4"/>
      <c r="E367" s="4">
        <v>0</v>
      </c>
      <c r="F367" s="4"/>
      <c r="G367" s="4">
        <v>0</v>
      </c>
    </row>
    <row r="368" spans="1:7" x14ac:dyDescent="0.2">
      <c r="A368" s="6" t="s">
        <v>14</v>
      </c>
      <c r="B368" s="4"/>
      <c r="C368" s="4"/>
      <c r="D368" s="4"/>
      <c r="E368" s="4">
        <v>0</v>
      </c>
      <c r="F368" s="4"/>
      <c r="G368" s="4">
        <v>0</v>
      </c>
    </row>
    <row r="369" spans="1:7" x14ac:dyDescent="0.2">
      <c r="A369" s="5">
        <v>52</v>
      </c>
      <c r="B369" s="4">
        <v>2</v>
      </c>
      <c r="C369" s="4"/>
      <c r="D369" s="4">
        <v>1</v>
      </c>
      <c r="E369" s="4"/>
      <c r="F369" s="4"/>
      <c r="G369" s="4">
        <v>3</v>
      </c>
    </row>
    <row r="370" spans="1:7" x14ac:dyDescent="0.2">
      <c r="A370" s="6" t="s">
        <v>10</v>
      </c>
      <c r="B370" s="4">
        <v>1</v>
      </c>
      <c r="C370" s="4"/>
      <c r="D370" s="4">
        <v>1</v>
      </c>
      <c r="E370" s="4"/>
      <c r="F370" s="4"/>
      <c r="G370" s="4">
        <v>2</v>
      </c>
    </row>
    <row r="371" spans="1:7" x14ac:dyDescent="0.2">
      <c r="A371" s="6" t="s">
        <v>7</v>
      </c>
      <c r="B371" s="4">
        <v>1</v>
      </c>
      <c r="C371" s="4"/>
      <c r="D371" s="4"/>
      <c r="E371" s="4"/>
      <c r="F371" s="4"/>
      <c r="G371" s="4">
        <v>1</v>
      </c>
    </row>
    <row r="372" spans="1:7" x14ac:dyDescent="0.2">
      <c r="A372" s="5">
        <v>49</v>
      </c>
      <c r="B372" s="4"/>
      <c r="C372" s="4"/>
      <c r="D372" s="4"/>
      <c r="E372" s="4">
        <v>0</v>
      </c>
      <c r="F372" s="4"/>
      <c r="G372" s="4">
        <v>0</v>
      </c>
    </row>
    <row r="373" spans="1:7" x14ac:dyDescent="0.2">
      <c r="A373" s="6" t="s">
        <v>14</v>
      </c>
      <c r="B373" s="4"/>
      <c r="C373" s="4"/>
      <c r="D373" s="4"/>
      <c r="E373" s="4">
        <v>0</v>
      </c>
      <c r="F373" s="4"/>
      <c r="G373" s="4">
        <v>0</v>
      </c>
    </row>
    <row r="374" spans="1:7" x14ac:dyDescent="0.2">
      <c r="A374" s="5">
        <v>41</v>
      </c>
      <c r="B374" s="4"/>
      <c r="C374" s="4"/>
      <c r="D374" s="4"/>
      <c r="E374" s="4"/>
      <c r="F374" s="4">
        <v>0</v>
      </c>
      <c r="G374" s="4">
        <v>0</v>
      </c>
    </row>
    <row r="375" spans="1:7" x14ac:dyDescent="0.2">
      <c r="A375" s="6"/>
      <c r="B375" s="4"/>
      <c r="C375" s="4"/>
      <c r="D375" s="4"/>
      <c r="E375" s="4"/>
      <c r="F375" s="4">
        <v>0</v>
      </c>
      <c r="G375" s="4">
        <v>0</v>
      </c>
    </row>
    <row r="376" spans="1:7" x14ac:dyDescent="0.2">
      <c r="A376" s="5">
        <v>58</v>
      </c>
      <c r="B376" s="4">
        <v>5</v>
      </c>
      <c r="C376" s="4">
        <v>1</v>
      </c>
      <c r="D376" s="4"/>
      <c r="E376" s="4"/>
      <c r="F376" s="4"/>
      <c r="G376" s="4">
        <v>6</v>
      </c>
    </row>
    <row r="377" spans="1:7" x14ac:dyDescent="0.2">
      <c r="A377" s="6" t="s">
        <v>10</v>
      </c>
      <c r="B377" s="4">
        <v>2</v>
      </c>
      <c r="C377" s="4">
        <v>1</v>
      </c>
      <c r="D377" s="4"/>
      <c r="E377" s="4"/>
      <c r="F377" s="4"/>
      <c r="G377" s="4">
        <v>3</v>
      </c>
    </row>
    <row r="378" spans="1:7" x14ac:dyDescent="0.2">
      <c r="A378" s="6" t="s">
        <v>7</v>
      </c>
      <c r="B378" s="4">
        <v>3</v>
      </c>
      <c r="C378" s="4"/>
      <c r="D378" s="4"/>
      <c r="E378" s="4"/>
      <c r="F378" s="4"/>
      <c r="G378" s="4">
        <v>3</v>
      </c>
    </row>
    <row r="379" spans="1:7" x14ac:dyDescent="0.2">
      <c r="A379" s="5">
        <v>53</v>
      </c>
      <c r="B379" s="4"/>
      <c r="C379" s="4">
        <v>1</v>
      </c>
      <c r="D379" s="4"/>
      <c r="E379" s="4"/>
      <c r="F379" s="4"/>
      <c r="G379" s="4">
        <v>1</v>
      </c>
    </row>
    <row r="380" spans="1:7" x14ac:dyDescent="0.2">
      <c r="A380" s="6" t="s">
        <v>7</v>
      </c>
      <c r="B380" s="4"/>
      <c r="C380" s="4">
        <v>1</v>
      </c>
      <c r="D380" s="4"/>
      <c r="E380" s="4"/>
      <c r="F380" s="4"/>
      <c r="G380" s="4">
        <v>1</v>
      </c>
    </row>
    <row r="381" spans="1:7" x14ac:dyDescent="0.2">
      <c r="A381" s="5">
        <v>48</v>
      </c>
      <c r="B381" s="4"/>
      <c r="C381" s="4">
        <v>5</v>
      </c>
      <c r="D381" s="4"/>
      <c r="E381" s="4"/>
      <c r="F381" s="4"/>
      <c r="G381" s="4">
        <v>5</v>
      </c>
    </row>
    <row r="382" spans="1:7" x14ac:dyDescent="0.2">
      <c r="A382" s="6" t="s">
        <v>10</v>
      </c>
      <c r="B382" s="4"/>
      <c r="C382" s="4">
        <v>5</v>
      </c>
      <c r="D382" s="4"/>
      <c r="E382" s="4"/>
      <c r="F382" s="4"/>
      <c r="G382" s="4">
        <v>5</v>
      </c>
    </row>
    <row r="383" spans="1:7" x14ac:dyDescent="0.2">
      <c r="A383" s="5">
        <v>47</v>
      </c>
      <c r="B383" s="4"/>
      <c r="C383" s="4">
        <v>1</v>
      </c>
      <c r="D383" s="4">
        <v>3</v>
      </c>
      <c r="E383" s="4"/>
      <c r="F383" s="4"/>
      <c r="G383" s="4">
        <v>4</v>
      </c>
    </row>
    <row r="384" spans="1:7" x14ac:dyDescent="0.2">
      <c r="A384" s="6" t="s">
        <v>10</v>
      </c>
      <c r="B384" s="4"/>
      <c r="C384" s="4">
        <v>1</v>
      </c>
      <c r="D384" s="4"/>
      <c r="E384" s="4"/>
      <c r="F384" s="4"/>
      <c r="G384" s="4">
        <v>1</v>
      </c>
    </row>
    <row r="385" spans="1:7" x14ac:dyDescent="0.2">
      <c r="A385" s="6" t="s">
        <v>7</v>
      </c>
      <c r="B385" s="4"/>
      <c r="C385" s="4"/>
      <c r="D385" s="4">
        <v>3</v>
      </c>
      <c r="E385" s="4"/>
      <c r="F385" s="4"/>
      <c r="G385" s="4">
        <v>3</v>
      </c>
    </row>
    <row r="386" spans="1:7" x14ac:dyDescent="0.2">
      <c r="A386" s="5">
        <v>45</v>
      </c>
      <c r="B386" s="4"/>
      <c r="C386" s="4">
        <v>6</v>
      </c>
      <c r="D386" s="4"/>
      <c r="E386" s="4"/>
      <c r="F386" s="4"/>
      <c r="G386" s="4">
        <v>6</v>
      </c>
    </row>
    <row r="387" spans="1:7" x14ac:dyDescent="0.2">
      <c r="A387" s="6" t="s">
        <v>10</v>
      </c>
      <c r="B387" s="4"/>
      <c r="C387" s="4">
        <v>6</v>
      </c>
      <c r="D387" s="4"/>
      <c r="E387" s="4"/>
      <c r="F387" s="4"/>
      <c r="G387" s="4">
        <v>6</v>
      </c>
    </row>
    <row r="388" spans="1:7" x14ac:dyDescent="0.2">
      <c r="A388" s="5">
        <v>42</v>
      </c>
      <c r="B388" s="4"/>
      <c r="C388" s="4">
        <v>2</v>
      </c>
      <c r="D388" s="4"/>
      <c r="E388" s="4"/>
      <c r="F388" s="4"/>
      <c r="G388" s="4">
        <v>2</v>
      </c>
    </row>
    <row r="389" spans="1:7" x14ac:dyDescent="0.2">
      <c r="A389" s="6" t="s">
        <v>10</v>
      </c>
      <c r="B389" s="4"/>
      <c r="C389" s="4">
        <v>2</v>
      </c>
      <c r="D389" s="4"/>
      <c r="E389" s="4"/>
      <c r="F389" s="4"/>
      <c r="G389" s="4">
        <v>2</v>
      </c>
    </row>
    <row r="390" spans="1:7" x14ac:dyDescent="0.2">
      <c r="A390" s="5">
        <v>57</v>
      </c>
      <c r="B390" s="4">
        <v>4</v>
      </c>
      <c r="C390" s="4">
        <v>2</v>
      </c>
      <c r="D390" s="4"/>
      <c r="E390" s="4"/>
      <c r="F390" s="4"/>
      <c r="G390" s="4">
        <v>6</v>
      </c>
    </row>
    <row r="391" spans="1:7" x14ac:dyDescent="0.2">
      <c r="A391" s="6" t="s">
        <v>10</v>
      </c>
      <c r="B391" s="4">
        <v>3</v>
      </c>
      <c r="C391" s="4">
        <v>2</v>
      </c>
      <c r="D391" s="4"/>
      <c r="E391" s="4"/>
      <c r="F391" s="4"/>
      <c r="G391" s="4">
        <v>5</v>
      </c>
    </row>
    <row r="392" spans="1:7" x14ac:dyDescent="0.2">
      <c r="A392" s="6" t="s">
        <v>7</v>
      </c>
      <c r="B392" s="4">
        <v>1</v>
      </c>
      <c r="C392" s="4"/>
      <c r="D392" s="4"/>
      <c r="E392" s="4"/>
      <c r="F392" s="4"/>
      <c r="G392" s="4">
        <v>1</v>
      </c>
    </row>
    <row r="393" spans="1:7" x14ac:dyDescent="0.2">
      <c r="A393" s="5">
        <v>50</v>
      </c>
      <c r="B393" s="4">
        <v>1</v>
      </c>
      <c r="C393" s="4"/>
      <c r="D393" s="4">
        <v>5</v>
      </c>
      <c r="E393" s="4"/>
      <c r="F393" s="4"/>
      <c r="G393" s="4">
        <v>6</v>
      </c>
    </row>
    <row r="394" spans="1:7" x14ac:dyDescent="0.2">
      <c r="A394" s="6" t="s">
        <v>10</v>
      </c>
      <c r="B394" s="4">
        <v>1</v>
      </c>
      <c r="C394" s="4"/>
      <c r="D394" s="4">
        <v>2</v>
      </c>
      <c r="E394" s="4"/>
      <c r="F394" s="4"/>
      <c r="G394" s="4">
        <v>3</v>
      </c>
    </row>
    <row r="395" spans="1:7" x14ac:dyDescent="0.2">
      <c r="A395" s="6" t="s">
        <v>7</v>
      </c>
      <c r="B395" s="4"/>
      <c r="C395" s="4"/>
      <c r="D395" s="4">
        <v>3</v>
      </c>
      <c r="E395" s="4"/>
      <c r="F395" s="4"/>
      <c r="G395" s="4">
        <v>3</v>
      </c>
    </row>
    <row r="396" spans="1:7" x14ac:dyDescent="0.2">
      <c r="A396" s="5">
        <v>46</v>
      </c>
      <c r="B396" s="4">
        <v>3</v>
      </c>
      <c r="C396" s="4"/>
      <c r="D396" s="4"/>
      <c r="E396" s="4"/>
      <c r="F396" s="4"/>
      <c r="G396" s="4">
        <v>3</v>
      </c>
    </row>
    <row r="397" spans="1:7" x14ac:dyDescent="0.2">
      <c r="A397" s="6" t="s">
        <v>10</v>
      </c>
      <c r="B397" s="4">
        <v>3</v>
      </c>
      <c r="C397" s="4"/>
      <c r="D397" s="4"/>
      <c r="E397" s="4"/>
      <c r="F397" s="4"/>
      <c r="G397" s="4">
        <v>3</v>
      </c>
    </row>
    <row r="398" spans="1:7" x14ac:dyDescent="0.2">
      <c r="A398" s="5">
        <v>44</v>
      </c>
      <c r="B398" s="4"/>
      <c r="C398" s="4">
        <v>5</v>
      </c>
      <c r="D398" s="4"/>
      <c r="E398" s="4"/>
      <c r="F398" s="4"/>
      <c r="G398" s="4">
        <v>5</v>
      </c>
    </row>
    <row r="399" spans="1:7" x14ac:dyDescent="0.2">
      <c r="A399" s="6" t="s">
        <v>10</v>
      </c>
      <c r="B399" s="4"/>
      <c r="C399" s="4">
        <v>3</v>
      </c>
      <c r="D399" s="4"/>
      <c r="E399" s="4"/>
      <c r="F399" s="4"/>
      <c r="G399" s="4">
        <v>3</v>
      </c>
    </row>
    <row r="400" spans="1:7" x14ac:dyDescent="0.2">
      <c r="A400" s="6" t="s">
        <v>7</v>
      </c>
      <c r="B400" s="4"/>
      <c r="C400" s="4">
        <v>1</v>
      </c>
      <c r="D400" s="4"/>
      <c r="E400" s="4"/>
      <c r="F400" s="4"/>
      <c r="G400" s="4">
        <v>1</v>
      </c>
    </row>
    <row r="401" spans="1:7" x14ac:dyDescent="0.2">
      <c r="A401" s="6" t="s">
        <v>17</v>
      </c>
      <c r="B401" s="4"/>
      <c r="C401" s="4">
        <v>1</v>
      </c>
      <c r="D401" s="4"/>
      <c r="E401" s="4"/>
      <c r="F401" s="4"/>
      <c r="G401" s="4">
        <v>1</v>
      </c>
    </row>
    <row r="402" spans="1:7" x14ac:dyDescent="0.2">
      <c r="A402" s="5">
        <v>51</v>
      </c>
      <c r="B402" s="4"/>
      <c r="C402" s="4"/>
      <c r="D402" s="4"/>
      <c r="E402" s="4">
        <v>0</v>
      </c>
      <c r="F402" s="4"/>
      <c r="G402" s="4">
        <v>0</v>
      </c>
    </row>
    <row r="403" spans="1:7" x14ac:dyDescent="0.2">
      <c r="A403" s="6" t="s">
        <v>14</v>
      </c>
      <c r="B403" s="4"/>
      <c r="C403" s="4"/>
      <c r="D403" s="4"/>
      <c r="E403" s="4">
        <v>0</v>
      </c>
      <c r="F403" s="4"/>
      <c r="G403" s="4">
        <v>0</v>
      </c>
    </row>
    <row r="404" spans="1:7" x14ac:dyDescent="0.2">
      <c r="A404" s="3" t="s">
        <v>41</v>
      </c>
      <c r="B404" s="4">
        <v>79</v>
      </c>
      <c r="C404" s="4">
        <v>152</v>
      </c>
      <c r="D404" s="4">
        <v>42</v>
      </c>
      <c r="E404" s="4">
        <v>0</v>
      </c>
      <c r="F404" s="4">
        <v>0</v>
      </c>
      <c r="G404" s="4">
        <v>273</v>
      </c>
    </row>
  </sheetData>
  <sortState xmlns:xlrd2="http://schemas.microsoft.com/office/spreadsheetml/2017/richdata2" ref="A3:F85">
    <sortCondition ref="A55"/>
  </sortState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D6"/>
  <sheetViews>
    <sheetView workbookViewId="0">
      <selection activeCell="D4" sqref="D2:D4"/>
    </sheetView>
  </sheetViews>
  <sheetFormatPr baseColWidth="10" defaultRowHeight="16" x14ac:dyDescent="0.2"/>
  <cols>
    <col min="1" max="1" width="12.83203125" customWidth="1"/>
  </cols>
  <sheetData>
    <row r="1" spans="1:4" x14ac:dyDescent="0.2">
      <c r="A1" s="8" t="s">
        <v>16</v>
      </c>
      <c r="B1" s="10" t="s">
        <v>18</v>
      </c>
      <c r="C1" s="12" t="s">
        <v>21</v>
      </c>
      <c r="D1" s="14" t="s">
        <v>22</v>
      </c>
    </row>
    <row r="2" spans="1:4" x14ac:dyDescent="0.2">
      <c r="A2" s="7" t="s">
        <v>10</v>
      </c>
      <c r="B2" s="11" t="s">
        <v>11</v>
      </c>
      <c r="C2" s="13" t="s">
        <v>24</v>
      </c>
      <c r="D2" s="18">
        <v>6</v>
      </c>
    </row>
    <row r="3" spans="1:4" x14ac:dyDescent="0.2">
      <c r="A3" s="7" t="s">
        <v>17</v>
      </c>
      <c r="B3" s="11" t="s">
        <v>13</v>
      </c>
      <c r="C3" s="13" t="s">
        <v>23</v>
      </c>
      <c r="D3" s="18">
        <v>12</v>
      </c>
    </row>
    <row r="4" spans="1:4" x14ac:dyDescent="0.2">
      <c r="A4" s="7" t="s">
        <v>7</v>
      </c>
      <c r="B4" s="11" t="s">
        <v>8</v>
      </c>
      <c r="C4" s="13" t="s">
        <v>25</v>
      </c>
      <c r="D4" s="18">
        <v>18</v>
      </c>
    </row>
    <row r="5" spans="1:4" x14ac:dyDescent="0.2">
      <c r="A5" s="7" t="s">
        <v>14</v>
      </c>
    </row>
    <row r="6" spans="1:4" x14ac:dyDescent="0.2">
      <c r="A6" s="7" t="s">
        <v>12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11</vt:i4>
      </vt:variant>
    </vt:vector>
  </HeadingPairs>
  <TitlesOfParts>
    <vt:vector size="15" baseType="lpstr">
      <vt:lpstr>Interface</vt:lpstr>
      <vt:lpstr>Data</vt:lpstr>
      <vt:lpstr>Affichage</vt:lpstr>
      <vt:lpstr>Types</vt:lpstr>
      <vt:lpstr>dataAll</vt:lpstr>
      <vt:lpstr>dates</vt:lpstr>
      <vt:lpstr>familles</vt:lpstr>
      <vt:lpstr>numPlaques</vt:lpstr>
      <vt:lpstr>posFamille</vt:lpstr>
      <vt:lpstr>positions</vt:lpstr>
      <vt:lpstr>posNombre</vt:lpstr>
      <vt:lpstr>posObservation</vt:lpstr>
      <vt:lpstr>posPositionSPlaque</vt:lpstr>
      <vt:lpstr>profondeurs</vt:lpstr>
      <vt:lpstr>sites</vt:lpstr>
    </vt:vector>
  </TitlesOfParts>
  <Company>SG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Giu Silles</dc:creator>
  <cp:lastModifiedBy>Microsoft Office User</cp:lastModifiedBy>
  <dcterms:created xsi:type="dcterms:W3CDTF">2011-11-09T01:47:20Z</dcterms:created>
  <dcterms:modified xsi:type="dcterms:W3CDTF">2022-04-15T01:06:11Z</dcterms:modified>
</cp:coreProperties>
</file>